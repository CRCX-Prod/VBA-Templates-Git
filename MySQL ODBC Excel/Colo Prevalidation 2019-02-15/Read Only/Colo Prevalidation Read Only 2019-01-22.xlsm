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D:\OneDrive - apollo-towers.com\Apollo Towers\00-Process &amp; Database\Colo Prevalidation\Read Only\"/>
    </mc:Choice>
  </mc:AlternateContent>
  <xr:revisionPtr revIDLastSave="165" documentId="8_{606D8638-0BF3-47AD-B697-8DF81B351994}" xr6:coauthVersionLast="40" xr6:coauthVersionMax="40" xr10:uidLastSave="{23CAF7F0-D91A-4231-AD88-BA4737762C40}"/>
  <bookViews>
    <workbookView xWindow="0" yWindow="0" windowWidth="19200" windowHeight="6850" tabRatio="710" xr2:uid="{00000000-000D-0000-FFFF-FFFF00000000}"/>
  </bookViews>
  <sheets>
    <sheet name="Dashboard" sheetId="79" r:id="rId1"/>
    <sheet name="Validation" sheetId="70" r:id="rId2"/>
    <sheet name="Pivot Graph1" sheetId="81" r:id="rId3"/>
    <sheet name="Sheet1" sheetId="82" r:id="rId4"/>
  </sheets>
  <functionGroups builtInGroupCount="19"/>
  <definedNames>
    <definedName name="_xlnm._FilterDatabase" localSheetId="1" hidden="1">Validation!#REF!</definedName>
    <definedName name="ExternalData_1" localSheetId="1" hidden="1">Validation!$A$15:$AZ$525</definedName>
    <definedName name="NativeTimeline_Close_Date">#N/A</definedName>
    <definedName name="NativeTimeline_Request_Date">#N/A</definedName>
    <definedName name="Slicer_Legacy">#N/A</definedName>
    <definedName name="Slicer_Operator">#N/A</definedName>
    <definedName name="Slicer_Prevalidation_Status">#N/A</definedName>
    <definedName name="Slicer_Region">#N/A</definedName>
    <definedName name="Version">#REF!</definedName>
  </definedNames>
  <calcPr calcId="191029"/>
  <pivotCaches>
    <pivotCache cacheId="12"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 r:id="rId11"/>
      </x15:timelineCacheRefs>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A16" i="70" l="1"/>
  <c r="BA17" i="70"/>
  <c r="BA18" i="70"/>
  <c r="BA19" i="70"/>
  <c r="BA20" i="70"/>
  <c r="BA21" i="70"/>
  <c r="BA22" i="70"/>
  <c r="BA23" i="70"/>
  <c r="BA24" i="70"/>
  <c r="BA25" i="70"/>
  <c r="BA26" i="70"/>
  <c r="BA27" i="70"/>
  <c r="BA28" i="70"/>
  <c r="BA29" i="70"/>
  <c r="BA30" i="70"/>
  <c r="BA31" i="70"/>
  <c r="BA32" i="70"/>
  <c r="BA33" i="70"/>
  <c r="BA34" i="70"/>
  <c r="BA35" i="70"/>
  <c r="BA36" i="70"/>
  <c r="BA37" i="70"/>
  <c r="BA38" i="70"/>
  <c r="BA39" i="70"/>
  <c r="BA40" i="70"/>
  <c r="BA41" i="70"/>
  <c r="BA42" i="70"/>
  <c r="BA43" i="70"/>
  <c r="BA44" i="70"/>
  <c r="BA45" i="70"/>
  <c r="BA46" i="70"/>
  <c r="BA47" i="70"/>
  <c r="BA48" i="70"/>
  <c r="BA49" i="70"/>
  <c r="BA50" i="70"/>
  <c r="BA51" i="70"/>
  <c r="BA52" i="70"/>
  <c r="BA53" i="70"/>
  <c r="BA54" i="70"/>
  <c r="BA55" i="70"/>
  <c r="BA56" i="70"/>
  <c r="BA57" i="70"/>
  <c r="BA58" i="70"/>
  <c r="BA59" i="70"/>
  <c r="BA60" i="70"/>
  <c r="BA61" i="70"/>
  <c r="BA62" i="70"/>
  <c r="BA63" i="70"/>
  <c r="BA64" i="70"/>
  <c r="BA65" i="70"/>
  <c r="BA66" i="70"/>
  <c r="BA67" i="70"/>
  <c r="BA68" i="70"/>
  <c r="BA69" i="70"/>
  <c r="BA70" i="70"/>
  <c r="BA71" i="70"/>
  <c r="BA72" i="70"/>
  <c r="BA73" i="70"/>
  <c r="BA74" i="70"/>
  <c r="BA75" i="70"/>
  <c r="BA76" i="70"/>
  <c r="BA77" i="70"/>
  <c r="BA78" i="70"/>
  <c r="BA79" i="70"/>
  <c r="BA80" i="70"/>
  <c r="BA81" i="70"/>
  <c r="BA82" i="70"/>
  <c r="BA83" i="70"/>
  <c r="BA84" i="70"/>
  <c r="BA85" i="70"/>
  <c r="BA86" i="70"/>
  <c r="BA87" i="70"/>
  <c r="BA88" i="70"/>
  <c r="BA89" i="70"/>
  <c r="BA90" i="70"/>
  <c r="BA91" i="70"/>
  <c r="BA92" i="70"/>
  <c r="BA93" i="70"/>
  <c r="BA94" i="70"/>
  <c r="BA95" i="70"/>
  <c r="BA96" i="70"/>
  <c r="BA97" i="70"/>
  <c r="BA98" i="70"/>
  <c r="BA99" i="70"/>
  <c r="BA100" i="70"/>
  <c r="BA101" i="70"/>
  <c r="BA102" i="70"/>
  <c r="BA103" i="70"/>
  <c r="BA104" i="70"/>
  <c r="BA105" i="70"/>
  <c r="BA106" i="70"/>
  <c r="BA107" i="70"/>
  <c r="BA108" i="70"/>
  <c r="BA109" i="70"/>
  <c r="BA110" i="70"/>
  <c r="BA111" i="70"/>
  <c r="BA112" i="70"/>
  <c r="BA113" i="70"/>
  <c r="BA114" i="70"/>
  <c r="BA115" i="70"/>
  <c r="BA116" i="70"/>
  <c r="BA117" i="70"/>
  <c r="BA118" i="70"/>
  <c r="BA119" i="70"/>
  <c r="BA120" i="70"/>
  <c r="BA121" i="70"/>
  <c r="BA122" i="70"/>
  <c r="BA123" i="70"/>
  <c r="BA124" i="70"/>
  <c r="BA125" i="70"/>
  <c r="BA126" i="70"/>
  <c r="BA127" i="70"/>
  <c r="BA128" i="70"/>
  <c r="BA129" i="70"/>
  <c r="BA130" i="70"/>
  <c r="BA131" i="70"/>
  <c r="BA132" i="70"/>
  <c r="BA133" i="70"/>
  <c r="BA134" i="70"/>
  <c r="BA135" i="70"/>
  <c r="BA136" i="70"/>
  <c r="BA137" i="70"/>
  <c r="BA138" i="70"/>
  <c r="BA139" i="70"/>
  <c r="BA140" i="70"/>
  <c r="BA141" i="70"/>
  <c r="BA142" i="70"/>
  <c r="BA143" i="70"/>
  <c r="BA144" i="70"/>
  <c r="BA145" i="70"/>
  <c r="BA146" i="70"/>
  <c r="BA147" i="70"/>
  <c r="BA148" i="70"/>
  <c r="BA149" i="70"/>
  <c r="BA150" i="70"/>
  <c r="BA151" i="70"/>
  <c r="BA152" i="70"/>
  <c r="BA153" i="70"/>
  <c r="BA154" i="70"/>
  <c r="BA155" i="70"/>
  <c r="BA156" i="70"/>
  <c r="BA157" i="70"/>
  <c r="BA158" i="70"/>
  <c r="BA159" i="70"/>
  <c r="BA160" i="70"/>
  <c r="BA161" i="70"/>
  <c r="BA162" i="70"/>
  <c r="BA163" i="70"/>
  <c r="BA164" i="70"/>
  <c r="BA165" i="70"/>
  <c r="BA166" i="70"/>
  <c r="BA167" i="70"/>
  <c r="BA168" i="70"/>
  <c r="BA169" i="70"/>
  <c r="BA170" i="70"/>
  <c r="BA171" i="70"/>
  <c r="BA172" i="70"/>
  <c r="BA173" i="70"/>
  <c r="BA174" i="70"/>
  <c r="BA175" i="70"/>
  <c r="BA176" i="70"/>
  <c r="BA177" i="70"/>
  <c r="BA178" i="70"/>
  <c r="BA179" i="70"/>
  <c r="BA180" i="70"/>
  <c r="BA181" i="70"/>
  <c r="BA182" i="70"/>
  <c r="BA183" i="70"/>
  <c r="BA184" i="70"/>
  <c r="BA185" i="70"/>
  <c r="BA186" i="70"/>
  <c r="BA187" i="70"/>
  <c r="BA188" i="70"/>
  <c r="BA189" i="70"/>
  <c r="BA190" i="70"/>
  <c r="BA191" i="70"/>
  <c r="BA192" i="70"/>
  <c r="BA193" i="70"/>
  <c r="BA194" i="70"/>
  <c r="BA195" i="70"/>
  <c r="BA196" i="70"/>
  <c r="BA197" i="70"/>
  <c r="BA198" i="70"/>
  <c r="BA199" i="70"/>
  <c r="BA200" i="70"/>
  <c r="BA201" i="70"/>
  <c r="BA202" i="70"/>
  <c r="BA203" i="70"/>
  <c r="BA204" i="70"/>
  <c r="BA205" i="70"/>
  <c r="BA206" i="70"/>
  <c r="BA207" i="70"/>
  <c r="BA208" i="70"/>
  <c r="BA209" i="70"/>
  <c r="BA210" i="70"/>
  <c r="BA211" i="70"/>
  <c r="BA212" i="70"/>
  <c r="BA213" i="70"/>
  <c r="BA214" i="70"/>
  <c r="BA215" i="70"/>
  <c r="BA216" i="70"/>
  <c r="BA217" i="70"/>
  <c r="BA218" i="70"/>
  <c r="BA219" i="70"/>
  <c r="BA220" i="70"/>
  <c r="BA221" i="70"/>
  <c r="BA222" i="70"/>
  <c r="BA223" i="70"/>
  <c r="BA224" i="70"/>
  <c r="BA225" i="70"/>
  <c r="BA226" i="70"/>
  <c r="BA227" i="70"/>
  <c r="BA228" i="70"/>
  <c r="BA229" i="70"/>
  <c r="BA230" i="70"/>
  <c r="BA231" i="70"/>
  <c r="BA232" i="70"/>
  <c r="BA233" i="70"/>
  <c r="BA234" i="70"/>
  <c r="BA235" i="70"/>
  <c r="BA236" i="70"/>
  <c r="BA237" i="70"/>
  <c r="BA238" i="70"/>
  <c r="BA239" i="70"/>
  <c r="BA240" i="70"/>
  <c r="BA241" i="70"/>
  <c r="BA242" i="70"/>
  <c r="BA243" i="70"/>
  <c r="BA244" i="70"/>
  <c r="BA245" i="70"/>
  <c r="BA246" i="70"/>
  <c r="BA247" i="70"/>
  <c r="BA248" i="70"/>
  <c r="BA249" i="70"/>
  <c r="BA250" i="70"/>
  <c r="BA251" i="70"/>
  <c r="BA252" i="70"/>
  <c r="BA253" i="70"/>
  <c r="BA254" i="70"/>
  <c r="BA255" i="70"/>
  <c r="BA256" i="70"/>
  <c r="BA257" i="70"/>
  <c r="BA258" i="70"/>
  <c r="BA259" i="70"/>
  <c r="BA260" i="70"/>
  <c r="BA261" i="70"/>
  <c r="BA262" i="70"/>
  <c r="BA263" i="70"/>
  <c r="BA264" i="70"/>
  <c r="BA265" i="70"/>
  <c r="BA266" i="70"/>
  <c r="BA267" i="70"/>
  <c r="BA268" i="70"/>
  <c r="BA269" i="70"/>
  <c r="BA270" i="70"/>
  <c r="BA271" i="70"/>
  <c r="BA272" i="70"/>
  <c r="BA273" i="70"/>
  <c r="BA274" i="70"/>
  <c r="BA275" i="70"/>
  <c r="BA276" i="70"/>
  <c r="BA277" i="70"/>
  <c r="BA278" i="70"/>
  <c r="BA279" i="70"/>
  <c r="BA280" i="70"/>
  <c r="BA281" i="70"/>
  <c r="BA282" i="70"/>
  <c r="BA283" i="70"/>
  <c r="BA284" i="70"/>
  <c r="BA285" i="70"/>
  <c r="BA286" i="70"/>
  <c r="BA287" i="70"/>
  <c r="BA288" i="70"/>
  <c r="BA289" i="70"/>
  <c r="BA290" i="70"/>
  <c r="BA291" i="70"/>
  <c r="BA292" i="70"/>
  <c r="BA293" i="70"/>
  <c r="BA294" i="70"/>
  <c r="BA295" i="70"/>
  <c r="BA296" i="70"/>
  <c r="BA297" i="70"/>
  <c r="BA298" i="70"/>
  <c r="BA299" i="70"/>
  <c r="BA300" i="70"/>
  <c r="BA301" i="70"/>
  <c r="BA302" i="70"/>
  <c r="BA303" i="70"/>
  <c r="BA304" i="70"/>
  <c r="BA305" i="70"/>
  <c r="BA306" i="70"/>
  <c r="BA307" i="70"/>
  <c r="BA308" i="70"/>
  <c r="BA309" i="70"/>
  <c r="BA310" i="70"/>
  <c r="BA311" i="70"/>
  <c r="BA312" i="70"/>
  <c r="BA313" i="70"/>
  <c r="BA314" i="70"/>
  <c r="BA315" i="70"/>
  <c r="BA316" i="70"/>
  <c r="BA317" i="70"/>
  <c r="BA318" i="70"/>
  <c r="BA319" i="70"/>
  <c r="BA320" i="70"/>
  <c r="BA321" i="70"/>
  <c r="BA322" i="70"/>
  <c r="BA323" i="70"/>
  <c r="BA324" i="70"/>
  <c r="BA325" i="70"/>
  <c r="BA326" i="70"/>
  <c r="BA327" i="70"/>
  <c r="BA328" i="70"/>
  <c r="BA329" i="70"/>
  <c r="BA330" i="70"/>
  <c r="BA331" i="70"/>
  <c r="BA332" i="70"/>
  <c r="BA333" i="70"/>
  <c r="BA334" i="70"/>
  <c r="BA335" i="70"/>
  <c r="BA336" i="70"/>
  <c r="BA337" i="70"/>
  <c r="BA338" i="70"/>
  <c r="BA339" i="70"/>
  <c r="BA340" i="70"/>
  <c r="BA341" i="70"/>
  <c r="BA342" i="70"/>
  <c r="BA343" i="70"/>
  <c r="BA344" i="70"/>
  <c r="BA345" i="70"/>
  <c r="BA346" i="70"/>
  <c r="BA347" i="70"/>
  <c r="BA348" i="70"/>
  <c r="BA349" i="70"/>
  <c r="BA350" i="70"/>
  <c r="BA351" i="70"/>
  <c r="BA352" i="70"/>
  <c r="BA353" i="70"/>
  <c r="BA354" i="70"/>
  <c r="BA355" i="70"/>
  <c r="BA356" i="70"/>
  <c r="BA357" i="70"/>
  <c r="BA358" i="70"/>
  <c r="BA359" i="70"/>
  <c r="BA360" i="70"/>
  <c r="BA361" i="70"/>
  <c r="BA362" i="70"/>
  <c r="BA363" i="70"/>
  <c r="BA364" i="70"/>
  <c r="BA365" i="70"/>
  <c r="BA366" i="70"/>
  <c r="BA367" i="70"/>
  <c r="BA368" i="70"/>
  <c r="BA369" i="70"/>
  <c r="BA370" i="70"/>
  <c r="BA371" i="70"/>
  <c r="BA372" i="70"/>
  <c r="BA373" i="70"/>
  <c r="BA374" i="70"/>
  <c r="BA375" i="70"/>
  <c r="BA376" i="70"/>
  <c r="BA377" i="70"/>
  <c r="BA378" i="70"/>
  <c r="BA379" i="70"/>
  <c r="BA380" i="70"/>
  <c r="BA381" i="70"/>
  <c r="BA382" i="70"/>
  <c r="BA383" i="70"/>
  <c r="BA384" i="70"/>
  <c r="BA385" i="70"/>
  <c r="BA386" i="70"/>
  <c r="BA387" i="70"/>
  <c r="BA388" i="70"/>
  <c r="BA389" i="70"/>
  <c r="BA390" i="70"/>
  <c r="BA391" i="70"/>
  <c r="BA392" i="70"/>
  <c r="BA393" i="70"/>
  <c r="BA394" i="70"/>
  <c r="BA395" i="70"/>
  <c r="BA396" i="70"/>
  <c r="BA397" i="70"/>
  <c r="BA398" i="70"/>
  <c r="BA399" i="70"/>
  <c r="BA400" i="70"/>
  <c r="BA401" i="70"/>
  <c r="BA402" i="70"/>
  <c r="BA403" i="70"/>
  <c r="BA404" i="70"/>
  <c r="BA405" i="70"/>
  <c r="BA406" i="70"/>
  <c r="BA407" i="70"/>
  <c r="BA408" i="70"/>
  <c r="BA409" i="70"/>
  <c r="BA410" i="70"/>
  <c r="BA411" i="70"/>
  <c r="BA412" i="70"/>
  <c r="BA413" i="70"/>
  <c r="BA414" i="70"/>
  <c r="BA415" i="70"/>
  <c r="BA416" i="70"/>
  <c r="BA417" i="70"/>
  <c r="BA418" i="70"/>
  <c r="BA419" i="70"/>
  <c r="BA420" i="70"/>
  <c r="BA421" i="70"/>
  <c r="BA422" i="70"/>
  <c r="BA423" i="70"/>
  <c r="BA424" i="70"/>
  <c r="BA425" i="70"/>
  <c r="BA426" i="70"/>
  <c r="BA427" i="70"/>
  <c r="BA428" i="70"/>
  <c r="BA429" i="70"/>
  <c r="BA430" i="70"/>
  <c r="BA431" i="70"/>
  <c r="BA432" i="70"/>
  <c r="BA433" i="70"/>
  <c r="BA434" i="70"/>
  <c r="BA435" i="70"/>
  <c r="BA436" i="70"/>
  <c r="BA437" i="70"/>
  <c r="BA438" i="70"/>
  <c r="BA439" i="70"/>
  <c r="BA440" i="70"/>
  <c r="BA441" i="70"/>
  <c r="BA442" i="70"/>
  <c r="BA443" i="70"/>
  <c r="BA444" i="70"/>
  <c r="BA445" i="70"/>
  <c r="BA446" i="70"/>
  <c r="BA447" i="70"/>
  <c r="BA448" i="70"/>
  <c r="BA449" i="70"/>
  <c r="BA450" i="70"/>
  <c r="BA451" i="70"/>
  <c r="BA452" i="70"/>
  <c r="BA453" i="70"/>
  <c r="BA454" i="70"/>
  <c r="BA455" i="70"/>
  <c r="BA456" i="70"/>
  <c r="BA457" i="70"/>
  <c r="BA458" i="70"/>
  <c r="BA459" i="70"/>
  <c r="BA460" i="70"/>
  <c r="BA461" i="70"/>
  <c r="BA462" i="70"/>
  <c r="BA463" i="70"/>
  <c r="BA464" i="70"/>
  <c r="BA465" i="70"/>
  <c r="BA466" i="70"/>
  <c r="BA467" i="70"/>
  <c r="BA468" i="70"/>
  <c r="BA469" i="70"/>
  <c r="BA470" i="70"/>
  <c r="BA471" i="70"/>
  <c r="BA472" i="70"/>
  <c r="BA473" i="70"/>
  <c r="BA474" i="70"/>
  <c r="BA475" i="70"/>
  <c r="BA476" i="70"/>
  <c r="BA477" i="70"/>
  <c r="BA478" i="70"/>
  <c r="BA479" i="70"/>
  <c r="BA480" i="70"/>
  <c r="BA481" i="70"/>
  <c r="BA482" i="70"/>
  <c r="BA483" i="70"/>
  <c r="BA484" i="70"/>
  <c r="BA485" i="70"/>
  <c r="BA486" i="70"/>
  <c r="BA487" i="70"/>
  <c r="BA488" i="70"/>
  <c r="BA489" i="70"/>
  <c r="BA490" i="70"/>
  <c r="BA491" i="70"/>
  <c r="BA492" i="70"/>
  <c r="BA493" i="70"/>
  <c r="BA494" i="70"/>
  <c r="BA495" i="70"/>
  <c r="BA496" i="70"/>
  <c r="BA497" i="70"/>
  <c r="BA498" i="70"/>
  <c r="BA499" i="70"/>
  <c r="BA500" i="70"/>
  <c r="BA501" i="70"/>
  <c r="BA502" i="70"/>
  <c r="BA503" i="70"/>
  <c r="BA504" i="70"/>
  <c r="BA505" i="70"/>
  <c r="BA506" i="70"/>
  <c r="BA507" i="70"/>
  <c r="BA508" i="70"/>
  <c r="BA509" i="70"/>
  <c r="BA510" i="70"/>
  <c r="BA511" i="70"/>
  <c r="BA512" i="70"/>
  <c r="BA513" i="70"/>
  <c r="BA514" i="70"/>
  <c r="BA515" i="70"/>
  <c r="BA516" i="70"/>
  <c r="BA517" i="70"/>
  <c r="BA518" i="70"/>
  <c r="BA519" i="70"/>
  <c r="BA520" i="70"/>
  <c r="BA521" i="70"/>
  <c r="BA522" i="70"/>
  <c r="BA523" i="70"/>
  <c r="BA524" i="70"/>
  <c r="BA525" i="70"/>
  <c r="BB16" i="70"/>
  <c r="BB17" i="70"/>
  <c r="BB18" i="70"/>
  <c r="BB19" i="70"/>
  <c r="BB20" i="70"/>
  <c r="BB21" i="70"/>
  <c r="BB22" i="70"/>
  <c r="BB23" i="70"/>
  <c r="BB24" i="70"/>
  <c r="BB25" i="70"/>
  <c r="BB26" i="70"/>
  <c r="BB27" i="70"/>
  <c r="BB28" i="70"/>
  <c r="BB29" i="70"/>
  <c r="BB30" i="70"/>
  <c r="BB31" i="70"/>
  <c r="BB32" i="70"/>
  <c r="BB33" i="70"/>
  <c r="BB34" i="70"/>
  <c r="BB35" i="70"/>
  <c r="BB36" i="70"/>
  <c r="BB37" i="70"/>
  <c r="BB38" i="70"/>
  <c r="BB39" i="70"/>
  <c r="BB40" i="70"/>
  <c r="BB41" i="70"/>
  <c r="BB42" i="70"/>
  <c r="BB43" i="70"/>
  <c r="BB44" i="70"/>
  <c r="BB45" i="70"/>
  <c r="BB46" i="70"/>
  <c r="BB47" i="70"/>
  <c r="BB48" i="70"/>
  <c r="BB49" i="70"/>
  <c r="BB50" i="70"/>
  <c r="BB51" i="70"/>
  <c r="BB52" i="70"/>
  <c r="BB53" i="70"/>
  <c r="BB54" i="70"/>
  <c r="BB55" i="70"/>
  <c r="BB56" i="70"/>
  <c r="BB57" i="70"/>
  <c r="BB58" i="70"/>
  <c r="BB59" i="70"/>
  <c r="BB60" i="70"/>
  <c r="BB61" i="70"/>
  <c r="BB62" i="70"/>
  <c r="BB63" i="70"/>
  <c r="BB64" i="70"/>
  <c r="BB65" i="70"/>
  <c r="BB66" i="70"/>
  <c r="BB67" i="70"/>
  <c r="BB68" i="70"/>
  <c r="BB69" i="70"/>
  <c r="BB70" i="70"/>
  <c r="BB71" i="70"/>
  <c r="BB72" i="70"/>
  <c r="BB73" i="70"/>
  <c r="BB74" i="70"/>
  <c r="BB75" i="70"/>
  <c r="BB76" i="70"/>
  <c r="BB77" i="70"/>
  <c r="BB78" i="70"/>
  <c r="BB79" i="70"/>
  <c r="BB80" i="70"/>
  <c r="BB81" i="70"/>
  <c r="BB82" i="70"/>
  <c r="BB83" i="70"/>
  <c r="BB84" i="70"/>
  <c r="BB85" i="70"/>
  <c r="BB86" i="70"/>
  <c r="BB87" i="70"/>
  <c r="BB88" i="70"/>
  <c r="BB89" i="70"/>
  <c r="BB90" i="70"/>
  <c r="BB91" i="70"/>
  <c r="BB92" i="70"/>
  <c r="BB93" i="70"/>
  <c r="BB94" i="70"/>
  <c r="BB95" i="70"/>
  <c r="BB96" i="70"/>
  <c r="BB97" i="70"/>
  <c r="BB98" i="70"/>
  <c r="BB99" i="70"/>
  <c r="BB100" i="70"/>
  <c r="BB101" i="70"/>
  <c r="BB102" i="70"/>
  <c r="BB103" i="70"/>
  <c r="BB104" i="70"/>
  <c r="BB105" i="70"/>
  <c r="BB106" i="70"/>
  <c r="BB107" i="70"/>
  <c r="BB108" i="70"/>
  <c r="BB109" i="70"/>
  <c r="BB110" i="70"/>
  <c r="BB111" i="70"/>
  <c r="BB112" i="70"/>
  <c r="BB113" i="70"/>
  <c r="BB114" i="70"/>
  <c r="BB115" i="70"/>
  <c r="BB116" i="70"/>
  <c r="BB117" i="70"/>
  <c r="BB118" i="70"/>
  <c r="BB119" i="70"/>
  <c r="BB120" i="70"/>
  <c r="BB121" i="70"/>
  <c r="BB122" i="70"/>
  <c r="BB123" i="70"/>
  <c r="BB124" i="70"/>
  <c r="BB125" i="70"/>
  <c r="BB126" i="70"/>
  <c r="BB127" i="70"/>
  <c r="BB128" i="70"/>
  <c r="BB129" i="70"/>
  <c r="BB130" i="70"/>
  <c r="BB131" i="70"/>
  <c r="BB132" i="70"/>
  <c r="BB133" i="70"/>
  <c r="BB134" i="70"/>
  <c r="BB135" i="70"/>
  <c r="BB136" i="70"/>
  <c r="BB137" i="70"/>
  <c r="BB138" i="70"/>
  <c r="BB139" i="70"/>
  <c r="BB140" i="70"/>
  <c r="BB141" i="70"/>
  <c r="BB142" i="70"/>
  <c r="BB143" i="70"/>
  <c r="BB144" i="70"/>
  <c r="BB145" i="70"/>
  <c r="BB146" i="70"/>
  <c r="BB147" i="70"/>
  <c r="BB148" i="70"/>
  <c r="BB149" i="70"/>
  <c r="BB150" i="70"/>
  <c r="BB151" i="70"/>
  <c r="BB152" i="70"/>
  <c r="BB153" i="70"/>
  <c r="BB154" i="70"/>
  <c r="BB155" i="70"/>
  <c r="BB156" i="70"/>
  <c r="BB157" i="70"/>
  <c r="BB158" i="70"/>
  <c r="BB159" i="70"/>
  <c r="BB160" i="70"/>
  <c r="BB161" i="70"/>
  <c r="BB162" i="70"/>
  <c r="BB163" i="70"/>
  <c r="BB164" i="70"/>
  <c r="BB165" i="70"/>
  <c r="BB166" i="70"/>
  <c r="BB167" i="70"/>
  <c r="BB168" i="70"/>
  <c r="BB169" i="70"/>
  <c r="BB170" i="70"/>
  <c r="BB171" i="70"/>
  <c r="BB172" i="70"/>
  <c r="BB173" i="70"/>
  <c r="BB174" i="70"/>
  <c r="BB175" i="70"/>
  <c r="BB176" i="70"/>
  <c r="BB177" i="70"/>
  <c r="BB178" i="70"/>
  <c r="BB179" i="70"/>
  <c r="BB180" i="70"/>
  <c r="BB181" i="70"/>
  <c r="BB182" i="70"/>
  <c r="BB183" i="70"/>
  <c r="BB184" i="70"/>
  <c r="BB185" i="70"/>
  <c r="BB186" i="70"/>
  <c r="BB187" i="70"/>
  <c r="BB188" i="70"/>
  <c r="BB189" i="70"/>
  <c r="BB190" i="70"/>
  <c r="BB191" i="70"/>
  <c r="BB192" i="70"/>
  <c r="BB193" i="70"/>
  <c r="BB194" i="70"/>
  <c r="BB195" i="70"/>
  <c r="BB196" i="70"/>
  <c r="BB197" i="70"/>
  <c r="BB198" i="70"/>
  <c r="BB199" i="70"/>
  <c r="BB200" i="70"/>
  <c r="BB201" i="70"/>
  <c r="BB202" i="70"/>
  <c r="BB203" i="70"/>
  <c r="BB204" i="70"/>
  <c r="BB205" i="70"/>
  <c r="BB206" i="70"/>
  <c r="BB207" i="70"/>
  <c r="BB208" i="70"/>
  <c r="BB209" i="70"/>
  <c r="BB210" i="70"/>
  <c r="BB211" i="70"/>
  <c r="BB212" i="70"/>
  <c r="BB213" i="70"/>
  <c r="BB214" i="70"/>
  <c r="BB215" i="70"/>
  <c r="BB216" i="70"/>
  <c r="BB217" i="70"/>
  <c r="BB218" i="70"/>
  <c r="BB219" i="70"/>
  <c r="BB220" i="70"/>
  <c r="BB221" i="70"/>
  <c r="BB222" i="70"/>
  <c r="BB223" i="70"/>
  <c r="BB224" i="70"/>
  <c r="BB225" i="70"/>
  <c r="BB226" i="70"/>
  <c r="BB227" i="70"/>
  <c r="BB228" i="70"/>
  <c r="BB229" i="70"/>
  <c r="BB230" i="70"/>
  <c r="BB231" i="70"/>
  <c r="BB232" i="70"/>
  <c r="BB233" i="70"/>
  <c r="BB234" i="70"/>
  <c r="BB235" i="70"/>
  <c r="BB236" i="70"/>
  <c r="BB237" i="70"/>
  <c r="BB238" i="70"/>
  <c r="BB239" i="70"/>
  <c r="BB240" i="70"/>
  <c r="BB241" i="70"/>
  <c r="BB242" i="70"/>
  <c r="BB243" i="70"/>
  <c r="BB244" i="70"/>
  <c r="BB245" i="70"/>
  <c r="BB246" i="70"/>
  <c r="BB247" i="70"/>
  <c r="BB248" i="70"/>
  <c r="BB249" i="70"/>
  <c r="BB250" i="70"/>
  <c r="BB251" i="70"/>
  <c r="BB252" i="70"/>
  <c r="BB253" i="70"/>
  <c r="BB254" i="70"/>
  <c r="BB255" i="70"/>
  <c r="BB256" i="70"/>
  <c r="BB257" i="70"/>
  <c r="BB258" i="70"/>
  <c r="BB259" i="70"/>
  <c r="BB260" i="70"/>
  <c r="BB261" i="70"/>
  <c r="BB262" i="70"/>
  <c r="BB263" i="70"/>
  <c r="BB264" i="70"/>
  <c r="BB265" i="70"/>
  <c r="BB266" i="70"/>
  <c r="BB267" i="70"/>
  <c r="BB268" i="70"/>
  <c r="BB269" i="70"/>
  <c r="BB270" i="70"/>
  <c r="BB271" i="70"/>
  <c r="BB272" i="70"/>
  <c r="BB273" i="70"/>
  <c r="BB274" i="70"/>
  <c r="BB275" i="70"/>
  <c r="BB276" i="70"/>
  <c r="BB277" i="70"/>
  <c r="BB278" i="70"/>
  <c r="BB279" i="70"/>
  <c r="BB280" i="70"/>
  <c r="BB281" i="70"/>
  <c r="BB282" i="70"/>
  <c r="BB283" i="70"/>
  <c r="BB284" i="70"/>
  <c r="BB285" i="70"/>
  <c r="BB286" i="70"/>
  <c r="BB287" i="70"/>
  <c r="BB288" i="70"/>
  <c r="BB289" i="70"/>
  <c r="BB290" i="70"/>
  <c r="BB291" i="70"/>
  <c r="BB292" i="70"/>
  <c r="BB293" i="70"/>
  <c r="BB294" i="70"/>
  <c r="BB295" i="70"/>
  <c r="BB296" i="70"/>
  <c r="BB297" i="70"/>
  <c r="BB298" i="70"/>
  <c r="BB299" i="70"/>
  <c r="BB300" i="70"/>
  <c r="BB301" i="70"/>
  <c r="BB302" i="70"/>
  <c r="BB303" i="70"/>
  <c r="BB304" i="70"/>
  <c r="BB305" i="70"/>
  <c r="BB306" i="70"/>
  <c r="BB307" i="70"/>
  <c r="BB308" i="70"/>
  <c r="BB309" i="70"/>
  <c r="BB310" i="70"/>
  <c r="BB311" i="70"/>
  <c r="BB312" i="70"/>
  <c r="BB313" i="70"/>
  <c r="BB314" i="70"/>
  <c r="BB315" i="70"/>
  <c r="BB316" i="70"/>
  <c r="BB317" i="70"/>
  <c r="BB318" i="70"/>
  <c r="BB319" i="70"/>
  <c r="BB320" i="70"/>
  <c r="BB321" i="70"/>
  <c r="BB322" i="70"/>
  <c r="BB323" i="70"/>
  <c r="BB324" i="70"/>
  <c r="BB325" i="70"/>
  <c r="BB326" i="70"/>
  <c r="BB327" i="70"/>
  <c r="BB328" i="70"/>
  <c r="BB329" i="70"/>
  <c r="BB330" i="70"/>
  <c r="BB331" i="70"/>
  <c r="BB332" i="70"/>
  <c r="BB333" i="70"/>
  <c r="BB334" i="70"/>
  <c r="BB335" i="70"/>
  <c r="BB336" i="70"/>
  <c r="BB337" i="70"/>
  <c r="BB338" i="70"/>
  <c r="BB339" i="70"/>
  <c r="BB340" i="70"/>
  <c r="BB341" i="70"/>
  <c r="BB342" i="70"/>
  <c r="BB343" i="70"/>
  <c r="BB344" i="70"/>
  <c r="BB345" i="70"/>
  <c r="BB346" i="70"/>
  <c r="BB347" i="70"/>
  <c r="BB348" i="70"/>
  <c r="BB349" i="70"/>
  <c r="BB350" i="70"/>
  <c r="BB351" i="70"/>
  <c r="BB352" i="70"/>
  <c r="BB353" i="70"/>
  <c r="BB354" i="70"/>
  <c r="BB355" i="70"/>
  <c r="BB356" i="70"/>
  <c r="BB357" i="70"/>
  <c r="BB358" i="70"/>
  <c r="BB359" i="70"/>
  <c r="BB360" i="70"/>
  <c r="BB361" i="70"/>
  <c r="BB362" i="70"/>
  <c r="BB363" i="70"/>
  <c r="BB364" i="70"/>
  <c r="BB365" i="70"/>
  <c r="BB366" i="70"/>
  <c r="BB367" i="70"/>
  <c r="BB368" i="70"/>
  <c r="BB369" i="70"/>
  <c r="BB370" i="70"/>
  <c r="BB371" i="70"/>
  <c r="BB372" i="70"/>
  <c r="BB373" i="70"/>
  <c r="BB374" i="70"/>
  <c r="BB375" i="70"/>
  <c r="BB376" i="70"/>
  <c r="BB377" i="70"/>
  <c r="BB378" i="70"/>
  <c r="BB379" i="70"/>
  <c r="BB380" i="70"/>
  <c r="BB381" i="70"/>
  <c r="BB382" i="70"/>
  <c r="BB383" i="70"/>
  <c r="BB384" i="70"/>
  <c r="BB385" i="70"/>
  <c r="BB386" i="70"/>
  <c r="BB387" i="70"/>
  <c r="BB388" i="70"/>
  <c r="BB389" i="70"/>
  <c r="BB390" i="70"/>
  <c r="BB391" i="70"/>
  <c r="BB392" i="70"/>
  <c r="BB393" i="70"/>
  <c r="BB394" i="70"/>
  <c r="BB395" i="70"/>
  <c r="BB396" i="70"/>
  <c r="BB397" i="70"/>
  <c r="BB398" i="70"/>
  <c r="BB399" i="70"/>
  <c r="BB400" i="70"/>
  <c r="BB401" i="70"/>
  <c r="BB402" i="70"/>
  <c r="BB403" i="70"/>
  <c r="BB404" i="70"/>
  <c r="BB405" i="70"/>
  <c r="BB406" i="70"/>
  <c r="BB407" i="70"/>
  <c r="BB408" i="70"/>
  <c r="BB409" i="70"/>
  <c r="BB410" i="70"/>
  <c r="BB411" i="70"/>
  <c r="BB412" i="70"/>
  <c r="BB413" i="70"/>
  <c r="BB414" i="70"/>
  <c r="BB415" i="70"/>
  <c r="BB416" i="70"/>
  <c r="BB417" i="70"/>
  <c r="BB418" i="70"/>
  <c r="BB419" i="70"/>
  <c r="BB420" i="70"/>
  <c r="BB421" i="70"/>
  <c r="BB422" i="70"/>
  <c r="BB423" i="70"/>
  <c r="BB424" i="70"/>
  <c r="BB425" i="70"/>
  <c r="BB426" i="70"/>
  <c r="BB427" i="70"/>
  <c r="BB428" i="70"/>
  <c r="BB429" i="70"/>
  <c r="BB430" i="70"/>
  <c r="BB431" i="70"/>
  <c r="BB432" i="70"/>
  <c r="BB433" i="70"/>
  <c r="BB434" i="70"/>
  <c r="BB435" i="70"/>
  <c r="BB436" i="70"/>
  <c r="BB437" i="70"/>
  <c r="BB438" i="70"/>
  <c r="BB439" i="70"/>
  <c r="BB440" i="70"/>
  <c r="BB441" i="70"/>
  <c r="BB442" i="70"/>
  <c r="BB443" i="70"/>
  <c r="BB444" i="70"/>
  <c r="BB445" i="70"/>
  <c r="BB446" i="70"/>
  <c r="BB447" i="70"/>
  <c r="BB448" i="70"/>
  <c r="BB449" i="70"/>
  <c r="BB450" i="70"/>
  <c r="BB451" i="70"/>
  <c r="BB452" i="70"/>
  <c r="BB453" i="70"/>
  <c r="BB454" i="70"/>
  <c r="BB455" i="70"/>
  <c r="BB456" i="70"/>
  <c r="BB457" i="70"/>
  <c r="BB458" i="70"/>
  <c r="BB459" i="70"/>
  <c r="BB460" i="70"/>
  <c r="BB461" i="70"/>
  <c r="BB462" i="70"/>
  <c r="BB463" i="70"/>
  <c r="BB464" i="70"/>
  <c r="BB465" i="70"/>
  <c r="BB466" i="70"/>
  <c r="BB467" i="70"/>
  <c r="BB468" i="70"/>
  <c r="BB469" i="70"/>
  <c r="BB470" i="70"/>
  <c r="BB471" i="70"/>
  <c r="BB472" i="70"/>
  <c r="BB473" i="70"/>
  <c r="BB474" i="70"/>
  <c r="BB475" i="70"/>
  <c r="BB476" i="70"/>
  <c r="BB477" i="70"/>
  <c r="BB478" i="70"/>
  <c r="BB479" i="70"/>
  <c r="BB480" i="70"/>
  <c r="BB481" i="70"/>
  <c r="BB482" i="70"/>
  <c r="BB483" i="70"/>
  <c r="BB484" i="70"/>
  <c r="BB485" i="70"/>
  <c r="BB486" i="70"/>
  <c r="BB487" i="70"/>
  <c r="BB488" i="70"/>
  <c r="BB489" i="70"/>
  <c r="BB490" i="70"/>
  <c r="BB491" i="70"/>
  <c r="BB492" i="70"/>
  <c r="BB493" i="70"/>
  <c r="BB494" i="70"/>
  <c r="BB495" i="70"/>
  <c r="BB496" i="70"/>
  <c r="BB497" i="70"/>
  <c r="BB498" i="70"/>
  <c r="BB499" i="70"/>
  <c r="BB500" i="70"/>
  <c r="BB501" i="70"/>
  <c r="BB502" i="70"/>
  <c r="BB503" i="70"/>
  <c r="BB504" i="70"/>
  <c r="BB505" i="70"/>
  <c r="BB506" i="70"/>
  <c r="BB507" i="70"/>
  <c r="BB508" i="70"/>
  <c r="BB509" i="70"/>
  <c r="BB510" i="70"/>
  <c r="BB511" i="70"/>
  <c r="BB512" i="70"/>
  <c r="BB513" i="70"/>
  <c r="BB514" i="70"/>
  <c r="BB515" i="70"/>
  <c r="BB516" i="70"/>
  <c r="BB517" i="70"/>
  <c r="BB518" i="70"/>
  <c r="BB519" i="70"/>
  <c r="BB520" i="70"/>
  <c r="BB521" i="70"/>
  <c r="BB522" i="70"/>
  <c r="BB523" i="70"/>
  <c r="BB524" i="70"/>
  <c r="BB525" i="70"/>
  <c r="BD16" i="70"/>
  <c r="BD17" i="70"/>
  <c r="BD18" i="70"/>
  <c r="BD19" i="70"/>
  <c r="BD20" i="70"/>
  <c r="BD21" i="70"/>
  <c r="BD22" i="70"/>
  <c r="BD23" i="70"/>
  <c r="BD24" i="70"/>
  <c r="BD25" i="70"/>
  <c r="BD26" i="70"/>
  <c r="BD27" i="70"/>
  <c r="BD28" i="70"/>
  <c r="BD29" i="70"/>
  <c r="BD30" i="70"/>
  <c r="BD31" i="70"/>
  <c r="BD32" i="70"/>
  <c r="BD33" i="70"/>
  <c r="BD34" i="70"/>
  <c r="BD35" i="70"/>
  <c r="BD36" i="70"/>
  <c r="BD37" i="70"/>
  <c r="BD38" i="70"/>
  <c r="BD39" i="70"/>
  <c r="BD40" i="70"/>
  <c r="BD41" i="70"/>
  <c r="BD42" i="70"/>
  <c r="BD43" i="70"/>
  <c r="BD44" i="70"/>
  <c r="BD45" i="70"/>
  <c r="BD46" i="70"/>
  <c r="BD47" i="70"/>
  <c r="BD48" i="70"/>
  <c r="BD49" i="70"/>
  <c r="BD50" i="70"/>
  <c r="BD51" i="70"/>
  <c r="BD52" i="70"/>
  <c r="BD53" i="70"/>
  <c r="BD54" i="70"/>
  <c r="BD55" i="70"/>
  <c r="BD56" i="70"/>
  <c r="BD57" i="70"/>
  <c r="BD58" i="70"/>
  <c r="BD59" i="70"/>
  <c r="BD60" i="70"/>
  <c r="BD61" i="70"/>
  <c r="BD62" i="70"/>
  <c r="BD63" i="70"/>
  <c r="BD64" i="70"/>
  <c r="BD65" i="70"/>
  <c r="BD66" i="70"/>
  <c r="BD67" i="70"/>
  <c r="BD68" i="70"/>
  <c r="BD69" i="70"/>
  <c r="BD70" i="70"/>
  <c r="BD71" i="70"/>
  <c r="BD72" i="70"/>
  <c r="BD73" i="70"/>
  <c r="BD74" i="70"/>
  <c r="BD75" i="70"/>
  <c r="BD76" i="70"/>
  <c r="BD77" i="70"/>
  <c r="BD78" i="70"/>
  <c r="BD79" i="70"/>
  <c r="BD80" i="70"/>
  <c r="BD81" i="70"/>
  <c r="BD82" i="70"/>
  <c r="BD83" i="70"/>
  <c r="BD84" i="70"/>
  <c r="BD85" i="70"/>
  <c r="BD86" i="70"/>
  <c r="BD87" i="70"/>
  <c r="BD88" i="70"/>
  <c r="BD89" i="70"/>
  <c r="BD90" i="70"/>
  <c r="BD91" i="70"/>
  <c r="BD92" i="70"/>
  <c r="BD93" i="70"/>
  <c r="BD94" i="70"/>
  <c r="BD95" i="70"/>
  <c r="BD96" i="70"/>
  <c r="BD97" i="70"/>
  <c r="BD98" i="70"/>
  <c r="BD99" i="70"/>
  <c r="BD100" i="70"/>
  <c r="BD101" i="70"/>
  <c r="BD102" i="70"/>
  <c r="BD103" i="70"/>
  <c r="BD104" i="70"/>
  <c r="BD105" i="70"/>
  <c r="BD106" i="70"/>
  <c r="BD107" i="70"/>
  <c r="BD108" i="70"/>
  <c r="BD109" i="70"/>
  <c r="BD110" i="70"/>
  <c r="BD111" i="70"/>
  <c r="BD112" i="70"/>
  <c r="BD113" i="70"/>
  <c r="BD114" i="70"/>
  <c r="BD115" i="70"/>
  <c r="BD116" i="70"/>
  <c r="BD117" i="70"/>
  <c r="BD118" i="70"/>
  <c r="BD119" i="70"/>
  <c r="BD120" i="70"/>
  <c r="BD121" i="70"/>
  <c r="BD122" i="70"/>
  <c r="BD123" i="70"/>
  <c r="BD124" i="70"/>
  <c r="BD125" i="70"/>
  <c r="BD126" i="70"/>
  <c r="BD127" i="70"/>
  <c r="BD128" i="70"/>
  <c r="BD129" i="70"/>
  <c r="BD130" i="70"/>
  <c r="BD131" i="70"/>
  <c r="BD132" i="70"/>
  <c r="BD133" i="70"/>
  <c r="BD134" i="70"/>
  <c r="BD135" i="70"/>
  <c r="BD136" i="70"/>
  <c r="BD137" i="70"/>
  <c r="BD138" i="70"/>
  <c r="BD139" i="70"/>
  <c r="BD140" i="70"/>
  <c r="BD141" i="70"/>
  <c r="BD142" i="70"/>
  <c r="BD143" i="70"/>
  <c r="BD144" i="70"/>
  <c r="BD145" i="70"/>
  <c r="BD146" i="70"/>
  <c r="BD147" i="70"/>
  <c r="BD148" i="70"/>
  <c r="BD149" i="70"/>
  <c r="BD150" i="70"/>
  <c r="BD151" i="70"/>
  <c r="BD152" i="70"/>
  <c r="BD153" i="70"/>
  <c r="BD154" i="70"/>
  <c r="BD155" i="70"/>
  <c r="BD156" i="70"/>
  <c r="BD157" i="70"/>
  <c r="BD158" i="70"/>
  <c r="BD159" i="70"/>
  <c r="BD160" i="70"/>
  <c r="BD161" i="70"/>
  <c r="BD162" i="70"/>
  <c r="BD163" i="70"/>
  <c r="BD164" i="70"/>
  <c r="BD165" i="70"/>
  <c r="BD166" i="70"/>
  <c r="BD167" i="70"/>
  <c r="BD168" i="70"/>
  <c r="BD169" i="70"/>
  <c r="BD170" i="70"/>
  <c r="BD171" i="70"/>
  <c r="BD172" i="70"/>
  <c r="BD173" i="70"/>
  <c r="BD174" i="70"/>
  <c r="BD175" i="70"/>
  <c r="BD176" i="70"/>
  <c r="BD177" i="70"/>
  <c r="BD178" i="70"/>
  <c r="BD179" i="70"/>
  <c r="BD180" i="70"/>
  <c r="BD181" i="70"/>
  <c r="BD182" i="70"/>
  <c r="BD183" i="70"/>
  <c r="BD184" i="70"/>
  <c r="BD185" i="70"/>
  <c r="BD186" i="70"/>
  <c r="BD187" i="70"/>
  <c r="BD188" i="70"/>
  <c r="BD189" i="70"/>
  <c r="BD190" i="70"/>
  <c r="BD191" i="70"/>
  <c r="BD192" i="70"/>
  <c r="BD193" i="70"/>
  <c r="BD194" i="70"/>
  <c r="BD195" i="70"/>
  <c r="BD196" i="70"/>
  <c r="BD197" i="70"/>
  <c r="BD198" i="70"/>
  <c r="BD199" i="70"/>
  <c r="BD200" i="70"/>
  <c r="BD201" i="70"/>
  <c r="BD202" i="70"/>
  <c r="BD203" i="70"/>
  <c r="BD204" i="70"/>
  <c r="BD205" i="70"/>
  <c r="BD206" i="70"/>
  <c r="BD207" i="70"/>
  <c r="BD208" i="70"/>
  <c r="BD209" i="70"/>
  <c r="BD210" i="70"/>
  <c r="BD211" i="70"/>
  <c r="BD212" i="70"/>
  <c r="BD213" i="70"/>
  <c r="BD214" i="70"/>
  <c r="BD215" i="70"/>
  <c r="BD216" i="70"/>
  <c r="BD217" i="70"/>
  <c r="BD218" i="70"/>
  <c r="BD219" i="70"/>
  <c r="BD220" i="70"/>
  <c r="BD221" i="70"/>
  <c r="BD222" i="70"/>
  <c r="BD223" i="70"/>
  <c r="BD224" i="70"/>
  <c r="BD225" i="70"/>
  <c r="BD226" i="70"/>
  <c r="BD227" i="70"/>
  <c r="BD228" i="70"/>
  <c r="BD229" i="70"/>
  <c r="BD230" i="70"/>
  <c r="BD231" i="70"/>
  <c r="BD232" i="70"/>
  <c r="BD233" i="70"/>
  <c r="BD234" i="70"/>
  <c r="BD235" i="70"/>
  <c r="BD236" i="70"/>
  <c r="BD237" i="70"/>
  <c r="BD238" i="70"/>
  <c r="BD239" i="70"/>
  <c r="BD240" i="70"/>
  <c r="BD241" i="70"/>
  <c r="BD242" i="70"/>
  <c r="BD243" i="70"/>
  <c r="BD244" i="70"/>
  <c r="BD245" i="70"/>
  <c r="BD246" i="70"/>
  <c r="BD247" i="70"/>
  <c r="BD248" i="70"/>
  <c r="BD249" i="70"/>
  <c r="BD250" i="70"/>
  <c r="BD251" i="70"/>
  <c r="BD252" i="70"/>
  <c r="BD253" i="70"/>
  <c r="BD254" i="70"/>
  <c r="BD255" i="70"/>
  <c r="BD256" i="70"/>
  <c r="BD257" i="70"/>
  <c r="BD258" i="70"/>
  <c r="BD259" i="70"/>
  <c r="BD260" i="70"/>
  <c r="BD261" i="70"/>
  <c r="BD262" i="70"/>
  <c r="BD263" i="70"/>
  <c r="BD264" i="70"/>
  <c r="BD265" i="70"/>
  <c r="BD266" i="70"/>
  <c r="BD267" i="70"/>
  <c r="BD268" i="70"/>
  <c r="BD269" i="70"/>
  <c r="BD270" i="70"/>
  <c r="BD271" i="70"/>
  <c r="BD272" i="70"/>
  <c r="BD273" i="70"/>
  <c r="BD274" i="70"/>
  <c r="BD275" i="70"/>
  <c r="BD276" i="70"/>
  <c r="BD277" i="70"/>
  <c r="BD278" i="70"/>
  <c r="BD279" i="70"/>
  <c r="BD280" i="70"/>
  <c r="BD281" i="70"/>
  <c r="BD282" i="70"/>
  <c r="BD283" i="70"/>
  <c r="BD284" i="70"/>
  <c r="BD285" i="70"/>
  <c r="BD286" i="70"/>
  <c r="BD287" i="70"/>
  <c r="BD288" i="70"/>
  <c r="BD289" i="70"/>
  <c r="BD290" i="70"/>
  <c r="BD291" i="70"/>
  <c r="BD292" i="70"/>
  <c r="BD293" i="70"/>
  <c r="BD294" i="70"/>
  <c r="BD295" i="70"/>
  <c r="BD296" i="70"/>
  <c r="BD297" i="70"/>
  <c r="BD298" i="70"/>
  <c r="BD299" i="70"/>
  <c r="BD300" i="70"/>
  <c r="BD301" i="70"/>
  <c r="BD302" i="70"/>
  <c r="BD303" i="70"/>
  <c r="BD304" i="70"/>
  <c r="BD305" i="70"/>
  <c r="BD306" i="70"/>
  <c r="BD307" i="70"/>
  <c r="BD308" i="70"/>
  <c r="BD309" i="70"/>
  <c r="BD310" i="70"/>
  <c r="BD311" i="70"/>
  <c r="BD312" i="70"/>
  <c r="BD313" i="70"/>
  <c r="BD314" i="70"/>
  <c r="BD315" i="70"/>
  <c r="BD316" i="70"/>
  <c r="BD317" i="70"/>
  <c r="BD318" i="70"/>
  <c r="BD319" i="70"/>
  <c r="BD320" i="70"/>
  <c r="BD321" i="70"/>
  <c r="BD322" i="70"/>
  <c r="BD323" i="70"/>
  <c r="BD324" i="70"/>
  <c r="BD325" i="70"/>
  <c r="BD326" i="70"/>
  <c r="BD327" i="70"/>
  <c r="BD328" i="70"/>
  <c r="BD329" i="70"/>
  <c r="BD330" i="70"/>
  <c r="BD331" i="70"/>
  <c r="BD332" i="70"/>
  <c r="BD333" i="70"/>
  <c r="BD334" i="70"/>
  <c r="BD335" i="70"/>
  <c r="BD336" i="70"/>
  <c r="BD337" i="70"/>
  <c r="BD338" i="70"/>
  <c r="BD339" i="70"/>
  <c r="BD340" i="70"/>
  <c r="BD341" i="70"/>
  <c r="BD342" i="70"/>
  <c r="BD343" i="70"/>
  <c r="BD344" i="70"/>
  <c r="BD345" i="70"/>
  <c r="BD346" i="70"/>
  <c r="BD347" i="70"/>
  <c r="BD348" i="70"/>
  <c r="BD349" i="70"/>
  <c r="BD350" i="70"/>
  <c r="BD351" i="70"/>
  <c r="BD352" i="70"/>
  <c r="BD353" i="70"/>
  <c r="BD354" i="70"/>
  <c r="BD355" i="70"/>
  <c r="BD356" i="70"/>
  <c r="BD357" i="70"/>
  <c r="BD358" i="70"/>
  <c r="BD359" i="70"/>
  <c r="BD360" i="70"/>
  <c r="BD361" i="70"/>
  <c r="BD362" i="70"/>
  <c r="BD363" i="70"/>
  <c r="BD364" i="70"/>
  <c r="BD365" i="70"/>
  <c r="BD366" i="70"/>
  <c r="BD367" i="70"/>
  <c r="BD368" i="70"/>
  <c r="BD369" i="70"/>
  <c r="BD370" i="70"/>
  <c r="BD371" i="70"/>
  <c r="BD372" i="70"/>
  <c r="BD373" i="70"/>
  <c r="BD374" i="70"/>
  <c r="BD375" i="70"/>
  <c r="BD376" i="70"/>
  <c r="BD377" i="70"/>
  <c r="BD378" i="70"/>
  <c r="BD379" i="70"/>
  <c r="BD380" i="70"/>
  <c r="BD381" i="70"/>
  <c r="BD382" i="70"/>
  <c r="BD383" i="70"/>
  <c r="BD384" i="70"/>
  <c r="BD385" i="70"/>
  <c r="BD386" i="70"/>
  <c r="BD387" i="70"/>
  <c r="BD388" i="70"/>
  <c r="BD389" i="70"/>
  <c r="BD390" i="70"/>
  <c r="BD391" i="70"/>
  <c r="BD392" i="70"/>
  <c r="BD393" i="70"/>
  <c r="BD394" i="70"/>
  <c r="BD395" i="70"/>
  <c r="BD396" i="70"/>
  <c r="BD397" i="70"/>
  <c r="BD398" i="70"/>
  <c r="BD399" i="70"/>
  <c r="BD400" i="70"/>
  <c r="BD401" i="70"/>
  <c r="BD402" i="70"/>
  <c r="BD403" i="70"/>
  <c r="BD404" i="70"/>
  <c r="BD405" i="70"/>
  <c r="BD406" i="70"/>
  <c r="BD407" i="70"/>
  <c r="BD408" i="70"/>
  <c r="BD409" i="70"/>
  <c r="BD410" i="70"/>
  <c r="BD411" i="70"/>
  <c r="BD412" i="70"/>
  <c r="BD413" i="70"/>
  <c r="BD414" i="70"/>
  <c r="BD415" i="70"/>
  <c r="BD416" i="70"/>
  <c r="BD417" i="70"/>
  <c r="BD418" i="70"/>
  <c r="BD419" i="70"/>
  <c r="BD420" i="70"/>
  <c r="BD421" i="70"/>
  <c r="BD422" i="70"/>
  <c r="BD423" i="70"/>
  <c r="BD424" i="70"/>
  <c r="BD425" i="70"/>
  <c r="BD426" i="70"/>
  <c r="BD427" i="70"/>
  <c r="BD428" i="70"/>
  <c r="BD429" i="70"/>
  <c r="BD430" i="70"/>
  <c r="BD431" i="70"/>
  <c r="BD432" i="70"/>
  <c r="BD433" i="70"/>
  <c r="BD434" i="70"/>
  <c r="BD435" i="70"/>
  <c r="BD436" i="70"/>
  <c r="BD437" i="70"/>
  <c r="BD438" i="70"/>
  <c r="BD439" i="70"/>
  <c r="BD440" i="70"/>
  <c r="BD441" i="70"/>
  <c r="BD442" i="70"/>
  <c r="BD443" i="70"/>
  <c r="BD444" i="70"/>
  <c r="BD445" i="70"/>
  <c r="BD446" i="70"/>
  <c r="BD447" i="70"/>
  <c r="BD448" i="70"/>
  <c r="BD449" i="70"/>
  <c r="BD450" i="70"/>
  <c r="BD451" i="70"/>
  <c r="BD452" i="70"/>
  <c r="BD453" i="70"/>
  <c r="BD454" i="70"/>
  <c r="BD455" i="70"/>
  <c r="BD456" i="70"/>
  <c r="BD457" i="70"/>
  <c r="BD458" i="70"/>
  <c r="BD459" i="70"/>
  <c r="BD460" i="70"/>
  <c r="BD461" i="70"/>
  <c r="BD462" i="70"/>
  <c r="BD463" i="70"/>
  <c r="BD464" i="70"/>
  <c r="BD465" i="70"/>
  <c r="BD466" i="70"/>
  <c r="BD467" i="70"/>
  <c r="BD468" i="70"/>
  <c r="BD469" i="70"/>
  <c r="BD470" i="70"/>
  <c r="BD471" i="70"/>
  <c r="BD472" i="70"/>
  <c r="BD473" i="70"/>
  <c r="BD474" i="70"/>
  <c r="BD475" i="70"/>
  <c r="BD476" i="70"/>
  <c r="BD477" i="70"/>
  <c r="BD478" i="70"/>
  <c r="BD479" i="70"/>
  <c r="BD480" i="70"/>
  <c r="BD481" i="70"/>
  <c r="BD482" i="70"/>
  <c r="BD483" i="70"/>
  <c r="BD484" i="70"/>
  <c r="BD485" i="70"/>
  <c r="BD486" i="70"/>
  <c r="BD487" i="70"/>
  <c r="BD488" i="70"/>
  <c r="BD489" i="70"/>
  <c r="BD490" i="70"/>
  <c r="BD491" i="70"/>
  <c r="BD492" i="70"/>
  <c r="BD493" i="70"/>
  <c r="BD494" i="70"/>
  <c r="BD495" i="70"/>
  <c r="BD496" i="70"/>
  <c r="BD497" i="70"/>
  <c r="BD498" i="70"/>
  <c r="BD499" i="70"/>
  <c r="BD500" i="70"/>
  <c r="BD501" i="70"/>
  <c r="BD502" i="70"/>
  <c r="BD503" i="70"/>
  <c r="BD504" i="70"/>
  <c r="BD505" i="70"/>
  <c r="BD506" i="70"/>
  <c r="BD507" i="70"/>
  <c r="BD508" i="70"/>
  <c r="BD509" i="70"/>
  <c r="BD510" i="70"/>
  <c r="BD511" i="70"/>
  <c r="BD512" i="70"/>
  <c r="BD513" i="70"/>
  <c r="BD514" i="70"/>
  <c r="BD515" i="70"/>
  <c r="BD516" i="70"/>
  <c r="BD517" i="70"/>
  <c r="BD518" i="70"/>
  <c r="BD519" i="70"/>
  <c r="BD520" i="70"/>
  <c r="BD521" i="70"/>
  <c r="BD522" i="70"/>
  <c r="BD523" i="70"/>
  <c r="BD524" i="70"/>
  <c r="BD525" i="70"/>
  <c r="BE16" i="70"/>
  <c r="BE17" i="70"/>
  <c r="BE18" i="70"/>
  <c r="BF18" i="70" s="1"/>
  <c r="BG18" i="70" s="1"/>
  <c r="BH18" i="70" s="1"/>
  <c r="BI18" i="70" s="1"/>
  <c r="BE19" i="70"/>
  <c r="BF19" i="70" s="1"/>
  <c r="BG19" i="70" s="1"/>
  <c r="BH19" i="70" s="1"/>
  <c r="BI19" i="70" s="1"/>
  <c r="BE20" i="70"/>
  <c r="BF20" i="70" s="1"/>
  <c r="BG20" i="70" s="1"/>
  <c r="BH20" i="70" s="1"/>
  <c r="BI20" i="70" s="1"/>
  <c r="BE21" i="70"/>
  <c r="BF21" i="70" s="1"/>
  <c r="BG21" i="70" s="1"/>
  <c r="BH21" i="70" s="1"/>
  <c r="BI21" i="70" s="1"/>
  <c r="BE22" i="70"/>
  <c r="BF22" i="70" s="1"/>
  <c r="BG22" i="70" s="1"/>
  <c r="BH22" i="70" s="1"/>
  <c r="BI22" i="70" s="1"/>
  <c r="BE23" i="70"/>
  <c r="BF23" i="70" s="1"/>
  <c r="BE24" i="70"/>
  <c r="BE25" i="70"/>
  <c r="BE26" i="70"/>
  <c r="BE27" i="70"/>
  <c r="BE28" i="70"/>
  <c r="BF28" i="70" s="1"/>
  <c r="BG28" i="70" s="1"/>
  <c r="BH28" i="70" s="1"/>
  <c r="BI28" i="70" s="1"/>
  <c r="BE29" i="70"/>
  <c r="BF29" i="70" s="1"/>
  <c r="BG29" i="70" s="1"/>
  <c r="BH29" i="70" s="1"/>
  <c r="BI29" i="70" s="1"/>
  <c r="BE30" i="70"/>
  <c r="BF30" i="70" s="1"/>
  <c r="BG30" i="70" s="1"/>
  <c r="BH30" i="70" s="1"/>
  <c r="BI30" i="70" s="1"/>
  <c r="BE31" i="70"/>
  <c r="BF31" i="70" s="1"/>
  <c r="BE32" i="70"/>
  <c r="BE33" i="70"/>
  <c r="BE34" i="70"/>
  <c r="BE35" i="70"/>
  <c r="BF35" i="70" s="1"/>
  <c r="BG35" i="70" s="1"/>
  <c r="BH35" i="70" s="1"/>
  <c r="BI35" i="70" s="1"/>
  <c r="BE36" i="70"/>
  <c r="BF36" i="70" s="1"/>
  <c r="BG36" i="70" s="1"/>
  <c r="BH36" i="70" s="1"/>
  <c r="BE37" i="70"/>
  <c r="BF37" i="70" s="1"/>
  <c r="BG37" i="70" s="1"/>
  <c r="BH37" i="70" s="1"/>
  <c r="BI37" i="70" s="1"/>
  <c r="BE38" i="70"/>
  <c r="BF38" i="70" s="1"/>
  <c r="BG38" i="70" s="1"/>
  <c r="BH38" i="70" s="1"/>
  <c r="BI38" i="70" s="1"/>
  <c r="BE39" i="70"/>
  <c r="BF39" i="70" s="1"/>
  <c r="BE40" i="70"/>
  <c r="BE41" i="70"/>
  <c r="BF41" i="70" s="1"/>
  <c r="BE42" i="70"/>
  <c r="BF42" i="70" s="1"/>
  <c r="BG42" i="70" s="1"/>
  <c r="BH42" i="70" s="1"/>
  <c r="BI42" i="70" s="1"/>
  <c r="BE43" i="70"/>
  <c r="BF43" i="70" s="1"/>
  <c r="BG43" i="70" s="1"/>
  <c r="BH43" i="70" s="1"/>
  <c r="BI43" i="70" s="1"/>
  <c r="BE44" i="70"/>
  <c r="BF44" i="70" s="1"/>
  <c r="BG44" i="70" s="1"/>
  <c r="BH44" i="70" s="1"/>
  <c r="BE45" i="70"/>
  <c r="BF45" i="70" s="1"/>
  <c r="BG45" i="70" s="1"/>
  <c r="BH45" i="70" s="1"/>
  <c r="BI45" i="70" s="1"/>
  <c r="BE46" i="70"/>
  <c r="BF46" i="70" s="1"/>
  <c r="BG46" i="70" s="1"/>
  <c r="BH46" i="70" s="1"/>
  <c r="BI46" i="70" s="1"/>
  <c r="BE47" i="70"/>
  <c r="BF47" i="70" s="1"/>
  <c r="BE48" i="70"/>
  <c r="BE49" i="70"/>
  <c r="BE50" i="70"/>
  <c r="BE51" i="70"/>
  <c r="BF51" i="70" s="1"/>
  <c r="BG51" i="70" s="1"/>
  <c r="BH51" i="70" s="1"/>
  <c r="BI51" i="70" s="1"/>
  <c r="BE52" i="70"/>
  <c r="BF52" i="70" s="1"/>
  <c r="BG52" i="70" s="1"/>
  <c r="BH52" i="70" s="1"/>
  <c r="BE53" i="70"/>
  <c r="BF53" i="70" s="1"/>
  <c r="BG53" i="70" s="1"/>
  <c r="BH53" i="70" s="1"/>
  <c r="BI53" i="70" s="1"/>
  <c r="BE54" i="70"/>
  <c r="BF54" i="70" s="1"/>
  <c r="BG54" i="70" s="1"/>
  <c r="BH54" i="70" s="1"/>
  <c r="BI54" i="70" s="1"/>
  <c r="BE55" i="70"/>
  <c r="BF55" i="70" s="1"/>
  <c r="BE56" i="70"/>
  <c r="BE57" i="70"/>
  <c r="BE58" i="70"/>
  <c r="BE59" i="70"/>
  <c r="BF59" i="70" s="1"/>
  <c r="BG59" i="70" s="1"/>
  <c r="BH59" i="70" s="1"/>
  <c r="BI59" i="70" s="1"/>
  <c r="BE60" i="70"/>
  <c r="BF60" i="70" s="1"/>
  <c r="BG60" i="70" s="1"/>
  <c r="BH60" i="70" s="1"/>
  <c r="BI60" i="70" s="1"/>
  <c r="BE61" i="70"/>
  <c r="BF61" i="70" s="1"/>
  <c r="BG61" i="70" s="1"/>
  <c r="BH61" i="70" s="1"/>
  <c r="BI61" i="70" s="1"/>
  <c r="BE62" i="70"/>
  <c r="BF62" i="70" s="1"/>
  <c r="BG62" i="70" s="1"/>
  <c r="BH62" i="70" s="1"/>
  <c r="BI62" i="70" s="1"/>
  <c r="BE63" i="70"/>
  <c r="BF63" i="70" s="1"/>
  <c r="BE64" i="70"/>
  <c r="BE65" i="70"/>
  <c r="BE66" i="70"/>
  <c r="BF66" i="70" s="1"/>
  <c r="BG66" i="70" s="1"/>
  <c r="BH66" i="70" s="1"/>
  <c r="BI66" i="70" s="1"/>
  <c r="BE67" i="70"/>
  <c r="BF67" i="70" s="1"/>
  <c r="BG67" i="70" s="1"/>
  <c r="BH67" i="70" s="1"/>
  <c r="BI67" i="70" s="1"/>
  <c r="BE68" i="70"/>
  <c r="BF68" i="70" s="1"/>
  <c r="BG68" i="70" s="1"/>
  <c r="BH68" i="70" s="1"/>
  <c r="BI68" i="70" s="1"/>
  <c r="BE69" i="70"/>
  <c r="BF69" i="70" s="1"/>
  <c r="BG69" i="70" s="1"/>
  <c r="BH69" i="70" s="1"/>
  <c r="BI69" i="70" s="1"/>
  <c r="BE70" i="70"/>
  <c r="BF70" i="70" s="1"/>
  <c r="BG70" i="70" s="1"/>
  <c r="BH70" i="70" s="1"/>
  <c r="BI70" i="70" s="1"/>
  <c r="BE71" i="70"/>
  <c r="BF71" i="70" s="1"/>
  <c r="BE72" i="70"/>
  <c r="BE73" i="70"/>
  <c r="BE74" i="70"/>
  <c r="BE75" i="70"/>
  <c r="BF75" i="70" s="1"/>
  <c r="BG75" i="70" s="1"/>
  <c r="BH75" i="70" s="1"/>
  <c r="BI75" i="70" s="1"/>
  <c r="BE76" i="70"/>
  <c r="BF76" i="70" s="1"/>
  <c r="BG76" i="70" s="1"/>
  <c r="BH76" i="70" s="1"/>
  <c r="BE77" i="70"/>
  <c r="BF77" i="70" s="1"/>
  <c r="BG77" i="70" s="1"/>
  <c r="BH77" i="70" s="1"/>
  <c r="BI77" i="70" s="1"/>
  <c r="BE78" i="70"/>
  <c r="BF78" i="70" s="1"/>
  <c r="BG78" i="70" s="1"/>
  <c r="BH78" i="70" s="1"/>
  <c r="BI78" i="70" s="1"/>
  <c r="BE79" i="70"/>
  <c r="BF79" i="70" s="1"/>
  <c r="BE80" i="70"/>
  <c r="BE81" i="70"/>
  <c r="BE82" i="70"/>
  <c r="BF82" i="70" s="1"/>
  <c r="BG82" i="70" s="1"/>
  <c r="BH82" i="70" s="1"/>
  <c r="BI82" i="70" s="1"/>
  <c r="BE83" i="70"/>
  <c r="BF83" i="70" s="1"/>
  <c r="BG83" i="70" s="1"/>
  <c r="BH83" i="70" s="1"/>
  <c r="BI83" i="70" s="1"/>
  <c r="BE84" i="70"/>
  <c r="BF84" i="70" s="1"/>
  <c r="BG84" i="70" s="1"/>
  <c r="BH84" i="70" s="1"/>
  <c r="BE85" i="70"/>
  <c r="BF85" i="70" s="1"/>
  <c r="BG85" i="70" s="1"/>
  <c r="BH85" i="70" s="1"/>
  <c r="BI85" i="70" s="1"/>
  <c r="BE86" i="70"/>
  <c r="BF86" i="70" s="1"/>
  <c r="BG86" i="70" s="1"/>
  <c r="BH86" i="70" s="1"/>
  <c r="BI86" i="70" s="1"/>
  <c r="BE87" i="70"/>
  <c r="BF87" i="70" s="1"/>
  <c r="BE88" i="70"/>
  <c r="BE89" i="70"/>
  <c r="BE90" i="70"/>
  <c r="BF90" i="70" s="1"/>
  <c r="BG90" i="70" s="1"/>
  <c r="BH90" i="70" s="1"/>
  <c r="BI90" i="70" s="1"/>
  <c r="BE91" i="70"/>
  <c r="BF91" i="70" s="1"/>
  <c r="BG91" i="70" s="1"/>
  <c r="BH91" i="70" s="1"/>
  <c r="BI91" i="70" s="1"/>
  <c r="BE92" i="70"/>
  <c r="BF92" i="70" s="1"/>
  <c r="BG92" i="70" s="1"/>
  <c r="BH92" i="70" s="1"/>
  <c r="BE93" i="70"/>
  <c r="BF93" i="70" s="1"/>
  <c r="BG93" i="70" s="1"/>
  <c r="BH93" i="70" s="1"/>
  <c r="BI93" i="70" s="1"/>
  <c r="BE94" i="70"/>
  <c r="BF94" i="70" s="1"/>
  <c r="BG94" i="70" s="1"/>
  <c r="BH94" i="70" s="1"/>
  <c r="BI94" i="70" s="1"/>
  <c r="BE95" i="70"/>
  <c r="BF95" i="70" s="1"/>
  <c r="BE96" i="70"/>
  <c r="BE97" i="70"/>
  <c r="BF97" i="70" s="1"/>
  <c r="BG97" i="70" s="1"/>
  <c r="BH97" i="70" s="1"/>
  <c r="BE98" i="70"/>
  <c r="BF98" i="70" s="1"/>
  <c r="BG98" i="70" s="1"/>
  <c r="BH98" i="70" s="1"/>
  <c r="BI98" i="70" s="1"/>
  <c r="BE99" i="70"/>
  <c r="BF99" i="70" s="1"/>
  <c r="BG99" i="70" s="1"/>
  <c r="BH99" i="70" s="1"/>
  <c r="BI99" i="70" s="1"/>
  <c r="BE100" i="70"/>
  <c r="BF100" i="70" s="1"/>
  <c r="BG100" i="70" s="1"/>
  <c r="BH100" i="70" s="1"/>
  <c r="BE101" i="70"/>
  <c r="BF101" i="70" s="1"/>
  <c r="BG101" i="70" s="1"/>
  <c r="BH101" i="70" s="1"/>
  <c r="BI101" i="70" s="1"/>
  <c r="BE102" i="70"/>
  <c r="BF102" i="70" s="1"/>
  <c r="BG102" i="70" s="1"/>
  <c r="BH102" i="70" s="1"/>
  <c r="BI102" i="70" s="1"/>
  <c r="BE103" i="70"/>
  <c r="BF103" i="70" s="1"/>
  <c r="BE104" i="70"/>
  <c r="BE105" i="70"/>
  <c r="BF105" i="70" s="1"/>
  <c r="BG105" i="70" s="1"/>
  <c r="BH105" i="70" s="1"/>
  <c r="BE106" i="70"/>
  <c r="BF106" i="70" s="1"/>
  <c r="BG106" i="70" s="1"/>
  <c r="BH106" i="70" s="1"/>
  <c r="BI106" i="70" s="1"/>
  <c r="BE107" i="70"/>
  <c r="BF107" i="70" s="1"/>
  <c r="BG107" i="70" s="1"/>
  <c r="BH107" i="70" s="1"/>
  <c r="BI107" i="70" s="1"/>
  <c r="BE108" i="70"/>
  <c r="BF108" i="70" s="1"/>
  <c r="BG108" i="70" s="1"/>
  <c r="BH108" i="70" s="1"/>
  <c r="BI108" i="70" s="1"/>
  <c r="BE109" i="70"/>
  <c r="BF109" i="70" s="1"/>
  <c r="BG109" i="70" s="1"/>
  <c r="BH109" i="70" s="1"/>
  <c r="BI109" i="70" s="1"/>
  <c r="BE110" i="70"/>
  <c r="BF110" i="70" s="1"/>
  <c r="BG110" i="70" s="1"/>
  <c r="BH110" i="70" s="1"/>
  <c r="BI110" i="70" s="1"/>
  <c r="BE111" i="70"/>
  <c r="BF111" i="70" s="1"/>
  <c r="BE112" i="70"/>
  <c r="BE113" i="70"/>
  <c r="BE114" i="70"/>
  <c r="BF114" i="70" s="1"/>
  <c r="BG114" i="70" s="1"/>
  <c r="BH114" i="70" s="1"/>
  <c r="BI114" i="70" s="1"/>
  <c r="BE115" i="70"/>
  <c r="BF115" i="70" s="1"/>
  <c r="BG115" i="70" s="1"/>
  <c r="BH115" i="70" s="1"/>
  <c r="BI115" i="70" s="1"/>
  <c r="BE116" i="70"/>
  <c r="BF116" i="70" s="1"/>
  <c r="BG116" i="70" s="1"/>
  <c r="BH116" i="70" s="1"/>
  <c r="BE117" i="70"/>
  <c r="BF117" i="70" s="1"/>
  <c r="BG117" i="70" s="1"/>
  <c r="BH117" i="70" s="1"/>
  <c r="BI117" i="70" s="1"/>
  <c r="BE118" i="70"/>
  <c r="BF118" i="70" s="1"/>
  <c r="BG118" i="70" s="1"/>
  <c r="BH118" i="70" s="1"/>
  <c r="BI118" i="70" s="1"/>
  <c r="BE119" i="70"/>
  <c r="BF119" i="70" s="1"/>
  <c r="BE120" i="70"/>
  <c r="BE121" i="70"/>
  <c r="BE122" i="70"/>
  <c r="BF122" i="70" s="1"/>
  <c r="BG122" i="70" s="1"/>
  <c r="BH122" i="70" s="1"/>
  <c r="BI122" i="70" s="1"/>
  <c r="BE123" i="70"/>
  <c r="BF123" i="70" s="1"/>
  <c r="BG123" i="70" s="1"/>
  <c r="BH123" i="70" s="1"/>
  <c r="BI123" i="70" s="1"/>
  <c r="BE124" i="70"/>
  <c r="BF124" i="70" s="1"/>
  <c r="BG124" i="70" s="1"/>
  <c r="BH124" i="70" s="1"/>
  <c r="BE125" i="70"/>
  <c r="BF125" i="70" s="1"/>
  <c r="BG125" i="70" s="1"/>
  <c r="BH125" i="70" s="1"/>
  <c r="BI125" i="70" s="1"/>
  <c r="BE126" i="70"/>
  <c r="BF126" i="70" s="1"/>
  <c r="BG126" i="70" s="1"/>
  <c r="BH126" i="70" s="1"/>
  <c r="BI126" i="70" s="1"/>
  <c r="BE127" i="70"/>
  <c r="BF127" i="70" s="1"/>
  <c r="BE128" i="70"/>
  <c r="BE129" i="70"/>
  <c r="BE130" i="70"/>
  <c r="BF130" i="70" s="1"/>
  <c r="BG130" i="70" s="1"/>
  <c r="BH130" i="70" s="1"/>
  <c r="BI130" i="70" s="1"/>
  <c r="BE131" i="70"/>
  <c r="BF131" i="70" s="1"/>
  <c r="BG131" i="70" s="1"/>
  <c r="BH131" i="70" s="1"/>
  <c r="BI131" i="70" s="1"/>
  <c r="BE132" i="70"/>
  <c r="BF132" i="70" s="1"/>
  <c r="BG132" i="70" s="1"/>
  <c r="BH132" i="70" s="1"/>
  <c r="BE133" i="70"/>
  <c r="BF133" i="70" s="1"/>
  <c r="BG133" i="70" s="1"/>
  <c r="BH133" i="70" s="1"/>
  <c r="BI133" i="70" s="1"/>
  <c r="BE134" i="70"/>
  <c r="BF134" i="70" s="1"/>
  <c r="BG134" i="70" s="1"/>
  <c r="BH134" i="70" s="1"/>
  <c r="BI134" i="70" s="1"/>
  <c r="BE135" i="70"/>
  <c r="BF135" i="70" s="1"/>
  <c r="BE136" i="70"/>
  <c r="BE137" i="70"/>
  <c r="BF137" i="70" s="1"/>
  <c r="BG137" i="70" s="1"/>
  <c r="BH137" i="70" s="1"/>
  <c r="BI137" i="70" s="1"/>
  <c r="BE138" i="70"/>
  <c r="BF138" i="70" s="1"/>
  <c r="BG138" i="70" s="1"/>
  <c r="BH138" i="70" s="1"/>
  <c r="BI138" i="70" s="1"/>
  <c r="BE139" i="70"/>
  <c r="BF139" i="70" s="1"/>
  <c r="BG139" i="70" s="1"/>
  <c r="BH139" i="70" s="1"/>
  <c r="BI139" i="70" s="1"/>
  <c r="BE140" i="70"/>
  <c r="BF140" i="70" s="1"/>
  <c r="BG140" i="70" s="1"/>
  <c r="BH140" i="70" s="1"/>
  <c r="BE141" i="70"/>
  <c r="BF141" i="70" s="1"/>
  <c r="BG141" i="70" s="1"/>
  <c r="BH141" i="70" s="1"/>
  <c r="BI141" i="70" s="1"/>
  <c r="BE142" i="70"/>
  <c r="BF142" i="70" s="1"/>
  <c r="BG142" i="70" s="1"/>
  <c r="BH142" i="70" s="1"/>
  <c r="BI142" i="70" s="1"/>
  <c r="BE143" i="70"/>
  <c r="BF143" i="70" s="1"/>
  <c r="BE144" i="70"/>
  <c r="BE145" i="70"/>
  <c r="BE146" i="70"/>
  <c r="BF146" i="70" s="1"/>
  <c r="BG146" i="70" s="1"/>
  <c r="BH146" i="70" s="1"/>
  <c r="BI146" i="70" s="1"/>
  <c r="BE147" i="70"/>
  <c r="BF147" i="70" s="1"/>
  <c r="BG147" i="70" s="1"/>
  <c r="BH147" i="70" s="1"/>
  <c r="BI147" i="70" s="1"/>
  <c r="BE148" i="70"/>
  <c r="BF148" i="70" s="1"/>
  <c r="BG148" i="70" s="1"/>
  <c r="BH148" i="70" s="1"/>
  <c r="BI148" i="70" s="1"/>
  <c r="BE149" i="70"/>
  <c r="BF149" i="70" s="1"/>
  <c r="BG149" i="70" s="1"/>
  <c r="BH149" i="70" s="1"/>
  <c r="BI149" i="70" s="1"/>
  <c r="BE150" i="70"/>
  <c r="BF150" i="70" s="1"/>
  <c r="BG150" i="70" s="1"/>
  <c r="BH150" i="70" s="1"/>
  <c r="BI150" i="70" s="1"/>
  <c r="BE151" i="70"/>
  <c r="BF151" i="70" s="1"/>
  <c r="BE152" i="70"/>
  <c r="BE153" i="70"/>
  <c r="BE154" i="70"/>
  <c r="BF154" i="70" s="1"/>
  <c r="BG154" i="70" s="1"/>
  <c r="BH154" i="70" s="1"/>
  <c r="BI154" i="70" s="1"/>
  <c r="BE155" i="70"/>
  <c r="BF155" i="70" s="1"/>
  <c r="BG155" i="70" s="1"/>
  <c r="BH155" i="70" s="1"/>
  <c r="BI155" i="70" s="1"/>
  <c r="BE156" i="70"/>
  <c r="BF156" i="70" s="1"/>
  <c r="BG156" i="70" s="1"/>
  <c r="BH156" i="70" s="1"/>
  <c r="BI156" i="70" s="1"/>
  <c r="BE157" i="70"/>
  <c r="BF157" i="70" s="1"/>
  <c r="BG157" i="70" s="1"/>
  <c r="BH157" i="70" s="1"/>
  <c r="BI157" i="70" s="1"/>
  <c r="BE158" i="70"/>
  <c r="BF158" i="70" s="1"/>
  <c r="BG158" i="70" s="1"/>
  <c r="BH158" i="70" s="1"/>
  <c r="BI158" i="70" s="1"/>
  <c r="BE159" i="70"/>
  <c r="BF159" i="70" s="1"/>
  <c r="BE160" i="70"/>
  <c r="BE161" i="70"/>
  <c r="BF161" i="70" s="1"/>
  <c r="BG161" i="70" s="1"/>
  <c r="BH161" i="70" s="1"/>
  <c r="BE162" i="70"/>
  <c r="BF162" i="70" s="1"/>
  <c r="BG162" i="70" s="1"/>
  <c r="BH162" i="70" s="1"/>
  <c r="BI162" i="70" s="1"/>
  <c r="BE163" i="70"/>
  <c r="BF163" i="70" s="1"/>
  <c r="BG163" i="70" s="1"/>
  <c r="BH163" i="70" s="1"/>
  <c r="BI163" i="70" s="1"/>
  <c r="BE164" i="70"/>
  <c r="BF164" i="70" s="1"/>
  <c r="BG164" i="70" s="1"/>
  <c r="BH164" i="70" s="1"/>
  <c r="BE165" i="70"/>
  <c r="BF165" i="70" s="1"/>
  <c r="BG165" i="70" s="1"/>
  <c r="BH165" i="70" s="1"/>
  <c r="BI165" i="70" s="1"/>
  <c r="BE166" i="70"/>
  <c r="BF166" i="70" s="1"/>
  <c r="BG166" i="70" s="1"/>
  <c r="BH166" i="70" s="1"/>
  <c r="BI166" i="70" s="1"/>
  <c r="BE167" i="70"/>
  <c r="BF167" i="70" s="1"/>
  <c r="BG167" i="70" s="1"/>
  <c r="BH167" i="70" s="1"/>
  <c r="BI167" i="70" s="1"/>
  <c r="BE168" i="70"/>
  <c r="BE169" i="70"/>
  <c r="BF169" i="70" s="1"/>
  <c r="BG169" i="70" s="1"/>
  <c r="BH169" i="70" s="1"/>
  <c r="BI169" i="70" s="1"/>
  <c r="BE170" i="70"/>
  <c r="BF170" i="70" s="1"/>
  <c r="BG170" i="70" s="1"/>
  <c r="BH170" i="70" s="1"/>
  <c r="BI170" i="70" s="1"/>
  <c r="BE171" i="70"/>
  <c r="BF171" i="70" s="1"/>
  <c r="BG171" i="70" s="1"/>
  <c r="BH171" i="70" s="1"/>
  <c r="BI171" i="70" s="1"/>
  <c r="BE172" i="70"/>
  <c r="BF172" i="70" s="1"/>
  <c r="BG172" i="70" s="1"/>
  <c r="BH172" i="70" s="1"/>
  <c r="BE173" i="70"/>
  <c r="BF173" i="70" s="1"/>
  <c r="BG173" i="70" s="1"/>
  <c r="BH173" i="70" s="1"/>
  <c r="BI173" i="70" s="1"/>
  <c r="BE174" i="70"/>
  <c r="BF174" i="70" s="1"/>
  <c r="BG174" i="70" s="1"/>
  <c r="BH174" i="70" s="1"/>
  <c r="BI174" i="70" s="1"/>
  <c r="BE175" i="70"/>
  <c r="BF175" i="70" s="1"/>
  <c r="BE176" i="70"/>
  <c r="BE177" i="70"/>
  <c r="BF177" i="70" s="1"/>
  <c r="BG177" i="70" s="1"/>
  <c r="BH177" i="70" s="1"/>
  <c r="BE178" i="70"/>
  <c r="BF178" i="70" s="1"/>
  <c r="BG178" i="70" s="1"/>
  <c r="BH178" i="70" s="1"/>
  <c r="BI178" i="70" s="1"/>
  <c r="BE179" i="70"/>
  <c r="BF179" i="70" s="1"/>
  <c r="BG179" i="70" s="1"/>
  <c r="BH179" i="70" s="1"/>
  <c r="BI179" i="70" s="1"/>
  <c r="BE180" i="70"/>
  <c r="BF180" i="70" s="1"/>
  <c r="BG180" i="70" s="1"/>
  <c r="BH180" i="70" s="1"/>
  <c r="BI180" i="70" s="1"/>
  <c r="BE181" i="70"/>
  <c r="BF181" i="70" s="1"/>
  <c r="BG181" i="70" s="1"/>
  <c r="BH181" i="70" s="1"/>
  <c r="BI181" i="70" s="1"/>
  <c r="BE182" i="70"/>
  <c r="BF182" i="70" s="1"/>
  <c r="BG182" i="70" s="1"/>
  <c r="BH182" i="70" s="1"/>
  <c r="BI182" i="70" s="1"/>
  <c r="BE183" i="70"/>
  <c r="BF183" i="70" s="1"/>
  <c r="BE184" i="70"/>
  <c r="BE185" i="70"/>
  <c r="BE186" i="70"/>
  <c r="BF186" i="70" s="1"/>
  <c r="BG186" i="70" s="1"/>
  <c r="BH186" i="70" s="1"/>
  <c r="BI186" i="70" s="1"/>
  <c r="BE187" i="70"/>
  <c r="BF187" i="70" s="1"/>
  <c r="BG187" i="70" s="1"/>
  <c r="BH187" i="70" s="1"/>
  <c r="BI187" i="70" s="1"/>
  <c r="BE188" i="70"/>
  <c r="BF188" i="70" s="1"/>
  <c r="BG188" i="70" s="1"/>
  <c r="BH188" i="70" s="1"/>
  <c r="BI188" i="70" s="1"/>
  <c r="BE189" i="70"/>
  <c r="BF189" i="70" s="1"/>
  <c r="BG189" i="70" s="1"/>
  <c r="BH189" i="70" s="1"/>
  <c r="BI189" i="70" s="1"/>
  <c r="BE190" i="70"/>
  <c r="BF190" i="70" s="1"/>
  <c r="BG190" i="70" s="1"/>
  <c r="BH190" i="70" s="1"/>
  <c r="BI190" i="70" s="1"/>
  <c r="BE191" i="70"/>
  <c r="BF191" i="70" s="1"/>
  <c r="BE192" i="70"/>
  <c r="BE193" i="70"/>
  <c r="BE194" i="70"/>
  <c r="BF194" i="70" s="1"/>
  <c r="BG194" i="70" s="1"/>
  <c r="BH194" i="70" s="1"/>
  <c r="BI194" i="70" s="1"/>
  <c r="BE195" i="70"/>
  <c r="BF195" i="70" s="1"/>
  <c r="BG195" i="70" s="1"/>
  <c r="BH195" i="70" s="1"/>
  <c r="BI195" i="70" s="1"/>
  <c r="BE196" i="70"/>
  <c r="BF196" i="70" s="1"/>
  <c r="BG196" i="70" s="1"/>
  <c r="BH196" i="70" s="1"/>
  <c r="BE197" i="70"/>
  <c r="BF197" i="70" s="1"/>
  <c r="BG197" i="70" s="1"/>
  <c r="BH197" i="70" s="1"/>
  <c r="BI197" i="70" s="1"/>
  <c r="BE198" i="70"/>
  <c r="BF198" i="70" s="1"/>
  <c r="BG198" i="70" s="1"/>
  <c r="BH198" i="70" s="1"/>
  <c r="BI198" i="70" s="1"/>
  <c r="BE199" i="70"/>
  <c r="BF199" i="70" s="1"/>
  <c r="BE200" i="70"/>
  <c r="BE201" i="70"/>
  <c r="BF201" i="70" s="1"/>
  <c r="BG201" i="70" s="1"/>
  <c r="BH201" i="70" s="1"/>
  <c r="BE202" i="70"/>
  <c r="BF202" i="70" s="1"/>
  <c r="BG202" i="70" s="1"/>
  <c r="BH202" i="70" s="1"/>
  <c r="BI202" i="70" s="1"/>
  <c r="BE203" i="70"/>
  <c r="BF203" i="70" s="1"/>
  <c r="BG203" i="70" s="1"/>
  <c r="BH203" i="70" s="1"/>
  <c r="BI203" i="70" s="1"/>
  <c r="BE204" i="70"/>
  <c r="BF204" i="70" s="1"/>
  <c r="BG204" i="70" s="1"/>
  <c r="BH204" i="70" s="1"/>
  <c r="BI204" i="70" s="1"/>
  <c r="BE205" i="70"/>
  <c r="BF205" i="70" s="1"/>
  <c r="BG205" i="70" s="1"/>
  <c r="BH205" i="70" s="1"/>
  <c r="BI205" i="70" s="1"/>
  <c r="BE206" i="70"/>
  <c r="BF206" i="70" s="1"/>
  <c r="BG206" i="70" s="1"/>
  <c r="BH206" i="70" s="1"/>
  <c r="BI206" i="70" s="1"/>
  <c r="BE207" i="70"/>
  <c r="BF207" i="70" s="1"/>
  <c r="BE208" i="70"/>
  <c r="BE209" i="70"/>
  <c r="BF209" i="70" s="1"/>
  <c r="BG209" i="70" s="1"/>
  <c r="BH209" i="70" s="1"/>
  <c r="BI209" i="70" s="1"/>
  <c r="BE210" i="70"/>
  <c r="BF210" i="70" s="1"/>
  <c r="BG210" i="70" s="1"/>
  <c r="BH210" i="70" s="1"/>
  <c r="BI210" i="70" s="1"/>
  <c r="BE211" i="70"/>
  <c r="BF211" i="70" s="1"/>
  <c r="BG211" i="70" s="1"/>
  <c r="BH211" i="70" s="1"/>
  <c r="BI211" i="70" s="1"/>
  <c r="BE212" i="70"/>
  <c r="BF212" i="70" s="1"/>
  <c r="BG212" i="70" s="1"/>
  <c r="BH212" i="70" s="1"/>
  <c r="BE213" i="70"/>
  <c r="BF213" i="70" s="1"/>
  <c r="BG213" i="70" s="1"/>
  <c r="BH213" i="70" s="1"/>
  <c r="BI213" i="70" s="1"/>
  <c r="BE214" i="70"/>
  <c r="BF214" i="70" s="1"/>
  <c r="BG214" i="70" s="1"/>
  <c r="BH214" i="70" s="1"/>
  <c r="BI214" i="70" s="1"/>
  <c r="BE215" i="70"/>
  <c r="BF215" i="70" s="1"/>
  <c r="BG215" i="70" s="1"/>
  <c r="BH215" i="70" s="1"/>
  <c r="BI215" i="70" s="1"/>
  <c r="BE216" i="70"/>
  <c r="BE217" i="70"/>
  <c r="BF217" i="70" s="1"/>
  <c r="BG217" i="70" s="1"/>
  <c r="BH217" i="70" s="1"/>
  <c r="BI217" i="70" s="1"/>
  <c r="BE218" i="70"/>
  <c r="BF218" i="70" s="1"/>
  <c r="BG218" i="70" s="1"/>
  <c r="BH218" i="70" s="1"/>
  <c r="BI218" i="70" s="1"/>
  <c r="BE219" i="70"/>
  <c r="BF219" i="70" s="1"/>
  <c r="BG219" i="70" s="1"/>
  <c r="BH219" i="70" s="1"/>
  <c r="BI219" i="70" s="1"/>
  <c r="BE220" i="70"/>
  <c r="BF220" i="70" s="1"/>
  <c r="BG220" i="70" s="1"/>
  <c r="BH220" i="70" s="1"/>
  <c r="BE221" i="70"/>
  <c r="BF221" i="70" s="1"/>
  <c r="BG221" i="70" s="1"/>
  <c r="BH221" i="70" s="1"/>
  <c r="BI221" i="70" s="1"/>
  <c r="BE222" i="70"/>
  <c r="BF222" i="70" s="1"/>
  <c r="BG222" i="70" s="1"/>
  <c r="BH222" i="70" s="1"/>
  <c r="BI222" i="70" s="1"/>
  <c r="BE223" i="70"/>
  <c r="BF223" i="70" s="1"/>
  <c r="BG223" i="70" s="1"/>
  <c r="BH223" i="70" s="1"/>
  <c r="BI223" i="70" s="1"/>
  <c r="BE224" i="70"/>
  <c r="BE225" i="70"/>
  <c r="BF225" i="70" s="1"/>
  <c r="BG225" i="70" s="1"/>
  <c r="BH225" i="70" s="1"/>
  <c r="BI225" i="70" s="1"/>
  <c r="BE226" i="70"/>
  <c r="BF226" i="70" s="1"/>
  <c r="BG226" i="70" s="1"/>
  <c r="BH226" i="70" s="1"/>
  <c r="BI226" i="70" s="1"/>
  <c r="BE227" i="70"/>
  <c r="BF227" i="70" s="1"/>
  <c r="BG227" i="70" s="1"/>
  <c r="BH227" i="70" s="1"/>
  <c r="BI227" i="70" s="1"/>
  <c r="BE228" i="70"/>
  <c r="BF228" i="70" s="1"/>
  <c r="BG228" i="70" s="1"/>
  <c r="BH228" i="70" s="1"/>
  <c r="BE229" i="70"/>
  <c r="BF229" i="70" s="1"/>
  <c r="BG229" i="70" s="1"/>
  <c r="BH229" i="70" s="1"/>
  <c r="BI229" i="70" s="1"/>
  <c r="BE230" i="70"/>
  <c r="BF230" i="70" s="1"/>
  <c r="BG230" i="70" s="1"/>
  <c r="BH230" i="70" s="1"/>
  <c r="BI230" i="70" s="1"/>
  <c r="BE231" i="70"/>
  <c r="BF231" i="70" s="1"/>
  <c r="BE232" i="70"/>
  <c r="BE233" i="70"/>
  <c r="BF233" i="70" s="1"/>
  <c r="BE234" i="70"/>
  <c r="BF234" i="70" s="1"/>
  <c r="BG234" i="70" s="1"/>
  <c r="BH234" i="70" s="1"/>
  <c r="BI234" i="70" s="1"/>
  <c r="BE235" i="70"/>
  <c r="BF235" i="70" s="1"/>
  <c r="BG235" i="70" s="1"/>
  <c r="BH235" i="70" s="1"/>
  <c r="BI235" i="70" s="1"/>
  <c r="BE236" i="70"/>
  <c r="BF236" i="70" s="1"/>
  <c r="BG236" i="70" s="1"/>
  <c r="BH236" i="70" s="1"/>
  <c r="BE237" i="70"/>
  <c r="BF237" i="70" s="1"/>
  <c r="BG237" i="70" s="1"/>
  <c r="BH237" i="70" s="1"/>
  <c r="BI237" i="70" s="1"/>
  <c r="BE238" i="70"/>
  <c r="BF238" i="70" s="1"/>
  <c r="BG238" i="70" s="1"/>
  <c r="BH238" i="70" s="1"/>
  <c r="BI238" i="70" s="1"/>
  <c r="BE239" i="70"/>
  <c r="BF239" i="70" s="1"/>
  <c r="BG239" i="70" s="1"/>
  <c r="BH239" i="70" s="1"/>
  <c r="BI239" i="70" s="1"/>
  <c r="BE240" i="70"/>
  <c r="BE241" i="70"/>
  <c r="BE242" i="70"/>
  <c r="BF242" i="70" s="1"/>
  <c r="BG242" i="70" s="1"/>
  <c r="BH242" i="70" s="1"/>
  <c r="BI242" i="70" s="1"/>
  <c r="BE243" i="70"/>
  <c r="BF243" i="70" s="1"/>
  <c r="BG243" i="70" s="1"/>
  <c r="BH243" i="70" s="1"/>
  <c r="BI243" i="70" s="1"/>
  <c r="BE244" i="70"/>
  <c r="BF244" i="70" s="1"/>
  <c r="BG244" i="70" s="1"/>
  <c r="BH244" i="70" s="1"/>
  <c r="BI244" i="70" s="1"/>
  <c r="BE245" i="70"/>
  <c r="BF245" i="70" s="1"/>
  <c r="BG245" i="70" s="1"/>
  <c r="BH245" i="70" s="1"/>
  <c r="BI245" i="70" s="1"/>
  <c r="BE246" i="70"/>
  <c r="BF246" i="70" s="1"/>
  <c r="BG246" i="70" s="1"/>
  <c r="BH246" i="70" s="1"/>
  <c r="BI246" i="70" s="1"/>
  <c r="BE247" i="70"/>
  <c r="BF247" i="70" s="1"/>
  <c r="BG247" i="70" s="1"/>
  <c r="BH247" i="70" s="1"/>
  <c r="BI247" i="70" s="1"/>
  <c r="BE248" i="70"/>
  <c r="BE249" i="70"/>
  <c r="BF249" i="70" s="1"/>
  <c r="BG249" i="70" s="1"/>
  <c r="BH249" i="70" s="1"/>
  <c r="BI249" i="70" s="1"/>
  <c r="BE250" i="70"/>
  <c r="BF250" i="70" s="1"/>
  <c r="BG250" i="70" s="1"/>
  <c r="BH250" i="70" s="1"/>
  <c r="BI250" i="70" s="1"/>
  <c r="BE251" i="70"/>
  <c r="BF251" i="70" s="1"/>
  <c r="BG251" i="70" s="1"/>
  <c r="BH251" i="70" s="1"/>
  <c r="BI251" i="70" s="1"/>
  <c r="BE252" i="70"/>
  <c r="BF252" i="70" s="1"/>
  <c r="BG252" i="70" s="1"/>
  <c r="BH252" i="70" s="1"/>
  <c r="BE253" i="70"/>
  <c r="BF253" i="70" s="1"/>
  <c r="BG253" i="70" s="1"/>
  <c r="BH253" i="70" s="1"/>
  <c r="BI253" i="70" s="1"/>
  <c r="BE254" i="70"/>
  <c r="BF254" i="70" s="1"/>
  <c r="BG254" i="70" s="1"/>
  <c r="BH254" i="70" s="1"/>
  <c r="BI254" i="70" s="1"/>
  <c r="BE255" i="70"/>
  <c r="BF255" i="70" s="1"/>
  <c r="BG255" i="70" s="1"/>
  <c r="BH255" i="70" s="1"/>
  <c r="BI255" i="70" s="1"/>
  <c r="BE256" i="70"/>
  <c r="BE257" i="70"/>
  <c r="BE258" i="70"/>
  <c r="BF258" i="70" s="1"/>
  <c r="BG258" i="70" s="1"/>
  <c r="BH258" i="70" s="1"/>
  <c r="BI258" i="70" s="1"/>
  <c r="BE259" i="70"/>
  <c r="BF259" i="70" s="1"/>
  <c r="BG259" i="70" s="1"/>
  <c r="BH259" i="70" s="1"/>
  <c r="BI259" i="70" s="1"/>
  <c r="BE260" i="70"/>
  <c r="BF260" i="70" s="1"/>
  <c r="BG260" i="70" s="1"/>
  <c r="BH260" i="70" s="1"/>
  <c r="BE261" i="70"/>
  <c r="BF261" i="70" s="1"/>
  <c r="BG261" i="70" s="1"/>
  <c r="BH261" i="70" s="1"/>
  <c r="BI261" i="70" s="1"/>
  <c r="BE262" i="70"/>
  <c r="BF262" i="70" s="1"/>
  <c r="BG262" i="70" s="1"/>
  <c r="BH262" i="70" s="1"/>
  <c r="BI262" i="70" s="1"/>
  <c r="BE263" i="70"/>
  <c r="BF263" i="70" s="1"/>
  <c r="BG263" i="70" s="1"/>
  <c r="BH263" i="70" s="1"/>
  <c r="BI263" i="70" s="1"/>
  <c r="BE264" i="70"/>
  <c r="BE265" i="70"/>
  <c r="BF265" i="70" s="1"/>
  <c r="BG265" i="70" s="1"/>
  <c r="BH265" i="70" s="1"/>
  <c r="BI265" i="70" s="1"/>
  <c r="BE266" i="70"/>
  <c r="BF266" i="70" s="1"/>
  <c r="BG266" i="70" s="1"/>
  <c r="BH266" i="70" s="1"/>
  <c r="BI266" i="70" s="1"/>
  <c r="BE267" i="70"/>
  <c r="BF267" i="70" s="1"/>
  <c r="BG267" i="70" s="1"/>
  <c r="BH267" i="70" s="1"/>
  <c r="BI267" i="70" s="1"/>
  <c r="BE268" i="70"/>
  <c r="BF268" i="70" s="1"/>
  <c r="BG268" i="70" s="1"/>
  <c r="BH268" i="70" s="1"/>
  <c r="BE269" i="70"/>
  <c r="BF269" i="70" s="1"/>
  <c r="BG269" i="70" s="1"/>
  <c r="BH269" i="70" s="1"/>
  <c r="BI269" i="70" s="1"/>
  <c r="BE270" i="70"/>
  <c r="BF270" i="70" s="1"/>
  <c r="BG270" i="70" s="1"/>
  <c r="BH270" i="70" s="1"/>
  <c r="BI270" i="70" s="1"/>
  <c r="BE271" i="70"/>
  <c r="BF271" i="70" s="1"/>
  <c r="BG271" i="70" s="1"/>
  <c r="BH271" i="70" s="1"/>
  <c r="BI271" i="70" s="1"/>
  <c r="BE272" i="70"/>
  <c r="BE273" i="70"/>
  <c r="BF273" i="70" s="1"/>
  <c r="BG273" i="70" s="1"/>
  <c r="BH273" i="70" s="1"/>
  <c r="BI273" i="70" s="1"/>
  <c r="BE274" i="70"/>
  <c r="BF274" i="70" s="1"/>
  <c r="BG274" i="70" s="1"/>
  <c r="BH274" i="70" s="1"/>
  <c r="BI274" i="70" s="1"/>
  <c r="BE275" i="70"/>
  <c r="BF275" i="70" s="1"/>
  <c r="BG275" i="70" s="1"/>
  <c r="BH275" i="70" s="1"/>
  <c r="BI275" i="70" s="1"/>
  <c r="BE276" i="70"/>
  <c r="BF276" i="70" s="1"/>
  <c r="BG276" i="70" s="1"/>
  <c r="BH276" i="70" s="1"/>
  <c r="BE277" i="70"/>
  <c r="BF277" i="70" s="1"/>
  <c r="BG277" i="70" s="1"/>
  <c r="BH277" i="70" s="1"/>
  <c r="BI277" i="70" s="1"/>
  <c r="BE278" i="70"/>
  <c r="BF278" i="70" s="1"/>
  <c r="BG278" i="70" s="1"/>
  <c r="BH278" i="70" s="1"/>
  <c r="BI278" i="70" s="1"/>
  <c r="BE279" i="70"/>
  <c r="BF279" i="70" s="1"/>
  <c r="BG279" i="70" s="1"/>
  <c r="BH279" i="70" s="1"/>
  <c r="BI279" i="70" s="1"/>
  <c r="BE280" i="70"/>
  <c r="BE281" i="70"/>
  <c r="BF281" i="70" s="1"/>
  <c r="BG281" i="70" s="1"/>
  <c r="BH281" i="70" s="1"/>
  <c r="BI281" i="70" s="1"/>
  <c r="BE282" i="70"/>
  <c r="BF282" i="70" s="1"/>
  <c r="BG282" i="70" s="1"/>
  <c r="BH282" i="70" s="1"/>
  <c r="BI282" i="70" s="1"/>
  <c r="BE283" i="70"/>
  <c r="BF283" i="70" s="1"/>
  <c r="BG283" i="70" s="1"/>
  <c r="BH283" i="70" s="1"/>
  <c r="BI283" i="70" s="1"/>
  <c r="BE284" i="70"/>
  <c r="BF284" i="70" s="1"/>
  <c r="BG284" i="70" s="1"/>
  <c r="BH284" i="70" s="1"/>
  <c r="BI284" i="70" s="1"/>
  <c r="BE285" i="70"/>
  <c r="BF285" i="70" s="1"/>
  <c r="BG285" i="70" s="1"/>
  <c r="BH285" i="70" s="1"/>
  <c r="BI285" i="70" s="1"/>
  <c r="BE286" i="70"/>
  <c r="BF286" i="70" s="1"/>
  <c r="BG286" i="70" s="1"/>
  <c r="BH286" i="70" s="1"/>
  <c r="BI286" i="70" s="1"/>
  <c r="BE287" i="70"/>
  <c r="BF287" i="70" s="1"/>
  <c r="BG287" i="70" s="1"/>
  <c r="BH287" i="70" s="1"/>
  <c r="BI287" i="70" s="1"/>
  <c r="BE288" i="70"/>
  <c r="BE289" i="70"/>
  <c r="BF289" i="70" s="1"/>
  <c r="BG289" i="70" s="1"/>
  <c r="BH289" i="70" s="1"/>
  <c r="BE290" i="70"/>
  <c r="BF290" i="70" s="1"/>
  <c r="BG290" i="70" s="1"/>
  <c r="BH290" i="70" s="1"/>
  <c r="BI290" i="70" s="1"/>
  <c r="BE291" i="70"/>
  <c r="BF291" i="70" s="1"/>
  <c r="BG291" i="70" s="1"/>
  <c r="BH291" i="70" s="1"/>
  <c r="BI291" i="70" s="1"/>
  <c r="BE292" i="70"/>
  <c r="BF292" i="70" s="1"/>
  <c r="BG292" i="70" s="1"/>
  <c r="BH292" i="70" s="1"/>
  <c r="BE293" i="70"/>
  <c r="BF293" i="70" s="1"/>
  <c r="BG293" i="70" s="1"/>
  <c r="BH293" i="70" s="1"/>
  <c r="BI293" i="70" s="1"/>
  <c r="BE294" i="70"/>
  <c r="BF294" i="70" s="1"/>
  <c r="BG294" i="70" s="1"/>
  <c r="BH294" i="70" s="1"/>
  <c r="BI294" i="70" s="1"/>
  <c r="BE295" i="70"/>
  <c r="BF295" i="70" s="1"/>
  <c r="BG295" i="70" s="1"/>
  <c r="BH295" i="70" s="1"/>
  <c r="BI295" i="70" s="1"/>
  <c r="BE296" i="70"/>
  <c r="BE297" i="70"/>
  <c r="BF297" i="70" s="1"/>
  <c r="BG297" i="70" s="1"/>
  <c r="BH297" i="70" s="1"/>
  <c r="BI297" i="70" s="1"/>
  <c r="BE298" i="70"/>
  <c r="BF298" i="70" s="1"/>
  <c r="BG298" i="70" s="1"/>
  <c r="BH298" i="70" s="1"/>
  <c r="BI298" i="70" s="1"/>
  <c r="BE299" i="70"/>
  <c r="BF299" i="70" s="1"/>
  <c r="BG299" i="70" s="1"/>
  <c r="BH299" i="70" s="1"/>
  <c r="BI299" i="70" s="1"/>
  <c r="BE300" i="70"/>
  <c r="BF300" i="70" s="1"/>
  <c r="BG300" i="70" s="1"/>
  <c r="BH300" i="70" s="1"/>
  <c r="BE301" i="70"/>
  <c r="BF301" i="70" s="1"/>
  <c r="BG301" i="70" s="1"/>
  <c r="BH301" i="70" s="1"/>
  <c r="BI301" i="70" s="1"/>
  <c r="BE302" i="70"/>
  <c r="BF302" i="70" s="1"/>
  <c r="BG302" i="70" s="1"/>
  <c r="BH302" i="70" s="1"/>
  <c r="BI302" i="70" s="1"/>
  <c r="BE303" i="70"/>
  <c r="BF303" i="70" s="1"/>
  <c r="BG303" i="70" s="1"/>
  <c r="BH303" i="70" s="1"/>
  <c r="BI303" i="70" s="1"/>
  <c r="BE304" i="70"/>
  <c r="BE305" i="70"/>
  <c r="BF305" i="70" s="1"/>
  <c r="BG305" i="70" s="1"/>
  <c r="BH305" i="70" s="1"/>
  <c r="BE306" i="70"/>
  <c r="BF306" i="70" s="1"/>
  <c r="BG306" i="70" s="1"/>
  <c r="BH306" i="70" s="1"/>
  <c r="BI306" i="70" s="1"/>
  <c r="BE307" i="70"/>
  <c r="BF307" i="70" s="1"/>
  <c r="BG307" i="70" s="1"/>
  <c r="BH307" i="70" s="1"/>
  <c r="BI307" i="70" s="1"/>
  <c r="BE308" i="70"/>
  <c r="BF308" i="70" s="1"/>
  <c r="BG308" i="70" s="1"/>
  <c r="BH308" i="70" s="1"/>
  <c r="BE309" i="70"/>
  <c r="BF309" i="70" s="1"/>
  <c r="BG309" i="70" s="1"/>
  <c r="BH309" i="70" s="1"/>
  <c r="BI309" i="70" s="1"/>
  <c r="BE310" i="70"/>
  <c r="BF310" i="70" s="1"/>
  <c r="BG310" i="70" s="1"/>
  <c r="BH310" i="70" s="1"/>
  <c r="BI310" i="70" s="1"/>
  <c r="BE311" i="70"/>
  <c r="BF311" i="70" s="1"/>
  <c r="BG311" i="70" s="1"/>
  <c r="BH311" i="70" s="1"/>
  <c r="BI311" i="70" s="1"/>
  <c r="BE312" i="70"/>
  <c r="BE313" i="70"/>
  <c r="BF313" i="70" s="1"/>
  <c r="BG313" i="70" s="1"/>
  <c r="BH313" i="70" s="1"/>
  <c r="BE314" i="70"/>
  <c r="BF314" i="70" s="1"/>
  <c r="BG314" i="70" s="1"/>
  <c r="BH314" i="70" s="1"/>
  <c r="BI314" i="70" s="1"/>
  <c r="BE315" i="70"/>
  <c r="BF315" i="70" s="1"/>
  <c r="BG315" i="70" s="1"/>
  <c r="BH315" i="70" s="1"/>
  <c r="BI315" i="70" s="1"/>
  <c r="BE316" i="70"/>
  <c r="BF316" i="70" s="1"/>
  <c r="BG316" i="70" s="1"/>
  <c r="BH316" i="70" s="1"/>
  <c r="BE317" i="70"/>
  <c r="BF317" i="70" s="1"/>
  <c r="BG317" i="70" s="1"/>
  <c r="BH317" i="70" s="1"/>
  <c r="BI317" i="70" s="1"/>
  <c r="BE318" i="70"/>
  <c r="BF318" i="70" s="1"/>
  <c r="BG318" i="70" s="1"/>
  <c r="BH318" i="70" s="1"/>
  <c r="BI318" i="70" s="1"/>
  <c r="BE319" i="70"/>
  <c r="BF319" i="70" s="1"/>
  <c r="BG319" i="70" s="1"/>
  <c r="BH319" i="70" s="1"/>
  <c r="BI319" i="70" s="1"/>
  <c r="BE320" i="70"/>
  <c r="BE321" i="70"/>
  <c r="BF321" i="70" s="1"/>
  <c r="BG321" i="70" s="1"/>
  <c r="BH321" i="70" s="1"/>
  <c r="BI321" i="70" s="1"/>
  <c r="BE322" i="70"/>
  <c r="BF322" i="70" s="1"/>
  <c r="BG322" i="70" s="1"/>
  <c r="BH322" i="70" s="1"/>
  <c r="BI322" i="70" s="1"/>
  <c r="BE323" i="70"/>
  <c r="BF323" i="70" s="1"/>
  <c r="BG323" i="70" s="1"/>
  <c r="BH323" i="70" s="1"/>
  <c r="BI323" i="70" s="1"/>
  <c r="BE324" i="70"/>
  <c r="BF324" i="70" s="1"/>
  <c r="BG324" i="70" s="1"/>
  <c r="BH324" i="70" s="1"/>
  <c r="BE325" i="70"/>
  <c r="BF325" i="70" s="1"/>
  <c r="BG325" i="70" s="1"/>
  <c r="BH325" i="70" s="1"/>
  <c r="BI325" i="70" s="1"/>
  <c r="BE326" i="70"/>
  <c r="BF326" i="70" s="1"/>
  <c r="BG326" i="70" s="1"/>
  <c r="BH326" i="70" s="1"/>
  <c r="BI326" i="70" s="1"/>
  <c r="BE327" i="70"/>
  <c r="BF327" i="70" s="1"/>
  <c r="BG327" i="70" s="1"/>
  <c r="BH327" i="70" s="1"/>
  <c r="BI327" i="70" s="1"/>
  <c r="BE328" i="70"/>
  <c r="BE329" i="70"/>
  <c r="BF329" i="70" s="1"/>
  <c r="BG329" i="70" s="1"/>
  <c r="BH329" i="70" s="1"/>
  <c r="BE330" i="70"/>
  <c r="BF330" i="70" s="1"/>
  <c r="BG330" i="70" s="1"/>
  <c r="BH330" i="70" s="1"/>
  <c r="BI330" i="70" s="1"/>
  <c r="BE331" i="70"/>
  <c r="BF331" i="70" s="1"/>
  <c r="BG331" i="70" s="1"/>
  <c r="BH331" i="70" s="1"/>
  <c r="BI331" i="70" s="1"/>
  <c r="BE332" i="70"/>
  <c r="BF332" i="70" s="1"/>
  <c r="BG332" i="70" s="1"/>
  <c r="BH332" i="70" s="1"/>
  <c r="BE333" i="70"/>
  <c r="BF333" i="70" s="1"/>
  <c r="BG333" i="70" s="1"/>
  <c r="BH333" i="70" s="1"/>
  <c r="BI333" i="70" s="1"/>
  <c r="BE334" i="70"/>
  <c r="BF334" i="70" s="1"/>
  <c r="BG334" i="70" s="1"/>
  <c r="BH334" i="70" s="1"/>
  <c r="BI334" i="70" s="1"/>
  <c r="BE335" i="70"/>
  <c r="BF335" i="70" s="1"/>
  <c r="BG335" i="70" s="1"/>
  <c r="BH335" i="70" s="1"/>
  <c r="BI335" i="70" s="1"/>
  <c r="BE336" i="70"/>
  <c r="BE337" i="70"/>
  <c r="BF337" i="70" s="1"/>
  <c r="BG337" i="70" s="1"/>
  <c r="BH337" i="70" s="1"/>
  <c r="BE338" i="70"/>
  <c r="BF338" i="70" s="1"/>
  <c r="BG338" i="70" s="1"/>
  <c r="BH338" i="70" s="1"/>
  <c r="BI338" i="70" s="1"/>
  <c r="BE339" i="70"/>
  <c r="BF339" i="70" s="1"/>
  <c r="BG339" i="70" s="1"/>
  <c r="BH339" i="70" s="1"/>
  <c r="BI339" i="70" s="1"/>
  <c r="BE340" i="70"/>
  <c r="BF340" i="70" s="1"/>
  <c r="BG340" i="70" s="1"/>
  <c r="BH340" i="70" s="1"/>
  <c r="BI340" i="70" s="1"/>
  <c r="BE341" i="70"/>
  <c r="BF341" i="70" s="1"/>
  <c r="BG341" i="70" s="1"/>
  <c r="BH341" i="70" s="1"/>
  <c r="BI341" i="70" s="1"/>
  <c r="BE342" i="70"/>
  <c r="BF342" i="70" s="1"/>
  <c r="BG342" i="70" s="1"/>
  <c r="BH342" i="70" s="1"/>
  <c r="BI342" i="70" s="1"/>
  <c r="BE343" i="70"/>
  <c r="BF343" i="70" s="1"/>
  <c r="BG343" i="70" s="1"/>
  <c r="BH343" i="70" s="1"/>
  <c r="BI343" i="70" s="1"/>
  <c r="BE344" i="70"/>
  <c r="BE345" i="70"/>
  <c r="BF345" i="70" s="1"/>
  <c r="BG345" i="70" s="1"/>
  <c r="BH345" i="70" s="1"/>
  <c r="BI345" i="70" s="1"/>
  <c r="BE346" i="70"/>
  <c r="BF346" i="70" s="1"/>
  <c r="BG346" i="70" s="1"/>
  <c r="BH346" i="70" s="1"/>
  <c r="BI346" i="70" s="1"/>
  <c r="BE347" i="70"/>
  <c r="BF347" i="70" s="1"/>
  <c r="BG347" i="70" s="1"/>
  <c r="BH347" i="70" s="1"/>
  <c r="BI347" i="70" s="1"/>
  <c r="BE348" i="70"/>
  <c r="BF348" i="70" s="1"/>
  <c r="BG348" i="70" s="1"/>
  <c r="BH348" i="70" s="1"/>
  <c r="BE349" i="70"/>
  <c r="BF349" i="70" s="1"/>
  <c r="BG349" i="70" s="1"/>
  <c r="BH349" i="70" s="1"/>
  <c r="BI349" i="70" s="1"/>
  <c r="BE350" i="70"/>
  <c r="BF350" i="70" s="1"/>
  <c r="BG350" i="70" s="1"/>
  <c r="BH350" i="70" s="1"/>
  <c r="BI350" i="70" s="1"/>
  <c r="BE351" i="70"/>
  <c r="BF351" i="70" s="1"/>
  <c r="BG351" i="70" s="1"/>
  <c r="BH351" i="70" s="1"/>
  <c r="BI351" i="70" s="1"/>
  <c r="BE352" i="70"/>
  <c r="BE353" i="70"/>
  <c r="BE354" i="70"/>
  <c r="BF354" i="70" s="1"/>
  <c r="BG354" i="70" s="1"/>
  <c r="BH354" i="70" s="1"/>
  <c r="BI354" i="70" s="1"/>
  <c r="BE355" i="70"/>
  <c r="BF355" i="70" s="1"/>
  <c r="BG355" i="70" s="1"/>
  <c r="BH355" i="70" s="1"/>
  <c r="BI355" i="70" s="1"/>
  <c r="BE356" i="70"/>
  <c r="BF356" i="70" s="1"/>
  <c r="BG356" i="70" s="1"/>
  <c r="BH356" i="70" s="1"/>
  <c r="BE357" i="70"/>
  <c r="BF357" i="70" s="1"/>
  <c r="BG357" i="70" s="1"/>
  <c r="BH357" i="70" s="1"/>
  <c r="BI357" i="70" s="1"/>
  <c r="BE358" i="70"/>
  <c r="BF358" i="70" s="1"/>
  <c r="BG358" i="70" s="1"/>
  <c r="BH358" i="70" s="1"/>
  <c r="BI358" i="70" s="1"/>
  <c r="BE359" i="70"/>
  <c r="BF359" i="70" s="1"/>
  <c r="BG359" i="70" s="1"/>
  <c r="BH359" i="70" s="1"/>
  <c r="BI359" i="70" s="1"/>
  <c r="BE360" i="70"/>
  <c r="BE361" i="70"/>
  <c r="BF361" i="70" s="1"/>
  <c r="BG361" i="70" s="1"/>
  <c r="BH361" i="70" s="1"/>
  <c r="BI361" i="70" s="1"/>
  <c r="BE362" i="70"/>
  <c r="BF362" i="70" s="1"/>
  <c r="BG362" i="70" s="1"/>
  <c r="BH362" i="70" s="1"/>
  <c r="BI362" i="70" s="1"/>
  <c r="BE363" i="70"/>
  <c r="BF363" i="70" s="1"/>
  <c r="BG363" i="70" s="1"/>
  <c r="BH363" i="70" s="1"/>
  <c r="BI363" i="70" s="1"/>
  <c r="BE364" i="70"/>
  <c r="BF364" i="70" s="1"/>
  <c r="BG364" i="70" s="1"/>
  <c r="BH364" i="70" s="1"/>
  <c r="BE365" i="70"/>
  <c r="BF365" i="70" s="1"/>
  <c r="BG365" i="70" s="1"/>
  <c r="BH365" i="70" s="1"/>
  <c r="BI365" i="70" s="1"/>
  <c r="BE366" i="70"/>
  <c r="BF366" i="70" s="1"/>
  <c r="BG366" i="70" s="1"/>
  <c r="BH366" i="70" s="1"/>
  <c r="BI366" i="70" s="1"/>
  <c r="BE367" i="70"/>
  <c r="BF367" i="70" s="1"/>
  <c r="BG367" i="70" s="1"/>
  <c r="BH367" i="70" s="1"/>
  <c r="BI367" i="70" s="1"/>
  <c r="BE368" i="70"/>
  <c r="BE369" i="70"/>
  <c r="BF369" i="70" s="1"/>
  <c r="BG369" i="70" s="1"/>
  <c r="BH369" i="70" s="1"/>
  <c r="BI369" i="70" s="1"/>
  <c r="BE370" i="70"/>
  <c r="BF370" i="70" s="1"/>
  <c r="BG370" i="70" s="1"/>
  <c r="BH370" i="70" s="1"/>
  <c r="BI370" i="70" s="1"/>
  <c r="BE371" i="70"/>
  <c r="BF371" i="70" s="1"/>
  <c r="BG371" i="70" s="1"/>
  <c r="BH371" i="70" s="1"/>
  <c r="BI371" i="70" s="1"/>
  <c r="BE372" i="70"/>
  <c r="BF372" i="70" s="1"/>
  <c r="BG372" i="70" s="1"/>
  <c r="BH372" i="70" s="1"/>
  <c r="BI372" i="70" s="1"/>
  <c r="BE373" i="70"/>
  <c r="BF373" i="70" s="1"/>
  <c r="BG373" i="70" s="1"/>
  <c r="BH373" i="70" s="1"/>
  <c r="BI373" i="70" s="1"/>
  <c r="BE374" i="70"/>
  <c r="BF374" i="70" s="1"/>
  <c r="BG374" i="70" s="1"/>
  <c r="BH374" i="70" s="1"/>
  <c r="BI374" i="70" s="1"/>
  <c r="BE375" i="70"/>
  <c r="BF375" i="70" s="1"/>
  <c r="BG375" i="70" s="1"/>
  <c r="BH375" i="70" s="1"/>
  <c r="BI375" i="70" s="1"/>
  <c r="BE376" i="70"/>
  <c r="BE377" i="70"/>
  <c r="BF377" i="70" s="1"/>
  <c r="BG377" i="70" s="1"/>
  <c r="BH377" i="70" s="1"/>
  <c r="BI377" i="70" s="1"/>
  <c r="BE378" i="70"/>
  <c r="BF378" i="70" s="1"/>
  <c r="BG378" i="70" s="1"/>
  <c r="BH378" i="70" s="1"/>
  <c r="BI378" i="70" s="1"/>
  <c r="BE379" i="70"/>
  <c r="BF379" i="70" s="1"/>
  <c r="BG379" i="70" s="1"/>
  <c r="BH379" i="70" s="1"/>
  <c r="BI379" i="70" s="1"/>
  <c r="BE380" i="70"/>
  <c r="BF380" i="70" s="1"/>
  <c r="BG380" i="70" s="1"/>
  <c r="BH380" i="70" s="1"/>
  <c r="BE381" i="70"/>
  <c r="BF381" i="70" s="1"/>
  <c r="BG381" i="70" s="1"/>
  <c r="BH381" i="70" s="1"/>
  <c r="BI381" i="70" s="1"/>
  <c r="BE382" i="70"/>
  <c r="BF382" i="70" s="1"/>
  <c r="BG382" i="70" s="1"/>
  <c r="BH382" i="70" s="1"/>
  <c r="BI382" i="70" s="1"/>
  <c r="BE383" i="70"/>
  <c r="BF383" i="70" s="1"/>
  <c r="BG383" i="70" s="1"/>
  <c r="BH383" i="70" s="1"/>
  <c r="BI383" i="70" s="1"/>
  <c r="BE384" i="70"/>
  <c r="BE385" i="70"/>
  <c r="BF385" i="70" s="1"/>
  <c r="BG385" i="70" s="1"/>
  <c r="BH385" i="70" s="1"/>
  <c r="BE386" i="70"/>
  <c r="BF386" i="70" s="1"/>
  <c r="BG386" i="70" s="1"/>
  <c r="BH386" i="70" s="1"/>
  <c r="BI386" i="70" s="1"/>
  <c r="BE387" i="70"/>
  <c r="BF387" i="70" s="1"/>
  <c r="BG387" i="70" s="1"/>
  <c r="BH387" i="70" s="1"/>
  <c r="BI387" i="70" s="1"/>
  <c r="BE388" i="70"/>
  <c r="BF388" i="70" s="1"/>
  <c r="BG388" i="70" s="1"/>
  <c r="BH388" i="70" s="1"/>
  <c r="BI388" i="70" s="1"/>
  <c r="BE389" i="70"/>
  <c r="BF389" i="70" s="1"/>
  <c r="BG389" i="70" s="1"/>
  <c r="BH389" i="70" s="1"/>
  <c r="BI389" i="70" s="1"/>
  <c r="BE390" i="70"/>
  <c r="BF390" i="70" s="1"/>
  <c r="BG390" i="70" s="1"/>
  <c r="BH390" i="70" s="1"/>
  <c r="BI390" i="70" s="1"/>
  <c r="BE391" i="70"/>
  <c r="BF391" i="70" s="1"/>
  <c r="BG391" i="70" s="1"/>
  <c r="BH391" i="70" s="1"/>
  <c r="BI391" i="70" s="1"/>
  <c r="BE392" i="70"/>
  <c r="BE393" i="70"/>
  <c r="BF393" i="70" s="1"/>
  <c r="BG393" i="70" s="1"/>
  <c r="BH393" i="70" s="1"/>
  <c r="BI393" i="70" s="1"/>
  <c r="BE394" i="70"/>
  <c r="BF394" i="70" s="1"/>
  <c r="BG394" i="70" s="1"/>
  <c r="BH394" i="70" s="1"/>
  <c r="BI394" i="70" s="1"/>
  <c r="BE395" i="70"/>
  <c r="BF395" i="70" s="1"/>
  <c r="BG395" i="70" s="1"/>
  <c r="BH395" i="70" s="1"/>
  <c r="BI395" i="70" s="1"/>
  <c r="BE396" i="70"/>
  <c r="BF396" i="70" s="1"/>
  <c r="BG396" i="70" s="1"/>
  <c r="BH396" i="70" s="1"/>
  <c r="BE397" i="70"/>
  <c r="BF397" i="70" s="1"/>
  <c r="BG397" i="70" s="1"/>
  <c r="BH397" i="70" s="1"/>
  <c r="BI397" i="70" s="1"/>
  <c r="BE398" i="70"/>
  <c r="BF398" i="70" s="1"/>
  <c r="BG398" i="70" s="1"/>
  <c r="BH398" i="70" s="1"/>
  <c r="BI398" i="70" s="1"/>
  <c r="BE399" i="70"/>
  <c r="BF399" i="70" s="1"/>
  <c r="BG399" i="70" s="1"/>
  <c r="BH399" i="70" s="1"/>
  <c r="BI399" i="70" s="1"/>
  <c r="BE400" i="70"/>
  <c r="BE401" i="70"/>
  <c r="BF401" i="70" s="1"/>
  <c r="BG401" i="70" s="1"/>
  <c r="BH401" i="70" s="1"/>
  <c r="BI401" i="70" s="1"/>
  <c r="BE402" i="70"/>
  <c r="BF402" i="70" s="1"/>
  <c r="BG402" i="70" s="1"/>
  <c r="BH402" i="70" s="1"/>
  <c r="BI402" i="70" s="1"/>
  <c r="BE403" i="70"/>
  <c r="BF403" i="70" s="1"/>
  <c r="BG403" i="70" s="1"/>
  <c r="BH403" i="70" s="1"/>
  <c r="BI403" i="70" s="1"/>
  <c r="BE404" i="70"/>
  <c r="BF404" i="70" s="1"/>
  <c r="BG404" i="70" s="1"/>
  <c r="BH404" i="70" s="1"/>
  <c r="BE405" i="70"/>
  <c r="BF405" i="70" s="1"/>
  <c r="BG405" i="70" s="1"/>
  <c r="BH405" i="70" s="1"/>
  <c r="BI405" i="70" s="1"/>
  <c r="BE406" i="70"/>
  <c r="BF406" i="70" s="1"/>
  <c r="BG406" i="70" s="1"/>
  <c r="BH406" i="70" s="1"/>
  <c r="BI406" i="70" s="1"/>
  <c r="BE407" i="70"/>
  <c r="BF407" i="70" s="1"/>
  <c r="BG407" i="70" s="1"/>
  <c r="BH407" i="70" s="1"/>
  <c r="BI407" i="70" s="1"/>
  <c r="BE408" i="70"/>
  <c r="BE409" i="70"/>
  <c r="BF409" i="70" s="1"/>
  <c r="BG409" i="70" s="1"/>
  <c r="BH409" i="70" s="1"/>
  <c r="BI409" i="70" s="1"/>
  <c r="BE410" i="70"/>
  <c r="BF410" i="70" s="1"/>
  <c r="BG410" i="70" s="1"/>
  <c r="BH410" i="70" s="1"/>
  <c r="BI410" i="70" s="1"/>
  <c r="BE411" i="70"/>
  <c r="BF411" i="70" s="1"/>
  <c r="BG411" i="70" s="1"/>
  <c r="BH411" i="70" s="1"/>
  <c r="BI411" i="70" s="1"/>
  <c r="BE412" i="70"/>
  <c r="BF412" i="70" s="1"/>
  <c r="BG412" i="70" s="1"/>
  <c r="BH412" i="70" s="1"/>
  <c r="BE413" i="70"/>
  <c r="BF413" i="70" s="1"/>
  <c r="BG413" i="70" s="1"/>
  <c r="BH413" i="70" s="1"/>
  <c r="BI413" i="70" s="1"/>
  <c r="BE414" i="70"/>
  <c r="BF414" i="70" s="1"/>
  <c r="BG414" i="70" s="1"/>
  <c r="BH414" i="70" s="1"/>
  <c r="BI414" i="70" s="1"/>
  <c r="BE415" i="70"/>
  <c r="BF415" i="70" s="1"/>
  <c r="BG415" i="70" s="1"/>
  <c r="BH415" i="70" s="1"/>
  <c r="BI415" i="70" s="1"/>
  <c r="BE416" i="70"/>
  <c r="BE417" i="70"/>
  <c r="BF417" i="70" s="1"/>
  <c r="BG417" i="70" s="1"/>
  <c r="BH417" i="70" s="1"/>
  <c r="BI417" i="70" s="1"/>
  <c r="BE418" i="70"/>
  <c r="BF418" i="70" s="1"/>
  <c r="BG418" i="70" s="1"/>
  <c r="BH418" i="70" s="1"/>
  <c r="BI418" i="70" s="1"/>
  <c r="BE419" i="70"/>
  <c r="BF419" i="70" s="1"/>
  <c r="BG419" i="70" s="1"/>
  <c r="BH419" i="70" s="1"/>
  <c r="BI419" i="70" s="1"/>
  <c r="BE420" i="70"/>
  <c r="BF420" i="70" s="1"/>
  <c r="BG420" i="70" s="1"/>
  <c r="BH420" i="70" s="1"/>
  <c r="BI420" i="70" s="1"/>
  <c r="BE421" i="70"/>
  <c r="BF421" i="70" s="1"/>
  <c r="BG421" i="70" s="1"/>
  <c r="BH421" i="70" s="1"/>
  <c r="BI421" i="70" s="1"/>
  <c r="BE422" i="70"/>
  <c r="BF422" i="70" s="1"/>
  <c r="BG422" i="70" s="1"/>
  <c r="BH422" i="70" s="1"/>
  <c r="BI422" i="70" s="1"/>
  <c r="BE423" i="70"/>
  <c r="BF423" i="70" s="1"/>
  <c r="BG423" i="70" s="1"/>
  <c r="BH423" i="70" s="1"/>
  <c r="BI423" i="70" s="1"/>
  <c r="BE424" i="70"/>
  <c r="BE425" i="70"/>
  <c r="BF425" i="70" s="1"/>
  <c r="BG425" i="70" s="1"/>
  <c r="BH425" i="70" s="1"/>
  <c r="BE426" i="70"/>
  <c r="BF426" i="70" s="1"/>
  <c r="BG426" i="70" s="1"/>
  <c r="BH426" i="70" s="1"/>
  <c r="BI426" i="70" s="1"/>
  <c r="BE427" i="70"/>
  <c r="BF427" i="70" s="1"/>
  <c r="BG427" i="70" s="1"/>
  <c r="BH427" i="70" s="1"/>
  <c r="BI427" i="70" s="1"/>
  <c r="BE428" i="70"/>
  <c r="BF428" i="70" s="1"/>
  <c r="BG428" i="70" s="1"/>
  <c r="BH428" i="70" s="1"/>
  <c r="BI428" i="70" s="1"/>
  <c r="BE429" i="70"/>
  <c r="BF429" i="70" s="1"/>
  <c r="BG429" i="70" s="1"/>
  <c r="BH429" i="70" s="1"/>
  <c r="BI429" i="70" s="1"/>
  <c r="BE430" i="70"/>
  <c r="BF430" i="70" s="1"/>
  <c r="BG430" i="70" s="1"/>
  <c r="BH430" i="70" s="1"/>
  <c r="BI430" i="70" s="1"/>
  <c r="BE431" i="70"/>
  <c r="BF431" i="70" s="1"/>
  <c r="BG431" i="70" s="1"/>
  <c r="BH431" i="70" s="1"/>
  <c r="BI431" i="70" s="1"/>
  <c r="BE432" i="70"/>
  <c r="BE433" i="70"/>
  <c r="BF433" i="70" s="1"/>
  <c r="BG433" i="70" s="1"/>
  <c r="BH433" i="70" s="1"/>
  <c r="BE434" i="70"/>
  <c r="BF434" i="70" s="1"/>
  <c r="BG434" i="70" s="1"/>
  <c r="BH434" i="70" s="1"/>
  <c r="BI434" i="70" s="1"/>
  <c r="BE435" i="70"/>
  <c r="BF435" i="70" s="1"/>
  <c r="BG435" i="70" s="1"/>
  <c r="BH435" i="70" s="1"/>
  <c r="BI435" i="70" s="1"/>
  <c r="BE436" i="70"/>
  <c r="BF436" i="70" s="1"/>
  <c r="BG436" i="70" s="1"/>
  <c r="BH436" i="70" s="1"/>
  <c r="BE437" i="70"/>
  <c r="BF437" i="70" s="1"/>
  <c r="BG437" i="70" s="1"/>
  <c r="BH437" i="70" s="1"/>
  <c r="BI437" i="70" s="1"/>
  <c r="BE438" i="70"/>
  <c r="BF438" i="70" s="1"/>
  <c r="BG438" i="70" s="1"/>
  <c r="BH438" i="70" s="1"/>
  <c r="BI438" i="70" s="1"/>
  <c r="BE439" i="70"/>
  <c r="BF439" i="70" s="1"/>
  <c r="BG439" i="70" s="1"/>
  <c r="BH439" i="70" s="1"/>
  <c r="BI439" i="70" s="1"/>
  <c r="BE440" i="70"/>
  <c r="BE441" i="70"/>
  <c r="BF441" i="70" s="1"/>
  <c r="BG441" i="70" s="1"/>
  <c r="BH441" i="70" s="1"/>
  <c r="BE442" i="70"/>
  <c r="BF442" i="70" s="1"/>
  <c r="BG442" i="70" s="1"/>
  <c r="BH442" i="70" s="1"/>
  <c r="BI442" i="70" s="1"/>
  <c r="BE443" i="70"/>
  <c r="BF443" i="70" s="1"/>
  <c r="BG443" i="70" s="1"/>
  <c r="BH443" i="70" s="1"/>
  <c r="BI443" i="70" s="1"/>
  <c r="BE444" i="70"/>
  <c r="BF444" i="70" s="1"/>
  <c r="BG444" i="70" s="1"/>
  <c r="BH444" i="70" s="1"/>
  <c r="BE445" i="70"/>
  <c r="BF445" i="70" s="1"/>
  <c r="BG445" i="70" s="1"/>
  <c r="BH445" i="70" s="1"/>
  <c r="BI445" i="70" s="1"/>
  <c r="BE446" i="70"/>
  <c r="BF446" i="70" s="1"/>
  <c r="BG446" i="70" s="1"/>
  <c r="BH446" i="70" s="1"/>
  <c r="BI446" i="70" s="1"/>
  <c r="BE447" i="70"/>
  <c r="BF447" i="70" s="1"/>
  <c r="BG447" i="70" s="1"/>
  <c r="BH447" i="70" s="1"/>
  <c r="BI447" i="70" s="1"/>
  <c r="BE448" i="70"/>
  <c r="BE449" i="70"/>
  <c r="BF449" i="70" s="1"/>
  <c r="BG449" i="70" s="1"/>
  <c r="BH449" i="70" s="1"/>
  <c r="BE450" i="70"/>
  <c r="BF450" i="70" s="1"/>
  <c r="BG450" i="70" s="1"/>
  <c r="BH450" i="70" s="1"/>
  <c r="BI450" i="70" s="1"/>
  <c r="BE451" i="70"/>
  <c r="BF451" i="70" s="1"/>
  <c r="BG451" i="70" s="1"/>
  <c r="BH451" i="70" s="1"/>
  <c r="BI451" i="70" s="1"/>
  <c r="BE452" i="70"/>
  <c r="BF452" i="70" s="1"/>
  <c r="BG452" i="70" s="1"/>
  <c r="BH452" i="70" s="1"/>
  <c r="BE453" i="70"/>
  <c r="BF453" i="70" s="1"/>
  <c r="BG453" i="70" s="1"/>
  <c r="BH453" i="70" s="1"/>
  <c r="BI453" i="70" s="1"/>
  <c r="BE454" i="70"/>
  <c r="BF454" i="70" s="1"/>
  <c r="BG454" i="70" s="1"/>
  <c r="BH454" i="70" s="1"/>
  <c r="BI454" i="70" s="1"/>
  <c r="BE455" i="70"/>
  <c r="BF455" i="70" s="1"/>
  <c r="BG455" i="70" s="1"/>
  <c r="BH455" i="70" s="1"/>
  <c r="BI455" i="70" s="1"/>
  <c r="BE456" i="70"/>
  <c r="BE457" i="70"/>
  <c r="BF457" i="70" s="1"/>
  <c r="BG457" i="70" s="1"/>
  <c r="BH457" i="70" s="1"/>
  <c r="BI457" i="70" s="1"/>
  <c r="BE458" i="70"/>
  <c r="BF458" i="70" s="1"/>
  <c r="BG458" i="70" s="1"/>
  <c r="BH458" i="70" s="1"/>
  <c r="BI458" i="70" s="1"/>
  <c r="BE459" i="70"/>
  <c r="BF459" i="70" s="1"/>
  <c r="BG459" i="70" s="1"/>
  <c r="BH459" i="70" s="1"/>
  <c r="BI459" i="70" s="1"/>
  <c r="BE460" i="70"/>
  <c r="BF460" i="70" s="1"/>
  <c r="BG460" i="70" s="1"/>
  <c r="BH460" i="70" s="1"/>
  <c r="BE461" i="70"/>
  <c r="BF461" i="70" s="1"/>
  <c r="BG461" i="70" s="1"/>
  <c r="BH461" i="70" s="1"/>
  <c r="BI461" i="70" s="1"/>
  <c r="BE462" i="70"/>
  <c r="BF462" i="70" s="1"/>
  <c r="BG462" i="70" s="1"/>
  <c r="BH462" i="70" s="1"/>
  <c r="BI462" i="70" s="1"/>
  <c r="BE463" i="70"/>
  <c r="BF463" i="70" s="1"/>
  <c r="BG463" i="70" s="1"/>
  <c r="BH463" i="70" s="1"/>
  <c r="BI463" i="70" s="1"/>
  <c r="BE464" i="70"/>
  <c r="BE465" i="70"/>
  <c r="BF465" i="70" s="1"/>
  <c r="BG465" i="70" s="1"/>
  <c r="BH465" i="70" s="1"/>
  <c r="BE466" i="70"/>
  <c r="BF466" i="70" s="1"/>
  <c r="BG466" i="70" s="1"/>
  <c r="BH466" i="70" s="1"/>
  <c r="BI466" i="70" s="1"/>
  <c r="BE467" i="70"/>
  <c r="BF467" i="70" s="1"/>
  <c r="BG467" i="70" s="1"/>
  <c r="BH467" i="70" s="1"/>
  <c r="BI467" i="70" s="1"/>
  <c r="BE468" i="70"/>
  <c r="BF468" i="70" s="1"/>
  <c r="BG468" i="70" s="1"/>
  <c r="BH468" i="70" s="1"/>
  <c r="BE469" i="70"/>
  <c r="BF469" i="70" s="1"/>
  <c r="BG469" i="70" s="1"/>
  <c r="BH469" i="70" s="1"/>
  <c r="BI469" i="70" s="1"/>
  <c r="BE470" i="70"/>
  <c r="BF470" i="70" s="1"/>
  <c r="BG470" i="70" s="1"/>
  <c r="BH470" i="70" s="1"/>
  <c r="BI470" i="70" s="1"/>
  <c r="BE471" i="70"/>
  <c r="BF471" i="70" s="1"/>
  <c r="BG471" i="70" s="1"/>
  <c r="BH471" i="70" s="1"/>
  <c r="BI471" i="70" s="1"/>
  <c r="BE472" i="70"/>
  <c r="BE473" i="70"/>
  <c r="BF473" i="70" s="1"/>
  <c r="BG473" i="70" s="1"/>
  <c r="BH473" i="70" s="1"/>
  <c r="BI473" i="70" s="1"/>
  <c r="BE474" i="70"/>
  <c r="BF474" i="70" s="1"/>
  <c r="BG474" i="70" s="1"/>
  <c r="BH474" i="70" s="1"/>
  <c r="BI474" i="70" s="1"/>
  <c r="BE475" i="70"/>
  <c r="BF475" i="70" s="1"/>
  <c r="BG475" i="70" s="1"/>
  <c r="BH475" i="70" s="1"/>
  <c r="BI475" i="70" s="1"/>
  <c r="BE476" i="70"/>
  <c r="BF476" i="70" s="1"/>
  <c r="BG476" i="70" s="1"/>
  <c r="BH476" i="70" s="1"/>
  <c r="BE477" i="70"/>
  <c r="BF477" i="70" s="1"/>
  <c r="BG477" i="70" s="1"/>
  <c r="BH477" i="70" s="1"/>
  <c r="BI477" i="70" s="1"/>
  <c r="BE478" i="70"/>
  <c r="BF478" i="70" s="1"/>
  <c r="BG478" i="70" s="1"/>
  <c r="BH478" i="70" s="1"/>
  <c r="BI478" i="70" s="1"/>
  <c r="BE479" i="70"/>
  <c r="BF479" i="70" s="1"/>
  <c r="BG479" i="70" s="1"/>
  <c r="BH479" i="70" s="1"/>
  <c r="BI479" i="70" s="1"/>
  <c r="BE480" i="70"/>
  <c r="BE481" i="70"/>
  <c r="BF481" i="70" s="1"/>
  <c r="BG481" i="70" s="1"/>
  <c r="BH481" i="70" s="1"/>
  <c r="BI481" i="70" s="1"/>
  <c r="BE482" i="70"/>
  <c r="BF482" i="70" s="1"/>
  <c r="BG482" i="70" s="1"/>
  <c r="BH482" i="70" s="1"/>
  <c r="BI482" i="70" s="1"/>
  <c r="BE483" i="70"/>
  <c r="BF483" i="70" s="1"/>
  <c r="BG483" i="70" s="1"/>
  <c r="BH483" i="70" s="1"/>
  <c r="BI483" i="70" s="1"/>
  <c r="BE484" i="70"/>
  <c r="BF484" i="70" s="1"/>
  <c r="BG484" i="70" s="1"/>
  <c r="BH484" i="70" s="1"/>
  <c r="BI484" i="70" s="1"/>
  <c r="BE485" i="70"/>
  <c r="BF485" i="70" s="1"/>
  <c r="BG485" i="70" s="1"/>
  <c r="BH485" i="70" s="1"/>
  <c r="BI485" i="70" s="1"/>
  <c r="BE486" i="70"/>
  <c r="BF486" i="70" s="1"/>
  <c r="BG486" i="70" s="1"/>
  <c r="BH486" i="70" s="1"/>
  <c r="BI486" i="70" s="1"/>
  <c r="BE487" i="70"/>
  <c r="BF487" i="70" s="1"/>
  <c r="BG487" i="70" s="1"/>
  <c r="BH487" i="70" s="1"/>
  <c r="BI487" i="70" s="1"/>
  <c r="BE488" i="70"/>
  <c r="BE489" i="70"/>
  <c r="BF489" i="70" s="1"/>
  <c r="BG489" i="70" s="1"/>
  <c r="BH489" i="70" s="1"/>
  <c r="BI489" i="70" s="1"/>
  <c r="BE490" i="70"/>
  <c r="BF490" i="70" s="1"/>
  <c r="BG490" i="70" s="1"/>
  <c r="BH490" i="70" s="1"/>
  <c r="BI490" i="70" s="1"/>
  <c r="BE491" i="70"/>
  <c r="BF491" i="70" s="1"/>
  <c r="BG491" i="70" s="1"/>
  <c r="BH491" i="70" s="1"/>
  <c r="BI491" i="70" s="1"/>
  <c r="BE492" i="70"/>
  <c r="BF492" i="70" s="1"/>
  <c r="BG492" i="70" s="1"/>
  <c r="BH492" i="70" s="1"/>
  <c r="BE493" i="70"/>
  <c r="BF493" i="70" s="1"/>
  <c r="BG493" i="70" s="1"/>
  <c r="BH493" i="70" s="1"/>
  <c r="BI493" i="70" s="1"/>
  <c r="BE494" i="70"/>
  <c r="BF494" i="70" s="1"/>
  <c r="BG494" i="70" s="1"/>
  <c r="BH494" i="70" s="1"/>
  <c r="BI494" i="70" s="1"/>
  <c r="BE495" i="70"/>
  <c r="BF495" i="70" s="1"/>
  <c r="BG495" i="70" s="1"/>
  <c r="BH495" i="70" s="1"/>
  <c r="BI495" i="70" s="1"/>
  <c r="BE496" i="70"/>
  <c r="BE497" i="70"/>
  <c r="BF497" i="70" s="1"/>
  <c r="BG497" i="70" s="1"/>
  <c r="BH497" i="70" s="1"/>
  <c r="BI497" i="70" s="1"/>
  <c r="BE498" i="70"/>
  <c r="BF498" i="70" s="1"/>
  <c r="BG498" i="70" s="1"/>
  <c r="BH498" i="70" s="1"/>
  <c r="BI498" i="70" s="1"/>
  <c r="BE499" i="70"/>
  <c r="BF499" i="70" s="1"/>
  <c r="BG499" i="70" s="1"/>
  <c r="BH499" i="70" s="1"/>
  <c r="BI499" i="70" s="1"/>
  <c r="BE500" i="70"/>
  <c r="BF500" i="70" s="1"/>
  <c r="BG500" i="70" s="1"/>
  <c r="BH500" i="70" s="1"/>
  <c r="BI500" i="70" s="1"/>
  <c r="BE501" i="70"/>
  <c r="BF501" i="70" s="1"/>
  <c r="BG501" i="70" s="1"/>
  <c r="BH501" i="70" s="1"/>
  <c r="BI501" i="70" s="1"/>
  <c r="BE502" i="70"/>
  <c r="BF502" i="70" s="1"/>
  <c r="BG502" i="70" s="1"/>
  <c r="BH502" i="70" s="1"/>
  <c r="BI502" i="70" s="1"/>
  <c r="BE503" i="70"/>
  <c r="BF503" i="70" s="1"/>
  <c r="BG503" i="70" s="1"/>
  <c r="BH503" i="70" s="1"/>
  <c r="BI503" i="70" s="1"/>
  <c r="BE504" i="70"/>
  <c r="BE505" i="70"/>
  <c r="BF505" i="70" s="1"/>
  <c r="BG505" i="70" s="1"/>
  <c r="BH505" i="70" s="1"/>
  <c r="BI505" i="70" s="1"/>
  <c r="BE506" i="70"/>
  <c r="BF506" i="70" s="1"/>
  <c r="BG506" i="70" s="1"/>
  <c r="BH506" i="70" s="1"/>
  <c r="BI506" i="70" s="1"/>
  <c r="BE507" i="70"/>
  <c r="BF507" i="70" s="1"/>
  <c r="BG507" i="70" s="1"/>
  <c r="BH507" i="70" s="1"/>
  <c r="BI507" i="70" s="1"/>
  <c r="BE508" i="70"/>
  <c r="BF508" i="70" s="1"/>
  <c r="BG508" i="70" s="1"/>
  <c r="BH508" i="70" s="1"/>
  <c r="BE509" i="70"/>
  <c r="BF509" i="70" s="1"/>
  <c r="BG509" i="70" s="1"/>
  <c r="BH509" i="70" s="1"/>
  <c r="BI509" i="70" s="1"/>
  <c r="BE510" i="70"/>
  <c r="BF510" i="70" s="1"/>
  <c r="BG510" i="70" s="1"/>
  <c r="BH510" i="70" s="1"/>
  <c r="BI510" i="70" s="1"/>
  <c r="BE511" i="70"/>
  <c r="BF511" i="70" s="1"/>
  <c r="BG511" i="70" s="1"/>
  <c r="BH511" i="70" s="1"/>
  <c r="BI511" i="70" s="1"/>
  <c r="BE512" i="70"/>
  <c r="BE513" i="70"/>
  <c r="BF513" i="70" s="1"/>
  <c r="BG513" i="70" s="1"/>
  <c r="BH513" i="70" s="1"/>
  <c r="BI513" i="70" s="1"/>
  <c r="BE514" i="70"/>
  <c r="BF514" i="70" s="1"/>
  <c r="BG514" i="70" s="1"/>
  <c r="BH514" i="70" s="1"/>
  <c r="BI514" i="70" s="1"/>
  <c r="BE515" i="70"/>
  <c r="BF515" i="70" s="1"/>
  <c r="BG515" i="70" s="1"/>
  <c r="BH515" i="70" s="1"/>
  <c r="BI515" i="70" s="1"/>
  <c r="BE516" i="70"/>
  <c r="BF516" i="70" s="1"/>
  <c r="BG516" i="70" s="1"/>
  <c r="BH516" i="70" s="1"/>
  <c r="BE517" i="70"/>
  <c r="BF517" i="70" s="1"/>
  <c r="BG517" i="70" s="1"/>
  <c r="BH517" i="70" s="1"/>
  <c r="BI517" i="70" s="1"/>
  <c r="BE518" i="70"/>
  <c r="BF518" i="70" s="1"/>
  <c r="BG518" i="70" s="1"/>
  <c r="BH518" i="70" s="1"/>
  <c r="BI518" i="70" s="1"/>
  <c r="BE519" i="70"/>
  <c r="BF519" i="70" s="1"/>
  <c r="BG519" i="70" s="1"/>
  <c r="BH519" i="70" s="1"/>
  <c r="BI519" i="70" s="1"/>
  <c r="BE520" i="70"/>
  <c r="BF520" i="70" s="1"/>
  <c r="BE521" i="70"/>
  <c r="BF521" i="70" s="1"/>
  <c r="BG521" i="70" s="1"/>
  <c r="BH521" i="70" s="1"/>
  <c r="BE522" i="70"/>
  <c r="BF522" i="70" s="1"/>
  <c r="BG522" i="70" s="1"/>
  <c r="BH522" i="70" s="1"/>
  <c r="BI522" i="70" s="1"/>
  <c r="BE523" i="70"/>
  <c r="BF523" i="70" s="1"/>
  <c r="BG523" i="70" s="1"/>
  <c r="BH523" i="70" s="1"/>
  <c r="BI523" i="70" s="1"/>
  <c r="BE524" i="70"/>
  <c r="BF524" i="70" s="1"/>
  <c r="BG524" i="70" s="1"/>
  <c r="BH524" i="70" s="1"/>
  <c r="BE525" i="70"/>
  <c r="BF525" i="70" s="1"/>
  <c r="BG525" i="70" s="1"/>
  <c r="BH525" i="70" s="1"/>
  <c r="BI525" i="70" s="1"/>
  <c r="BF16" i="70"/>
  <c r="BG16" i="70" s="1"/>
  <c r="BH16" i="70" s="1"/>
  <c r="BI16" i="70" s="1"/>
  <c r="BF17" i="70"/>
  <c r="BG17" i="70" s="1"/>
  <c r="BH17" i="70" s="1"/>
  <c r="BI17" i="70" s="1"/>
  <c r="BF24" i="70"/>
  <c r="BG24" i="70" s="1"/>
  <c r="BH24" i="70" s="1"/>
  <c r="BI24" i="70" s="1"/>
  <c r="BF25" i="70"/>
  <c r="BG25" i="70" s="1"/>
  <c r="BH25" i="70" s="1"/>
  <c r="BF26" i="70"/>
  <c r="BG26" i="70" s="1"/>
  <c r="BH26" i="70" s="1"/>
  <c r="BI26" i="70" s="1"/>
  <c r="BF27" i="70"/>
  <c r="BG27" i="70" s="1"/>
  <c r="BH27" i="70" s="1"/>
  <c r="BI27" i="70" s="1"/>
  <c r="BF32" i="70"/>
  <c r="BG32" i="70" s="1"/>
  <c r="BH32" i="70" s="1"/>
  <c r="BI32" i="70" s="1"/>
  <c r="BF33" i="70"/>
  <c r="BG33" i="70" s="1"/>
  <c r="BH33" i="70" s="1"/>
  <c r="BF34" i="70"/>
  <c r="BG34" i="70" s="1"/>
  <c r="BH34" i="70" s="1"/>
  <c r="BI34" i="70" s="1"/>
  <c r="BF40" i="70"/>
  <c r="BG40" i="70" s="1"/>
  <c r="BH40" i="70" s="1"/>
  <c r="BI40" i="70" s="1"/>
  <c r="BF48" i="70"/>
  <c r="BG48" i="70" s="1"/>
  <c r="BH48" i="70" s="1"/>
  <c r="BI48" i="70" s="1"/>
  <c r="BF49" i="70"/>
  <c r="BG49" i="70" s="1"/>
  <c r="BH49" i="70" s="1"/>
  <c r="BI49" i="70" s="1"/>
  <c r="BF50" i="70"/>
  <c r="BG50" i="70" s="1"/>
  <c r="BH50" i="70" s="1"/>
  <c r="BI50" i="70" s="1"/>
  <c r="BF56" i="70"/>
  <c r="BG56" i="70" s="1"/>
  <c r="BH56" i="70" s="1"/>
  <c r="BI56" i="70" s="1"/>
  <c r="BF57" i="70"/>
  <c r="BG57" i="70" s="1"/>
  <c r="BH57" i="70" s="1"/>
  <c r="BI57" i="70" s="1"/>
  <c r="BF58" i="70"/>
  <c r="BG58" i="70" s="1"/>
  <c r="BH58" i="70" s="1"/>
  <c r="BI58" i="70" s="1"/>
  <c r="BF64" i="70"/>
  <c r="BG64" i="70" s="1"/>
  <c r="BH64" i="70" s="1"/>
  <c r="BI64" i="70" s="1"/>
  <c r="BF65" i="70"/>
  <c r="BG65" i="70" s="1"/>
  <c r="BH65" i="70" s="1"/>
  <c r="BF72" i="70"/>
  <c r="BG72" i="70" s="1"/>
  <c r="BH72" i="70" s="1"/>
  <c r="BI72" i="70" s="1"/>
  <c r="BF73" i="70"/>
  <c r="BG73" i="70" s="1"/>
  <c r="BH73" i="70" s="1"/>
  <c r="BI73" i="70" s="1"/>
  <c r="BF74" i="70"/>
  <c r="BG74" i="70" s="1"/>
  <c r="BH74" i="70" s="1"/>
  <c r="BI74" i="70" s="1"/>
  <c r="BF80" i="70"/>
  <c r="BG80" i="70" s="1"/>
  <c r="BH80" i="70" s="1"/>
  <c r="BI80" i="70" s="1"/>
  <c r="BF81" i="70"/>
  <c r="BG81" i="70" s="1"/>
  <c r="BH81" i="70" s="1"/>
  <c r="BI81" i="70" s="1"/>
  <c r="BF88" i="70"/>
  <c r="BG88" i="70" s="1"/>
  <c r="BH88" i="70" s="1"/>
  <c r="BI88" i="70" s="1"/>
  <c r="BF89" i="70"/>
  <c r="BG89" i="70" s="1"/>
  <c r="BH89" i="70" s="1"/>
  <c r="BI89" i="70" s="1"/>
  <c r="BF96" i="70"/>
  <c r="BG96" i="70" s="1"/>
  <c r="BH96" i="70" s="1"/>
  <c r="BI96" i="70" s="1"/>
  <c r="BF104" i="70"/>
  <c r="BG104" i="70" s="1"/>
  <c r="BH104" i="70" s="1"/>
  <c r="BI104" i="70" s="1"/>
  <c r="BF112" i="70"/>
  <c r="BG112" i="70" s="1"/>
  <c r="BH112" i="70" s="1"/>
  <c r="BI112" i="70" s="1"/>
  <c r="BF113" i="70"/>
  <c r="BG113" i="70" s="1"/>
  <c r="BH113" i="70" s="1"/>
  <c r="BI113" i="70" s="1"/>
  <c r="BF120" i="70"/>
  <c r="BG120" i="70" s="1"/>
  <c r="BH120" i="70" s="1"/>
  <c r="BI120" i="70" s="1"/>
  <c r="BF121" i="70"/>
  <c r="BG121" i="70" s="1"/>
  <c r="BH121" i="70" s="1"/>
  <c r="BI121" i="70" s="1"/>
  <c r="BF128" i="70"/>
  <c r="BG128" i="70" s="1"/>
  <c r="BH128" i="70" s="1"/>
  <c r="BI128" i="70" s="1"/>
  <c r="BF129" i="70"/>
  <c r="BG129" i="70" s="1"/>
  <c r="BH129" i="70" s="1"/>
  <c r="BF136" i="70"/>
  <c r="BG136" i="70" s="1"/>
  <c r="BH136" i="70" s="1"/>
  <c r="BI136" i="70" s="1"/>
  <c r="BF144" i="70"/>
  <c r="BG144" i="70" s="1"/>
  <c r="BH144" i="70" s="1"/>
  <c r="BI144" i="70" s="1"/>
  <c r="BF145" i="70"/>
  <c r="BG145" i="70" s="1"/>
  <c r="BH145" i="70" s="1"/>
  <c r="BF152" i="70"/>
  <c r="BG152" i="70" s="1"/>
  <c r="BH152" i="70" s="1"/>
  <c r="BI152" i="70" s="1"/>
  <c r="BF153" i="70"/>
  <c r="BG153" i="70" s="1"/>
  <c r="BH153" i="70" s="1"/>
  <c r="BF160" i="70"/>
  <c r="BG160" i="70" s="1"/>
  <c r="BH160" i="70" s="1"/>
  <c r="BI160" i="70" s="1"/>
  <c r="BF168" i="70"/>
  <c r="BG168" i="70" s="1"/>
  <c r="BH168" i="70" s="1"/>
  <c r="BI168" i="70" s="1"/>
  <c r="BF176" i="70"/>
  <c r="BG176" i="70" s="1"/>
  <c r="BH176" i="70" s="1"/>
  <c r="BI176" i="70" s="1"/>
  <c r="BF184" i="70"/>
  <c r="BG184" i="70" s="1"/>
  <c r="BH184" i="70" s="1"/>
  <c r="BI184" i="70" s="1"/>
  <c r="BF185" i="70"/>
  <c r="BG185" i="70" s="1"/>
  <c r="BH185" i="70" s="1"/>
  <c r="BI185" i="70" s="1"/>
  <c r="BF192" i="70"/>
  <c r="BG192" i="70" s="1"/>
  <c r="BH192" i="70" s="1"/>
  <c r="BI192" i="70" s="1"/>
  <c r="BF193" i="70"/>
  <c r="BG193" i="70" s="1"/>
  <c r="BH193" i="70" s="1"/>
  <c r="BI193" i="70" s="1"/>
  <c r="BF200" i="70"/>
  <c r="BG200" i="70" s="1"/>
  <c r="BH200" i="70" s="1"/>
  <c r="BI200" i="70" s="1"/>
  <c r="BF208" i="70"/>
  <c r="BG208" i="70" s="1"/>
  <c r="BH208" i="70" s="1"/>
  <c r="BI208" i="70" s="1"/>
  <c r="BF216" i="70"/>
  <c r="BG216" i="70" s="1"/>
  <c r="BH216" i="70" s="1"/>
  <c r="BI216" i="70" s="1"/>
  <c r="BF224" i="70"/>
  <c r="BG224" i="70" s="1"/>
  <c r="BH224" i="70" s="1"/>
  <c r="BI224" i="70" s="1"/>
  <c r="BF232" i="70"/>
  <c r="BG232" i="70" s="1"/>
  <c r="BH232" i="70" s="1"/>
  <c r="BI232" i="70" s="1"/>
  <c r="BF240" i="70"/>
  <c r="BG240" i="70" s="1"/>
  <c r="BH240" i="70" s="1"/>
  <c r="BI240" i="70" s="1"/>
  <c r="BF241" i="70"/>
  <c r="BG241" i="70" s="1"/>
  <c r="BH241" i="70" s="1"/>
  <c r="BI241" i="70" s="1"/>
  <c r="BF248" i="70"/>
  <c r="BG248" i="70" s="1"/>
  <c r="BH248" i="70" s="1"/>
  <c r="BI248" i="70" s="1"/>
  <c r="BF256" i="70"/>
  <c r="BG256" i="70" s="1"/>
  <c r="BH256" i="70" s="1"/>
  <c r="BI256" i="70" s="1"/>
  <c r="BF257" i="70"/>
  <c r="BG257" i="70" s="1"/>
  <c r="BH257" i="70" s="1"/>
  <c r="BF264" i="70"/>
  <c r="BG264" i="70" s="1"/>
  <c r="BH264" i="70" s="1"/>
  <c r="BI264" i="70" s="1"/>
  <c r="BF272" i="70"/>
  <c r="BG272" i="70" s="1"/>
  <c r="BH272" i="70" s="1"/>
  <c r="BI272" i="70" s="1"/>
  <c r="BF280" i="70"/>
  <c r="BG280" i="70" s="1"/>
  <c r="BH280" i="70" s="1"/>
  <c r="BI280" i="70" s="1"/>
  <c r="BF288" i="70"/>
  <c r="BG288" i="70" s="1"/>
  <c r="BH288" i="70" s="1"/>
  <c r="BI288" i="70" s="1"/>
  <c r="BF296" i="70"/>
  <c r="BG296" i="70" s="1"/>
  <c r="BH296" i="70" s="1"/>
  <c r="BI296" i="70" s="1"/>
  <c r="BF304" i="70"/>
  <c r="BG304" i="70" s="1"/>
  <c r="BH304" i="70" s="1"/>
  <c r="BI304" i="70" s="1"/>
  <c r="BF312" i="70"/>
  <c r="BG312" i="70" s="1"/>
  <c r="BH312" i="70" s="1"/>
  <c r="BI312" i="70" s="1"/>
  <c r="BF320" i="70"/>
  <c r="BG320" i="70" s="1"/>
  <c r="BH320" i="70" s="1"/>
  <c r="BI320" i="70" s="1"/>
  <c r="BF328" i="70"/>
  <c r="BG328" i="70" s="1"/>
  <c r="BH328" i="70" s="1"/>
  <c r="BI328" i="70" s="1"/>
  <c r="BF336" i="70"/>
  <c r="BG336" i="70" s="1"/>
  <c r="BH336" i="70" s="1"/>
  <c r="BI336" i="70" s="1"/>
  <c r="BF344" i="70"/>
  <c r="BG344" i="70" s="1"/>
  <c r="BH344" i="70" s="1"/>
  <c r="BI344" i="70" s="1"/>
  <c r="BF352" i="70"/>
  <c r="BG352" i="70" s="1"/>
  <c r="BH352" i="70" s="1"/>
  <c r="BI352" i="70" s="1"/>
  <c r="BF353" i="70"/>
  <c r="BG353" i="70" s="1"/>
  <c r="BH353" i="70" s="1"/>
  <c r="BI353" i="70" s="1"/>
  <c r="BF360" i="70"/>
  <c r="BG360" i="70" s="1"/>
  <c r="BH360" i="70" s="1"/>
  <c r="BI360" i="70" s="1"/>
  <c r="BF368" i="70"/>
  <c r="BG368" i="70" s="1"/>
  <c r="BH368" i="70" s="1"/>
  <c r="BI368" i="70" s="1"/>
  <c r="BF376" i="70"/>
  <c r="BG376" i="70" s="1"/>
  <c r="BH376" i="70" s="1"/>
  <c r="BI376" i="70" s="1"/>
  <c r="BF384" i="70"/>
  <c r="BG384" i="70" s="1"/>
  <c r="BH384" i="70" s="1"/>
  <c r="BI384" i="70" s="1"/>
  <c r="BF392" i="70"/>
  <c r="BG392" i="70" s="1"/>
  <c r="BH392" i="70" s="1"/>
  <c r="BI392" i="70" s="1"/>
  <c r="BF400" i="70"/>
  <c r="BG400" i="70" s="1"/>
  <c r="BH400" i="70" s="1"/>
  <c r="BI400" i="70" s="1"/>
  <c r="BF408" i="70"/>
  <c r="BG408" i="70" s="1"/>
  <c r="BH408" i="70" s="1"/>
  <c r="BI408" i="70" s="1"/>
  <c r="BF416" i="70"/>
  <c r="BG416" i="70" s="1"/>
  <c r="BH416" i="70" s="1"/>
  <c r="BI416" i="70" s="1"/>
  <c r="BF424" i="70"/>
  <c r="BG424" i="70" s="1"/>
  <c r="BH424" i="70" s="1"/>
  <c r="BI424" i="70" s="1"/>
  <c r="BF432" i="70"/>
  <c r="BG432" i="70" s="1"/>
  <c r="BH432" i="70" s="1"/>
  <c r="BI432" i="70" s="1"/>
  <c r="BF440" i="70"/>
  <c r="BG440" i="70" s="1"/>
  <c r="BH440" i="70" s="1"/>
  <c r="BI440" i="70" s="1"/>
  <c r="BF448" i="70"/>
  <c r="BG448" i="70" s="1"/>
  <c r="BH448" i="70" s="1"/>
  <c r="BI448" i="70" s="1"/>
  <c r="BF456" i="70"/>
  <c r="BG456" i="70" s="1"/>
  <c r="BH456" i="70" s="1"/>
  <c r="BI456" i="70" s="1"/>
  <c r="BF464" i="70"/>
  <c r="BG464" i="70" s="1"/>
  <c r="BH464" i="70" s="1"/>
  <c r="BI464" i="70" s="1"/>
  <c r="BF472" i="70"/>
  <c r="BG472" i="70" s="1"/>
  <c r="BH472" i="70" s="1"/>
  <c r="BI472" i="70" s="1"/>
  <c r="BF480" i="70"/>
  <c r="BG480" i="70" s="1"/>
  <c r="BH480" i="70" s="1"/>
  <c r="BI480" i="70" s="1"/>
  <c r="BF488" i="70"/>
  <c r="BG488" i="70" s="1"/>
  <c r="BH488" i="70" s="1"/>
  <c r="BI488" i="70" s="1"/>
  <c r="BF496" i="70"/>
  <c r="BG496" i="70" s="1"/>
  <c r="BH496" i="70" s="1"/>
  <c r="BI496" i="70" s="1"/>
  <c r="BF504" i="70"/>
  <c r="BG504" i="70" s="1"/>
  <c r="BH504" i="70" s="1"/>
  <c r="BI504" i="70" s="1"/>
  <c r="BF512" i="70"/>
  <c r="BG512" i="70" s="1"/>
  <c r="BH512" i="70" s="1"/>
  <c r="BI512" i="70" s="1"/>
  <c r="BG23" i="70"/>
  <c r="BH23" i="70" s="1"/>
  <c r="BI23" i="70" s="1"/>
  <c r="BG31" i="70"/>
  <c r="BH31" i="70" s="1"/>
  <c r="BI31" i="70" s="1"/>
  <c r="BG39" i="70"/>
  <c r="BH39" i="70" s="1"/>
  <c r="BI39" i="70" s="1"/>
  <c r="BG41" i="70"/>
  <c r="BH41" i="70" s="1"/>
  <c r="BI41" i="70" s="1"/>
  <c r="BG47" i="70"/>
  <c r="BH47" i="70" s="1"/>
  <c r="BI47" i="70" s="1"/>
  <c r="BG55" i="70"/>
  <c r="BH55" i="70" s="1"/>
  <c r="BI55" i="70" s="1"/>
  <c r="BG63" i="70"/>
  <c r="BH63" i="70" s="1"/>
  <c r="BI63" i="70" s="1"/>
  <c r="BG71" i="70"/>
  <c r="BH71" i="70" s="1"/>
  <c r="BI71" i="70" s="1"/>
  <c r="BG79" i="70"/>
  <c r="BH79" i="70" s="1"/>
  <c r="BI79" i="70" s="1"/>
  <c r="BG87" i="70"/>
  <c r="BH87" i="70" s="1"/>
  <c r="BI87" i="70" s="1"/>
  <c r="BG95" i="70"/>
  <c r="BH95" i="70" s="1"/>
  <c r="BI95" i="70" s="1"/>
  <c r="BG103" i="70"/>
  <c r="BH103" i="70" s="1"/>
  <c r="BI103" i="70" s="1"/>
  <c r="BG111" i="70"/>
  <c r="BH111" i="70" s="1"/>
  <c r="BI111" i="70" s="1"/>
  <c r="BG119" i="70"/>
  <c r="BH119" i="70" s="1"/>
  <c r="BI119" i="70" s="1"/>
  <c r="BG127" i="70"/>
  <c r="BH127" i="70" s="1"/>
  <c r="BI127" i="70" s="1"/>
  <c r="BG135" i="70"/>
  <c r="BH135" i="70" s="1"/>
  <c r="BI135" i="70" s="1"/>
  <c r="BG143" i="70"/>
  <c r="BH143" i="70" s="1"/>
  <c r="BI143" i="70" s="1"/>
  <c r="BG151" i="70"/>
  <c r="BH151" i="70" s="1"/>
  <c r="BI151" i="70" s="1"/>
  <c r="BG159" i="70"/>
  <c r="BH159" i="70" s="1"/>
  <c r="BI159" i="70" s="1"/>
  <c r="BG175" i="70"/>
  <c r="BH175" i="70" s="1"/>
  <c r="BI175" i="70" s="1"/>
  <c r="BG183" i="70"/>
  <c r="BH183" i="70" s="1"/>
  <c r="BI183" i="70" s="1"/>
  <c r="BG191" i="70"/>
  <c r="BH191" i="70" s="1"/>
  <c r="BI191" i="70" s="1"/>
  <c r="BG199" i="70"/>
  <c r="BH199" i="70" s="1"/>
  <c r="BI199" i="70" s="1"/>
  <c r="BG207" i="70"/>
  <c r="BH207" i="70" s="1"/>
  <c r="BI207" i="70" s="1"/>
  <c r="BG231" i="70"/>
  <c r="BH231" i="70" s="1"/>
  <c r="BI231" i="70" s="1"/>
  <c r="BG233" i="70"/>
  <c r="BH233" i="70" s="1"/>
  <c r="BI233" i="70" s="1"/>
  <c r="BG520" i="70"/>
  <c r="BH520" i="70" s="1"/>
  <c r="BI520" i="70" s="1"/>
  <c r="BC20" i="70"/>
  <c r="BC28" i="70"/>
  <c r="BC60" i="70"/>
  <c r="BC68" i="70"/>
  <c r="BC108" i="70"/>
  <c r="BC148" i="70"/>
  <c r="BC156" i="70"/>
  <c r="BC180" i="70"/>
  <c r="BC188" i="70"/>
  <c r="BC204" i="70"/>
  <c r="BC244" i="70"/>
  <c r="BC284" i="70"/>
  <c r="BC340" i="70"/>
  <c r="BC372" i="70"/>
  <c r="BC388" i="70"/>
  <c r="BC420" i="70"/>
  <c r="BC428" i="70"/>
  <c r="BC484" i="70"/>
  <c r="BC500" i="70"/>
  <c r="BC22" i="70"/>
  <c r="BC30" i="70"/>
  <c r="BC38" i="70"/>
  <c r="BC46" i="70"/>
  <c r="BC54" i="70"/>
  <c r="BC62" i="70"/>
  <c r="BC70" i="70"/>
  <c r="BC78" i="70"/>
  <c r="BC86" i="70"/>
  <c r="BC94" i="70"/>
  <c r="BC102" i="70"/>
  <c r="BC110" i="70"/>
  <c r="BC118" i="70"/>
  <c r="BC126" i="70"/>
  <c r="BC134" i="70"/>
  <c r="BC142" i="70"/>
  <c r="BC150" i="70"/>
  <c r="BC158" i="70"/>
  <c r="BC166" i="70"/>
  <c r="BC174" i="70"/>
  <c r="BC182" i="70"/>
  <c r="BC190" i="70"/>
  <c r="BC198" i="70"/>
  <c r="BC206" i="70"/>
  <c r="BC214" i="70"/>
  <c r="BC222" i="70"/>
  <c r="BC230" i="70"/>
  <c r="BC238" i="70"/>
  <c r="BC246" i="70"/>
  <c r="BC254" i="70"/>
  <c r="BC262" i="70"/>
  <c r="BC270" i="70"/>
  <c r="BC278" i="70"/>
  <c r="BC286" i="70"/>
  <c r="BC294" i="70"/>
  <c r="BC302" i="70"/>
  <c r="BC310" i="70"/>
  <c r="BC318" i="70"/>
  <c r="BC326" i="70"/>
  <c r="BC334" i="70"/>
  <c r="BC342" i="70"/>
  <c r="BC350" i="70"/>
  <c r="BC358" i="70"/>
  <c r="BC366" i="70"/>
  <c r="BC374" i="70"/>
  <c r="BC382" i="70"/>
  <c r="BC390" i="70"/>
  <c r="BC398" i="70"/>
  <c r="BC406" i="70"/>
  <c r="BC414" i="70"/>
  <c r="BC422" i="70"/>
  <c r="BC430" i="70"/>
  <c r="BC438" i="70"/>
  <c r="BC446" i="70"/>
  <c r="BC454" i="70"/>
  <c r="BC462" i="70"/>
  <c r="BC470" i="70"/>
  <c r="BC478" i="70"/>
  <c r="BC486" i="70"/>
  <c r="BC494" i="70"/>
  <c r="BC502" i="70"/>
  <c r="BC510" i="70"/>
  <c r="BC518" i="70"/>
  <c r="BC16" i="70"/>
  <c r="BC24" i="70"/>
  <c r="BC32" i="70"/>
  <c r="BC40" i="70"/>
  <c r="BC48" i="70"/>
  <c r="BC56" i="70"/>
  <c r="BC64" i="70"/>
  <c r="BC72" i="70"/>
  <c r="BC80" i="70"/>
  <c r="BC88" i="70"/>
  <c r="BC96" i="70"/>
  <c r="BC104" i="70"/>
  <c r="BC112" i="70"/>
  <c r="BC120" i="70"/>
  <c r="BC128" i="70"/>
  <c r="BC136" i="70"/>
  <c r="BC144" i="70"/>
  <c r="BC152" i="70"/>
  <c r="BC160" i="70"/>
  <c r="BC168" i="70"/>
  <c r="BC176" i="70"/>
  <c r="BC184" i="70"/>
  <c r="BC192" i="70"/>
  <c r="BC200" i="70"/>
  <c r="BC208" i="70"/>
  <c r="BC216" i="70"/>
  <c r="BC224" i="70"/>
  <c r="BC232" i="70"/>
  <c r="BC240" i="70"/>
  <c r="BC248" i="70"/>
  <c r="BC256" i="70"/>
  <c r="BC264" i="70"/>
  <c r="BC272" i="70"/>
  <c r="BC280" i="70"/>
  <c r="BC288" i="70"/>
  <c r="BC296" i="70"/>
  <c r="BC304" i="70"/>
  <c r="BC312" i="70"/>
  <c r="BC320" i="70"/>
  <c r="BC328" i="70"/>
  <c r="BC336" i="70"/>
  <c r="BC344" i="70"/>
  <c r="BC352" i="70"/>
  <c r="BC360" i="70"/>
  <c r="BC368" i="70"/>
  <c r="BC376" i="70"/>
  <c r="BC384" i="70"/>
  <c r="BC392" i="70"/>
  <c r="BC400" i="70"/>
  <c r="BC408" i="70"/>
  <c r="BC416" i="70"/>
  <c r="BC424" i="70"/>
  <c r="BC432" i="70"/>
  <c r="BC440" i="70"/>
  <c r="BC448" i="70"/>
  <c r="BC456" i="70"/>
  <c r="BC464" i="70"/>
  <c r="BC472" i="70"/>
  <c r="BC480" i="70"/>
  <c r="BC488" i="70"/>
  <c r="BC496" i="70"/>
  <c r="BC504" i="70"/>
  <c r="BC512" i="70"/>
  <c r="BC520" i="70"/>
  <c r="BC17" i="70"/>
  <c r="BC41" i="70"/>
  <c r="BC49" i="70"/>
  <c r="BC57" i="70"/>
  <c r="BC73" i="70"/>
  <c r="BC81" i="70"/>
  <c r="BC89" i="70"/>
  <c r="BC113" i="70"/>
  <c r="BC121" i="70"/>
  <c r="BC137" i="70"/>
  <c r="BC169" i="70"/>
  <c r="BC185" i="70"/>
  <c r="BC193" i="70"/>
  <c r="BC209" i="70"/>
  <c r="BC217" i="70"/>
  <c r="BC225" i="70"/>
  <c r="BC233" i="70"/>
  <c r="BC241" i="70"/>
  <c r="BC249" i="70"/>
  <c r="BC265" i="70"/>
  <c r="BC273" i="70"/>
  <c r="BC281" i="70"/>
  <c r="BC297" i="70"/>
  <c r="BC321" i="70"/>
  <c r="BC345" i="70"/>
  <c r="BC353" i="70"/>
  <c r="BC361" i="70"/>
  <c r="BC369" i="70"/>
  <c r="BC377" i="70"/>
  <c r="BC393" i="70"/>
  <c r="BC401" i="70"/>
  <c r="BC409" i="70"/>
  <c r="BC417" i="70"/>
  <c r="BC457" i="70"/>
  <c r="BC473" i="70"/>
  <c r="BC481" i="70"/>
  <c r="BC489" i="70"/>
  <c r="BC497" i="70"/>
  <c r="BC505" i="70"/>
  <c r="BC513" i="70"/>
  <c r="BC26" i="70"/>
  <c r="BC42" i="70"/>
  <c r="BC58" i="70"/>
  <c r="BC74" i="70"/>
  <c r="BC90" i="70"/>
  <c r="BC106" i="70"/>
  <c r="BC122" i="70"/>
  <c r="BC138" i="70"/>
  <c r="BC154" i="70"/>
  <c r="BC170" i="70"/>
  <c r="BC186" i="70"/>
  <c r="BC202" i="70"/>
  <c r="BC218" i="70"/>
  <c r="BC234" i="70"/>
  <c r="BC250" i="70"/>
  <c r="BC266" i="70"/>
  <c r="BC282" i="70"/>
  <c r="BC298" i="70"/>
  <c r="BC314" i="70"/>
  <c r="BC330" i="70"/>
  <c r="BC346" i="70"/>
  <c r="BC362" i="70"/>
  <c r="BC378" i="70"/>
  <c r="BC394" i="70"/>
  <c r="BC410" i="70"/>
  <c r="BC426" i="70"/>
  <c r="BC442" i="70"/>
  <c r="BC458" i="70"/>
  <c r="BC474" i="70"/>
  <c r="BC490" i="70"/>
  <c r="BC506" i="70"/>
  <c r="BC522" i="70"/>
  <c r="BC29" i="70"/>
  <c r="BC45" i="70"/>
  <c r="BC61" i="70"/>
  <c r="BC77" i="70"/>
  <c r="BC93" i="70"/>
  <c r="BC109" i="70"/>
  <c r="BC125" i="70"/>
  <c r="BC141" i="70"/>
  <c r="BC157" i="70"/>
  <c r="BC173" i="70"/>
  <c r="BC189" i="70"/>
  <c r="BC205" i="70"/>
  <c r="BC221" i="70"/>
  <c r="BC237" i="70"/>
  <c r="BC253" i="70"/>
  <c r="BC269" i="70"/>
  <c r="BC285" i="70"/>
  <c r="BC301" i="70"/>
  <c r="BC317" i="70"/>
  <c r="BC333" i="70"/>
  <c r="BC349" i="70"/>
  <c r="BC365" i="70"/>
  <c r="BC381" i="70"/>
  <c r="BC397" i="70"/>
  <c r="BC413" i="70"/>
  <c r="BC429" i="70"/>
  <c r="BC445" i="70"/>
  <c r="BC461" i="70"/>
  <c r="BC477" i="70"/>
  <c r="BC493" i="70"/>
  <c r="BC509" i="70"/>
  <c r="BC525" i="70"/>
  <c r="BC18" i="70"/>
  <c r="BC34" i="70"/>
  <c r="BC50" i="70"/>
  <c r="BC66" i="70"/>
  <c r="BC82" i="70"/>
  <c r="BC98" i="70"/>
  <c r="BC114" i="70"/>
  <c r="BC130" i="70"/>
  <c r="BC146" i="70"/>
  <c r="BC162" i="70"/>
  <c r="BC178" i="70"/>
  <c r="BC194" i="70"/>
  <c r="BC210" i="70"/>
  <c r="BC226" i="70"/>
  <c r="BC242" i="70"/>
  <c r="BC258" i="70"/>
  <c r="BC274" i="70"/>
  <c r="BC290" i="70"/>
  <c r="BC306" i="70"/>
  <c r="BC322" i="70"/>
  <c r="BC338" i="70"/>
  <c r="BC354" i="70"/>
  <c r="BC370" i="70"/>
  <c r="BC386" i="70"/>
  <c r="BC402" i="70"/>
  <c r="BC418" i="70"/>
  <c r="BC434" i="70"/>
  <c r="BC450" i="70"/>
  <c r="BC466" i="70"/>
  <c r="BC482" i="70"/>
  <c r="BC498" i="70"/>
  <c r="BC514" i="70"/>
  <c r="BC19" i="70"/>
  <c r="BC35" i="70"/>
  <c r="BC51" i="70"/>
  <c r="BC67" i="70"/>
  <c r="BC83" i="70"/>
  <c r="BC99" i="70"/>
  <c r="BC115" i="70"/>
  <c r="BC131" i="70"/>
  <c r="BC147" i="70"/>
  <c r="BC163" i="70"/>
  <c r="BC179" i="70"/>
  <c r="BC195" i="70"/>
  <c r="BC211" i="70"/>
  <c r="BC227" i="70"/>
  <c r="BC243" i="70"/>
  <c r="BC259" i="70"/>
  <c r="BC275" i="70"/>
  <c r="BC291" i="70"/>
  <c r="BC307" i="70"/>
  <c r="BC323" i="70"/>
  <c r="BC339" i="70"/>
  <c r="BC355" i="70"/>
  <c r="BC371" i="70"/>
  <c r="BC387" i="70"/>
  <c r="BC403" i="70"/>
  <c r="BC419" i="70"/>
  <c r="BC435" i="70"/>
  <c r="BC451" i="70"/>
  <c r="BC467" i="70"/>
  <c r="BC483" i="70"/>
  <c r="BC499" i="70"/>
  <c r="BC515" i="70"/>
  <c r="BC37" i="70"/>
  <c r="BC69" i="70"/>
  <c r="BC101" i="70"/>
  <c r="BC133" i="70"/>
  <c r="BC165" i="70"/>
  <c r="BC197" i="70"/>
  <c r="BC229" i="70"/>
  <c r="BC261" i="70"/>
  <c r="BC293" i="70"/>
  <c r="BC325" i="70"/>
  <c r="BC357" i="70"/>
  <c r="BC389" i="70"/>
  <c r="BC421" i="70"/>
  <c r="BC453" i="70"/>
  <c r="BC485" i="70"/>
  <c r="BC517" i="70"/>
  <c r="BC43" i="70"/>
  <c r="BC75" i="70"/>
  <c r="BC107" i="70"/>
  <c r="BC139" i="70"/>
  <c r="BC171" i="70"/>
  <c r="BC203" i="70"/>
  <c r="BC235" i="70"/>
  <c r="BC267" i="70"/>
  <c r="BC299" i="70"/>
  <c r="BC331" i="70"/>
  <c r="BC363" i="70"/>
  <c r="BC395" i="70"/>
  <c r="BC427" i="70"/>
  <c r="BC459" i="70"/>
  <c r="BC491" i="70"/>
  <c r="BC523" i="70"/>
  <c r="BC47" i="70"/>
  <c r="BC79" i="70"/>
  <c r="BC111" i="70"/>
  <c r="BC143" i="70"/>
  <c r="BC175" i="70"/>
  <c r="BC207" i="70"/>
  <c r="BC239" i="70"/>
  <c r="BC271" i="70"/>
  <c r="BC303" i="70"/>
  <c r="BC335" i="70"/>
  <c r="BC367" i="70"/>
  <c r="BC399" i="70"/>
  <c r="BC431" i="70"/>
  <c r="BC463" i="70"/>
  <c r="BC495" i="70"/>
  <c r="BC21" i="70"/>
  <c r="BC53" i="70"/>
  <c r="BC85" i="70"/>
  <c r="BC117" i="70"/>
  <c r="BC149" i="70"/>
  <c r="BC181" i="70"/>
  <c r="BC213" i="70"/>
  <c r="BC245" i="70"/>
  <c r="BC277" i="70"/>
  <c r="BC309" i="70"/>
  <c r="BC341" i="70"/>
  <c r="BC373" i="70"/>
  <c r="BC405" i="70"/>
  <c r="BC437" i="70"/>
  <c r="BC469" i="70"/>
  <c r="BC501" i="70"/>
  <c r="BC23" i="70"/>
  <c r="BC55" i="70"/>
  <c r="BC87" i="70"/>
  <c r="BC119" i="70"/>
  <c r="BC151" i="70"/>
  <c r="BC183" i="70"/>
  <c r="BC215" i="70"/>
  <c r="BC247" i="70"/>
  <c r="BC279" i="70"/>
  <c r="BC311" i="70"/>
  <c r="BC343" i="70"/>
  <c r="BC375" i="70"/>
  <c r="BC407" i="70"/>
  <c r="BC439" i="70"/>
  <c r="BC471" i="70"/>
  <c r="BC503" i="70"/>
  <c r="BC63" i="70"/>
  <c r="BC155" i="70"/>
  <c r="BC231" i="70"/>
  <c r="BC319" i="70"/>
  <c r="BC411" i="70"/>
  <c r="BC487" i="70"/>
  <c r="BC91" i="70"/>
  <c r="BC167" i="70"/>
  <c r="BC255" i="70"/>
  <c r="BC347" i="70"/>
  <c r="BC423" i="70"/>
  <c r="BC511" i="70"/>
  <c r="BC95" i="70"/>
  <c r="BC187" i="70"/>
  <c r="BC263" i="70"/>
  <c r="BC351" i="70"/>
  <c r="BC443" i="70"/>
  <c r="BC519" i="70"/>
  <c r="BC27" i="70"/>
  <c r="BC103" i="70"/>
  <c r="BC191" i="70"/>
  <c r="BC283" i="70"/>
  <c r="BC359" i="70"/>
  <c r="BC447" i="70"/>
  <c r="BC31" i="70"/>
  <c r="BC123" i="70"/>
  <c r="BC199" i="70"/>
  <c r="BC287" i="70"/>
  <c r="BC379" i="70"/>
  <c r="BC455" i="70"/>
  <c r="BC135" i="70"/>
  <c r="BC383" i="70"/>
  <c r="BC159" i="70"/>
  <c r="BC391" i="70"/>
  <c r="BC219" i="70"/>
  <c r="BC415" i="70"/>
  <c r="BC223" i="70"/>
  <c r="BC475" i="70"/>
  <c r="BC39" i="70"/>
  <c r="BC251" i="70"/>
  <c r="BC479" i="70"/>
  <c r="BC127" i="70"/>
  <c r="BC327" i="70"/>
  <c r="BC59" i="70"/>
  <c r="BC295" i="70"/>
  <c r="BC507" i="70"/>
  <c r="BC71" i="70"/>
  <c r="BC315" i="70"/>
  <c r="BI521" i="70" l="1"/>
  <c r="BI465" i="70"/>
  <c r="BI385" i="70"/>
  <c r="BI201" i="70"/>
  <c r="BI177" i="70"/>
  <c r="BI161" i="70"/>
  <c r="BI145" i="70"/>
  <c r="BI129" i="70"/>
  <c r="BI105" i="70"/>
  <c r="BI516" i="70"/>
  <c r="BI508" i="70"/>
  <c r="BI476" i="70"/>
  <c r="BI444" i="70"/>
  <c r="BI380" i="70"/>
  <c r="BI332" i="70"/>
  <c r="BI316" i="70"/>
  <c r="BI252" i="70"/>
  <c r="BI228" i="70"/>
  <c r="BI212" i="70"/>
  <c r="BI140" i="70"/>
  <c r="BI116" i="70"/>
  <c r="BI100" i="70"/>
  <c r="BI92" i="70"/>
  <c r="BI84" i="70"/>
  <c r="BI76" i="70"/>
  <c r="BI52" i="70"/>
  <c r="BI36" i="70"/>
  <c r="BI441" i="70"/>
  <c r="BI97" i="70"/>
  <c r="BI268" i="70"/>
  <c r="BI425" i="70"/>
  <c r="BI196" i="70"/>
  <c r="BI452" i="70"/>
  <c r="BI436" i="70"/>
  <c r="BI364" i="70"/>
  <c r="BI33" i="70"/>
  <c r="BI313" i="70"/>
  <c r="BI260" i="70"/>
  <c r="BI65" i="70"/>
  <c r="BI449" i="70"/>
  <c r="BI305" i="70"/>
  <c r="BI236" i="70"/>
  <c r="BI124" i="70"/>
  <c r="BI492" i="70"/>
  <c r="BI164" i="70"/>
  <c r="BI356" i="70"/>
  <c r="BI324" i="70"/>
  <c r="BI257" i="70"/>
  <c r="BI220" i="70"/>
  <c r="BI44" i="70"/>
  <c r="BI308" i="70"/>
  <c r="BI300" i="70"/>
  <c r="BI289" i="70"/>
  <c r="BI25" i="70"/>
  <c r="BI337" i="70"/>
  <c r="BI292" i="70"/>
  <c r="BI132" i="70"/>
  <c r="BI276" i="70"/>
  <c r="BI460" i="70"/>
  <c r="BI396" i="70"/>
  <c r="BI329" i="70"/>
  <c r="BI153" i="70"/>
  <c r="BI524" i="70"/>
  <c r="BI468" i="70"/>
  <c r="BI404" i="70"/>
  <c r="BI348" i="70"/>
  <c r="BI433" i="70"/>
  <c r="BI412" i="70"/>
  <c r="BI172" i="70"/>
  <c r="J9" i="70"/>
  <c r="I9" i="70"/>
  <c r="H9" i="70"/>
  <c r="G9" i="70"/>
  <c r="F9" i="70"/>
  <c r="B8" i="70"/>
  <c r="B7" i="70" s="1"/>
  <c r="AQ14" i="70"/>
  <c r="AR14" i="70"/>
  <c r="AS14" i="70"/>
  <c r="AT14" i="70"/>
  <c r="AU14" i="70"/>
  <c r="AV14" i="70"/>
  <c r="AW14" i="70"/>
  <c r="M14" i="70"/>
  <c r="L14" i="70"/>
  <c r="AD14" i="70"/>
  <c r="AE14" i="70"/>
  <c r="AF14" i="70"/>
  <c r="A8" i="70"/>
  <c r="A7" i="70" s="1"/>
  <c r="C14" i="70"/>
  <c r="E14" i="70"/>
  <c r="F14" i="70"/>
  <c r="G14" i="70"/>
  <c r="H14" i="70"/>
  <c r="I14" i="70"/>
  <c r="J14" i="70"/>
  <c r="K14" i="70"/>
  <c r="N14" i="70"/>
  <c r="O14" i="70"/>
  <c r="P14" i="70"/>
  <c r="Q14" i="70"/>
  <c r="R14" i="70"/>
  <c r="S14" i="70"/>
  <c r="T14" i="70"/>
  <c r="U14" i="70"/>
  <c r="V14" i="70"/>
  <c r="W14" i="70"/>
  <c r="X14" i="70"/>
  <c r="Y14" i="70"/>
  <c r="Z14" i="70"/>
  <c r="AA14" i="70"/>
  <c r="AB14" i="70"/>
  <c r="AC14" i="70"/>
  <c r="AG14" i="70"/>
  <c r="AH14" i="70"/>
  <c r="AI14" i="70"/>
  <c r="AJ14" i="70"/>
  <c r="AK14" i="70"/>
  <c r="AL14" i="70"/>
  <c r="AM14" i="70"/>
  <c r="AN14" i="70"/>
  <c r="AO14" i="70"/>
  <c r="AP14" i="70"/>
  <c r="B14" i="70"/>
  <c r="A4" i="70"/>
  <c r="BC521" i="70"/>
  <c r="BC105" i="70"/>
  <c r="BC252" i="70"/>
  <c r="BC76" i="70"/>
  <c r="BC465" i="70"/>
  <c r="BC516" i="70"/>
  <c r="BC228" i="70"/>
  <c r="BC52" i="70"/>
  <c r="BC385" i="70"/>
  <c r="BC508" i="70"/>
  <c r="BC212" i="70"/>
  <c r="BC36" i="70"/>
  <c r="BC145" i="70"/>
  <c r="BC201" i="70"/>
  <c r="BC476" i="70"/>
  <c r="BC140" i="70"/>
  <c r="BC332" i="70"/>
  <c r="BC177" i="70"/>
  <c r="BC444" i="70"/>
  <c r="BC116" i="70"/>
  <c r="BC92" i="70"/>
  <c r="BC161" i="70"/>
  <c r="BC380" i="70"/>
  <c r="BC100" i="70"/>
  <c r="BC129" i="70"/>
  <c r="BC316" i="70"/>
  <c r="BC84" i="70"/>
  <c r="BC441" i="70"/>
  <c r="BC33" i="70"/>
  <c r="BC492" i="70"/>
  <c r="BC300" i="70"/>
  <c r="BC396" i="70"/>
  <c r="BC412" i="70"/>
  <c r="BC97" i="70"/>
  <c r="BC313" i="70"/>
  <c r="BC164" i="70"/>
  <c r="BC289" i="70"/>
  <c r="BC329" i="70"/>
  <c r="BC172" i="70"/>
  <c r="BC268" i="70"/>
  <c r="BC260" i="70"/>
  <c r="BC356" i="70"/>
  <c r="BC25" i="70"/>
  <c r="BC153" i="70"/>
  <c r="BC425" i="70"/>
  <c r="BC65" i="70"/>
  <c r="BC324" i="70"/>
  <c r="BC337" i="70"/>
  <c r="BC524" i="70"/>
  <c r="BC196" i="70"/>
  <c r="BC449" i="70"/>
  <c r="BC257" i="70"/>
  <c r="BC292" i="70"/>
  <c r="BC468" i="70"/>
  <c r="BC452" i="70"/>
  <c r="BC305" i="70"/>
  <c r="BC220" i="70"/>
  <c r="BC132" i="70"/>
  <c r="BC404" i="70"/>
  <c r="BC436" i="70"/>
  <c r="BC236" i="70"/>
  <c r="BC44" i="70"/>
  <c r="BC276" i="70"/>
  <c r="BC348" i="70"/>
  <c r="BC364" i="70"/>
  <c r="BC124" i="70"/>
  <c r="BC308" i="70"/>
  <c r="BC460" i="70"/>
  <c r="BC433" i="70"/>
  <c r="K9" i="7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21D90E5-DE17-4CCC-8756-1D31BC697276}" keepAlive="1" name="Query - 05preva_view (3)" description="Connection to the '05preva_view (3)' query in the workbook." type="5" refreshedVersion="6" background="1" refreshOnLoad="1" saveData="1">
    <dbPr connection="Provider=Microsoft.Mashup.OleDb.1;Data Source=$Workbook$;Location=05preva_view (3);Extended Properties=&quot;&quot;" command="SELECT * FROM [05preva_view (3)]"/>
  </connection>
</connections>
</file>

<file path=xl/sharedStrings.xml><?xml version="1.0" encoding="utf-8"?>
<sst xmlns="http://schemas.openxmlformats.org/spreadsheetml/2006/main" count="11636" uniqueCount="2131">
  <si>
    <t>Operator</t>
  </si>
  <si>
    <t>Open_Date</t>
  </si>
  <si>
    <t>05_id</t>
  </si>
  <si>
    <t>Request Date</t>
  </si>
  <si>
    <t>Table Name</t>
  </si>
  <si>
    <t>Filters</t>
  </si>
  <si>
    <t>Import Data</t>
  </si>
  <si>
    <t>Update Data</t>
  </si>
  <si>
    <t>Request ID</t>
  </si>
  <si>
    <t>Upper_Requested</t>
  </si>
  <si>
    <t>Lower_Requested</t>
  </si>
  <si>
    <t>Power_Result</t>
  </si>
  <si>
    <t>Power_Remarks</t>
  </si>
  <si>
    <t>Power_Forecast</t>
  </si>
  <si>
    <t>Power Remarks</t>
  </si>
  <si>
    <t>Structural_Result</t>
  </si>
  <si>
    <t>Structural_Remarks</t>
  </si>
  <si>
    <t>CW_Result</t>
  </si>
  <si>
    <t>CW_Remarks</t>
  </si>
  <si>
    <t>Power</t>
  </si>
  <si>
    <t>Community_Result</t>
  </si>
  <si>
    <t>Community_Remarks</t>
  </si>
  <si>
    <t>Community Remarks</t>
  </si>
  <si>
    <t>Status</t>
  </si>
  <si>
    <t>Prevalidated</t>
  </si>
  <si>
    <t>Under Prevalidation</t>
  </si>
  <si>
    <t>Prevalidation Rejected</t>
  </si>
  <si>
    <t>Dropped by Operator</t>
  </si>
  <si>
    <t>Tower Extension</t>
  </si>
  <si>
    <t>Slab Extension Needed</t>
  </si>
  <si>
    <t>Lower Space Requested</t>
  </si>
  <si>
    <t>Upper Space Requested</t>
  </si>
  <si>
    <t>General_Remark</t>
  </si>
  <si>
    <t>PM Remarks</t>
  </si>
  <si>
    <t>Mytel</t>
  </si>
  <si>
    <t>MPT</t>
  </si>
  <si>
    <t>Legacy</t>
  </si>
  <si>
    <t>04Id_Project</t>
  </si>
  <si>
    <t>Telenor</t>
  </si>
  <si>
    <t>Site ID</t>
  </si>
  <si>
    <t>OML</t>
  </si>
  <si>
    <t>Amara</t>
  </si>
  <si>
    <t>RM_Review</t>
  </si>
  <si>
    <t>RM_Remarks</t>
  </si>
  <si>
    <t>PM_Review</t>
  </si>
  <si>
    <t>PM_Forecast</t>
  </si>
  <si>
    <t>PM_Remarks</t>
  </si>
  <si>
    <t>ROI_Review</t>
  </si>
  <si>
    <t>ROI_Remarks</t>
  </si>
  <si>
    <t>Capacity Requested</t>
  </si>
  <si>
    <t>Capacity Model</t>
  </si>
  <si>
    <t>Prevalidation Status</t>
  </si>
  <si>
    <t>General Remark</t>
  </si>
  <si>
    <t>LandLord</t>
  </si>
  <si>
    <t>LandLord Remarks</t>
  </si>
  <si>
    <t>Community</t>
  </si>
  <si>
    <t>Tower Space</t>
  </si>
  <si>
    <t>Tower Space Remarks</t>
  </si>
  <si>
    <t>Structural</t>
  </si>
  <si>
    <t>Structural Remarks</t>
  </si>
  <si>
    <t>Ground Space</t>
  </si>
  <si>
    <t>Ground Space Remarks</t>
  </si>
  <si>
    <t>RM Remarks</t>
  </si>
  <si>
    <t>Slab_Extension_Needed</t>
  </si>
  <si>
    <t>Tower_Extension</t>
  </si>
  <si>
    <t>Tower_Space_Remarks</t>
  </si>
  <si>
    <t>Tower_Space_Result</t>
  </si>
  <si>
    <t>LandLord_Remarks</t>
  </si>
  <si>
    <t>LandLord_Result</t>
  </si>
  <si>
    <t>Capacity_Model</t>
  </si>
  <si>
    <t>Capacity_Requested</t>
  </si>
  <si>
    <t>Colo_Rev</t>
  </si>
  <si>
    <t>Tenant_Status</t>
  </si>
  <si>
    <t>Tenant_Category</t>
  </si>
  <si>
    <t>tenant_id</t>
  </si>
  <si>
    <t>05preva_view</t>
  </si>
  <si>
    <t>Site_ID</t>
  </si>
  <si>
    <t>Tenant Category</t>
  </si>
  <si>
    <t>Tenant Status</t>
  </si>
  <si>
    <t>Colo Rev</t>
  </si>
  <si>
    <t>Colo Application</t>
  </si>
  <si>
    <t>Folder Path1</t>
  </si>
  <si>
    <t>Folder Path2</t>
  </si>
  <si>
    <t>Folder Path3</t>
  </si>
  <si>
    <t>AM Remarks</t>
  </si>
  <si>
    <t>File Name</t>
  </si>
  <si>
    <t>File Path</t>
  </si>
  <si>
    <t>Find Process &amp; Database</t>
  </si>
  <si>
    <t>Power_Average</t>
  </si>
  <si>
    <t>Power_Peak</t>
  </si>
  <si>
    <t>Power_Average_Requested</t>
  </si>
  <si>
    <t>Power_Peak_Requested</t>
  </si>
  <si>
    <t>Average Power Requested</t>
  </si>
  <si>
    <t>Peak Power Requested</t>
  </si>
  <si>
    <t>LandLord_Time</t>
  </si>
  <si>
    <t>Community_Time</t>
  </si>
  <si>
    <t>Tower_Space_Time</t>
  </si>
  <si>
    <t>Structural_Time</t>
  </si>
  <si>
    <t>Prevalidation Leadtime</t>
  </si>
  <si>
    <t>Scope</t>
  </si>
  <si>
    <t>Count Validated</t>
  </si>
  <si>
    <t>Region</t>
  </si>
  <si>
    <t>tenant id</t>
  </si>
  <si>
    <t>Power Average</t>
  </si>
  <si>
    <t>Power Peak</t>
  </si>
  <si>
    <t>Power Forecast</t>
  </si>
  <si>
    <t>RM Review</t>
  </si>
  <si>
    <t>PM Forecast</t>
  </si>
  <si>
    <t>PM Review</t>
  </si>
  <si>
    <t>AM Review</t>
  </si>
  <si>
    <t>Tower Space Time</t>
  </si>
  <si>
    <t>Power Time</t>
  </si>
  <si>
    <t>Structural Time</t>
  </si>
  <si>
    <t>CW Time</t>
  </si>
  <si>
    <t>LandLord Time</t>
  </si>
  <si>
    <t>Community Time</t>
  </si>
  <si>
    <t>Apollo</t>
  </si>
  <si>
    <t>Central</t>
  </si>
  <si>
    <t>Colocation</t>
  </si>
  <si>
    <t>EPA</t>
  </si>
  <si>
    <t>OK</t>
  </si>
  <si>
    <t>04-Apr-18: Okay for TI installation,  Lease hike request may raise while TI installation</t>
  </si>
  <si>
    <t>47-50M</t>
  </si>
  <si>
    <t>No</t>
  </si>
  <si>
    <t>Proceed.  Order Eqpt &amp; U/G later - DG &amp; Batt UG 1200Ah</t>
  </si>
  <si>
    <t>Review</t>
  </si>
  <si>
    <t>ANKC_0015</t>
  </si>
  <si>
    <t>Northern</t>
  </si>
  <si>
    <t>KCN0160</t>
  </si>
  <si>
    <t>23-27M</t>
  </si>
  <si>
    <t>Need to provide new equipment slab</t>
  </si>
  <si>
    <t>Proceed.  Order Eqpt &amp; U/G later - Batt UG 1200AH</t>
  </si>
  <si>
    <t>ANMD_0065</t>
  </si>
  <si>
    <t>MDY0723</t>
  </si>
  <si>
    <t>Proceed.  Order Eqpt &amp; U/G later - DG &amp; Batt 1200Ah</t>
  </si>
  <si>
    <t>ANMD_0119</t>
  </si>
  <si>
    <t>MDY0093</t>
  </si>
  <si>
    <t>17-21M</t>
  </si>
  <si>
    <t>Ok with temporay height. EPA over desing need to check and strengthening Tower,</t>
  </si>
  <si>
    <t>Need to provide additional cable tray</t>
  </si>
  <si>
    <t>Proceed.  Order Eqpt &amp; U/G later - Flex24 &amp; Batt 1200Ah</t>
  </si>
  <si>
    <t>ANMD_0148</t>
  </si>
  <si>
    <t>MDY0915</t>
  </si>
  <si>
    <t>with macro Solution</t>
  </si>
  <si>
    <t>Rejected</t>
  </si>
  <si>
    <t>GMT</t>
  </si>
  <si>
    <t>Proceed.  Order Eqpt &amp; U/G later - Flex21 &amp; Batt 1200Ah</t>
  </si>
  <si>
    <t>ANMD_0174</t>
  </si>
  <si>
    <t>MDY0004</t>
  </si>
  <si>
    <t>45-50M</t>
  </si>
  <si>
    <t>ANSG_0344</t>
  </si>
  <si>
    <t>SGG0260</t>
  </si>
  <si>
    <t>42-45</t>
  </si>
  <si>
    <t>ANSG_0363</t>
  </si>
  <si>
    <t>SGG0028</t>
  </si>
  <si>
    <t>new 3M Pole//Need to Review</t>
  </si>
  <si>
    <t>No space for new pole</t>
  </si>
  <si>
    <t xml:space="preserve">Proceed. Order Eqpt &amp; U/G later - Add Lio4 batteries </t>
  </si>
  <si>
    <t>ANSH_0006</t>
  </si>
  <si>
    <t>SHN0876</t>
  </si>
  <si>
    <t>RF-25M-30M//MW-can get higher</t>
  </si>
  <si>
    <t>Proceed. Swap existing 1200AH BB re order batteries for stock</t>
  </si>
  <si>
    <t>ASKA_0150</t>
  </si>
  <si>
    <t>Southern</t>
  </si>
  <si>
    <t>KYN0014</t>
  </si>
  <si>
    <t>RF &amp; MW-48-53M</t>
  </si>
  <si>
    <t xml:space="preserve">Proceed.  Order Eqpt &amp; U/G later </t>
  </si>
  <si>
    <t>ASMO_0275</t>
  </si>
  <si>
    <t>MON0306</t>
  </si>
  <si>
    <t>31-35</t>
  </si>
  <si>
    <t>Proceed.  Order Eqpt &amp; U/G later  - BB U/G 1200AH &amp; Grid Con</t>
  </si>
  <si>
    <t>AYYN_0095</t>
  </si>
  <si>
    <t>YGN0408</t>
  </si>
  <si>
    <t>RF-15M-20M// MW-can get higher</t>
  </si>
  <si>
    <t>Proceed.  Order Eqpt &amp; U/G later  - swap 600AH</t>
  </si>
  <si>
    <t>AYYN_0121</t>
  </si>
  <si>
    <t>YGN1319</t>
  </si>
  <si>
    <t>25-28//Under 16M</t>
  </si>
  <si>
    <t>AYYN_0148</t>
  </si>
  <si>
    <t>YGN1354</t>
  </si>
  <si>
    <t>20-23</t>
  </si>
  <si>
    <t>Review-RTP</t>
  </si>
  <si>
    <t>Yoyoyoyoyoo</t>
  </si>
  <si>
    <t>Proceed.  Order Eqpt &amp; U/G later - Swap to GP PE</t>
  </si>
  <si>
    <t>Contractual issue with the owner, to check with Saq</t>
  </si>
  <si>
    <t>AYYN_0153</t>
  </si>
  <si>
    <t>YGN0038</t>
  </si>
  <si>
    <t>45M (New Pole)</t>
  </si>
  <si>
    <t>Not possible to UG PE no access no space</t>
  </si>
  <si>
    <t>AYYN_0363</t>
  </si>
  <si>
    <t>YGN1489</t>
  </si>
  <si>
    <t>6m Pole + 18.6m (Building ht)</t>
  </si>
  <si>
    <t>Pole over load</t>
  </si>
  <si>
    <t>AYYN_0389</t>
  </si>
  <si>
    <t>YGN0167</t>
  </si>
  <si>
    <t>6m Pole + 22.2m (building ht)</t>
  </si>
  <si>
    <t>Need to build new pole at down floor</t>
  </si>
  <si>
    <t>No ETA</t>
  </si>
  <si>
    <t xml:space="preserve">Awaiting VISION Lio4 option to arrive no ETA </t>
  </si>
  <si>
    <t>AYYN_0396</t>
  </si>
  <si>
    <t>YGN0171</t>
  </si>
  <si>
    <t>6m Pole + 23.75m (Building ht)</t>
  </si>
  <si>
    <t>Need to build new slab</t>
  </si>
  <si>
    <t>AYYN_0583</t>
  </si>
  <si>
    <t>YGN1201</t>
  </si>
  <si>
    <t>23-26.5</t>
  </si>
  <si>
    <t>Proceed. Order Eqpt &amp; U/G later - 1200AH Swap.  30KVA DG</t>
  </si>
  <si>
    <t>ANMD_0273</t>
  </si>
  <si>
    <t>MDY0760</t>
  </si>
  <si>
    <t>Building HT. 34 + 6m Pole</t>
  </si>
  <si>
    <t>Need to extend equipment slab between Tower beam and existing equipment slab</t>
  </si>
  <si>
    <t>24/7 DG restriction and long grid outages</t>
  </si>
  <si>
    <t>AYYN_0269</t>
  </si>
  <si>
    <t>YGNINSN052</t>
  </si>
  <si>
    <t>ACDB &amp; Smart meter installation planned for WK12</t>
  </si>
  <si>
    <t>AYYN_0171</t>
  </si>
  <si>
    <t>YGN01927</t>
  </si>
  <si>
    <t>Proceed</t>
  </si>
  <si>
    <t>ANSG_0355</t>
  </si>
  <si>
    <t>SGG01165</t>
  </si>
  <si>
    <t>BB to order</t>
  </si>
  <si>
    <t>AYYN_0099</t>
  </si>
  <si>
    <t>YGN02508</t>
  </si>
  <si>
    <t xml:space="preserve">24KW PE UG required </t>
  </si>
  <si>
    <t>AYYN_0251</t>
  </si>
  <si>
    <t>YGN01769</t>
  </si>
  <si>
    <t>Proceed. Order Eqpt &amp; U/G later - EOL Swap 600AH -  20KVA DG</t>
  </si>
  <si>
    <t>YGN02364</t>
  </si>
  <si>
    <t>Ok with easy Macro solution</t>
  </si>
  <si>
    <t>ANMD_0224</t>
  </si>
  <si>
    <t>MAW2259</t>
  </si>
  <si>
    <t>Already RFI</t>
  </si>
  <si>
    <t>Ready 28 March</t>
  </si>
  <si>
    <t>ASMO_0163</t>
  </si>
  <si>
    <t>MOW6065</t>
  </si>
  <si>
    <t xml:space="preserve">PE UG required - 30 March </t>
  </si>
  <si>
    <t>AYYN_0338</t>
  </si>
  <si>
    <t>YAW4265</t>
  </si>
  <si>
    <t>Required Latest Audit Report</t>
  </si>
  <si>
    <t>Review-EPA over desing need to check tower</t>
  </si>
  <si>
    <t>Yes</t>
  </si>
  <si>
    <t>90 Days</t>
  </si>
  <si>
    <t>BB DG</t>
  </si>
  <si>
    <t>AYYN_0611</t>
  </si>
  <si>
    <t>YAW4436</t>
  </si>
  <si>
    <t>BB DG+ Grid</t>
  </si>
  <si>
    <t>DG noise issue</t>
  </si>
  <si>
    <t>AYYN_0529</t>
  </si>
  <si>
    <t>YAW4447</t>
  </si>
  <si>
    <t xml:space="preserve">PE UG required - ready 30 March </t>
  </si>
  <si>
    <t>ANSG_0380</t>
  </si>
  <si>
    <t>SAW0729</t>
  </si>
  <si>
    <t>OML need to put small RF 5.4m2</t>
  </si>
  <si>
    <t>Add Lio4 mods</t>
  </si>
  <si>
    <t>ANSG_0343</t>
  </si>
  <si>
    <t>SAW0697</t>
  </si>
  <si>
    <t>27</t>
  </si>
  <si>
    <t>32</t>
  </si>
  <si>
    <t>Normal Slab and need to extend</t>
  </si>
  <si>
    <t>Proceed. Order Eqpt &amp; U/G later - Swap &amp; Expand to 1200AH</t>
  </si>
  <si>
    <t>Already RFI. (Rent increase to be negotiated for operator)</t>
  </si>
  <si>
    <t>ANNP_0252</t>
  </si>
  <si>
    <t>NPW0260</t>
  </si>
  <si>
    <t>30</t>
  </si>
  <si>
    <t>35</t>
  </si>
  <si>
    <t>Ok</t>
  </si>
  <si>
    <t>FC WK19-20</t>
  </si>
  <si>
    <t xml:space="preserve">PE UG required. Need to re-order </t>
  </si>
  <si>
    <t>AYYN_0135</t>
  </si>
  <si>
    <t>YGN02071</t>
  </si>
  <si>
    <t>22</t>
  </si>
  <si>
    <t>22-27m</t>
  </si>
  <si>
    <t>READY</t>
  </si>
  <si>
    <t>Ready for Mytel 08 Nov 17</t>
  </si>
  <si>
    <t>ANKC_0017</t>
  </si>
  <si>
    <t>KCN0349</t>
  </si>
  <si>
    <t>45</t>
  </si>
  <si>
    <t>50</t>
  </si>
  <si>
    <t>Extension not required</t>
  </si>
  <si>
    <t>DG &amp; BB UG required need to re-order</t>
  </si>
  <si>
    <t>ANMD_0073</t>
  </si>
  <si>
    <t>MDY0002</t>
  </si>
  <si>
    <t>ANMD_0088</t>
  </si>
  <si>
    <t>MDY0023</t>
  </si>
  <si>
    <t>20</t>
  </si>
  <si>
    <t>25</t>
  </si>
  <si>
    <t>04-Apr-18: Still same owner rejected
26-May-17: Owner not allowed additional equipment.</t>
  </si>
  <si>
    <t>Need to check Pole Availabilty</t>
  </si>
  <si>
    <t>PE UG required. Need to re-order  DG-N/A</t>
  </si>
  <si>
    <t>ANMG_0024</t>
  </si>
  <si>
    <t>MGY0153</t>
  </si>
  <si>
    <t>55</t>
  </si>
  <si>
    <t>60</t>
  </si>
  <si>
    <t>MW can get higher height for LOS</t>
  </si>
  <si>
    <t xml:space="preserve">Need to provide additional slab </t>
  </si>
  <si>
    <t>ANMG_0187</t>
  </si>
  <si>
    <t>MGY0444</t>
  </si>
  <si>
    <t>ANSH_0034</t>
  </si>
  <si>
    <t>SHN1065</t>
  </si>
  <si>
    <t>only Macro Antenna Solution, MW can get higher height for LOS</t>
  </si>
  <si>
    <t>Review GMT if with small Rf will ok</t>
  </si>
  <si>
    <t>PE UG required. Need to re-order  DG-N/A 24/7 run restriction</t>
  </si>
  <si>
    <t>ACBA_0052</t>
  </si>
  <si>
    <t>BGO0947</t>
  </si>
  <si>
    <t>3-Leg free(ABC)</t>
  </si>
  <si>
    <t xml:space="preserve">1 week </t>
  </si>
  <si>
    <t>Please confirm OML old request OK for MYTEL only</t>
  </si>
  <si>
    <t>ACBA_0118</t>
  </si>
  <si>
    <t>BGO0948</t>
  </si>
  <si>
    <t>3-Leg free(ABC), MW can get higher space</t>
  </si>
  <si>
    <t>Initially BB UG required PE sys UG later</t>
  </si>
  <si>
    <t>ACBA_0075</t>
  </si>
  <si>
    <t>BGO0949</t>
  </si>
  <si>
    <t>ACBA_0073</t>
  </si>
  <si>
    <t>BGO0950</t>
  </si>
  <si>
    <t>ACBA_0067</t>
  </si>
  <si>
    <t>BGO0965</t>
  </si>
  <si>
    <t>ACBA_0124</t>
  </si>
  <si>
    <t>BGO0970</t>
  </si>
  <si>
    <t>ANNP_0243</t>
  </si>
  <si>
    <t>NPW0263</t>
  </si>
  <si>
    <t>ANNP_0241</t>
  </si>
  <si>
    <t>NPW0264</t>
  </si>
  <si>
    <t>3-Leg free(ACD)</t>
  </si>
  <si>
    <t>Review-EPA almost over desing need to check tower and strengthening if need</t>
  </si>
  <si>
    <t>Need to provide additional normal equipment slab with S2 type Platform</t>
  </si>
  <si>
    <t>DG UG required</t>
  </si>
  <si>
    <t>ASMO_0202</t>
  </si>
  <si>
    <t>MOW6163</t>
  </si>
  <si>
    <t>REJECT</t>
  </si>
  <si>
    <t>1-01-15010-001</t>
  </si>
  <si>
    <t>Pan Asia</t>
  </si>
  <si>
    <t>SHW1189</t>
  </si>
  <si>
    <t>11</t>
  </si>
  <si>
    <t>16</t>
  </si>
  <si>
    <t>Security Issue</t>
  </si>
  <si>
    <t>RT need to check</t>
  </si>
  <si>
    <t>PE upgrade required material order required.</t>
  </si>
  <si>
    <t>18</t>
  </si>
  <si>
    <t>23</t>
  </si>
  <si>
    <t>04-May-18: Still same owner rejected
26-May-17: Owner not allowed additional equipment.</t>
  </si>
  <si>
    <t>PE UG required material arriving WK26</t>
  </si>
  <si>
    <t>ANMD_0122</t>
  </si>
  <si>
    <t>MDY0080</t>
  </si>
  <si>
    <t>Need to build new pole and slab</t>
  </si>
  <si>
    <t>Need to provide new cable tray (5.3m).</t>
  </si>
  <si>
    <t>1 week after material arrives to date 4 wk delay</t>
  </si>
  <si>
    <t>PE UG required material arriving WK26 - FC now WK31</t>
  </si>
  <si>
    <t>ANMD_0166</t>
  </si>
  <si>
    <t>MDY0188</t>
  </si>
  <si>
    <t>40</t>
  </si>
  <si>
    <t xml:space="preserve"> </t>
  </si>
  <si>
    <t>PE UG required material in stock</t>
  </si>
  <si>
    <t>ANMD_0080</t>
  </si>
  <si>
    <t>MDY0299</t>
  </si>
  <si>
    <t>DG &amp; BB upgrade required material in stock - to be re ordered</t>
  </si>
  <si>
    <t>ANMD_0004</t>
  </si>
  <si>
    <t>MDY0338</t>
  </si>
  <si>
    <t>Need to build new slab and RF bracket</t>
  </si>
  <si>
    <t>BA/CW add space BB UG</t>
  </si>
  <si>
    <t>AYYN_0527</t>
  </si>
  <si>
    <t>YAW7098</t>
  </si>
  <si>
    <t>12</t>
  </si>
  <si>
    <t>17</t>
  </si>
  <si>
    <t>Need to add new pole, need to do building Analysis</t>
  </si>
  <si>
    <t>need to provide new pole, equipment slab and cable tray</t>
  </si>
  <si>
    <t>LiPO4</t>
  </si>
  <si>
    <t>ASKA_0137</t>
  </si>
  <si>
    <t>KNW6140</t>
  </si>
  <si>
    <t>18-May-18: Good to go for OML, lease hike is been cleared</t>
  </si>
  <si>
    <t>6</t>
  </si>
  <si>
    <t>23-May-18: Owner is concern about space, didn’t agree for new pole and slab.</t>
  </si>
  <si>
    <t>TBA</t>
  </si>
  <si>
    <t>AYYN_0318</t>
  </si>
  <si>
    <t>YAW7776</t>
  </si>
  <si>
    <t>23-May18: Owner is concern about wieght, will not agree for New pole or slab</t>
  </si>
  <si>
    <t>no space</t>
  </si>
  <si>
    <t>BB UG - BA/CW needed add space or LiPo4 - rooftop site</t>
  </si>
  <si>
    <t>18-May-18: Good to go for OML, lease hike may raise while TI installation</t>
  </si>
  <si>
    <t>LEG ABD</t>
  </si>
  <si>
    <t>AYYN_0538</t>
  </si>
  <si>
    <t>YAW7775</t>
  </si>
  <si>
    <t>ACAY_0015</t>
  </si>
  <si>
    <t>AYW5549</t>
  </si>
  <si>
    <t>PE UG</t>
  </si>
  <si>
    <t>ASMO_0313</t>
  </si>
  <si>
    <t>MOW6298</t>
  </si>
  <si>
    <t>Flex UG BB DG</t>
  </si>
  <si>
    <t>ASMO_0201</t>
  </si>
  <si>
    <t>MOW6299</t>
  </si>
  <si>
    <t>BB UG - 12 hrs NS expect outages w/add colo</t>
  </si>
  <si>
    <t>ACBA_0255</t>
  </si>
  <si>
    <t>BAW5557</t>
  </si>
  <si>
    <t>AYYN_0485</t>
  </si>
  <si>
    <t>YAW7772</t>
  </si>
  <si>
    <t>23-May-18: Site under cancellation stage due to legal issue with owner</t>
  </si>
  <si>
    <t>BB UG - BA/CW needed add space or LiPo4</t>
  </si>
  <si>
    <t>AYYN_0244</t>
  </si>
  <si>
    <t>YAW7770</t>
  </si>
  <si>
    <t>LEG ACD</t>
  </si>
  <si>
    <t>AYYN_0517</t>
  </si>
  <si>
    <t>YAW7769</t>
  </si>
  <si>
    <t>23-May-18: Site issue with township office who will not allow any new opertor installtion.</t>
  </si>
  <si>
    <t>23-May-18: Lease increase may raise while TI installtion.</t>
  </si>
  <si>
    <t>At this is ok after TSS will confirm available height</t>
  </si>
  <si>
    <t>RT site need TSSR</t>
  </si>
  <si>
    <t>ACBA_0094</t>
  </si>
  <si>
    <t>BAW5558</t>
  </si>
  <si>
    <t>LEG BCD</t>
  </si>
  <si>
    <t>for small RF</t>
  </si>
  <si>
    <t>ACBA_0056</t>
  </si>
  <si>
    <t>BAW5560</t>
  </si>
  <si>
    <t>AYYN_0411</t>
  </si>
  <si>
    <t>YAW7765</t>
  </si>
  <si>
    <t>23-May-18: No more additional co-location on the roof as per the owner</t>
  </si>
  <si>
    <t>OK - Add Lio4 modules from stock</t>
  </si>
  <si>
    <t>ASMO_0267</t>
  </si>
  <si>
    <t>MOW6300</t>
  </si>
  <si>
    <t>DG 24/7 restricted - BB UG - expect outages with long grid outages</t>
  </si>
  <si>
    <t>OK for small RF</t>
  </si>
  <si>
    <t>AYYN_0306</t>
  </si>
  <si>
    <t>YAW7763</t>
  </si>
  <si>
    <t>PE UG - BA/CW needed add space or LiPo4 - rooftop site</t>
  </si>
  <si>
    <t>AYYN_0533</t>
  </si>
  <si>
    <t>YAW7827</t>
  </si>
  <si>
    <t>23-May-18: Lease increase may raise while TI installtion.(No additional slab and pole )</t>
  </si>
  <si>
    <t>ASMO_0263</t>
  </si>
  <si>
    <t>MOW6303</t>
  </si>
  <si>
    <t xml:space="preserve">remaining EPA still can collocate </t>
  </si>
  <si>
    <t>23-May-18: Already 4 opertor are co-located on site, if go from structural Engg we can go ahead with negotation.</t>
  </si>
  <si>
    <t>Tower already strengthening without consider OML</t>
  </si>
  <si>
    <t>AYYN_0534</t>
  </si>
  <si>
    <t>YAW7825</t>
  </si>
  <si>
    <t>AYYN_0119</t>
  </si>
  <si>
    <t>YAW7500</t>
  </si>
  <si>
    <t>23-May-18: NO more tower extension or new opertor to be installed as per ward and township officer.</t>
  </si>
  <si>
    <t>DG</t>
  </si>
  <si>
    <t>AYYN_0128</t>
  </si>
  <si>
    <t>YAW7818</t>
  </si>
  <si>
    <t>EPA almost over design</t>
  </si>
  <si>
    <t>Flex UG BB DG+ Grid</t>
  </si>
  <si>
    <t>AYYN_0456</t>
  </si>
  <si>
    <t>YAW7768</t>
  </si>
  <si>
    <t>AYYN_0104</t>
  </si>
  <si>
    <t>YAW7816</t>
  </si>
  <si>
    <t>AYYN_0580</t>
  </si>
  <si>
    <t>YAW7405</t>
  </si>
  <si>
    <t>ACAY_0059</t>
  </si>
  <si>
    <t>AYW5560</t>
  </si>
  <si>
    <t xml:space="preserve">23-May-18: Already agreed with lease hike </t>
  </si>
  <si>
    <t>AYYN_0081</t>
  </si>
  <si>
    <t>YAW7814</t>
  </si>
  <si>
    <t xml:space="preserve">remaining EPA still can collocate (GMT) </t>
  </si>
  <si>
    <t>Only Macro Solutions</t>
  </si>
  <si>
    <t>5m</t>
  </si>
  <si>
    <t>Ok small RF</t>
  </si>
  <si>
    <t>AYYN_0576</t>
  </si>
  <si>
    <t>YAW7812</t>
  </si>
  <si>
    <t>AYYN_0574</t>
  </si>
  <si>
    <t>YAW4977</t>
  </si>
  <si>
    <t>need to relocate PACE rectifier</t>
  </si>
  <si>
    <t>PE UG - Batt DG &amp; DCDB - K10 kit from stock</t>
  </si>
  <si>
    <t>Material from stock to be reordered</t>
  </si>
  <si>
    <t>AYYN_0331</t>
  </si>
  <si>
    <t>YAW7807</t>
  </si>
  <si>
    <t>ACBA_0108</t>
  </si>
  <si>
    <t>BAW5569</t>
  </si>
  <si>
    <t>120 Days</t>
  </si>
  <si>
    <t>ASMO_0305</t>
  </si>
  <si>
    <t>MOW6308</t>
  </si>
  <si>
    <t>Need to provide additional equipment slab</t>
  </si>
  <si>
    <t>AYYN_0321</t>
  </si>
  <si>
    <t>YAW4951</t>
  </si>
  <si>
    <t>AYYN_0405</t>
  </si>
  <si>
    <t>YAW7804</t>
  </si>
  <si>
    <t>AYYN_0552</t>
  </si>
  <si>
    <t>YAW7803</t>
  </si>
  <si>
    <t>ASMO_0180</t>
  </si>
  <si>
    <t>MOW6311</t>
  </si>
  <si>
    <t>PE UG - Batt DG &amp; DCDB</t>
  </si>
  <si>
    <t>PE equipment TBO (To Be Ordered)</t>
  </si>
  <si>
    <t>AYYN_0536</t>
  </si>
  <si>
    <t>YAW7758</t>
  </si>
  <si>
    <t>AYYN_0508</t>
  </si>
  <si>
    <t>YAW7800</t>
  </si>
  <si>
    <t>ASMO_0150</t>
  </si>
  <si>
    <t>MOW6312</t>
  </si>
  <si>
    <t>36KW 2400 BB</t>
  </si>
  <si>
    <t>AYYN_0518</t>
  </si>
  <si>
    <t>YAW4931</t>
  </si>
  <si>
    <t>PE UG - site on grid</t>
  </si>
  <si>
    <t>AYYN_0474</t>
  </si>
  <si>
    <t>YAW4930</t>
  </si>
  <si>
    <t>ACBA_0051</t>
  </si>
  <si>
    <t>BAW5574</t>
  </si>
  <si>
    <t>Leg ABC</t>
  </si>
  <si>
    <t>AYYN_0488</t>
  </si>
  <si>
    <t>YAW7795</t>
  </si>
  <si>
    <t>AYYN_0544</t>
  </si>
  <si>
    <t>YAW4790</t>
  </si>
  <si>
    <t>AYYN_0504</t>
  </si>
  <si>
    <t>YAW4769</t>
  </si>
  <si>
    <t>23-May-18: Site already with structural issue, owner will not allow any upcoming opertors.</t>
  </si>
  <si>
    <t>AYYN_0309</t>
  </si>
  <si>
    <t>YAW7787</t>
  </si>
  <si>
    <t>ACAY_0142</t>
  </si>
  <si>
    <t>AYW5565</t>
  </si>
  <si>
    <t>ACBA_0089</t>
  </si>
  <si>
    <t>BAW5581</t>
  </si>
  <si>
    <t>AYYN_0088</t>
  </si>
  <si>
    <t>YAW4651</t>
  </si>
  <si>
    <t>PE UG - Batt DG &amp; DCDB - K10 kit TBO</t>
  </si>
  <si>
    <t>PE equipment TBO (To Be Ordered)</t>
  </si>
  <si>
    <t>ACAY_0123</t>
  </si>
  <si>
    <t>AYW5569</t>
  </si>
  <si>
    <t>ACBA_0032</t>
  </si>
  <si>
    <t>BAW5234</t>
  </si>
  <si>
    <t>DG &amp; BB UG required need to re-order - site on grid</t>
  </si>
  <si>
    <t>ASMO_0162</t>
  </si>
  <si>
    <t>MOW6294</t>
  </si>
  <si>
    <t>ASMO_0164</t>
  </si>
  <si>
    <t>MOT6240</t>
  </si>
  <si>
    <t>2400AH - DG 24/7 restricted expect outages going colo with long grid outages</t>
  </si>
  <si>
    <t>ASMO_0166</t>
  </si>
  <si>
    <t>MOW6237</t>
  </si>
  <si>
    <t>ASMO_0165</t>
  </si>
  <si>
    <t>MOW6176</t>
  </si>
  <si>
    <t>Ok small RF (6m2 remaining) need strengthening</t>
  </si>
  <si>
    <t xml:space="preserve">DG &amp; BB UG </t>
  </si>
  <si>
    <t>ASMO_0171</t>
  </si>
  <si>
    <t>MOW6290</t>
  </si>
  <si>
    <t>23-May-18: Already 4 opertor are co-located on site, if go from structural Engg  &amp; Power &amp; Security we can go ahead with negotation.</t>
  </si>
  <si>
    <t>need to relocate DCDB pole</t>
  </si>
  <si>
    <t>DCDB</t>
  </si>
  <si>
    <t>ACBA_0230</t>
  </si>
  <si>
    <t>BAW5584</t>
  </si>
  <si>
    <t>OML RF requirement is 50M and Apollo proposed height is 35-40M</t>
  </si>
  <si>
    <t>LEG ABC</t>
  </si>
  <si>
    <t>ASMO_0172</t>
  </si>
  <si>
    <t>MOW6220</t>
  </si>
  <si>
    <t>ACBA_0196</t>
  </si>
  <si>
    <t>BAW5585</t>
  </si>
  <si>
    <t>ACBA_0038</t>
  </si>
  <si>
    <t>BAW5548</t>
  </si>
  <si>
    <t>ACBA_0030</t>
  </si>
  <si>
    <t>BAW5260</t>
  </si>
  <si>
    <t>RF Ok MW can get top height</t>
  </si>
  <si>
    <t>BB UG - DG can run only once grid long outage is confirmed</t>
  </si>
  <si>
    <t>ACBA_0042</t>
  </si>
  <si>
    <t>BAW5255</t>
  </si>
  <si>
    <t>ACBA_0028</t>
  </si>
  <si>
    <t>BAW5251</t>
  </si>
  <si>
    <t>ACBA_0035</t>
  </si>
  <si>
    <t>BAW5248</t>
  </si>
  <si>
    <t>PE UG/Swap</t>
  </si>
  <si>
    <t>ACBA_0033</t>
  </si>
  <si>
    <t>BAW5224</t>
  </si>
  <si>
    <t>OK - BB UG - later - site on grid</t>
  </si>
  <si>
    <t>ACBA_0185</t>
  </si>
  <si>
    <t>BAW5590</t>
  </si>
  <si>
    <t>ACAY_0022</t>
  </si>
  <si>
    <t>AYW5540</t>
  </si>
  <si>
    <t>ACAY_0026</t>
  </si>
  <si>
    <t>AYW5130</t>
  </si>
  <si>
    <t>ACAY_0017</t>
  </si>
  <si>
    <t>AYW5537</t>
  </si>
  <si>
    <t>Monitor PE perfomance - rect cap increase TBC</t>
  </si>
  <si>
    <t>ASMO_0261</t>
  </si>
  <si>
    <t>MOW6219</t>
  </si>
  <si>
    <t>23-May-18: Already 2 opertor are co-located on GM site, if go from structural Engg  we can go ahead with negotation.</t>
  </si>
  <si>
    <t>ANMD_0015</t>
  </si>
  <si>
    <t>MAW2998</t>
  </si>
  <si>
    <t>Ok, small RF (6m2 remaining) need strengthening</t>
  </si>
  <si>
    <t>ANSG_0351</t>
  </si>
  <si>
    <t>SAW0721</t>
  </si>
  <si>
    <t>ANSG_0358</t>
  </si>
  <si>
    <t>SAW0716</t>
  </si>
  <si>
    <t>ANMD_0012</t>
  </si>
  <si>
    <t>MAW2977</t>
  </si>
  <si>
    <t>1.5m x 1.5m</t>
  </si>
  <si>
    <t>ANSG_0349</t>
  </si>
  <si>
    <t>SAW0714</t>
  </si>
  <si>
    <t>ANMD_0163</t>
  </si>
  <si>
    <t>MAW2983</t>
  </si>
  <si>
    <t xml:space="preserve">As per MDY team: can use existing 2 poles but yes, AT needed to do joint TSS with OML </t>
  </si>
  <si>
    <t xml:space="preserve">RT site </t>
  </si>
  <si>
    <t>ANSG_0377</t>
  </si>
  <si>
    <t>SAW0728</t>
  </si>
  <si>
    <t>ANSG_0378 better candidate - TN HUB</t>
  </si>
  <si>
    <t>ACAY_0146</t>
  </si>
  <si>
    <t>AYW5596</t>
  </si>
  <si>
    <t>40Kva + 2400AH - DG NS</t>
  </si>
  <si>
    <t>ANSG_0382</t>
  </si>
  <si>
    <t>SAW0727</t>
  </si>
  <si>
    <t>ANSG_0383 better candidate - TN HUB</t>
  </si>
  <si>
    <t>ANMD_0018</t>
  </si>
  <si>
    <t>MAW2217</t>
  </si>
  <si>
    <t>ANMD_0095</t>
  </si>
  <si>
    <t>MAW2996</t>
  </si>
  <si>
    <t>23-May-18: OML has already installed there own pole and they are on-air</t>
  </si>
  <si>
    <t>ANMD_0171</t>
  </si>
  <si>
    <t>MAW2992</t>
  </si>
  <si>
    <t>ACAY_0163</t>
  </si>
  <si>
    <t>AYW5526</t>
  </si>
  <si>
    <t>ANMG_0052</t>
  </si>
  <si>
    <t>MWW3498</t>
  </si>
  <si>
    <t>ANMG_0006</t>
  </si>
  <si>
    <t>MWW3499</t>
  </si>
  <si>
    <t>ANMG_0026</t>
  </si>
  <si>
    <t>MWW3500</t>
  </si>
  <si>
    <t>ANSG_0381</t>
  </si>
  <si>
    <t>SAW0731</t>
  </si>
  <si>
    <t>ANMG_0167</t>
  </si>
  <si>
    <t>MWW3502</t>
  </si>
  <si>
    <t>ANSG_0361</t>
  </si>
  <si>
    <t>SAW0719</t>
  </si>
  <si>
    <t>ANMD_0118</t>
  </si>
  <si>
    <t>MAW2441</t>
  </si>
  <si>
    <t>PE UG - Batt &amp; DCDB - K10 kit TBO</t>
  </si>
  <si>
    <t>ANMD_0170</t>
  </si>
  <si>
    <t>MAW2986</t>
  </si>
  <si>
    <t>RT site, need to provide new pole</t>
  </si>
  <si>
    <t>ANMD_0266</t>
  </si>
  <si>
    <t>MAW2985</t>
  </si>
  <si>
    <t>ANMD_0167</t>
  </si>
  <si>
    <t>MAW2984</t>
  </si>
  <si>
    <t>TN HUB - Offgrid (REJECT) or 1800AH &amp; 30Kva DG PE UG</t>
  </si>
  <si>
    <t>ANMG_0172</t>
  </si>
  <si>
    <t>MWW3507</t>
  </si>
  <si>
    <t>Community not allowed OML collocation</t>
  </si>
  <si>
    <t>ANMG_0173</t>
  </si>
  <si>
    <t>MWW3508</t>
  </si>
  <si>
    <t>ANSH_0086</t>
  </si>
  <si>
    <t>SHW1908</t>
  </si>
  <si>
    <t xml:space="preserve">PE UG - DG 8hr NS </t>
  </si>
  <si>
    <t>ANSG_0379</t>
  </si>
  <si>
    <t>SAW0726</t>
  </si>
  <si>
    <t>ANMD_0098</t>
  </si>
  <si>
    <t>MAW2979</t>
  </si>
  <si>
    <t>OK for small RF (9m2 Remaining) Need strengthening</t>
  </si>
  <si>
    <t>PE UG 36KW 2400AH</t>
  </si>
  <si>
    <t>ANSG_0347</t>
  </si>
  <si>
    <t>SAW0717</t>
  </si>
  <si>
    <t>MAW2383</t>
  </si>
  <si>
    <t>AT decided to accommodate for Amara on existing pole.</t>
  </si>
  <si>
    <t>ANMD_0117</t>
  </si>
  <si>
    <t>MAW2999</t>
  </si>
  <si>
    <t>ANMD_0005</t>
  </si>
  <si>
    <t>MAW2976</t>
  </si>
  <si>
    <t>23-May-18: Owner is already in terms of cancelling the contract with Apollo.</t>
  </si>
  <si>
    <t>ANMD_0092</t>
  </si>
  <si>
    <t>MAW2196</t>
  </si>
  <si>
    <t>23-May-18: Wall mount site not possible for co-location</t>
  </si>
  <si>
    <t>ANMD_0164</t>
  </si>
  <si>
    <t>MAW2764</t>
  </si>
  <si>
    <t>ANMD_0165 better candidate - HUB Offgrid</t>
  </si>
  <si>
    <t>MAW2959</t>
  </si>
  <si>
    <t>LegBCD</t>
  </si>
  <si>
    <t xml:space="preserve">PE UG </t>
  </si>
  <si>
    <t>ANMD_0168</t>
  </si>
  <si>
    <t>MAW2993</t>
  </si>
  <si>
    <t>ANMG_0017</t>
  </si>
  <si>
    <t>MWW3484</t>
  </si>
  <si>
    <t>ANNP_0276</t>
  </si>
  <si>
    <t>Replacement_43</t>
  </si>
  <si>
    <t>Ok, small RF (8m2 remaining) need strengthening</t>
  </si>
  <si>
    <t>ANNP_0203</t>
  </si>
  <si>
    <t>Replacement_45</t>
  </si>
  <si>
    <t>OK - BB UG - Monitor PE - TN HUB</t>
  </si>
  <si>
    <t>ANMD_0079</t>
  </si>
  <si>
    <t>MAW2908</t>
  </si>
  <si>
    <t>ASKH_0019</t>
  </si>
  <si>
    <t>KYW6082</t>
  </si>
  <si>
    <t>QA Report not updated</t>
  </si>
  <si>
    <t>ASTN_0045</t>
  </si>
  <si>
    <t>TAW6250</t>
  </si>
  <si>
    <t>BB+ Grid</t>
  </si>
  <si>
    <t>ASTN_0035</t>
  </si>
  <si>
    <t>TAW6249</t>
  </si>
  <si>
    <t>ASMO_0295</t>
  </si>
  <si>
    <t>MOW6295</t>
  </si>
  <si>
    <t>36KW 1800 BB</t>
  </si>
  <si>
    <t>ACBA_0245</t>
  </si>
  <si>
    <t>BAW5555</t>
  </si>
  <si>
    <t>BB</t>
  </si>
  <si>
    <t>ACAY_0171</t>
  </si>
  <si>
    <t>AYW5539</t>
  </si>
  <si>
    <t>ANMG_0183</t>
  </si>
  <si>
    <t>MWW3494</t>
  </si>
  <si>
    <t>ANSG_0464</t>
  </si>
  <si>
    <t>SAW0732</t>
  </si>
  <si>
    <t>AYYN_0599</t>
  </si>
  <si>
    <t>YAW7859</t>
  </si>
  <si>
    <t>AYYN_0223</t>
  </si>
  <si>
    <t>YAW7853</t>
  </si>
  <si>
    <t xml:space="preserve">BB UG </t>
  </si>
  <si>
    <t>AYYN_0206</t>
  </si>
  <si>
    <t>YAW7848</t>
  </si>
  <si>
    <t>AYYN_0144</t>
  </si>
  <si>
    <t>YAW7846</t>
  </si>
  <si>
    <t>AYYN_0066</t>
  </si>
  <si>
    <t>YAW7843</t>
  </si>
  <si>
    <t>ACRK_0028</t>
  </si>
  <si>
    <t>RKE00512</t>
  </si>
  <si>
    <t>33</t>
  </si>
  <si>
    <t>38</t>
  </si>
  <si>
    <t>Good to go for TSS</t>
  </si>
  <si>
    <t xml:space="preserve">BB swap and DCDB </t>
  </si>
  <si>
    <t>BB TBO</t>
  </si>
  <si>
    <t>ANMG_0019</t>
  </si>
  <si>
    <t>MGY0017</t>
  </si>
  <si>
    <t>28-May-18: Good to go for Mytel, lease hike may raise while TI installation</t>
  </si>
  <si>
    <t>Rent increase to be negotiated for operator</t>
  </si>
  <si>
    <t>ANMG_0058</t>
  </si>
  <si>
    <t>MGY0063</t>
  </si>
  <si>
    <t>2 weeks</t>
  </si>
  <si>
    <t xml:space="preserve">BB UG required - DG monitor UG later </t>
  </si>
  <si>
    <t>ANMG_0122</t>
  </si>
  <si>
    <t>MGY0103</t>
  </si>
  <si>
    <t>MW can get higher height for clear LOS if any blockage</t>
  </si>
  <si>
    <t>ANNP_0391</t>
  </si>
  <si>
    <t>NPW0266</t>
  </si>
  <si>
    <t>2weeks</t>
  </si>
  <si>
    <t>BB &amp; DG UG required</t>
  </si>
  <si>
    <t>ANNP_0226</t>
  </si>
  <si>
    <t>NPW0268</t>
  </si>
  <si>
    <t>Multiple issues on site, dismantlement request received in the past.</t>
  </si>
  <si>
    <t>ANNP_0210</t>
  </si>
  <si>
    <t>NPW0269</t>
  </si>
  <si>
    <t xml:space="preserve">1-3 months </t>
  </si>
  <si>
    <t>36KW + 40Kva DG</t>
  </si>
  <si>
    <t>ANSG_0373</t>
  </si>
  <si>
    <t>SGG0992</t>
  </si>
  <si>
    <t>PE UG NEEDED
PE UG material delivery pending  - WK31</t>
  </si>
  <si>
    <t>ANMD_0091</t>
  </si>
  <si>
    <t>MDYCMTN004</t>
  </si>
  <si>
    <t>21</t>
  </si>
  <si>
    <t>Colo Application already approved on 25th June</t>
  </si>
  <si>
    <t>31-May-18: Okay for TI installation,  Lease hike request may raise while TI installation</t>
  </si>
  <si>
    <t>ACDB installation only</t>
  </si>
  <si>
    <t>The owner only accepts 2 tenants</t>
  </si>
  <si>
    <t>ANMD_0093</t>
  </si>
  <si>
    <t>MDYCMTN035</t>
  </si>
  <si>
    <t>20-June-18: Owner not interested in any collocation citing intrusion of people visiting his building, letter is attached.
31-May-18: Okay for TI installation,  Lease hike request may raise while TI installation</t>
  </si>
  <si>
    <t>Need to verify the power source AC / DC</t>
  </si>
  <si>
    <t>ANMD_0105</t>
  </si>
  <si>
    <t>MDYCMTZ023</t>
  </si>
  <si>
    <t>24</t>
  </si>
  <si>
    <t>Colo Application already approved on 26-Jul-18</t>
  </si>
  <si>
    <t>Need to verify the power source AC / DC, Gurwinder : Lease Hike OK</t>
  </si>
  <si>
    <t>AYYN_0520</t>
  </si>
  <si>
    <t>YAM7610</t>
  </si>
  <si>
    <t>31-May-18: Good to go for TI installtion.</t>
  </si>
  <si>
    <t>AYYN_0110</t>
  </si>
  <si>
    <t>YAW7657</t>
  </si>
  <si>
    <t>Only Macro Solutions//Slim Tower</t>
  </si>
  <si>
    <t>ANSG_0446</t>
  </si>
  <si>
    <t>SAW0353</t>
  </si>
  <si>
    <t>31-May-18: Still same site is in community issue.
31-Jan-18:Site removed due to community issue</t>
  </si>
  <si>
    <t>NPW2259</t>
  </si>
  <si>
    <t>31-May-18:  Okay for TI installtion, lease hike may raise while TI installation</t>
  </si>
  <si>
    <t>AYYN_0441</t>
  </si>
  <si>
    <t>YAW4463</t>
  </si>
  <si>
    <t>31-May-18: Already 4 opertor are co-located on site, if go from structural Engg  &amp; Power &amp; Security we can go ahead with negotation.</t>
  </si>
  <si>
    <t>&lt;3.5m2 for small RF need to strengthening</t>
  </si>
  <si>
    <t> 24KW UG PE</t>
  </si>
  <si>
    <t>ANSG_0364</t>
  </si>
  <si>
    <t>SAW0705</t>
  </si>
  <si>
    <t>2m x 1.5m</t>
  </si>
  <si>
    <t>ACAY_0102</t>
  </si>
  <si>
    <t>AYW5275</t>
  </si>
  <si>
    <t>ASKH_3000</t>
  </si>
  <si>
    <t>KYW6046</t>
  </si>
  <si>
    <t>ANSG_0348</t>
  </si>
  <si>
    <t>SAW0704</t>
  </si>
  <si>
    <t>ANMD_0154</t>
  </si>
  <si>
    <t>MAW2956</t>
  </si>
  <si>
    <t>1.5m x 1m</t>
  </si>
  <si>
    <t> 24KW PE UG</t>
  </si>
  <si>
    <t>Owner blocked Mytel installation</t>
  </si>
  <si>
    <t>ANMG_0011</t>
  </si>
  <si>
    <t>MWW3525</t>
  </si>
  <si>
    <t>10-July-18: Good to go for OML, lease hike may raise while TI installation</t>
  </si>
  <si>
    <t>1m x 1m</t>
  </si>
  <si>
    <t>ANMG_0113</t>
  </si>
  <si>
    <t>MWW3516</t>
  </si>
  <si>
    <t>ANMD_0089</t>
  </si>
  <si>
    <t>MDYCMTN019_2</t>
  </si>
  <si>
    <t>Colo Application already approved on 26th June</t>
  </si>
  <si>
    <t>7-June-18: Lease hike approved by ATF
31-May-18: Lease apprvoal pending at ATF
29-May-18: Leae hike approved by Amara.
12-Mar-18: Owner is asking lease hike.</t>
  </si>
  <si>
    <t>1 wk after site survey complete</t>
  </si>
  <si>
    <t>AC connect material in stock</t>
  </si>
  <si>
    <t>MDYMHAM042</t>
  </si>
  <si>
    <t>15.3</t>
  </si>
  <si>
    <t>20.3</t>
  </si>
  <si>
    <t>Colo Application already approved on 17th July</t>
  </si>
  <si>
    <t>21-June-18: Addtioanl lease hike forwarded to ACS
20-June-18: Owner is requesting addtioanl lease hike 
10-Apr-18: Need to build new pole and slab.</t>
  </si>
  <si>
    <t>ACAY_3003</t>
  </si>
  <si>
    <t>AYW5573</t>
  </si>
  <si>
    <t>10-July-18: Good to go for OML.</t>
  </si>
  <si>
    <t>ASMO_0253</t>
  </si>
  <si>
    <t>MOW6291</t>
  </si>
  <si>
    <t>10-July-18: Good to go for OML from SAQ, but check with DG running time as there previous issue regarding DG running time.</t>
  </si>
  <si>
    <t>Site is down, not open for colo</t>
  </si>
  <si>
    <t>ANMG_0027</t>
  </si>
  <si>
    <t>MWW3486</t>
  </si>
  <si>
    <t>ANSH_0013</t>
  </si>
  <si>
    <t>SHW1978</t>
  </si>
  <si>
    <t>AYYN_0419</t>
  </si>
  <si>
    <t>YGNKTDA015</t>
  </si>
  <si>
    <t>27.85</t>
  </si>
  <si>
    <t>32.85</t>
  </si>
  <si>
    <t>10-July-18: Lease hike approved, okay for TI installtion.</t>
  </si>
  <si>
    <t>Ok, For easy macro without cabinet</t>
  </si>
  <si>
    <t>ok, if they agree to install easy micro</t>
  </si>
  <si>
    <t>1 wk after site survey complete colo appl approved</t>
  </si>
  <si>
    <t>AC connect material in stock - pending all clear from site survey</t>
  </si>
  <si>
    <t>AYYN_0100</t>
  </si>
  <si>
    <t>YGN0496</t>
  </si>
  <si>
    <t>25-June-18: Lease hike request may come up while installtion of Mytel.</t>
  </si>
  <si>
    <t>add BB due to 24/7 DG restriction site on grid</t>
  </si>
  <si>
    <t>AYYN_0141</t>
  </si>
  <si>
    <t>YGNLTHA011</t>
  </si>
  <si>
    <t>24.5</t>
  </si>
  <si>
    <t>29.5</t>
  </si>
  <si>
    <t>AYYN_0339</t>
  </si>
  <si>
    <t>YGNMYGE008</t>
  </si>
  <si>
    <t>10-July-18: Owner rejected as top room owner is strongly complaining our tower. Owner dont agree amara.</t>
  </si>
  <si>
    <t>ANMD_0078</t>
  </si>
  <si>
    <t>MDYAMTZ006</t>
  </si>
  <si>
    <t>17-July-18: Owner agreed for Amara installtion after lease hike as we have to install new pole and slab.</t>
  </si>
  <si>
    <t>MDYAMTZ023</t>
  </si>
  <si>
    <t>36.5</t>
  </si>
  <si>
    <t>39.5</t>
  </si>
  <si>
    <t>Colo Application already approved on 15th Aug.</t>
  </si>
  <si>
    <t>14-Aug-18: Owner agreed for Amara installtion on exisiting pole and space.</t>
  </si>
  <si>
    <t>Hotel rooftop - long DG outages non negotiable</t>
  </si>
  <si>
    <t>AYYN_0416</t>
  </si>
  <si>
    <t>YGNDWBN001</t>
  </si>
  <si>
    <t>16.2</t>
  </si>
  <si>
    <t>19.2</t>
  </si>
  <si>
    <t>10-July-18: Owner rejected as top room owner is strongly complaining for additional opco.</t>
  </si>
  <si>
    <t>no space for BTS</t>
  </si>
  <si>
    <t>AYYN_0413</t>
  </si>
  <si>
    <t>YGNTKTA008</t>
  </si>
  <si>
    <t>12.77</t>
  </si>
  <si>
    <t>17.77</t>
  </si>
  <si>
    <t>need to provide additional cable tray</t>
  </si>
  <si>
    <t>DC connect - BB &amp; PE UG TBO</t>
  </si>
  <si>
    <t>MAW2969</t>
  </si>
  <si>
    <t>17-July-18: Lease hike request may come up while installtion of OML.</t>
  </si>
  <si>
    <t>PE UG NEEDED</t>
  </si>
  <si>
    <t>ANMD_0181</t>
  </si>
  <si>
    <t>MAW2836</t>
  </si>
  <si>
    <t>Flex SS1 K10 UG BB DG+ Grid</t>
  </si>
  <si>
    <t>ANSH_0044</t>
  </si>
  <si>
    <t>SHW1986</t>
  </si>
  <si>
    <t>MAW2380</t>
  </si>
  <si>
    <t>15</t>
  </si>
  <si>
    <t>15-Aug-18: Okay for TI installation,  Lease hike request may raise while TI installation</t>
  </si>
  <si>
    <t>RF Height - 15M-20M MW Height- 32M-35M (If there is LOS blockage)</t>
  </si>
  <si>
    <t>Not Required</t>
  </si>
  <si>
    <t>New extension slab (2m x 1m)</t>
  </si>
  <si>
    <t>AYYN_0021</t>
  </si>
  <si>
    <t>YGN0821</t>
  </si>
  <si>
    <t>Lease hike may raise</t>
  </si>
  <si>
    <t>Ok, if no extension</t>
  </si>
  <si>
    <t>1 week after approval DCDB only</t>
  </si>
  <si>
    <t>BB EOL swap needed</t>
  </si>
  <si>
    <t>AYYN_0530</t>
  </si>
  <si>
    <t>YGN1353</t>
  </si>
  <si>
    <t>Rejected due to structurally overload issue &amp; Owner Issue</t>
  </si>
  <si>
    <t>Located on school building not possible to install new pole</t>
  </si>
  <si>
    <t>Review, Steel structure building, need to add new pole,</t>
  </si>
  <si>
    <t>Need to relocate DCDB pole… future proof for poss 3rd tenant relocate TN BTS also</t>
  </si>
  <si>
    <t>1-01-05018-005</t>
  </si>
  <si>
    <t>SGG0351</t>
  </si>
  <si>
    <t>Ok, If no extension</t>
  </si>
  <si>
    <t>AYYN_0323</t>
  </si>
  <si>
    <t>YGN1545</t>
  </si>
  <si>
    <t>26</t>
  </si>
  <si>
    <t>Review, need to change wind speed from 160kph to 195kph</t>
  </si>
  <si>
    <t>ANMG_0076</t>
  </si>
  <si>
    <t>MGY0061</t>
  </si>
  <si>
    <t>ASMO_0254</t>
  </si>
  <si>
    <t>MON0014</t>
  </si>
  <si>
    <t>Rejected from Community &amp; Power from Community &amp; Power. site is down due to lack of grid connection</t>
  </si>
  <si>
    <t> Ok</t>
  </si>
  <si>
    <t>Site is down due to lack of grid connection</t>
  </si>
  <si>
    <t>ANNP_0329</t>
  </si>
  <si>
    <t>NPW0281</t>
  </si>
  <si>
    <t>ANMD_0011</t>
  </si>
  <si>
    <t>MDYAMTZ017</t>
  </si>
  <si>
    <t>13.5</t>
  </si>
  <si>
    <t>16.5</t>
  </si>
  <si>
    <t>1 week</t>
  </si>
  <si>
    <t>AC connect?</t>
  </si>
  <si>
    <t>ANMD_0097</t>
  </si>
  <si>
    <t>MDYCMTZ034</t>
  </si>
  <si>
    <t>Colo Application already approved on 18th Sep.</t>
  </si>
  <si>
    <t>13-Sep-18: Okay for TI installation,  Lease hike request may raise while TI installation</t>
  </si>
  <si>
    <t>ACAY_0154</t>
  </si>
  <si>
    <t>AYW5603</t>
  </si>
  <si>
    <t>28</t>
  </si>
  <si>
    <t>NOTE: site has 24/7 DG run restriction</t>
  </si>
  <si>
    <t>ACAY_0056</t>
  </si>
  <si>
    <t>AYW5611</t>
  </si>
  <si>
    <t>BB EoL swap &amp; expansion + DG upgrade needed</t>
  </si>
  <si>
    <t>ACAY_0138</t>
  </si>
  <si>
    <t>AYW5612</t>
  </si>
  <si>
    <t>31</t>
  </si>
  <si>
    <t>BB EoL swap &amp; expansion</t>
  </si>
  <si>
    <t>ACBA_0256</t>
  </si>
  <si>
    <t>BAW5598</t>
  </si>
  <si>
    <t>ASMO_0161</t>
  </si>
  <si>
    <t>MOW6321</t>
  </si>
  <si>
    <t>36</t>
  </si>
  <si>
    <t>13-Sep-18: Okay for TI installation as owner is okay, Team has to be much quite while OML installation as ward and Nieghbour may raise concern.</t>
  </si>
  <si>
    <t>NOTE: site has 24/7 DG run restriction BB Eol swap &amp; expansion + DG UG</t>
  </si>
  <si>
    <t>ACBA_0104</t>
  </si>
  <si>
    <t>BAW5607</t>
  </si>
  <si>
    <t xml:space="preserve">monitor Grid &amp; battery performance - BB UG may be requiured </t>
  </si>
  <si>
    <t>ACBA_0099</t>
  </si>
  <si>
    <t>BAW5608</t>
  </si>
  <si>
    <t>2wee</t>
  </si>
  <si>
    <t>BB EoL swap - monitor grid performance - DG UG if poor grid</t>
  </si>
  <si>
    <t>ANNP_0256</t>
  </si>
  <si>
    <t>NPW2249</t>
  </si>
  <si>
    <t>ANSG_0483</t>
  </si>
  <si>
    <t>SGG00406</t>
  </si>
  <si>
    <t>Change Request</t>
  </si>
  <si>
    <t>1</t>
  </si>
  <si>
    <t>41</t>
  </si>
  <si>
    <t>Existing on tower - ( Assume ) Telenor with 5.65 EPA . MPT with 4.84 EPA - Mytel Colo Apps EPA -  6.914</t>
  </si>
  <si>
    <t>Comment below site duplicated</t>
  </si>
  <si>
    <t>Grid request on hold due to high VCC 10 million</t>
  </si>
  <si>
    <t>AYYN_0609</t>
  </si>
  <si>
    <t>BGE00472</t>
  </si>
  <si>
    <t>MPT Colocation</t>
  </si>
  <si>
    <t>Under Colo</t>
  </si>
  <si>
    <t>0</t>
  </si>
  <si>
    <t>Existing on tower - ( Assume ) Telenor with 5.83 EPA .OML with 11.13 EPA - Mytel with EPA -  3.90</t>
  </si>
  <si>
    <t xml:space="preserve">BB EoL swap </t>
  </si>
  <si>
    <t>community asking extra VCC (80lakhs) for MPT colo and OML, mytel as well. They received 30lakhs VCC when we connected a grid on site since 2017.</t>
  </si>
  <si>
    <t>YGN00500</t>
  </si>
  <si>
    <t xml:space="preserve">Existing on tower - ( Assume ) Telenor with 4.65 EPA .MPT with 4.70 EPA </t>
  </si>
  <si>
    <t>1-01-05027-002</t>
  </si>
  <si>
    <t>SGG00113</t>
  </si>
  <si>
    <t>MS_v1</t>
  </si>
  <si>
    <t>2</t>
  </si>
  <si>
    <t>SQM</t>
  </si>
  <si>
    <t>44.5</t>
  </si>
  <si>
    <t xml:space="preserve">Existing on tower actual - OML 10.58 sqm - No UE  / KSGM -2.97 sqm - No UE  ) - Requested SQM 5.242 -  Change MW and RF Azimuth as per the actual </t>
  </si>
  <si>
    <t>EXISTING TOWER(OP1+OP3(OLD+NEW)):  97.4 %
EXISTING TOWER(OP1+OP3(OLD)): 97.8 %</t>
  </si>
  <si>
    <t>1-01-16011-001</t>
  </si>
  <si>
    <t>SHE00089</t>
  </si>
  <si>
    <t xml:space="preserve">Colocation </t>
  </si>
  <si>
    <t>4</t>
  </si>
  <si>
    <t>48</t>
  </si>
  <si>
    <t>53</t>
  </si>
  <si>
    <t>Existing on tower actual - OML - 6.43 sqm - No UE  / KSGM - 5.57sqm - No UE TML 4.41sqm  )Requested SQM 4.546 -  Change RF dimension and add RRU</t>
  </si>
  <si>
    <t>Existing Tower(OML+TML+KSGM(OLD+NEW) =101.3%
Existing Tower(OML+TML+KSGM(OLD) =100.6%</t>
  </si>
  <si>
    <t>1-01-14003-002</t>
  </si>
  <si>
    <t>SHS00117</t>
  </si>
  <si>
    <t>Existing on tower actual - OML - 6.18 sqm - UE Down ( OML accupied area 55.35 - 52.66)  / KSGM - 3.21sqm no UE )Requested SQM 3.586 -  Change RF dimension and add RRU</t>
  </si>
  <si>
    <t>Existing Tower(OML+TML+KSGM(OLD+NEW) =96.6%
Existing Tower(OML+TML+KSGM(OLD) =96.2%</t>
  </si>
  <si>
    <t>1-01-14013-002</t>
  </si>
  <si>
    <t>SHS00185</t>
  </si>
  <si>
    <t>37</t>
  </si>
  <si>
    <t>42</t>
  </si>
  <si>
    <t>Existing on tower actual - OML - 6.63 sqm - No UE  / KSGM - 2.29 sqm no UE  / TML - 3.30 sqm- No UE / Mytel Colo Apps - 4.07sqm ) Requested SQM 3.374 - Change RF dimension and add RRU</t>
  </si>
  <si>
    <t>Strengthened Tower (Mytel Project - Install Completed) :
OML+TML+MYTEL+KSGM(NEW+OLD) = 94.5%
OML+TML+MYTEL+KSGM(OLD) = 89.5%</t>
  </si>
  <si>
    <t>1-01-06008-002</t>
  </si>
  <si>
    <t>TNY00033</t>
  </si>
  <si>
    <t>Existing on tower actual - OML - 7.35sqm - No UE  / KSGM - 4.10 sqm no UE  / TML - 4.64 sqm- No UE / Mytel Colo Apps - 4.07sqm )Requested SQM 4.314 - Change RF dimension and add RRU</t>
  </si>
  <si>
    <t>STR TOWER(OML+TML+MYTEL+KSGM(OLD+NEW)):  99.1%
STR TOWER(OML+TML+MYTEL+KSGM(OLD)): 97.5%</t>
  </si>
  <si>
    <t>1-01-01002-007</t>
  </si>
  <si>
    <t>KCN00293</t>
  </si>
  <si>
    <t>Existing on tower actual - OML - 8.70 sqm - No UE  / KSGM - 4.23 sqm no UE  / TML - 3.30 sqm- No UE )Requested SQM 4.254 -Change RF dimension and height, Changed RRU height</t>
  </si>
  <si>
    <t>Existing Tower(OML+TML+KSGM(OLD+NEW) =101.4%
Existing Tower(OML+TML+KSGM(OLD) =100.8%</t>
  </si>
  <si>
    <t>1-01-17019-003</t>
  </si>
  <si>
    <t>AWD00111</t>
  </si>
  <si>
    <t>Existing on tower actual - OML - 9.14 sqm - No UE  / KSGM - 3.78 sqm no UE  / TML - 3.35 sqm- No UE / Mytel Colo Apps 3.79sqm  )Requested SQM 4.968 - Change RF dimension and added RRU</t>
  </si>
  <si>
    <t>Existing Tower(OML+TML+MYTEL+KSGM(OLD+NEW) =103.3%
Existing Tower(OML+TML+MYTEL+KSGM(OLD) =102.7%</t>
  </si>
  <si>
    <t>1-01-05027-008</t>
  </si>
  <si>
    <t>SGG00158</t>
  </si>
  <si>
    <t>Existing on tower actual - OML -6.91 sqm - No UE  / KSGM - 2.83 sqm no UE   )Requested SQM 3.113 - Change MW cables size and ODU dimension/model</t>
  </si>
  <si>
    <t>Existing Tower(OML+ KSGM(OLD+NEW) = 62.4%
Existing Tower(OML+ KSGM(OLD) = 62.3%</t>
  </si>
  <si>
    <t>1-01-05011-006</t>
  </si>
  <si>
    <t>SGG00544</t>
  </si>
  <si>
    <t>3</t>
  </si>
  <si>
    <t xml:space="preserve">Existing on tower actual - OML -7.59 sqm - No UE  / KSGM - 4.16 sqm no UE / TML - 3.87  sqm no UE )Requested SQM 6.525 -add MW as per the actual and Add RF as new additional </t>
  </si>
  <si>
    <t>Existing Tower(OML+TML+KSGM(OLD+NEW) =102.1%
Existing Tower(OML+TML+KSGM(OLD) =99.2%</t>
  </si>
  <si>
    <t>1-01-14008-002</t>
  </si>
  <si>
    <t>SHS00382</t>
  </si>
  <si>
    <t>Existing on tower actual - OML Not Yet On Air / KSGM - 2.69 sqm no UE / TML - 3.87  sqm no UE )Requested SQM 1.744 -Change RF dimension and added RRU</t>
  </si>
  <si>
    <t>EXISTING TOWER(OML+TML+KSGM(OLD+NEW)):  90.5 %
EXISTING TOWER(OML+TML+KSGM(OLD)): 91.7%</t>
  </si>
  <si>
    <t>1-01-16001-003</t>
  </si>
  <si>
    <t>SHE00021</t>
  </si>
  <si>
    <t>Existing on tower actual - OML 7.76sqm / KSGM - 2.08 sqm no UE )Requested SQM 3.024 -Change RF /RRU dimension</t>
  </si>
  <si>
    <t>STR TOWER(OP1+OP3(OLD+NEW)): 79.3%
STR TOWER(OP1+OP3(OLD)): 76.6%</t>
  </si>
  <si>
    <t>1-01-14001-019</t>
  </si>
  <si>
    <t>SHS00259</t>
  </si>
  <si>
    <t>34.5</t>
  </si>
  <si>
    <t>Existing on tower actual - OML 7.24 sqm / KSGM - 2.29 sqm  / Mytel - 1.46  sqm no UE )Requested SQM 5.988 -Change RF dimension and added RRU</t>
  </si>
  <si>
    <t>Approved by Pasky (8/11/2018) by hard copy
STR TOWER(OML+MYTEL+KSGM(OLD+NEW)): 101.09%
STR TOWER(OML+MYTEL+KSGM(OLD)): 98.23  %
EXISTING TOWER(OML+MYTEL+KSGM(OLD+NEW)):  114.2%
EXISTING TOWER(OML+MYTEL+KSGM(OLD)): 111%</t>
  </si>
  <si>
    <t>1-01-15010-002</t>
  </si>
  <si>
    <t>SHN00092</t>
  </si>
  <si>
    <t xml:space="preserve">Existing on tower actual - OML 8.67 sqm / KSGM - 4.34 sqm  / TML colo apps  - 4.41 sqm )Requested SQM 7.458 -Added RF as new additional </t>
  </si>
  <si>
    <t>EXISTING TOWER(OML+TML+KSGM(OLD+NEW)):  101 %
EXISTING TOWER(OML+TML+KSGM(OLD)): 97.2%</t>
  </si>
  <si>
    <t>1-01-08002-005</t>
  </si>
  <si>
    <t>BGW00115</t>
  </si>
  <si>
    <t>30.5</t>
  </si>
  <si>
    <t>35.5</t>
  </si>
  <si>
    <t>Existing on tower actual - OML 7.16 sqm / KSGM - 3.08 sqm no UE ) Requested SQM 2.752 -Change RF dimension and add RRU</t>
  </si>
  <si>
    <t>Existing Tower(OML+KSGM(OLD+NEW) = 80.1%
Existing Tower(OML+KSGM(OLD) = 80.7%</t>
  </si>
  <si>
    <t>1-01-11009-003</t>
  </si>
  <si>
    <t>MON00160</t>
  </si>
  <si>
    <t>52</t>
  </si>
  <si>
    <t>57</t>
  </si>
  <si>
    <t>Existing on tower actual - OML 8.09 sqm / KSGM - 2.29 sqm no UE, Mytel colo apps  4.50 sqm  )Requested SQM 4.454- Change RF dimension and add RRU</t>
  </si>
  <si>
    <t>Strengthened Tower (Mytel Project - Install Completed) :
OML+MYTEL+KSGM(NEW+OLD) = 99.7%
OML+MYTEL+KSGM(OLD) = 92.2%</t>
  </si>
  <si>
    <t>1-01-14005-005</t>
  </si>
  <si>
    <t>SHS00349</t>
  </si>
  <si>
    <t>Existing on tower actual - OML 8.89 sqm / KSGM - 2.97 sqm no UE, TML  4.36 sqm - no UE  )Requested SQM 3.946- Change RF dimension and add RRU</t>
  </si>
  <si>
    <t>EXISTING TOWER(OML+TML+KSGM(OLD+NEW)): 99.5 %
EXISTING TOWER(OML+TML+KSGM(OLD)): 97.8 %</t>
  </si>
  <si>
    <t>1-01-17016-004</t>
  </si>
  <si>
    <t>AWD00498</t>
  </si>
  <si>
    <t>42.5</t>
  </si>
  <si>
    <t>47.5</t>
  </si>
  <si>
    <t>Existing on tower actual - OML 9.15 sqm / KSGM - 3.43 sqm no UE, TML  5.00 sqm - no UE  )Requested SQM 3.575- Change RF dimension and add MW</t>
  </si>
  <si>
    <t>Strengthened Tower(OML+TML+KSGM(OLD+NEW)): 101.87%
Strengthened Tower(OML+TML+KSGM(OLD)): 101.92%</t>
  </si>
  <si>
    <t>1-01-13004-002</t>
  </si>
  <si>
    <t>YGN00555</t>
  </si>
  <si>
    <t>Existing on tower actual - OML 7.49 sqm / KSGM - 3.25 sqm no UE,   )Requested SQM 3.515- Change RF dimension and add MW</t>
  </si>
  <si>
    <t>EXISTING TOWER(OML+KSGM(OLD+NEW)):  80.2 %
EXISTING TOWER(OML+KSGM(OLD)): 80 %</t>
  </si>
  <si>
    <t>1-01-17009-002</t>
  </si>
  <si>
    <t>AWD00481</t>
  </si>
  <si>
    <t xml:space="preserve">Tower Share </t>
  </si>
  <si>
    <t>Existing on tower actual - OML 7.72 sqm / KSGM - 3.42 sqm no UE, TML - 4.94 sqm )Requested SQM 2.887 - Change RF dimension and add MW</t>
  </si>
  <si>
    <t>Existing Tower(OP1+OP4+OP3(OLD+NEW) =103%
Existing Tower(OP1+OP4+OP3(OLD) =103.9%</t>
  </si>
  <si>
    <t>1-01-17008-022</t>
  </si>
  <si>
    <t>AWD00548</t>
  </si>
  <si>
    <t>29</t>
  </si>
  <si>
    <t xml:space="preserve">Existing on tower actual - OML 6.71 sqm / KSGM - 2.50 sqm no UE, TML - 4.01 sqm )Requested SQM 2.912 - Change existing Antenna height </t>
  </si>
  <si>
    <t>Existing Tower(OML+TML+KSGM(OLD+NEW) = 91.7%
Existing Tower(OML+TML+KSGM(OLD) = 91.8%</t>
  </si>
  <si>
    <t>1-01-05027-009</t>
  </si>
  <si>
    <t>SGG00227</t>
  </si>
  <si>
    <t>MS</t>
  </si>
  <si>
    <t>Existing on tower actual - OML 9.18 sqm / KSGM - 2.69 sqm no UE, TML Colo Apps  - 3.20 sqm )Requested SQM 3.312 sqm - Change RF dimension and add RRU</t>
  </si>
  <si>
    <t>Existing Tower(OML+TML+KSGM(OLD+NEW) = 104.15%
Existing Tower(OML+TML+KSGM(OLD) = 95.13%</t>
  </si>
  <si>
    <t>1-01-14001-005</t>
  </si>
  <si>
    <t>SHS00183</t>
  </si>
  <si>
    <t>LTE</t>
  </si>
  <si>
    <t>Existing on tower actual - OML 12.07 sqm / KSGM - 2.51sqm no UE, TML  - 3.87 sqm - No UE )Requested SQM 4.186 sqm - Change RF dimension and add RRU</t>
  </si>
  <si>
    <t>Existing Tower(OML+TML+KSGM(OLD) =104%
Existing Tower(OML+TML+KSGM(OLD+NEW) =105%</t>
  </si>
  <si>
    <t>1-01-01009-013</t>
  </si>
  <si>
    <t>KCN00152</t>
  </si>
  <si>
    <t xml:space="preserve">Colo Prevalidation Completed by Cover Sheet and Colo application approved on 15 Nov 2018 . </t>
  </si>
  <si>
    <t>1-01-11003-002</t>
  </si>
  <si>
    <t>MON00212</t>
  </si>
  <si>
    <t>UPG</t>
  </si>
  <si>
    <t>43</t>
  </si>
  <si>
    <t>Existing on tower actual - OML 8.85 sqm ( UE Down (59.00 - 53.50 / 38.80 - 37.60) / KSGM - 2.51sqm no UE, Mytel  - 4.08 sqm - No UE ) - Change RF dimension and add RRU</t>
  </si>
  <si>
    <t>Strengthened Tower(OML+MYTEL+KSGM(OLD+NEW)): 103.3%
Strengthened Tower(OML+MYTEL+KSGM(OLD)): 104.5%</t>
  </si>
  <si>
    <t>1-01-14001-015</t>
  </si>
  <si>
    <t>SHS00057</t>
  </si>
  <si>
    <t>Existing on tower actual - OML 9.84 sqm no UE  / KSGM 2.47 sqm  No UE /TML - 3.00 sqm no UE/ Mytel  - 1.53 sqm - No UE ) - Change RF dimension and add RRU</t>
  </si>
  <si>
    <t>Strengthened Tower(OML+TML+MYTEL+KSGM(OLD+NEW)): 99.5% 
Strengthened Tower(OML+TML+MYTEL+KSGM(OLD)): 97.2%</t>
  </si>
  <si>
    <t>1-01-06002-003</t>
  </si>
  <si>
    <t>TNY00206</t>
  </si>
  <si>
    <t>44</t>
  </si>
  <si>
    <t>49</t>
  </si>
  <si>
    <t>Existing on tower actual - OML 7.16 sqm no UE  /Mytel  - 1.47 sqm - No UE ) - Change RF dimension and add RRU</t>
  </si>
  <si>
    <t>Existing Tower(OML+MYTEL+KSGM(OLD) =94.7%
Existing Tower(OML+MYTEL+KSGM(OLD+NEW) =94.1%</t>
  </si>
  <si>
    <t>ANMD_0132</t>
  </si>
  <si>
    <t>MDY00422</t>
  </si>
  <si>
    <t>TS</t>
  </si>
  <si>
    <t>Existing on tower - ( Assume ) TML with 6.19 EPA / OML with 12.24 EPA / MPT with 3.86 EPA - ( Remove MW and ODU and change RF ,RRU height )</t>
  </si>
  <si>
    <t>Existing Tower: OML+TML+KSGM : 99.49%</t>
  </si>
  <si>
    <t xml:space="preserve">TML HUB 3 tenant site high load. PE SYS Upgrade </t>
  </si>
  <si>
    <t>SGG00692</t>
  </si>
  <si>
    <t>Existing on tower - ( Assume ) TML with 3.93 EPA / MPT with 3.58 EPA /Mytel Colo apps loading 3.354 EPA - ( Remove MW , Add RRU and change RF dimension  )</t>
  </si>
  <si>
    <t>Existing Tower: OML+TML+KSGM+MYTEL : 104.41%</t>
  </si>
  <si>
    <t xml:space="preserve">monitor DG, capacity upgrade possible, grid availability dependant </t>
  </si>
  <si>
    <t>1-01-09008-001</t>
  </si>
  <si>
    <t>MGW00412</t>
  </si>
  <si>
    <t>Existing on tower actual - OML 7.72 sqm no UE  /MPT  - 3.52 sqm - No UE ) - Change RFModel and Change MW leg and add RRU/ ODU</t>
  </si>
  <si>
    <t>EXISTING TOWER(OML+KSGM(OLD+NEW)):  87.6%
EXISTING TOWER(OML+KSGM(OLD)): 87.3%</t>
  </si>
  <si>
    <t>ANSG_0454</t>
  </si>
  <si>
    <t>SGG00785</t>
  </si>
  <si>
    <t/>
  </si>
  <si>
    <t xml:space="preserve">Existing on tower - ( Assume ) TML with 7.55 EPA/MPT with 4.20 EPA - ( change RF height , add MW and ODU  ) </t>
  </si>
  <si>
    <t>Existing Tower: TML+KSGM : 60.57%</t>
  </si>
  <si>
    <t>comes with risk - site on 10 hours NS mode daily.</t>
  </si>
  <si>
    <t>1-01-13004-003</t>
  </si>
  <si>
    <t>YGN02146</t>
  </si>
  <si>
    <t xml:space="preserve">Existing on tower actual - OML 8.34 sqm no UE  /MPT prev Colo Apps - 2.08sqm , TML 3.30sqm  ) - Change Auzimuth </t>
  </si>
  <si>
    <t xml:space="preserve">Site data required - PE swap a possibility </t>
  </si>
  <si>
    <t>ACBA_0053</t>
  </si>
  <si>
    <t>YGN00594</t>
  </si>
  <si>
    <t xml:space="preserve">Existing on tower - ( Assume ) TML with 6.73 EPA/MPT with 3.51 EPA - ( Add RF and add RRU ) </t>
  </si>
  <si>
    <t>Existing tower: TML + KSGM (OLD+NEW) = 91.82% (New wind zone 130 kph)</t>
  </si>
  <si>
    <t>PE UG - full K10 upagrade</t>
  </si>
  <si>
    <t>ANSG_0463</t>
  </si>
  <si>
    <t>SGG00730</t>
  </si>
  <si>
    <t>Existing on tower - ( Assume ) TML with 8.99 EPA/OML with 11.23 EPA / MPT with 4.84 EPA - (Change RF And MW Dimension and add RRU / ODU )</t>
  </si>
  <si>
    <t>EXISTING TOWER: TML+OML+KSGM(OLD+NEW)):  101.3%</t>
  </si>
  <si>
    <t>10 hrs NS - High load - 36Kw PE Sys UG required</t>
  </si>
  <si>
    <t>ANSG_0485</t>
  </si>
  <si>
    <t>SGG00698</t>
  </si>
  <si>
    <t>Existing on tower - ( Assume ) TML with 4.29 EPA/ MPT with 4.55EPA (Change RF Dimension and add MW and RRU, ODU )</t>
  </si>
  <si>
    <t>Existing Tower: TML+KSGM+Mytel : 76.94%</t>
  </si>
  <si>
    <t xml:space="preserve">Site has 10 hours DG NS or Grid connect/UG PE/Take the risk-outages </t>
  </si>
  <si>
    <t>Existing on tower - ( Assume ) TML with 4.29 EPA/ MPT with 5.65 EPA (add MW and RRU, ODU )</t>
  </si>
  <si>
    <t>Existing Tower: TML+KSGM+Mytel : 78.47%</t>
  </si>
  <si>
    <t xml:space="preserve">1 week  </t>
  </si>
  <si>
    <t>BB SOH so UG can be verified</t>
  </si>
  <si>
    <t>1-01-05018-006</t>
  </si>
  <si>
    <t>SGG00198</t>
  </si>
  <si>
    <t>TS_v1</t>
  </si>
  <si>
    <t>46.5</t>
  </si>
  <si>
    <t>51.5</t>
  </si>
  <si>
    <t xml:space="preserve">Existing on tower actual - OML 7.84 sqm no UE  /MPT - 3.88sqm , TML 3.79sqm  ) - Change Antenna Height as par actual </t>
  </si>
  <si>
    <t>EXISTING TOWER(OML+TML+KSGM(OLD+NEW)):  96.8%
EXISTING TOWER(OML+TML+KSGM(OLD)): 96.1%</t>
  </si>
  <si>
    <t>1-01-14007-007</t>
  </si>
  <si>
    <t>SHS00221</t>
  </si>
  <si>
    <t>UPG_v1</t>
  </si>
  <si>
    <t xml:space="preserve">Existing on tower actual - OML 7.03 sqm (UE Down 58.60-52.53 )  /MPT - 2.61sqm / TML 3.51sqm  ) - Change RF Dimension and add RRU </t>
  </si>
  <si>
    <t>EXISTING TOWER(OML+TML+KSGM(OLD+NEW)):  104.1%
EXISTING TOWER(OML+TML+KSGM(OLD)): 104.4%</t>
  </si>
  <si>
    <t>AYYN_0086</t>
  </si>
  <si>
    <t>YGN00788</t>
  </si>
  <si>
    <t>18.5</t>
  </si>
  <si>
    <t>23.5</t>
  </si>
  <si>
    <t>Existing on tower - ( Assume ) TML with 4.39 EPA/ OML with 12.88 EPA / MPT with 5.67 EPA /Mytel with 2.45 EPA/ Amara with 3.06 EPA  ( Change RF smaller Dimension )</t>
  </si>
  <si>
    <t xml:space="preserve">Monitor BB increase to 1800/2400AH a possibility </t>
  </si>
  <si>
    <t>1-01-14001-026</t>
  </si>
  <si>
    <t>SHS00070</t>
  </si>
  <si>
    <t>UPG _ v1</t>
  </si>
  <si>
    <t xml:space="preserve">Existing on tower actual - OML 7.88 sqm /MPT - 2.66sqm )- Change RF Dimension and add RRU </t>
  </si>
  <si>
    <t>STR TOWER(OP1+OP3(OLD+NEW)):90.88 %
STR TOWER(OP1+OP3(OLD)): 91.4%</t>
  </si>
  <si>
    <t>1-01-04007-009</t>
  </si>
  <si>
    <t>CHN00225</t>
  </si>
  <si>
    <t>New Colocation</t>
  </si>
  <si>
    <t>Relo-TS</t>
  </si>
  <si>
    <t xml:space="preserve">Existing on tower actual - OML 6.58 sqm /TML - 2.89sqm )- New Colo Application </t>
  </si>
  <si>
    <t>Strengthened Tower: OML+TML+KSGM (OLD+NEW) = 89.7%
Strengthened Tower: OML+TML+KSGM (OLD) = 80.67%</t>
  </si>
  <si>
    <t xml:space="preserve">Existing on tower actual - OML 7.72 sqm /MPT - 3.42 sqm / TML - 4.50 sqm )- Add ODU </t>
  </si>
  <si>
    <t>Existing Tower; OML + TML + KSGM (OLD+NEW) = 99.4%
Existing Tower; OML + TML + KSGM (OLD) = 99.4%</t>
  </si>
  <si>
    <t xml:space="preserve">Existing on tower actual - OML 10.58 sqm ( UE Down - OML Occupied Area 54.90 - 49.46 )/MPT - 2.97 sqm  )- Add RRU and Change RF Dimension </t>
  </si>
  <si>
    <t>EXISTING TOWER(OP1+OP3(OLD+NEW)): 104.5  %
EXISTING TOWER(OP1+OP3(OLD)): 97.4%</t>
  </si>
  <si>
    <t>MS _ v1</t>
  </si>
  <si>
    <t xml:space="preserve">Existing on tower actual - OML 7.76 sqm /MPT - 2.61 sqm - Add RRU and Change RF Dimension </t>
  </si>
  <si>
    <t>STR TOWER(OP1+OP3(OLD+NEW)): 80.5%
STR TOWER(OP1+OP3(OLD)): 79.3%</t>
  </si>
  <si>
    <t>1-01-10015-003</t>
  </si>
  <si>
    <t>MDY00347</t>
  </si>
  <si>
    <t xml:space="preserve">Existing on tower actual - OML 8.34 sqm /MPT - 4.16 sqm - Add RRU and Change RF Dimension </t>
  </si>
  <si>
    <t>EXISTING TOWER(OP1+OP3(OLD+NEW)): 96.2  %
EXISTING TOWER(OP1+OP3(OLD)): 94.1%</t>
  </si>
  <si>
    <t>1-01-05027-006</t>
  </si>
  <si>
    <t>SGG00225</t>
  </si>
  <si>
    <t xml:space="preserve">Existing on tower actual - OML 8.91 sqm /MPT - 5.29 sqm / TML - 3.51 sqm )- Add RRU and Change RF Dimension </t>
  </si>
  <si>
    <t>EXISTING TOWER(OP1+OP4+OP3(OLD+NEW)):  99.9%
EXISTING TOWER(OP1+OP4+OP3(OLD)): 99%</t>
  </si>
  <si>
    <t xml:space="preserve">Existing on tower actual - OML 7.84 sqm ( UE Down 58.00 - 52.43 ) /MPT - 3.88 sqm / TML - 3.79 sqm )- Added RRU and Change RF Dimension </t>
  </si>
  <si>
    <t>EXISTING TOWER(OP1+OP4+OP3(OLD+NEW)):  97.5%
EXISTING TOWER(OP1+OP4+OP3(OLD)): 96.8%</t>
  </si>
  <si>
    <t>1-01-05030-010</t>
  </si>
  <si>
    <t>SGG00149</t>
  </si>
  <si>
    <t xml:space="preserve">Existing on tower actual - OML 9.75 sqm /MPT - 5.82 sqm / Mytel - 1.74 sqm  )- Added RRU and Change RF Dimension </t>
  </si>
  <si>
    <t>1-2 weeks</t>
  </si>
  <si>
    <t>DCDB for MPT tapping from OML integrated cabinet</t>
  </si>
  <si>
    <t>1-01-17023-009</t>
  </si>
  <si>
    <t>AWD01309</t>
  </si>
  <si>
    <t xml:space="preserve">Existing on tower actual - OML 11.02 sqm / TML - 2.97 sqm )- New Colo Application </t>
  </si>
  <si>
    <t>Existing Tower: OML+TML+KSGM (OLD+NEW) = 102.4%
Existing Tower: OML+TML+KSGM (OLD) = 90.8%</t>
  </si>
  <si>
    <t>1-01-04004-007</t>
  </si>
  <si>
    <t>CHN00118</t>
  </si>
  <si>
    <t xml:space="preserve">Existing on tower actual - OML 6.38 sqm / MPT - 4.26 sqm )- Change RF Dimension and add RRU </t>
  </si>
  <si>
    <t>STRENGTHENED TOWER(OP1+OP3(OLD+NEW)): 99.5%
STRENGTHENED  TOWER(OP1+OP3(OLD)): 98.3%</t>
  </si>
  <si>
    <t>1-01-05005-006</t>
  </si>
  <si>
    <t>SGG00246</t>
  </si>
  <si>
    <t xml:space="preserve">Existing on tower actual - OML 14.21 sqm / MPT - 6.37 sqm )- Change RF Dimension and add RRU </t>
  </si>
  <si>
    <t>Existing Tower: OML+1.2MW(UE)+KSGM (OLD+NEW) = 102.0%
Existing Tower: OML+1.2MW(UE)+KSGM (OLD) = 95.1%</t>
  </si>
  <si>
    <t>1-01-14001-033</t>
  </si>
  <si>
    <t>SHS00466</t>
  </si>
  <si>
    <t>EXC</t>
  </si>
  <si>
    <t>Existing on tower actual - OML 9.85 sqm / MPT - 2.86 sqm / Mytel - 2.69sqm )- Change MW Dimension</t>
  </si>
  <si>
    <t>Strengthened Tower: OML+MYTEL+KSGM (OLD+NEW) = 77.9%
Strengthened Tower: OML+MYTEL+KSGM (OLD) = 77.5%</t>
  </si>
  <si>
    <t xml:space="preserve">
MS _v1</t>
  </si>
  <si>
    <t xml:space="preserve">Existing on tower actual - OML 6.91 sqm / MPT - 3.11 sqm )- Add ODU and RRU </t>
  </si>
  <si>
    <t>Existing Tower: OML+KSGM (OLD+NEW) = 62.9%
Existing Tower: OML+KSGM (OLD) = 62.9</t>
  </si>
  <si>
    <t>1-01-15011-001</t>
  </si>
  <si>
    <t>SHN00043</t>
  </si>
  <si>
    <t>TS _v1</t>
  </si>
  <si>
    <t xml:space="preserve">Existing on tower actual - OML 6.29 sqm / MPT - 2.71 sqm )- change MW height to 33.5 - Same loading as before </t>
  </si>
  <si>
    <t>EXISTING TOWER(OP1+OP3(OLD+NEW)):     77%
EXISTING TOWER(OP1+OP3(OLD)):  77 %</t>
  </si>
  <si>
    <t>1-01-01002-008</t>
  </si>
  <si>
    <t>KCN00372</t>
  </si>
  <si>
    <t>TS  _ v1</t>
  </si>
  <si>
    <t xml:space="preserve">Existing on tower actual - OML 13.53 sqm ( UE Down 59.60 - 48.60 ) /MPT - 3.07 sqm / Mytel - 1.74 sqm  )- Changed Model name </t>
  </si>
  <si>
    <t xml:space="preserve">No action needed </t>
  </si>
  <si>
    <t>120 days min</t>
  </si>
  <si>
    <t xml:space="preserve">PE upgrade required </t>
  </si>
  <si>
    <t>1-01-15012-002</t>
  </si>
  <si>
    <t>SHN00218</t>
  </si>
  <si>
    <t>Rental increase was granted sometime in August 2016, which doubled the initial agreed rate; LL/Lessor recently asking for 100k/month on top of the current rate of 400k/month</t>
  </si>
  <si>
    <t>Existing on tower actual - OML 7.20 sqm  /MPT - 2.50 sqm / TML 3.47 / Mytel - 1.53 sqm  )- Add 1 MW ( 0.6 ) and add 1 ODU .</t>
  </si>
  <si>
    <t>STR TOWER(OP1+OP4+OP5+OP3(OLD+NEW)): 104.84%
STR TOWER(OP1+OP4+OP5+OP3(OLD)):104.02%</t>
  </si>
  <si>
    <t>YGNSPTR021</t>
  </si>
  <si>
    <t>r-remove</t>
  </si>
  <si>
    <t>Existing on tower - ( Assume ) TML with 4.48 EPA/ OML with 7.13 EPA / MPT with 1.02 EPA /Mytel with 2.09 EPA/ Amara with 3.52 EPA  ( Remove MW )</t>
  </si>
  <si>
    <t>Existing Tower(TML+OML+MPT+MYTEL+AMARA) : 102.44%</t>
  </si>
  <si>
    <t>AYYN_0264</t>
  </si>
  <si>
    <t>YGNINSN003</t>
  </si>
  <si>
    <t>Remove Equipment</t>
  </si>
  <si>
    <t>Existing on tower - ( Assume ) TML with 4.93 EPA/ OML with 10.14 EPA / Mytel with 2.55 EPA/ Amara with 2.97 EPA  ( Remove MW )</t>
  </si>
  <si>
    <t>Strengthened Tower : OML+TML+MYTEL+AMARA (OLD+NEW) =  206.4%
GTL did not consider underground water in design strengthening calculation since this site has flood history that is the reason why the foundation is failing.</t>
  </si>
  <si>
    <t>AYYN_0334</t>
  </si>
  <si>
    <t>YGNMYGE005</t>
  </si>
  <si>
    <t>17.4</t>
  </si>
  <si>
    <t>22.4</t>
  </si>
  <si>
    <t>Existing on tower - ( Assume ) TML with 4.02 EPA/  Amara Colo Apps with  EPA 3.19  ( Remove MW )</t>
  </si>
  <si>
    <t>AYYN_0579</t>
  </si>
  <si>
    <t>YGNSPTR024</t>
  </si>
  <si>
    <t>Existing on tower - ( Assume ) TML with 4.96 EPA/ OML with 11.43 /   Amara Colo Apps with 3.35 EPA  ( Remove MW )</t>
  </si>
  <si>
    <t>AYYN_0553</t>
  </si>
  <si>
    <t>YGNTKTA010</t>
  </si>
  <si>
    <t>4.5</t>
  </si>
  <si>
    <t>Existing on tower - ( Assume ) TML with 4.96 EPA/ OML with 11.43 /   Amara Colo Apps with 2.97 EPA  ( Remove MW )</t>
  </si>
  <si>
    <t>54</t>
  </si>
  <si>
    <t xml:space="preserve">2-May-18:Regarding Power, OML Cannot be allowed this time as the site has 12 hrs. of long NS. Battery also cannot be upgraded as site has the maximum battery capacity already.   </t>
  </si>
  <si>
    <t xml:space="preserve">Requested OML EPA - 3.78 EPA ( Require Colo Apps for more details ) -  Existing on tower ( assume ) TML - 8.36 EPA / Mytel - 5.41 EPA </t>
  </si>
  <si>
    <t>Existing Tower: TML+MYTEL+OML (OLD+NEW) = 851.9% (Foundation is unstable)</t>
  </si>
  <si>
    <t xml:space="preserve">Can use the existing slab - Space to reconfirm base on TSS </t>
  </si>
  <si>
    <t>3-6 months</t>
  </si>
  <si>
    <t>Grid connection only - 12 Hrs NS - Offgrid</t>
  </si>
  <si>
    <t>19-Nov-18: Okay with easy micro solution
16-July-18: Tower already strengthening without consider OML (Information from Alvin)
Records says, not possible for co-location due community not allowing the DG to run when grid is down during night time -TML hub site</t>
  </si>
  <si>
    <t xml:space="preserve">Requested OML EPA - 3.78 EPA ( Require Colo Apps for more details ) -  Existing on tower ( assume ) TML - 4.66 EPA / Mytel - 2.55 EPA /Amara 3.42 EPA </t>
  </si>
  <si>
    <t xml:space="preserve"> Current  Existing Foundation Stress(TML+MYTEL+AMARA): 378.7%
(Because Leadcom not consider ground water level) </t>
  </si>
  <si>
    <t>Full K10 UG required - need to plan</t>
  </si>
  <si>
    <t>19-Oct-18: Okay with easy micro solution
16-July-18: Tower already strengthening without consider OML (Information from Alvin)</t>
  </si>
  <si>
    <t xml:space="preserve">Proposed highest Available window - 30- 32 / 16 - 13 - Requested OML EPA - 3.78 EPA ( Require Colo Apps for more details )- Existing on tower ( assume ) TML - 3.22 EPA / MPT - 5.47 EPA / Mytel - 2.45 / Amara 3.60 EPA </t>
  </si>
  <si>
    <t>PE capacity ready</t>
  </si>
  <si>
    <t>19-Nov-18: Okay with easy micro solution
16-July-18: EPA over design and rejected by Emilio. (Information from Alvin
Records says, not possible for co-locaton due to DG noise complaint, grid connection on hold because of high VCC</t>
  </si>
  <si>
    <t xml:space="preserve">Requested OML EPA - 3.78 EPA ( Require Colo Apps for more details ) -  Existing on tower ( assume ) TML - 5.42 EPA / Mytel Colo Apps- 5.45 EPA /MPT  4.66 EPA </t>
  </si>
  <si>
    <t xml:space="preserve"> Current  Existing Foundation Stress(TML+MYTEL+KSGM): 258.01%
(Foundation is unstable) </t>
  </si>
  <si>
    <t>grid connection complete - DCDB only</t>
  </si>
  <si>
    <t>10</t>
  </si>
  <si>
    <t>19-Nov-18: If structural team is okay then can go with easy micro soultion
6-July-17: Structural issue cant go for any co-location.</t>
  </si>
  <si>
    <t>Requested OML EPA - 3.78 EPA ( Require Colo Apps for more details ) -  Existing on tower ( assume ) TML - 3.02 EPA</t>
  </si>
  <si>
    <t>DCDB only</t>
  </si>
  <si>
    <t>19-Nov-18: owner donest allow any additional equipment. We negotitated with additional payment for ACS but owner refused.
OML dismantled because of higher power load required by OML.
23-Jun-17: OML disconnected dismantled equipment today and On air date (22-Oct-15) removed.
29-Mar-17: OML equipment will be dismantled and On air date will be deleted then.
26-Sep-15: Site added in list as per OML tracker</t>
  </si>
  <si>
    <t xml:space="preserve">Requested OML EPA - 3.78 EPA ( Require Colo Apps for more details ) -  Existing on tower ( assume ) TML - 4.65 EPA / MPT- 4.70 EPA </t>
  </si>
  <si>
    <t>Ready perm power</t>
  </si>
  <si>
    <t>Other</t>
  </si>
  <si>
    <t xml:space="preserve">Existing on tower actual - OML 9.18 sqm /MPT - 2.69 sqm / TML - 3.20 sqm  ) change 1 RF to smaller dimension </t>
  </si>
  <si>
    <t>EXISTING TOWER(OP1+OP4+OP3(OLD+NEW)):    102.93%
EXISTING TOWER(OP1+OP4+OP3(OLD)):  103.77%</t>
  </si>
  <si>
    <t xml:space="preserve">Existing on tower actual - OML 6.29 sqm /MPT - 2.71 sqm  )- Increase 3 RF dimension and add RRU </t>
  </si>
  <si>
    <t>EXISTING TOWER(OP1+OP3(OLD+NEW)):     78%
EXISTING TOWER(OP1+OP3(OLD)):  77 %</t>
  </si>
  <si>
    <t>Existing on tower - ( Assume ) TML with 6.19 EPA/ OML with  12.24 EPA /   MPT with 3.86 EPA  ( Change 1 RF Bigger Dimension and add RRU )</t>
  </si>
  <si>
    <t>EXISTING TOWER(OML+TML+KSGM (OLD+NEW)): 89.26%</t>
  </si>
  <si>
    <t>N/A</t>
  </si>
  <si>
    <t>Monitor PE poss candiate for PE upgrade</t>
  </si>
  <si>
    <t>1-01-05010-002</t>
  </si>
  <si>
    <t>SGG00209</t>
  </si>
  <si>
    <t>TS _ v1</t>
  </si>
  <si>
    <t>Based on history, no issues noted</t>
  </si>
  <si>
    <t xml:space="preserve">Existing on tower actual - OML - 7.23 Sqm / MPT - 3.70Sqm / TML Colo Apps - 3.90 Sqm  change RF and RRU height 51 to 51.5 as per actual </t>
  </si>
  <si>
    <t>Existing Tower: OML+TML+KSGM (OLD+NEW) = 88.3%
Existing Tower: OML+TML+KSGM (OLD) = 88.2%</t>
  </si>
  <si>
    <t xml:space="preserve">Monitor BB confirm EoL swap </t>
  </si>
  <si>
    <t>1-01-05010-006</t>
  </si>
  <si>
    <t>SGG00232</t>
  </si>
  <si>
    <t>45.5</t>
  </si>
  <si>
    <t>53.5</t>
  </si>
  <si>
    <t xml:space="preserve">Existing on tower actual -  OML 10.25 Sqm / MPT - 9.25 Sqm  - Add MW ( 2x0.6) and change RF and RRU height </t>
  </si>
  <si>
    <t>1-01-05009-003</t>
  </si>
  <si>
    <t>SGG00236</t>
  </si>
  <si>
    <t>46</t>
  </si>
  <si>
    <t>51</t>
  </si>
  <si>
    <t>There should be no rental increase as PAT already granted rental increase sometime in Feb-17</t>
  </si>
  <si>
    <t>Existing on tower actual -  OML 7.72 Sqm / MPT - 4.67 actual   - Removed 1.8 MW ( the actual on tower )</t>
  </si>
  <si>
    <t>1-01-14007-014</t>
  </si>
  <si>
    <t>SHN00080</t>
  </si>
  <si>
    <t>Existing on tower actual -   OML - 7.03sqm / KSGM -  3.72 sqm - Change RF and RRU height from 51 - 51.5</t>
  </si>
  <si>
    <t>1-01-15013-007</t>
  </si>
  <si>
    <t>SHN00086</t>
  </si>
  <si>
    <t>Existing on tower actual -   OML - 11.02sqm ( UE Split -59.50 - 54.00 / 48.00 - 46.00 ) / KSGM -  3.80 sqm / TML 3.51 - Add RRU</t>
  </si>
  <si>
    <t>PE system upgrade</t>
  </si>
  <si>
    <t>1-01-14007-002</t>
  </si>
  <si>
    <t>SHS00093</t>
  </si>
  <si>
    <t>Exchange</t>
  </si>
  <si>
    <t>There should be no rental increase as PAT already granted rental increase sometime in Nov-17</t>
  </si>
  <si>
    <t xml:space="preserve">Existing on tower actual -   OML - 11.02sqm ( UE Split -60.00 - 53.50 / 47.50 - 45.50 ) / KSGM -  4.36 sqm - Add MW ( 2 x 1.2 ) &amp; add RRU and ODU </t>
  </si>
  <si>
    <t>1-01-05011-004</t>
  </si>
  <si>
    <t>SGG00215</t>
  </si>
  <si>
    <t>There should be no rental increase as PAT already granted rental increase sometime in Nov-14</t>
  </si>
  <si>
    <t xml:space="preserve">Existing on tower actual - OML - 9.75 Sqm / MPT - 3.68 Sqm / TML - 4.78 Sqm  - Increase RF dimension and Add MW and ODU , RRU </t>
  </si>
  <si>
    <t>1-01-05010-004</t>
  </si>
  <si>
    <t>SGG00233</t>
  </si>
  <si>
    <t xml:space="preserve">Existing on tower actual - OML - 9.49 Sqm / MPT - 2.69 Sqm / Mytel Colo Apps - 5.20Sqm  - add one RRU </t>
  </si>
  <si>
    <t xml:space="preserve">Existing on tower actual - OML - 13.53 Sqm ( UE Top and Down - OML area 59.60 - 48 .60 )  / MPT - 3.07 Sqm / Mytel -1.74 Sqm  - Increase RF dimension and add RRU </t>
  </si>
  <si>
    <t>1-01-11007-003</t>
  </si>
  <si>
    <t>MON00275</t>
  </si>
  <si>
    <t xml:space="preserve">Existing on tower actual - OML - 9.33sqm  / MPT - 4.69 Sqm  - Decrease RF dimension and add RRU </t>
  </si>
  <si>
    <t xml:space="preserve">Existing on tower actual - OML - 7.76sqm  / MPT - 2.61 Sqm  - Increase RF dimension and add RRU </t>
  </si>
  <si>
    <t xml:space="preserve">Existing on tower actual - OML - 7.20sqm  / MPT - 2.61 Sqm  - Increase RF dimension and add RRU </t>
  </si>
  <si>
    <t>5</t>
  </si>
  <si>
    <t xml:space="preserve">Existing on tower actual - OML - 7.35sqm  / MPT - 4.10 Sqm / TML 4.64 Sqm / Mytel - 2.33 sqm - Increase RF dimension and add RRU </t>
  </si>
  <si>
    <t>ANSG_0393</t>
  </si>
  <si>
    <t>SGG00203</t>
  </si>
  <si>
    <t xml:space="preserve">Existing on tower ( Assume ) - TML - 5.92 EPA  / MPT - 3.34 EPA / TML 4.64 Sqm / Mytel -5.47 EPA  - Increase RF dimension and add MW and RRU </t>
  </si>
  <si>
    <t>ANMD_3001</t>
  </si>
  <si>
    <t>MDY01695</t>
  </si>
  <si>
    <t>BTS</t>
  </si>
  <si>
    <t xml:space="preserve">MPT BTS New Colo Application - For Regional Team - RF Pole to install and MW pole not require </t>
  </si>
  <si>
    <t xml:space="preserve">Required to construct the Slab </t>
  </si>
  <si>
    <t>Prevalidation Tracker Read Only</t>
  </si>
  <si>
    <t>Crossover</t>
  </si>
  <si>
    <t>Waiting for review BA report</t>
  </si>
  <si>
    <t>Undoable due to high VCC</t>
  </si>
  <si>
    <t>Strengthened Tower(TML+OML+MYTEL+AMARA+KSGM(OLD+NEW)): 104.4.%</t>
  </si>
  <si>
    <t>New Tenant</t>
  </si>
  <si>
    <t>Existing Tower: OML+TML+KSGM (OLD+NEW) = 114.3% (Estimate strengthening weight = 646 kg)
Existing Tower: OML+TML+KSGM (OLD) = 114.3%
** ROI is provided  with STR first, tower need to be strengthening befor KSGM antenna install**</t>
  </si>
  <si>
    <t>Strengthened Tower : OML+TML+MYTEL+AMARA (OLD+NEW) = 88.2%
(FDN Retrofitting but it was not installed yet. However, it was considered in the analysis already)</t>
  </si>
  <si>
    <t xml:space="preserve">
Total EPA is 9.35  &lt; 10.5 EPA Design - OK (Preliminaly Tower Assessment)</t>
  </si>
  <si>
    <t>Existing Tower: OML+KSGM (OLD+NEW) = 100.7%
Existing Tower: OML+KSGM (OLD) = 101.0%</t>
  </si>
  <si>
    <t>Existing Tower: OML+KSGM (OLD+NEW) = 87.6%
Existing Tower: OML+KSGM (OLD) = 87.9%</t>
  </si>
  <si>
    <t>EXISTING TOWER(OP1+OP3(OLD+NEW)):   93.2%
EXISTING TOWER(OP1+OP3(OLD)):   93.2%</t>
  </si>
  <si>
    <t>EXISTING TOWER(OP1+OP4+OP3(OLD+NEW)):  100.6%
EXISTING TOWER(OP1+OP4+OP3(OLD)):  100.6%</t>
  </si>
  <si>
    <t>EXISTING TOWER(OP1+OP4+OP3(OLD+NEW)):    107.1%
EXISTING TOWER(OP1+OP4+OP3(OLD)):  104.3%</t>
  </si>
  <si>
    <t>EXISTING TOWER(OP1+OP4+OP3(OLD+NEW)):    98.5%
EXISTING TOWER(OP1+OP4+OP3(OLD)):  97.1%</t>
  </si>
  <si>
    <t>EXISTING TOWER(OP1+OP3(OLD+NEW)):   93.7%
EXISTING TOWER(OP1+OP3(OLD)):   93.7%</t>
  </si>
  <si>
    <t>STR TOWER(OP1+OP5+OP3(OLD+NEW)): 95.95%
STR TOWER(OP1+OP5+OP3(OLD)):  91.6 %</t>
  </si>
  <si>
    <t>EXISTING TOWER(OP1+OP3(OLD+NEW)):   90.9%
EXISTING TOWER(OP1+OP3(OLD)):   91.3%</t>
  </si>
  <si>
    <t>STR TOWER(OP1+OP3(OLD+NEW)): 84.8%
STR TOWER(OP1+OP3(OLD)): 80.5%</t>
  </si>
  <si>
    <t>Site will require PE system capacity increase adding load will max current system, BB cap increase required</t>
  </si>
  <si>
    <t>Strengthened Tower: OML+TML+MYTEL+KSGM (OLD+NEW) = 100.6%
Strengthened Tower: OML+TML+MYTEL+KSGM (OLD) = 90.8%</t>
  </si>
  <si>
    <t>Strengthened Tower: OML+TML+MYTEL+KSGM (OLD+NEW) = 98.1%
Strengthened Tower: OML+TML+MYTEL+KSGM (OLD) = 100.5%</t>
  </si>
  <si>
    <t>Based on records, no issues noted</t>
  </si>
  <si>
    <t>Existing Tower: TML+MYTEL+KSGM (OLD+NEW) = 68.6%</t>
  </si>
  <si>
    <t>Existing Tower: KSGM (NEW) = 93.4%</t>
  </si>
  <si>
    <t>1-01-05007-011</t>
  </si>
  <si>
    <t>SG1093</t>
  </si>
  <si>
    <t>Move Equipment</t>
  </si>
  <si>
    <t xml:space="preserve">Existing on tower actual - OML - 8.92sqm  / MPT - 4.49 Sqm / TML 3.23 Sqm / Decrease MW dimension </t>
  </si>
  <si>
    <t>EXISTING TOWER(OP1+OP3+OP4(OLD+NEW)):    103.5%
EXISTING TOWER(OP1+OP3+OP4(OLD)):  102.2%</t>
  </si>
  <si>
    <t>1-01-15013-004</t>
  </si>
  <si>
    <t>SHN00327</t>
  </si>
  <si>
    <t xml:space="preserve">Existing on tower actual - OML - 11.75 sqm  / MPT - 3.56 Sqm / Change RF Height 49.5 to 50 m </t>
  </si>
  <si>
    <t>Strengthened Tower(OP1+OP3(OLD+NEW)): 95.1%
Strengthened Tower(OP1+OP3(OLD)): 95.1 %</t>
  </si>
  <si>
    <t>Site on grid - DG capacity UG to be confirmed grid avail to be monitored</t>
  </si>
  <si>
    <t>1-01-11009-002</t>
  </si>
  <si>
    <t>MON00311</t>
  </si>
  <si>
    <t>LTE _ v1</t>
  </si>
  <si>
    <t>9</t>
  </si>
  <si>
    <t>Existing on tower actual - OML - 8.01 sqm  / MPT - 2.56 Sqm / Increase RF dimension and add RRU .</t>
  </si>
  <si>
    <t>EXISTING TOWER(OP1+OP4+OP3(OLD+NEW)):    97%
EXISTING TOWER(OP1+OP4+OP3(OLD)):  94.4%</t>
  </si>
  <si>
    <t>PE capacity increase needed</t>
  </si>
  <si>
    <t xml:space="preserve">Existing on tower actual - OML - 9.84 sqm  / MPT - 3.50 Sqm / TML - 3.00Sqm / Mytel Actual 1.73 - Colo apps 4.73 Sqm Increase RF dimension </t>
  </si>
  <si>
    <t>Strengthened Tower(OP1+OP4+OP5+OP3(OLD+NEW)): 99.4%
Strengthened Tower(OP1+OP4+OP5+OP3(OLD)): 99.5%</t>
  </si>
  <si>
    <t>Existing on tower actual - OML - 7.99 sqm  / MPT - 2.61 Sqm / Increase RF dimension and add RRU</t>
  </si>
  <si>
    <t>Strengthened Tower: OML+KSGM (OLD+NEW) = 100.3%
Strengthened Tower: OML+KSGM (OLD) = 95.8%</t>
  </si>
  <si>
    <t xml:space="preserve">existing load slpit 1.5KW </t>
  </si>
  <si>
    <t>Existing on tower actual - OML - 7.16 sqm  / MPT - 3.14 Sqm / Mytel -1.47 actual . 4.07 Colo Apps - Increase RF Dimension and add RRU</t>
  </si>
  <si>
    <t>Existing Tower: OML+MYTEL+KSGM (OLD+NEW) = 96.0%
Existing Tower: OML+MYTEL+KSGM (OLD) = 91.5%</t>
  </si>
  <si>
    <t>1-01-06001-002</t>
  </si>
  <si>
    <t>TNY00288</t>
  </si>
  <si>
    <t xml:space="preserve">Existing on tower actual - OML - 6.00 sqm  / MPT - 2.90 Sqm - Add RRU </t>
  </si>
  <si>
    <t>Existing Tower: OML+KSGM (OLD+NEW) = 53.7%
Existing Tower: OML+KSGM (OLD) = 51.9%</t>
  </si>
  <si>
    <t>1-01-13004-006</t>
  </si>
  <si>
    <t>YGN00927</t>
  </si>
  <si>
    <t>Existing on tower actual - OML - 7.44 sqm  / MPT - 2.56 Sqm / TML -3.30 actual -Increase RF Dimension and add  RRU .</t>
  </si>
  <si>
    <t>Existing Tower: OML+TML+KSGM (OLD+NEW) = 65.5%
Existing Tower: OML+TML+KSGM (OLD) = 62.0%</t>
  </si>
  <si>
    <t>1-01-04002-004</t>
  </si>
  <si>
    <t>CHN00147</t>
  </si>
  <si>
    <t>MW Exp</t>
  </si>
  <si>
    <t xml:space="preserve">Existing on tower actual - OML - 6.63 sqm  / MPT - 2.41 Sqm actual and 3.18sqm for Colo Apps  /Decrease MW Dimension </t>
  </si>
  <si>
    <t>Strengthened Tower(OP1+OP3(OLD+NEW)): 92.4%
Strengthened Tower(OP1+OP3(OLD)): 95.1 %</t>
  </si>
  <si>
    <t>1-01-08009-002</t>
  </si>
  <si>
    <t>MGW00400</t>
  </si>
  <si>
    <t>41.5</t>
  </si>
  <si>
    <t xml:space="preserve">Existing on tower actual - OML - 8.34 sqm  / MPT - 3.59 Sqm / Change MW and RF height </t>
  </si>
  <si>
    <t>EXISTING TOWER(OP1+OP3(OLD+NEW)):   83.1%
EXISTING TOWER(OP1+OP3(OLD)):    83.1 %</t>
  </si>
  <si>
    <t>Add Rect mods, increase BB cap, DG UG</t>
  </si>
  <si>
    <t>1-01-09017-004</t>
  </si>
  <si>
    <t>MGW00413</t>
  </si>
  <si>
    <t xml:space="preserve">Existing on tower actual - OML - 8.34 sqm  / MPT - 3.52 Sqm / change MW and ODU height </t>
  </si>
  <si>
    <t>EXISTING TOWER(OP1+OP3(OLD+NEW)):   88.7%
EXISTING TOWER(OP1+OP3(OLD)):   89.1%</t>
  </si>
  <si>
    <t xml:space="preserve">Existing on tower actual - OML - 7.23 sqm  / MPT - 3.70 Sqm / Increase RF dimension and add RRU </t>
  </si>
  <si>
    <t>EXISTING TOWER(OP1+OP4+OP3(OLD+NEW)):   92.7%
EXISTING TOWER(OP1+OP4+OP3(OLD)):   91.4 %</t>
  </si>
  <si>
    <t>Wk52</t>
  </si>
  <si>
    <t xml:space="preserve">Add rectifier modules, Swap DG, BB SOH check </t>
  </si>
  <si>
    <t>1-01-05005-002</t>
  </si>
  <si>
    <t>SGG00219</t>
  </si>
  <si>
    <t xml:space="preserve">Existing on tower actual - OML - 7.72 sqm  / MPT - 4.16 Sqm / TML 2.83 /  Change RF and MW height </t>
  </si>
  <si>
    <t>EXISTING TOWER(OP1+OP4+OP3(OLD+NEW)):   102.3%
EXISTING TOWER(OP1+OP4+OP3(OLD)):   102.5 %</t>
  </si>
  <si>
    <t xml:space="preserve">Existing on tower actual - OML - 10.25 sqm  / MPT - 9.26 Sqm / Increase RF Dimension and </t>
  </si>
  <si>
    <t>EXISTING TOWER(OP1+OP3(OLD+NEW)):   103.1%
EXISTING TOWER(OP1+OP3(OLD)):  102.8%</t>
  </si>
  <si>
    <t xml:space="preserve">Add rectifier modules, BB SOH check </t>
  </si>
  <si>
    <t>1-01-05007-006</t>
  </si>
  <si>
    <t>SGG00780</t>
  </si>
  <si>
    <t xml:space="preserve">Existing on tower actual - OML - 10.25 sqm  / MPT - 3.56 Sqm / TML - 3.90 sqm- Change RF and MW height </t>
  </si>
  <si>
    <t>EXISTING TOWER(OP1+OP4+OP3(OLD+NEW)):   99.5%
EXISTING TOWER(OP1+OP4+OP3(OLD)):    92   %</t>
  </si>
  <si>
    <t>1-01-15009-006</t>
  </si>
  <si>
    <t>SHN00051</t>
  </si>
  <si>
    <t xml:space="preserve">Existing on tower actual - OML - 6.46 sqm  / MPT - 3.56 Sqm / TML - 3.51 sqm . Change RF and MW height </t>
  </si>
  <si>
    <t>EXISTING TOWER(OP1+OP4+OP3(OLD+NEW)):   93.7%
EXISTING TOWER(OP1+OP4+OP3(OLD)):    93.8  %</t>
  </si>
  <si>
    <t>Add rectifier modules, BB SOH check, monitor DG performance</t>
  </si>
  <si>
    <t>1-01-15012-004</t>
  </si>
  <si>
    <t>SHN00053</t>
  </si>
  <si>
    <t xml:space="preserve">Existing on tower actual - OML - 11.16 sqm  / MPT - 3.52 Sqm Actual and 5.42 ( Colo Apps ) / Increase RF Dimension </t>
  </si>
  <si>
    <t>Strengthened Tower(OP1+OP3(OLD+NEW)): 95.3%
Strengthened Tower(OP1+OP3(OLD)): 99.9 %</t>
  </si>
  <si>
    <t>ANMD_0069</t>
  </si>
  <si>
    <t>MDYAMPR004</t>
  </si>
  <si>
    <t>Amara Colocation</t>
  </si>
  <si>
    <t>4-Dec-18: Considering this site as GBT okay to go ahead.</t>
  </si>
  <si>
    <t xml:space="preserve">Existing on tower - ( Assume ) TML with 8.18 EPA </t>
  </si>
  <si>
    <t>Total EPA is 8.18+3 =11.18 &lt; 25 EPA Design - OK (Preliminaly Tower Assessment), Amara 3.0EPA Required</t>
  </si>
  <si>
    <t>WK50</t>
  </si>
  <si>
    <t>AC connect</t>
  </si>
  <si>
    <t xml:space="preserve">sharing on the existing slab </t>
  </si>
  <si>
    <t>ANMD_0066</t>
  </si>
  <si>
    <t>MDYAMPR011</t>
  </si>
  <si>
    <t xml:space="preserve">Existing on tower - ( Assume ) TML with 4.20 EPA </t>
  </si>
  <si>
    <t>Total EPA is 4.2+3 =7.2 &lt; 25 EPA Design - OK (Preliminaly Tower Assessment), Amara 3.0EPA Required</t>
  </si>
  <si>
    <t>ANMD_0067</t>
  </si>
  <si>
    <t>MDYAMPR012</t>
  </si>
  <si>
    <t xml:space="preserve">Existing on tower - ( Assume ) TML with 4.26 EPA </t>
  </si>
  <si>
    <t>Total EPA is 4.26+3 =7.26 &lt; 18 EPA Design - OK (Preliminaly Tower Assessment), Amara 3.0EPA Required</t>
  </si>
  <si>
    <t xml:space="preserve">AC connect </t>
  </si>
  <si>
    <t>ANMD_0070</t>
  </si>
  <si>
    <t>MDYAMPR013</t>
  </si>
  <si>
    <t>4-Dec-18: Considering this site as GBT okay to go ahead. But lese hike may raise while TI installation as already 3 opco exisiting on site.</t>
  </si>
  <si>
    <t>Existing on tower - ( Assume ) TML with 4.38 EPA ,OML with 11.43 EPA , MPT with 1.02EPA</t>
  </si>
  <si>
    <t>Total EPA is 16.82+3 =19.82 &lt; 25 EPA Design - OK (Preliminaly Tower Assessment), Amara 3.0EPA Required</t>
  </si>
  <si>
    <t>ANMD_0071</t>
  </si>
  <si>
    <t>MDYAMPR014</t>
  </si>
  <si>
    <t xml:space="preserve">Existing on tower - ( Assume ) TML with 4.38 EPA ,OML with 11.07 EPA </t>
  </si>
  <si>
    <t>Total EPA is 15.45+3 =18.45 &lt; 25 EPA Design - OK (Preliminaly Tower Assessment), Amara 3.0EPA Required</t>
  </si>
  <si>
    <t>ANMD_0077</t>
  </si>
  <si>
    <t>MDYAMPR015</t>
  </si>
  <si>
    <t>Existing on tower - ( Assume ) TML with 6.29 EPA ,OML with 9.22 EPA , Mytel 5.47 EPA</t>
  </si>
  <si>
    <t>Total EPA is 15.51+3 =18.51 &lt; 25 EPA Design - OK (Preliminaly Tower Assessment), Amara 3.0EPA Required</t>
  </si>
  <si>
    <t>MDYPGTG020</t>
  </si>
  <si>
    <t>34</t>
  </si>
  <si>
    <t xml:space="preserve">Existing on tower - ( Assume ) TML with 3.93 EPA </t>
  </si>
  <si>
    <t>Total EPA is 3.93+3 =6.93 &lt; 25 EPA Design - OK (Preliminaly Tower Assessment), Amara 3.0EPA Required</t>
  </si>
  <si>
    <t>ANMD_0165</t>
  </si>
  <si>
    <t>MDYPGTG033</t>
  </si>
  <si>
    <t>19</t>
  </si>
  <si>
    <t xml:space="preserve">Existing on tower - ( Assume ) TML with 4.56 EPA </t>
  </si>
  <si>
    <t>Total EPA is 4.56+3 =7.56 &lt; 18 EPA Design - OK (Preliminaly Tower Assessment), Amara 3.0EPA Required</t>
  </si>
  <si>
    <t>MDYPGTG036</t>
  </si>
  <si>
    <t xml:space="preserve">Existing on tower - ( Assume ) TML with 6.77 EPA </t>
  </si>
  <si>
    <t>Total EPA is 6.77+3 =9.77 &lt; 18 EPA Design - OK (Preliminaly Tower Assessment), Amara 3.0EPA Required</t>
  </si>
  <si>
    <t>ANMD_0172</t>
  </si>
  <si>
    <t>MDYPGTG039</t>
  </si>
  <si>
    <t>14</t>
  </si>
  <si>
    <t xml:space="preserve">Existing on tower - ( Assume ) TML with 5.10 EPA </t>
  </si>
  <si>
    <t>Total EPA is 8.69+5 =13.69 &lt; 18 EPA Design - OK (Preliminaly Tower Assessment), Amara 5.0EPA Required</t>
  </si>
  <si>
    <t>ACAY_0122</t>
  </si>
  <si>
    <t>AWD00530</t>
  </si>
  <si>
    <t>12-Dec-18: Okay for MPT upgrdation program as we don’t have any issue any site.
4-Dec-18: MPT is already on air from 27-Feb-17, then why again its repeated for pre-validation</t>
  </si>
  <si>
    <t xml:space="preserve">Existing on tower - ( Assume ) TML with 5.74 EPA / OML with 9.87 EPA / MPT with 4.69 EPA - add ODU as per the actual on tower </t>
  </si>
  <si>
    <t>ANMD_0153</t>
  </si>
  <si>
    <t>MDYPTGI008</t>
  </si>
  <si>
    <t>4-Dec-18: Has to reverifiy with owner and lease area and space.
27-June-18: Lease hike approved by ATF by Managment for Mytel only
4-June-18: No reduction..the difficulty here is its a phase 1 site on which we have very little litigation leverage.
16-May-18: owner on three occasions but he is adamant and resists any form of contract or mandate explanation. He demands an additional 300,000 MMK/M for Mytel only</t>
  </si>
  <si>
    <t xml:space="preserve">Existing on tower - ( Assume ) TML with 6.55 EPA </t>
  </si>
  <si>
    <t>Total EPA is 6.55+3 =9.55 &lt; 18 EPA Design - OK (Preliminaly Tower Assessment), Amara 3.0EPA Required</t>
  </si>
  <si>
    <t>1-01-05012-001</t>
  </si>
  <si>
    <t>SGG00200</t>
  </si>
  <si>
    <t>46.5-48.5</t>
  </si>
  <si>
    <t>53-56</t>
  </si>
  <si>
    <t>Existing on tower actual - OML - 8.63 sqm  / MPT - 4.73 Sqm / TML - 3.51 Sqm /  / Added 1 RRU</t>
  </si>
  <si>
    <t>Strengthened Tower(OP1+OP4+OP3(OLD+NEW)): 100.6%
Strengthened Tower(OP1+OP4+OP3(OLD)): 98.6 %</t>
  </si>
  <si>
    <t xml:space="preserve">Existing on tower actual - OML - 7.72 sqm  / MPT - 4.67 Sqm actual and 7.24 sqm on previous colo apps  - Added RRU . </t>
  </si>
  <si>
    <t>EXISTING TOWER(OP1+OP3(OLD+NEW)):   89.1%
EXISTING TOWER(OP1+OP3(OLD)): 89.2  %</t>
  </si>
  <si>
    <t>PE capacity expansion</t>
  </si>
  <si>
    <t>MDYAMTZ010</t>
  </si>
  <si>
    <t xml:space="preserve">Existing on tower - ( Assume ) TML with 4.10 EPA </t>
  </si>
  <si>
    <t>Total EPA is 4.10+3 =7.10 &lt; 10.5 EPA Design - OK (Preliminaly Tower Assessment), Amara 3.0EPA Required</t>
  </si>
  <si>
    <t>ANMD_0173</t>
  </si>
  <si>
    <t>MDYPGTG007</t>
  </si>
  <si>
    <t>Existing on tower - ( Assume ) TML with 4.83 EPA , OML with 9.22 EPA , MPT with 3.48 EPA ,Mytel with 5.467 EPA</t>
  </si>
  <si>
    <t>Total EPA is 17.53+3 =20.53 &lt; 25 EPA Design - OK (Preliminaly Tower Assessment), Amara 3.0EPA Required</t>
  </si>
  <si>
    <t>MDYPGTG010</t>
  </si>
  <si>
    <t xml:space="preserve">Existing on tower - ( Assume ) TML with 4.74 EPA </t>
  </si>
  <si>
    <t>Total EPA is 4.74+3 =7.74 &lt; 18 EPA Design - OK (Preliminaly Tower Assessment), Amara 3.0EPA Required</t>
  </si>
  <si>
    <t>ANMD_0010</t>
  </si>
  <si>
    <t>MDYMHAM065</t>
  </si>
  <si>
    <t>Waiting for review TSS report</t>
  </si>
  <si>
    <t>1-01-10006-004</t>
  </si>
  <si>
    <t>MDYAMPR005</t>
  </si>
  <si>
    <t xml:space="preserve">Existing on tower actual - OML - 6.70 sqm </t>
  </si>
  <si>
    <t>EXISTING TOWER(OP1+OP6(NEW)):   71.8%</t>
  </si>
  <si>
    <t xml:space="preserve">Need new slab </t>
  </si>
  <si>
    <t>1-01-10006-001</t>
  </si>
  <si>
    <t>MDYAMPR007</t>
  </si>
  <si>
    <t>Amarra Colocation</t>
  </si>
  <si>
    <t>Requested space 25 -30 m is occupied by other operator - Highest Window Availablities - 21.5 -16.5</t>
  </si>
  <si>
    <t>AYYN_0225</t>
  </si>
  <si>
    <t>YGN00526</t>
  </si>
  <si>
    <t>39</t>
  </si>
  <si>
    <t xml:space="preserve">Existing on tower - ( Assume ) TML with 4.73 EPA , MPT with 5.34EPA , Mytel with 2.55EPA ( Decrease MW Dimension ) </t>
  </si>
  <si>
    <t>Total EPA is 4.86+2.55+4.73 =12.09 &lt; 25 EPA Design - OK (Preliminaly Tower Assessment), MPT is 4.86EPA Required</t>
  </si>
  <si>
    <t xml:space="preserve">Capacity available </t>
  </si>
  <si>
    <t>1-01-17019-002</t>
  </si>
  <si>
    <t>AWD00413</t>
  </si>
  <si>
    <t>PE capacity expansion PE system to be re ordered</t>
  </si>
  <si>
    <t>1-01-17011-006</t>
  </si>
  <si>
    <t>AWD00287</t>
  </si>
  <si>
    <t>1-03-06008-014</t>
  </si>
  <si>
    <t>TNY00361</t>
  </si>
  <si>
    <t xml:space="preserve">Needs PE system none installed  on site </t>
  </si>
  <si>
    <t>1-01-01010-012</t>
  </si>
  <si>
    <t>KCN00455</t>
  </si>
  <si>
    <t>upgrade DG to 20Kva</t>
  </si>
  <si>
    <t>1-01-17003-008</t>
  </si>
  <si>
    <t>AY0830</t>
  </si>
  <si>
    <t>Add Equipment</t>
  </si>
  <si>
    <t xml:space="preserve">Existing on tower actual - OML - 9.82 sqm / TML - 4.50 Sqm - Decrease MW dimension </t>
  </si>
  <si>
    <t>Strengthened Tower(OP1+OP4(OLD+NEW)):   94.75%
Strengthened Tower(OP1+OP4(OLD)): 95.8  %</t>
  </si>
  <si>
    <t>1-01-01010-013</t>
  </si>
  <si>
    <t>KCN00442</t>
  </si>
  <si>
    <t>Add rectifier modules upgrade DG to 20Kva</t>
  </si>
  <si>
    <t>ANMD_0169</t>
  </si>
  <si>
    <t>MDYPGTG007ML</t>
  </si>
  <si>
    <t xml:space="preserve">Existing on tower - ( Assume ) TML with 4.96 EPA , OML with 8.95 EPA , MPT with 1.02 EPA , Mytel colo apps 4.07 EPA </t>
  </si>
  <si>
    <t>EXISTING TOWER: TML+OML+KSGM+MYTEL+Amara(NEW)):  86.79%</t>
  </si>
  <si>
    <t xml:space="preserve">If Amara can share the existing slab , no need to construct new slab- Space to reconfirm base on TSS </t>
  </si>
  <si>
    <t>1-01-01009-002</t>
  </si>
  <si>
    <t>KCN00139</t>
  </si>
  <si>
    <t>ANMD_0195</t>
  </si>
  <si>
    <t>MDY00607</t>
  </si>
  <si>
    <t>Refarming UL2100</t>
  </si>
  <si>
    <t xml:space="preserve">Existing on tower - ( Assume ) TML with 5.75 EPA , MPT with 3.74 EPA , MPT with 1.02 EPA - Add RRU </t>
  </si>
  <si>
    <t>Existing Tower: TML+KSGM (OLD+NEW) = 90.2%</t>
  </si>
  <si>
    <t>Monitor battery back up,  BB @ EoL swap</t>
  </si>
  <si>
    <t>ANMD_0022</t>
  </si>
  <si>
    <t>MDY00913</t>
  </si>
  <si>
    <t>Existing on tower - ( Assume ) TML with 4.80 EPA , OML with 11.81 EPA , MPT with 3.58 EPA - Add RRU</t>
  </si>
  <si>
    <t>EXISTING TOWER: TML+OML+KSGM(OLD+NEW)):   86.85 %</t>
  </si>
  <si>
    <t>Existing on tower - ( Assume ) TML with 7.55 EPA , MPT with 4.20 EPA - Add RRU</t>
  </si>
  <si>
    <t>Existing Tower: TML+KSGM (OLD+NEW) = 64.0%</t>
  </si>
  <si>
    <t>1-01-09022-005</t>
  </si>
  <si>
    <t>MGW00780</t>
  </si>
  <si>
    <t>Existing on tower - ( Assume ) TML with 5.65 EPA , MPT with 4.84 EPA - Add RRUand ODU</t>
  </si>
  <si>
    <t>AYYN_0300</t>
  </si>
  <si>
    <t>YGN00953</t>
  </si>
  <si>
    <t>Existing on tower - ( Assume ) TML with 5.67 EPA , OML with 9.80 EPA , MPT with 6.13 EPA -, Mytel with 2.91 EPA  , Amara  with 2.88 EPA ( Increase RF dimension and add RRU )</t>
  </si>
  <si>
    <t>Close Date</t>
  </si>
  <si>
    <t>1-01-17007-005</t>
  </si>
  <si>
    <t>AWD00484</t>
  </si>
  <si>
    <t>Refarmaing_UL2100</t>
  </si>
  <si>
    <t>1-01-02003-003</t>
  </si>
  <si>
    <t>KYH00055</t>
  </si>
  <si>
    <t>1-01-03001-001</t>
  </si>
  <si>
    <t>KYN00267</t>
  </si>
  <si>
    <t>1-01-09001-003</t>
  </si>
  <si>
    <t>MGW00148</t>
  </si>
  <si>
    <t>1-01-05009-001</t>
  </si>
  <si>
    <t>SGG00235</t>
  </si>
  <si>
    <t>1-01-05015-004</t>
  </si>
  <si>
    <t>SGG00765</t>
  </si>
  <si>
    <t>1-01-15013-008</t>
  </si>
  <si>
    <t>SHN00087</t>
  </si>
  <si>
    <t>1-01-17016-011</t>
  </si>
  <si>
    <t>AWD00293</t>
  </si>
  <si>
    <t>1-01-17017-001</t>
  </si>
  <si>
    <t>AWD00871</t>
  </si>
  <si>
    <t>1-01-01014-005</t>
  </si>
  <si>
    <t>KCN00119</t>
  </si>
  <si>
    <t>Expansion_L2100</t>
  </si>
  <si>
    <t>Existing Tower: TML+MYTEL+KSGM (OLD+NEW) = 74.9%</t>
  </si>
  <si>
    <t>EXISTING TOWER: TML+OML+KSGM+MYTEL+Amara(NEW)):  69.33%</t>
  </si>
  <si>
    <t>Total EPA is 3.02+6 =9.02&lt; 18 EPA Design - OK (Preliminaly Tower Assessment), OML 6.0EPA Required</t>
  </si>
  <si>
    <t>Mytel Phase 1a Colo</t>
  </si>
  <si>
    <t>On Air</t>
  </si>
  <si>
    <t>Amara Phase 1</t>
  </si>
  <si>
    <t>MPT  Phase 1a Colo</t>
  </si>
  <si>
    <t>OML Phase 1 Colo</t>
  </si>
  <si>
    <t>OML Phase 2 Colo</t>
  </si>
  <si>
    <t>RFI</t>
  </si>
  <si>
    <t>OML Phase 1 B2S</t>
  </si>
  <si>
    <t>Mytel Phase 1b Colo</t>
  </si>
  <si>
    <t>MPT  Phase 1b Colo</t>
  </si>
  <si>
    <t>MPT Phase 2 Colo</t>
  </si>
  <si>
    <t>MPT  Phase 1a B2S</t>
  </si>
  <si>
    <t>TML Phase 1 Colo</t>
  </si>
  <si>
    <t xml:space="preserve">Existing on tower Actual - OML - 10.60 Sqm / MPT - 2.61 Sqm / Mytel 1.75 Sqm - Add MW and ODU </t>
  </si>
  <si>
    <t>PE UG - BB, DG</t>
  </si>
  <si>
    <t xml:space="preserve">Existing on tower Actual - OML - 8.44 Sqm / MPT latest Colo Apps - 4.09 Sqm /TML Colo Apps - 4.05 sqm/ Mytel  Colo Apps 4.07 Sqm - Add 3 RRU </t>
  </si>
  <si>
    <t>BB &amp; DG swaps/upgrade</t>
  </si>
  <si>
    <t xml:space="preserve">Existing on tower Actual - OML - 7.02 Sqm / MPT latest Colo Apps - 3.99 Sqm /TML  - 2.67 sqm/ - Increase RF Dimension </t>
  </si>
  <si>
    <t xml:space="preserve">Existing on tower Actual - OML - 8.34 Sqm / MPT  - 4.69 Sqm - Add  MW and ODU as per actual </t>
  </si>
  <si>
    <t xml:space="preserve">add rect modules - PE UG later </t>
  </si>
  <si>
    <t xml:space="preserve">add rectifer modules UG DG </t>
  </si>
  <si>
    <t>Okay short term DG 12Hrs NS, DG&amp;BB capacity increase required</t>
  </si>
  <si>
    <t>PE system upgrade - Dep on new PE ordered Dec18 - adjust FC accord</t>
  </si>
  <si>
    <t>PE cap incr BB UG - Dep on new PE ordered Dec18 - adjust FC accord</t>
  </si>
  <si>
    <t>Strengthened Tower: OML+MYTEL+KSGM (OLD+NEW) = 96.1%
Strengthened Tower: OML+MYTEL+KSGM (OLD) = 95.6%</t>
  </si>
  <si>
    <t>Strengthened Tower: OML+TML+MYTEL+KSGM (OLD+NEW) = 104.4%
Strengthened Tower: OML+TML+MYTEL+KSGM (OLD) = 104.4%</t>
  </si>
  <si>
    <t>Existing Tower: OML+TML+KSGM (OLD+NEW) = 102.9%
Existing Tower: OML+TML+KSGM (OLD) = 101.4%</t>
  </si>
  <si>
    <t>EXISTING TOWER(OP1+OP3(OLD+NEW)):   93.8%
EXISTING TOWER(OP1+OP3(OLD)):   92.63%</t>
  </si>
  <si>
    <t xml:space="preserve">Existing on tower Actual - OML - 8.34 Sqm / MPT Colo Apps - 4.29 Sqm - Add MW and ODU </t>
  </si>
  <si>
    <t>EXISTING TOWER(OP1+OP3(OLD+NEW)):   89.1%
EXISTING TOWER(OP1+OP3(OLD)):   85.7%</t>
  </si>
  <si>
    <t xml:space="preserve">Existing on tower Actual - OML - 9.26 Sqm / MPT Colo Apps - 2.29 Sqm - Add MW and ODU </t>
  </si>
  <si>
    <t>Strengthened Tower(OP1+OP5+OP3(OLD+NEW)): 91.4%
Strengthened Tower(OP1+OP5+OP3(OLD)): 90.6 %</t>
  </si>
  <si>
    <t xml:space="preserve">Existing on tower Actual - OML - 6.18 Sqm / MPT - 2.71 Sqm / TML 3.51 sqm  - Add 1 RRU </t>
  </si>
  <si>
    <t>Existing on tower Actual - OML - 6.43 Sqm / MPT prev colo apps - 4.55 Sqm / TML 3.23sqm  - NO Data Changed - Only need to checkwith  power team</t>
  </si>
  <si>
    <t>Existing Tower (OML+TML+KSGM(OLD)) = 101.3%</t>
  </si>
  <si>
    <t xml:space="preserve">Existing on tower Actual - OML - 11.46 Sqm / MPT prev colo apps - 5.42 Sqm /Decrease RF Dimension and add MW and Odu </t>
  </si>
  <si>
    <t>Existing on tower Actual - OML - 14.06 Sqm / MPT prev colo apps - 8.15 Sqm / TML 4.93 sqm / Decrease RF and MW Dimension , add RRU and ODU .</t>
  </si>
  <si>
    <t xml:space="preserve">Existing on tower Actual - OML - 7.56 Sqm / MPT - 2.86 Sqm / TML- 3.87sqm / Increase RF Dimension and add RRU </t>
  </si>
  <si>
    <t xml:space="preserve">Existing on tower Actual - OML - 10.88 Sqm / MPT Colo Apps  - 2.35 Sqm / Mytel - 6.13 sqm / Increase RF Dimension and add RRU </t>
  </si>
  <si>
    <t>Strengthened Tower: OML+MYTEL+KSGM (OLD+NEW) = 100.4%
Strengthened Tower: OML+MYTEL+KSGM (OLD) = 97.9%</t>
  </si>
  <si>
    <t xml:space="preserve">Existing on tower Actual - OML - 8.43 Sqm / MPT  - 3.03 Sqm / Mytel - 4.99 sqm / add RRU </t>
  </si>
  <si>
    <t xml:space="preserve">Existing on tower Actual - OML - 8.43 Sqm / MPT  - 3.03 Sqm / Mytel - 4.99 sqm / Add 1 RRU </t>
  </si>
  <si>
    <t>ASKH_0007</t>
  </si>
  <si>
    <t>KYH00181</t>
  </si>
  <si>
    <t>Tower Share</t>
  </si>
  <si>
    <t>Active</t>
  </si>
  <si>
    <t xml:space="preserve">Existing on tower (Assume ) - TML 5.47 EPA / OML 12.22 EPA  /  New Colo Apps Submission </t>
  </si>
  <si>
    <t>ANNP_0222</t>
  </si>
  <si>
    <t>NPT00514</t>
  </si>
  <si>
    <t xml:space="preserve">Existing on tower (Assume ) - TML 4.29 EPA /New Colo Apps Submission </t>
  </si>
  <si>
    <t>3-00-01014-003</t>
  </si>
  <si>
    <t>KCN00120</t>
  </si>
  <si>
    <t xml:space="preserve">Existing on tower actual - MPT 3.52 Sqm - Add MW and RRU/ODU </t>
  </si>
  <si>
    <t>EXISTING TOWER(KSGM(OLD+NEW)):  82.9%
EXISTING TOWER(KSGM(OLD)):    79 %</t>
  </si>
  <si>
    <t>3-00-01014-002</t>
  </si>
  <si>
    <t>KCN00121</t>
  </si>
  <si>
    <t>Existing on tower actual - MPT 4.16 Sqm / Mytel Colo Apps - 4.43 sqm -Add MW and Odu</t>
  </si>
  <si>
    <t>1-01-05015-002</t>
  </si>
  <si>
    <t>SGG00199</t>
  </si>
  <si>
    <t xml:space="preserve">Existing on tower actual - OML - 10.81 Sqm / MPT 3.07 Sqm  /Op2 - 3.87 sqm-Add MW </t>
  </si>
  <si>
    <t>LTE_ v1</t>
  </si>
  <si>
    <t xml:space="preserve">Existing on tower actual - OML - 8.70 Sqm / MPT - 4.25 Sqm / TML - 3.30 sqm -Add RRU and ODU </t>
  </si>
  <si>
    <t>1-01-17008-014</t>
  </si>
  <si>
    <t>AYY0016</t>
  </si>
  <si>
    <t xml:space="preserve">Existing on tower actual - OML - 6.88 Sqm / MYTEL - 3.39 Sqm - </t>
  </si>
  <si>
    <t>1-01-17019-006</t>
  </si>
  <si>
    <t>AYY0333</t>
  </si>
  <si>
    <t xml:space="preserve">Existing on tower actual - OML - 11.73 Sqm / MPT - 3.33Sqm / TML - 3.02 Sqm / MYTEL - 4.07 Sqm - </t>
  </si>
  <si>
    <t>1-01-01008-016</t>
  </si>
  <si>
    <t>KCN0033</t>
  </si>
  <si>
    <t xml:space="preserve">Existing on tower actual - OML - 7.52 Sqm / MYTEL - 3.79 Sqm - </t>
  </si>
  <si>
    <t>1-01-10030-007</t>
  </si>
  <si>
    <t>MDY0162</t>
  </si>
  <si>
    <t xml:space="preserve">Existing on tower actual - OML - 6.63 Sqm / TML - 3.41 sqm / MYTEL - 4.07 Sqm - </t>
  </si>
  <si>
    <t>1-01-10024-004</t>
  </si>
  <si>
    <t>MDY0379</t>
  </si>
  <si>
    <t xml:space="preserve">Existing on tower actual - OML - 8.44 Sqm / TML - 4.83 sqm / MYTEL - 4.07 Sqm - </t>
  </si>
  <si>
    <t>1-01-01001-018</t>
  </si>
  <si>
    <t>KCN0063</t>
  </si>
  <si>
    <t>ANMG_0037</t>
  </si>
  <si>
    <t>MGW00580</t>
  </si>
  <si>
    <t>6-Jan-17: MPT on-air, okay for upgrdation</t>
  </si>
  <si>
    <t xml:space="preserve">Existing on tower (Assume ) -TML-8.01 EPA , Mytel 4.24 EPA , Amara - 3.42 EPA  , MPT 1.32 EPA - Need only power confirmation </t>
  </si>
  <si>
    <t>EXISTING TOWER: TML+OML+KSGM(NEW)):  86.79%</t>
  </si>
  <si>
    <t>26-Dec-18: Okay for TI installtion</t>
  </si>
  <si>
    <t xml:space="preserve">Existing on tower actual -TML- 3.54 EPA , MPT - 1.32 EPA , Mytel - 4.24 EPA ,Amara - 3.42 EPA - Need Power Confirmation </t>
  </si>
  <si>
    <t>EXISTING TOWER: TML+Mytel+Amara+KSGM(OLD+NEW)):  104.2%</t>
  </si>
  <si>
    <t>ANMD_0176</t>
  </si>
  <si>
    <t>MDY00350</t>
  </si>
  <si>
    <t>26-Dec-18: Site on air from 30-Sep-15 no issue for any upgradation.</t>
  </si>
  <si>
    <t xml:space="preserve">Existing on tower Assume -TML- 9.82 EPA , OML - 5.85 EPA , MPT - 3.40 EPA , Mytel - 2.81 EPA -Increase RF dimension and add RRU / ODU </t>
  </si>
  <si>
    <t>26-Dec-18: Site on air from 28-Dec-16 no issue for any upgradation.</t>
  </si>
  <si>
    <t>Existing on tower (Assume ) -TMl - 9.82 EPA / OML - 5.85 EPA / MPT - 3.40 EPA / Mytel 2.81 EPA -  Increase RF Dimension and Add RRU</t>
  </si>
  <si>
    <t>ASTN_0023</t>
  </si>
  <si>
    <t>TNY00315</t>
  </si>
  <si>
    <t>39.5-42.5</t>
  </si>
  <si>
    <t>45.5-47.5</t>
  </si>
  <si>
    <t>26-Dec-18: Site on air from 30-Apr-16 no issue for any upgradation.</t>
  </si>
  <si>
    <t xml:space="preserve">Existing on tower (Assume ) - TML 4.29 EPA / MPT - 4.60 EPA /Add 1  Odu </t>
  </si>
  <si>
    <t>1-01-01004-001</t>
  </si>
  <si>
    <t>KCN00148</t>
  </si>
  <si>
    <t xml:space="preserve">Existing on tower actual - OML - 7.31sqm , MPT 5.99 Sqm - add MW and add RRU / ODU </t>
  </si>
  <si>
    <t>EXISTING TOWER(OML+KSGM(OLD+NEW)):   96.2 %
EXISTING TOWER(OML+KSGM(OLD)):  92.2 %</t>
  </si>
  <si>
    <t>1-01-15013-001</t>
  </si>
  <si>
    <t>SHN00055</t>
  </si>
  <si>
    <t>Previously, Gov Road construction department stopped tower due to our site is located at the road boundary area since long time ago.No More complain now and still alive tower.</t>
  </si>
  <si>
    <t xml:space="preserve">Existing on tower actual - OML - 7.03sqm , MPT actual on tower 3.03 / previous Colo Apps  5.61 Sqm  , Add RRU and ODU </t>
  </si>
  <si>
    <t>EXISTING TOWER(OML+KSGM(OLD+NEW)):   94.3 %
EXISTING TOWER(OML+KSGM(OLD)):92.3 %</t>
  </si>
  <si>
    <t>1-01-14007-016</t>
  </si>
  <si>
    <t>SHN00079</t>
  </si>
  <si>
    <t xml:space="preserve">Existing on tower actual - OML - 8.09 sqm , MPT 4.97 Sqm , TML -2.87 sqm -Add 1 Odu </t>
  </si>
  <si>
    <t>EXISTING TOWER(OML+TML+KSGM(OLD+NEW)):  97%
EXISTING TOWER(OML+TML+KSGM(OLD)): 96.8  %</t>
  </si>
  <si>
    <t>1-01-10029-005</t>
  </si>
  <si>
    <t>MDY0382</t>
  </si>
  <si>
    <t>1-01-12007-001</t>
  </si>
  <si>
    <t>RKE0013</t>
  </si>
  <si>
    <t>1-01-03005-004</t>
  </si>
  <si>
    <t>KYN0185</t>
  </si>
  <si>
    <t>1-01-17026-003</t>
  </si>
  <si>
    <t>AYY0879</t>
  </si>
  <si>
    <t>1-01-17004-007</t>
  </si>
  <si>
    <t>AYY0207</t>
  </si>
  <si>
    <t>1-01-10020-003</t>
  </si>
  <si>
    <t>MDY0280</t>
  </si>
  <si>
    <t>36 - 39</t>
  </si>
  <si>
    <t>40 - 42</t>
  </si>
  <si>
    <t xml:space="preserve">Existing on tower actual -OML - 7.36sqm , MPT 2.71 Sqm , OP2 - 2.93 Sqm - New Colocation Colo Apps </t>
  </si>
  <si>
    <t>EXISTING TOWER(OML+OP2+KSGM+MYTEL(NEW)):  92.7%</t>
  </si>
  <si>
    <t>Refarming _ UL2100</t>
  </si>
  <si>
    <t xml:space="preserve">Existing on tower - ( Assume ) TML with 5.74 EPA , OML with 9.87 EPA , MPT with 4.69 EPA - Add RRU </t>
  </si>
  <si>
    <t>Existing Tower: OML+TML+KSGM (OLD+NEW) = FDN Unstale due to soil condition is submerged
(Estimate volume of concrete = 16 cb.m;  extend pad of foundation to 9.6m)</t>
  </si>
  <si>
    <t>ANMD_0136</t>
  </si>
  <si>
    <t>MDY01437</t>
  </si>
  <si>
    <t>26-Dec-18: Okay for survey and TI installtion</t>
  </si>
  <si>
    <t>Existing on tower - ( Assume ) TML with 7.74 EPA - Add 2 RRU</t>
  </si>
  <si>
    <t>Existing Tower: TML+KSGM (OLD+NEW) = 76.4%</t>
  </si>
  <si>
    <t>1-01-01010-003</t>
  </si>
  <si>
    <t>KCN00441</t>
  </si>
  <si>
    <t xml:space="preserve">Existing on tower Actual -9.17Sqm /  MPT prev colo apps - 5.32 Sqm / TML - 5.00 Sqm / Mytel 5.28 Sqm . Add 1 RRU </t>
  </si>
  <si>
    <t>Strengthened Tower(OML+TML+Mytel+KSGM(OLD+NEW)):  97.51 %
Strengthened Tower(OML+TML+Mytel+KSGM(OLD)): 97.51 %</t>
  </si>
  <si>
    <t>KCN00564</t>
  </si>
  <si>
    <t xml:space="preserve">TS </t>
  </si>
  <si>
    <t>Existing on tower - ( Assume ) TML with 3.84 EPA - MPT previous Colo Apps 3.924 EPA - Mytel Colo Apps - 5.46 EPA  - Add 2 RRU</t>
  </si>
  <si>
    <t>EXISTING TOWER: TML+MYTEL+KSGM(OLD+NEW)):  57.69%</t>
  </si>
  <si>
    <t>1-01-14001-010</t>
  </si>
  <si>
    <t>SHS00100</t>
  </si>
  <si>
    <t xml:space="preserve">Existing on tower Actual - OML - 8.44 Sqm / MPT - 7.68 Sqm  - Increase Rf Dimension add RRU / Change MW dimesion and add ODU </t>
  </si>
  <si>
    <t>Strengthened Tower: OML+KSGM (OLD+NEW) = 97.2%
Strengthened Tower: OML+KSGM (OLD) = 91.1%</t>
  </si>
  <si>
    <t>31-Jan-19</t>
  </si>
  <si>
    <t>ready</t>
  </si>
  <si>
    <t>1-01-10009-003</t>
  </si>
  <si>
    <t>MDY01362</t>
  </si>
  <si>
    <t>2019-01-30</t>
  </si>
  <si>
    <t>DG &amp; BB upgrade</t>
  </si>
  <si>
    <t xml:space="preserve">Existing on tower Actual - OML - 8.09 Sqm / MPT - 4.97 Sqm / TML 2.87 sqm  - Same loading as before - Change height only </t>
  </si>
  <si>
    <t>EXISTING TOWER(OML+TML+KSGM(OLD+NEW)):  96.9%
EXISTING TOWER(OML+TML+KSGM(OLD)): 96.9  %</t>
  </si>
  <si>
    <t>2019-04-05</t>
  </si>
  <si>
    <t>2018-12-27</t>
  </si>
  <si>
    <t>2019-01-18</t>
  </si>
  <si>
    <t>2019-04-07</t>
  </si>
  <si>
    <t>2019-04-08</t>
  </si>
  <si>
    <t>EXISTING TOWER(OP1+OP4+OP3(OLD+NEW)):   81.6 %
EXISTING TOWER(OP1+OP4+OP3(OLD)):  82%</t>
  </si>
  <si>
    <t>2018-12-23</t>
  </si>
  <si>
    <t>Strengthened Tower(OP1+OP3(OLD+NEW)): 91.3 %
Strengthened Tower(OP1+OP3(OLD)): 85.04 %</t>
  </si>
  <si>
    <t>2019-04-09</t>
  </si>
  <si>
    <t>Strengthened Tower: OML+TML+KSGM (OLD+NEW) = 103.3%
Strengthened Tower: OML+TML+KSGM (OLD) = 104.2%</t>
  </si>
  <si>
    <t>2018-12-28</t>
  </si>
  <si>
    <t>Strengthened Tower: OML+TML+KSGM (OLD+NEW) = 94 %
Strengthened Tower: OML+TML+KSGM (OLD) = 92.6%</t>
  </si>
  <si>
    <t>2019-04-10</t>
  </si>
  <si>
    <t>2019-04-11</t>
  </si>
  <si>
    <t>Strengthened Tower: OML+MYTEL+KSGM (OLD+NEW) = 92.4%
Strengthened Tower: OML+MYTEL+KSGM (OLD) = 91.7%</t>
  </si>
  <si>
    <t>Strengthened Tower: OML+MYTEL+KSGM (OLD+NEW) = 92.5%
Strengthened Tower: OML+MYTEL+KSGM (OLD) = 92.4</t>
  </si>
  <si>
    <t xml:space="preserve">26-Dec-18: Already 4 opco at site (TN/MPT/OML/Mytel) possible for lease hike during TI installtion </t>
  </si>
  <si>
    <t>2019-01-12</t>
  </si>
  <si>
    <t>26-Dec-18: Re-negotation has to be done with owner as we have to install new slab for Amara. Note: Mytel is already present on the same roof.</t>
  </si>
  <si>
    <t>26-Dec-18: Amara want to share a pole with MPT or not any new operator/ISP will incur an additional cost of 300,000 MMK/month</t>
  </si>
  <si>
    <t>Existing Tower: OML+TML+KSGM (OLD+NEW) = FDN Unstale due to soil condition is submerged (Estimate volume of concrete = 16 cb.m;  exten pad of foundation to 9.6m)
Approved By Rudy per email on 17-Dec-2018.</t>
  </si>
  <si>
    <t>2018-12-31</t>
  </si>
  <si>
    <t>2019-04-17</t>
  </si>
  <si>
    <t>2019-01-10</t>
  </si>
  <si>
    <t>2019-04-14</t>
  </si>
  <si>
    <t>2019-04-18</t>
  </si>
  <si>
    <t>2019-04-20</t>
  </si>
  <si>
    <t>2019-04-15</t>
  </si>
  <si>
    <t>2019-01-20</t>
  </si>
  <si>
    <t>2019-01-07</t>
  </si>
  <si>
    <t>2019-01-08</t>
  </si>
  <si>
    <t>2019-01-21</t>
  </si>
  <si>
    <t>2019-04-01</t>
  </si>
  <si>
    <t>2019-01-23</t>
  </si>
  <si>
    <t>2019-01-24</t>
  </si>
  <si>
    <t>2018-12-29</t>
  </si>
  <si>
    <t>Grand Total</t>
  </si>
  <si>
    <t>Count of Site ID</t>
  </si>
  <si>
    <t>(All)</t>
  </si>
  <si>
    <t>Months</t>
  </si>
  <si>
    <t xml:space="preserve">Existing on tower (Assume ) - TML 4.29 EPA / MPT - 4.60 EPA /   Increase RF Dimension and add RRU . </t>
  </si>
  <si>
    <t xml:space="preserve">Existing on tower actual - OML - 6.64 Sqm / MPT - 2.71 Sqm  / TML - 2.74 sqm / MYTEL - 2.03 Sqm - increase RF Dimension , Add RRU and ODU </t>
  </si>
  <si>
    <t>ASMO_0155</t>
  </si>
  <si>
    <t>MON00618</t>
  </si>
  <si>
    <t xml:space="preserve">MPT Phase 2 Colo </t>
  </si>
  <si>
    <t xml:space="preserve">Existing on tower (Assume ) - TML 9.08 EPA /  New Colo Apps Submission </t>
  </si>
  <si>
    <t>Strengthened Tower(OML+MYTEL+KSGM(OLD+NEW)): 103.67 %
Strengthened Tower(OML+MYTEL+KSGM(OLD)): 100.84 %</t>
  </si>
  <si>
    <t>Strengthened Tower(OML+OP2+KSGM(OLD+NEW)): 89.7 %
Strengthened Tower(OML+OP2+KSGM(OLD)): 91 %</t>
  </si>
  <si>
    <t>EXISTING TOWER(OML+TML+KSGM(OLD+NEW)):  99.2%
EXISTING TOWER(OML+TML+KSGM(OLD)): 99.2%</t>
  </si>
  <si>
    <t>ASMO_0207</t>
  </si>
  <si>
    <t>MOW6137</t>
  </si>
  <si>
    <t>Colo</t>
  </si>
  <si>
    <t xml:space="preserve">Existing on tower (Assume ) - TML 6.01 EPA /  Awaiting Colo Apps Submission </t>
  </si>
  <si>
    <t>ASMO_0199</t>
  </si>
  <si>
    <t>MOW6153</t>
  </si>
  <si>
    <t>47</t>
  </si>
  <si>
    <t>7-Jan-2019: take note that there is a NS running issue with the DG at this time.</t>
  </si>
  <si>
    <t xml:space="preserve"> Existing on tower (Assume ) - TML 3.93 EPA / MPT 3.51 EPA,  Awaiting Colo Apps Submission </t>
  </si>
  <si>
    <t>AYYN_0373</t>
  </si>
  <si>
    <t>YGN1424</t>
  </si>
  <si>
    <t>7-jan-2019: although there is no SAQ it is unlikely that there is enough space on site to accommodate another operator</t>
  </si>
  <si>
    <t xml:space="preserve">Existing on tower (Assume ) - TML 3.56 EPA /  New Colo Apps Submission </t>
  </si>
  <si>
    <t>to be determine base on actual TSS</t>
  </si>
  <si>
    <t>1-01-14013-003</t>
  </si>
  <si>
    <t>SHS00383</t>
  </si>
  <si>
    <t>52.5</t>
  </si>
  <si>
    <t xml:space="preserve">Existing on tower actual - OML - 9.23 Sqm / MPT -3.93 Sqm  / TML - 2.74 sqm / MYTEL - 5.00 Sqm - Increase RF Dimension , Add RRU </t>
  </si>
  <si>
    <t>1-01-03007-002</t>
  </si>
  <si>
    <t>KA3411</t>
  </si>
  <si>
    <t>Existing on tower actual - OML - 8.67 Sqm / MYTEL -4.07 Sqm - New Colocation</t>
  </si>
  <si>
    <t>Required New Slab</t>
  </si>
  <si>
    <t>1-03-01014-017</t>
  </si>
  <si>
    <t>KC0459</t>
  </si>
  <si>
    <t>Existing on tower actual - MPT- 3.56 Sqm - New Colocation</t>
  </si>
  <si>
    <t>SH4020</t>
  </si>
  <si>
    <t>Existing on tower actual - OML - 7.03Sqm / MPT - 3.72 Sqm - New Colocation</t>
  </si>
  <si>
    <t>1-01-01015-020</t>
  </si>
  <si>
    <t>KC0091</t>
  </si>
  <si>
    <t>Existing on tower actual - OML - 8.10 Sqm / - New Colocation</t>
  </si>
  <si>
    <t>EXISTING TOWER(OML+Mytel(NEW)):  99 %</t>
  </si>
  <si>
    <t>Strengthened Tower(OML+TML+KSGM+Mytel(NEW)):  103.1 %</t>
  </si>
  <si>
    <t>EXISTING TOWER(OML+Mytel(NEW)):  93.5 %</t>
  </si>
  <si>
    <t>EXISTING TOWER: TML+KSGM(OLD+NEW)):  56.22%</t>
  </si>
  <si>
    <t>Colo Prevalidation Dashboard</t>
  </si>
  <si>
    <t>Row Labels</t>
  </si>
  <si>
    <t>1-01-12016-011</t>
  </si>
  <si>
    <t>RA0021</t>
  </si>
  <si>
    <t xml:space="preserve">Existing on tower actual - OML - 8.69 Sqm / TML on tower 2.32 Or TML previous Colo Apps 4.41 Sqm - Add 1 ODU </t>
  </si>
  <si>
    <t>MDYAMPR003</t>
  </si>
  <si>
    <t>ANMG_0034</t>
  </si>
  <si>
    <t>MGW00303</t>
  </si>
  <si>
    <t>ANKC_0024</t>
  </si>
  <si>
    <t>KCN00341</t>
  </si>
  <si>
    <t xml:space="preserve">Existing on tower (Assume ) - TML 6.73 EPA / MPT - 4.82 EPA /Mytel 8.09 EPA - Decrease RF Dimension and add RRU </t>
  </si>
  <si>
    <t>1-01-10013-005</t>
  </si>
  <si>
    <t>MDY01364</t>
  </si>
  <si>
    <t xml:space="preserve">Existing on tower actual - OML - 7.76 Sqm / MPT - 3.08 Sqm /TML 3.52 sqm /- Add 2 RRU </t>
  </si>
  <si>
    <t>ANSG_0466</t>
  </si>
  <si>
    <t>SGG00230</t>
  </si>
  <si>
    <t xml:space="preserve">Existing on tower (Assume ) - TML 5.28 EPA / MPT - 4.82 EPA  - Remove MW and add RRU </t>
  </si>
  <si>
    <t>YGNDMNH014</t>
  </si>
  <si>
    <t>Require Colo Apps to update in prevalidation -  Existing on tower (Assume ) - TML 3.56 EPA / Amara previous Colo Apps 3.35 EPA  - Remove 1 MW (0.3 ) and Odu</t>
  </si>
  <si>
    <t>AYYN_0620</t>
  </si>
  <si>
    <t>YGNDMSH008</t>
  </si>
  <si>
    <t>Require Colo Apps to update in prevalidation -  Existing on tower (Assume ) - TML 4.11 EPA / OML - 12.15 EPA / MPT - 3.24 EPA / Mytel Colo Apps - 5.68 EPA /Amara previous Colo Apps 3.48 EPA  - Remove 2 MW (0.3 ) and Odu</t>
  </si>
  <si>
    <t xml:space="preserve">Existing on tower actual - OML - 6.46 Sqm / MPT - 3.52 Sqm /TML 3.56 sqm / Decrease Dimension and add RRU </t>
  </si>
  <si>
    <t>1-01-15002-002</t>
  </si>
  <si>
    <t>SHN00062</t>
  </si>
  <si>
    <t xml:space="preserve">Existing on tower actual - OML - 8.09 Sqm / MPT - 3.07 Sqm /TML 4.50 sqm / Decrease Dimension and add RRU </t>
  </si>
  <si>
    <t>1-01-14007-013</t>
  </si>
  <si>
    <t>SHN00081</t>
  </si>
  <si>
    <t>45-48</t>
  </si>
  <si>
    <t>52-54</t>
  </si>
  <si>
    <t xml:space="preserve">Existing on tower actual - OML - 7.90 Sqm / MPT - 2.69 Sqm /Mytel actual - 2.97 sqm - Mytel  colo apps 4.07 sqm / Decrease Dimension and add RRU </t>
  </si>
  <si>
    <t>AYYN_0284</t>
  </si>
  <si>
    <t>YGNINSN005</t>
  </si>
  <si>
    <t>Require Colo Apps to update in prevalidation -  Existing on tower (Assume ) - TML -5.40 EPA/ Amara Previous Colo Apps 3.35 EPA  - Remove 2 MW (0.3 ) and Odu</t>
  </si>
  <si>
    <t>AYYN_0575</t>
  </si>
  <si>
    <t>YGNSPTR001</t>
  </si>
  <si>
    <t>Require Colo Apps to update in prevalidation -  Existing on tower (Assume ) - TML -2.57 EPA/ Amara Previous Colo Apps 3.40 EPA  - Remove 1 MW (0.6 ) and Odu</t>
  </si>
  <si>
    <t>AYYN_0403</t>
  </si>
  <si>
    <t>YGNTKTA002</t>
  </si>
  <si>
    <t>Require Colo Apps to update in prevalidation -  Existing on tower (Assume ) - TML -2.57 EPA/ Amara Previous Colo Apps 3.09 EPA  - Remove 1 MW (0.3 ) and Odu</t>
  </si>
  <si>
    <t>AYYN_0570</t>
  </si>
  <si>
    <t>YGNSPTR022</t>
  </si>
  <si>
    <t>Require Colo Apps to update in prevalidation -  Existing on tower (Assume ) - TML -5.79 EPA/ MPT - 4.85 EPA / Mytel 5.68 EPA / Amara Previous Colo Apps 3.36 EPA  - Remove 1 MW (0.6 ) and Odu</t>
  </si>
  <si>
    <t>Total EPA is 6.01+6 =12.01 &lt; 25 EPA Design - OK (Preliminaly Tower Assessment), OML 6.0EPA Required</t>
  </si>
  <si>
    <t>Total EPA is 7.44+6 =13.44 &lt; 25 EPA Design - OK (Preliminaly Tower Assessment), OML 6.0EPA Required</t>
  </si>
  <si>
    <t>Existing Tower: TML+KSGM (OLD+NEW) = 129.2%
(Estimate modification steel weight = 1500 kg)
Existing Tower: TML+KSGM (OLD) = 124.7%</t>
  </si>
  <si>
    <t>EXISTING TOWER(OML+TML+Mytel+KSGM(OLD+NEW)):  87.4 %
EXISTING TOWER(OML+TML+Mytel+KSGM(OLD)): 85.75 %</t>
  </si>
  <si>
    <t>EXISTING TOWER: TML+KSGM(OLD+NEW)):  96.4%</t>
  </si>
  <si>
    <t>Existing Tower: TML+KSGM (OLD+NEW) = 62.7%</t>
  </si>
  <si>
    <t>Existing Tower: OML+TML+MYTEL (OLD+NEW) = 88.9%
Existing Tower: OML+TML+MYTEL (OLD) = 82.1%</t>
  </si>
  <si>
    <t>Existing Tower: OML+TML+MYTEL (OLD+NEW) = 99.0%</t>
  </si>
  <si>
    <t>Strengthened Tower: OML+TML+MYTEL+KSGM (OLD+NEW) = 198.7% (Estimate steel weight 1700 kg)
Strengthened Tower: OML+MYTEL+KSGM (OLD) = 193.0%</t>
  </si>
  <si>
    <t>Existing Tower: TML+KSGM (OLD+NEW) = 124.7%
(Estimate modification steel weight = 1500 kg)
Existing Tower: TML+KSGM (OLD) = 124.7%</t>
  </si>
  <si>
    <t>Approved by Management</t>
  </si>
  <si>
    <t>Kitcha agreed on 26 Dec 18 to proceed and accepted the BA report.</t>
  </si>
  <si>
    <t>10-Jan-19: Okay for TI installation as GBT site and single opco.</t>
  </si>
  <si>
    <t>1-01-10018-001</t>
  </si>
  <si>
    <t>MDY00339</t>
  </si>
  <si>
    <t>1-01-15013-009</t>
  </si>
  <si>
    <t>SHN00040</t>
  </si>
  <si>
    <t>10-Jan-19: Okay for upgrdation as MPT is already on-air from 23-Dec-15</t>
  </si>
  <si>
    <t xml:space="preserve">Existing on tower (Assume ) - TML 5.68 EPA / OML - 10.61 EPA / MPT - 3.75 EPA  - Increase RF Dimension and add RRU </t>
  </si>
  <si>
    <t>10-Jan-19: Okay for upgrdation as MPT is already on-air from 23-Mar-16</t>
  </si>
  <si>
    <t>Existing Tower: TML+MYTEL+KSGM (OLD+NEW) = 62.3%</t>
  </si>
  <si>
    <t>Existing Tower: OML+TML+KSGM (OLD+NEW) = 97.0%
Existing Tower: OML+TML+KSGM (OLD) = 97.0%</t>
  </si>
  <si>
    <t>10-Jan-19: Okay for upgrdation as MPT is already on-air from 27-May-16</t>
  </si>
  <si>
    <t>Existing Tower: TML+KSGM (OLD+NEW) = 47.1%</t>
  </si>
  <si>
    <t>10-Jan-19: Okay for upgrdation as Amara is already on-air from 29-Mar-18</t>
  </si>
  <si>
    <t>STR OK for MW0.6m removal</t>
  </si>
  <si>
    <t>removing equiptments so not require power comment</t>
  </si>
  <si>
    <t>10-Jan-19: Okay for upgrdation as Amara is already on-air from 09-Feb-18</t>
  </si>
  <si>
    <t>10-Jan-19: Okay for upgrdation as Amara is already on-air from 08-Mar-18</t>
  </si>
  <si>
    <t>10-Jan-19: Okay for upgrdation as Amara is already on-air from 13-Mar-18</t>
  </si>
  <si>
    <t>10-Jan-19: Okay for upgrdation as Amara is already on-air from 06-Mar-18</t>
  </si>
  <si>
    <t>10-Jan-19: Okay for upgrdation as Amara is already on-air from 22-Jun-18</t>
  </si>
  <si>
    <t>Strengthened Tower(OML+TML+KSGM(OLD+NEW)): 92.4 %
Strengthened Tower(OML+TML+KSGM(OLD)): 84.7 %</t>
  </si>
  <si>
    <t>EXISTING TOWER(OML+TML(NEW)):  91.7 % (old wind zone)
EXISTING TOWER(OML+TML(NEW)):  137.4 % (new wind zone)_STR later</t>
  </si>
  <si>
    <t>OK to proceed, community will provide the feedback on 11 Jan 2019</t>
  </si>
  <si>
    <t>EXISTING TOWER(OML+KSGM+TML(NEW)):  98.30 %</t>
  </si>
  <si>
    <t>EXISTING TOWER(OML+TML(NEW)):  98.61 %</t>
  </si>
  <si>
    <t>Site is not active in Ox tool</t>
  </si>
  <si>
    <t>ACBA_0202</t>
  </si>
  <si>
    <t>BGE00446</t>
  </si>
  <si>
    <t>1-01-08008-001</t>
  </si>
  <si>
    <t>BGW00539</t>
  </si>
  <si>
    <t xml:space="preserve">Existing on tower (Assume ) - TML 5.74 EPA - New Colocation </t>
  </si>
  <si>
    <t xml:space="preserve">RT - Existing on tower (Assume ) - TML 4.10 EPA - New Colocation - To double check with TSSR if remaining 2 free pole are still available . </t>
  </si>
  <si>
    <t>to be determine base on actual TSS as this is RT</t>
  </si>
  <si>
    <t xml:space="preserve">Existing on tower (Actual) - OML with 15.69 sqm , MPT  - 3.09 Sqm , TML with 3.40 Sqm   - MW height change as per actual </t>
  </si>
  <si>
    <t xml:space="preserve">Existing on tower (Actual) - OML with 10.64 sqm , MPT  - 2.71 Sqm , TML with 3.51 Sqm   - Add MW </t>
  </si>
  <si>
    <t xml:space="preserve">Existing on tower (Actual) - OML with 11.76 sqm , MPT  - 3.56 Sqm    - Add 1 RRU </t>
  </si>
  <si>
    <t>EXISTING TOWER(OML+TML(OLD+NEW)):  103.8 %
EXISTING TOWER(OML+TML(OLD)): 98.8 %</t>
  </si>
  <si>
    <t>STRENGTHENED TOWER(KSGM+MYTEL+TML(NEW)):  99.27 %</t>
  </si>
  <si>
    <t>Existing Tower: OML+TML+KSGM(NEW) = 59.5%</t>
  </si>
  <si>
    <t>1-01-09018-009</t>
  </si>
  <si>
    <t>MGW00506</t>
  </si>
  <si>
    <t>AYYN_0499</t>
  </si>
  <si>
    <t>YGN1337</t>
  </si>
  <si>
    <t>31.5</t>
  </si>
  <si>
    <t>Commercial Approval Pending</t>
  </si>
  <si>
    <t>ACRK_0023</t>
  </si>
  <si>
    <t>RKE0090</t>
  </si>
  <si>
    <t>Commercial Approval Requested</t>
  </si>
  <si>
    <t>Only if grid connected</t>
  </si>
  <si>
    <t>AAYW00001</t>
  </si>
  <si>
    <t>AWD01399</t>
  </si>
  <si>
    <t>MPT Phase 2 B2S</t>
  </si>
  <si>
    <t xml:space="preserve"> MPT B2S Colo Application </t>
  </si>
  <si>
    <t>27-Jan-19</t>
  </si>
  <si>
    <t xml:space="preserve">As per plan </t>
  </si>
  <si>
    <t>ABAG00004</t>
  </si>
  <si>
    <t>BGW00450</t>
  </si>
  <si>
    <t xml:space="preserve">Existing on tower (Actual) - OML with 15.69 sqm/ MPT actual on tower -2.96 sqm - MPT previous colo apps - 3.09 Sqm  / TML - 3.47 sqm / Add 1 RRU </t>
  </si>
  <si>
    <t>1-01-10029-006</t>
  </si>
  <si>
    <t>MDY00358</t>
  </si>
  <si>
    <t xml:space="preserve">Existing on tower (Actual) - OML with7.41 sqm/ MPT-4.97 Sqm  - Add 1 RRU </t>
  </si>
  <si>
    <t>04-Feb-19</t>
  </si>
  <si>
    <t>DG cap expansion</t>
  </si>
  <si>
    <t>1-01-09022-002</t>
  </si>
  <si>
    <t>MGW00204</t>
  </si>
  <si>
    <t>Require to inform Ei Shwe Zin (NPT) before site visit.</t>
  </si>
  <si>
    <t xml:space="preserve">Existing on tower (Actual) - OML with 8.01 sqm/ MPT-4.20 Sqm /TML - 3.51 Sqm  - Add 1 RRU </t>
  </si>
  <si>
    <t xml:space="preserve">Existing on tower (Actual) - OML with 10.81 sqm/ MPT-3.07 Sqm / Op2 - 3.87 Sqm  - Add 1 RRU </t>
  </si>
  <si>
    <t>05-Feb-19</t>
  </si>
  <si>
    <t>11-Feb-19</t>
  </si>
  <si>
    <t>BB &amp; DG cap expansion</t>
  </si>
  <si>
    <t>1-01-15018-003</t>
  </si>
  <si>
    <t>SHN00063</t>
  </si>
  <si>
    <t>PBAG00032</t>
  </si>
  <si>
    <t>BGE00825</t>
  </si>
  <si>
    <t>1-01-04002-007</t>
  </si>
  <si>
    <t>CHN00140</t>
  </si>
  <si>
    <t>27.5</t>
  </si>
  <si>
    <t>32.5</t>
  </si>
  <si>
    <t>1-01-09021-002</t>
  </si>
  <si>
    <t>MGW00156</t>
  </si>
  <si>
    <t>06-Feb-19</t>
  </si>
  <si>
    <t>Add rectifier modules DG cap expansion</t>
  </si>
  <si>
    <t>1-01-05027-007</t>
  </si>
  <si>
    <t>SGG00242</t>
  </si>
  <si>
    <t>16-Feb-19</t>
  </si>
  <si>
    <t xml:space="preserve">PE upgrade </t>
  </si>
  <si>
    <t>LTE_v1</t>
  </si>
  <si>
    <t>17-Feb-19</t>
  </si>
  <si>
    <t>PTNT00059</t>
  </si>
  <si>
    <t>TNY00789</t>
  </si>
  <si>
    <t>1-01-05027-016</t>
  </si>
  <si>
    <t>SGG00226</t>
  </si>
  <si>
    <t>07-Feb-19</t>
  </si>
  <si>
    <t>18-Feb-19</t>
  </si>
  <si>
    <t>Existing on tower (Assume ) - TML 4.20 EPA / Amara Previous Colo apps - 3.097 EPA - Add 1 ODU</t>
  </si>
  <si>
    <t>Existing on tower (Assume ) - TML 4.26 EPA / Amara Previous Colo apps - 3.40 EPA - Add 1 ODU</t>
  </si>
  <si>
    <t>Existing on tower (Assume ) - TML 4.56EPA /Amara Previous Colo apps - 3.096 EPA - Increase Mw Dimesion and add 1 ODU</t>
  </si>
  <si>
    <t>Existing on tower (Assume ) - TML 4.10EPA / MPT - 3.58EPA , Amara Previous Colo Apps - 3.09 EPA ,  Add 1 ODU</t>
  </si>
  <si>
    <t>1-01-13039-001</t>
  </si>
  <si>
    <t>YGNSNCG017_3</t>
  </si>
  <si>
    <t xml:space="preserve">RT -OML Phase - Still awaiting feedback and confirmation from OML Project team </t>
  </si>
  <si>
    <t>ABAG00003</t>
  </si>
  <si>
    <t>BGE00821</t>
  </si>
  <si>
    <t xml:space="preserve">New Colo Apps Submission - MPT Phase 2 BTS </t>
  </si>
  <si>
    <t>Existing Tower: KSGM (NEW) = 34.3%</t>
  </si>
  <si>
    <t>ANSG_0374</t>
  </si>
  <si>
    <t>SGG00338</t>
  </si>
  <si>
    <t xml:space="preserve">Existing on tower (Assume ) - TML 4.74 EPA / OML - 8.30 BTS / MPT - 3.60 EPA / Mytel 2.39 EPA </t>
  </si>
  <si>
    <t>3-00-01014-001</t>
  </si>
  <si>
    <t>KCN00056</t>
  </si>
  <si>
    <t xml:space="preserve">Existing on tower (Actual) - MPT - 3.52 sqm - Add Mw and Odu as per the actual </t>
  </si>
  <si>
    <t>EXISTING TOWER (KSGM(OLD+NEW)):  80.03 %
EXISTING TOWER (KSGM(OLD)):  77.84 %</t>
  </si>
  <si>
    <t>ANMD_0236</t>
  </si>
  <si>
    <t>MDY00844</t>
  </si>
  <si>
    <t>Existing on tower (Assume ) - TML 4.20 EPA / MPT 4.82 EPA - Add MW and Odu</t>
  </si>
  <si>
    <t>1-01-15014-008</t>
  </si>
  <si>
    <t>SHN00175</t>
  </si>
  <si>
    <t xml:space="preserve">UPG </t>
  </si>
  <si>
    <t xml:space="preserve">Existing on tower (Actual) - OML 7.02 sqm / MPT - 2.91 sqm - Add 1 ODU </t>
  </si>
  <si>
    <t>EXISTING TOWER(OML+TML+KSGM(OLD+NEW)):  93.4 %
EXISTING TOWER(OML+TML+KSGM(OLD)):  93.4%</t>
  </si>
  <si>
    <t>YAW4699</t>
  </si>
  <si>
    <t xml:space="preserve">To determine base on TSS as there is limited space , Mytel was also requesting for colocation /  Existing on tower (Assume ) - TML 3.56 EPA / Mytel Colo apps - 6 EPA </t>
  </si>
  <si>
    <t>see above</t>
  </si>
  <si>
    <t xml:space="preserve">to be determine base on actual TSS as there is limited space on ground </t>
  </si>
  <si>
    <t>AYYN_0335</t>
  </si>
  <si>
    <t>YAM7609</t>
  </si>
  <si>
    <t xml:space="preserve">To determine base on TSS as there is limited space for the pole - Existing on tower (Assume ) - TML 4.20 EPA / MPT 0.74 EPA </t>
  </si>
  <si>
    <t>AYYN_0541</t>
  </si>
  <si>
    <t>YAW4695</t>
  </si>
  <si>
    <t xml:space="preserve">To determine base on TSS as there is limited space for the pole , Existing on tower (Assume ) - TML 2.12EPA / Amara Colo apps  3.00 EPA </t>
  </si>
  <si>
    <t xml:space="preserve">Existing on tower (Assume ) - TML 5.28 EPA / Mytel Colo apps  4.074 EPA </t>
  </si>
  <si>
    <t>Existing Tower:TML+MYTEL+OML(NEW) = 72.5%</t>
  </si>
  <si>
    <t xml:space="preserve">Can share the existing slab </t>
  </si>
  <si>
    <t>ANMD_0220</t>
  </si>
  <si>
    <t>MDY00991</t>
  </si>
  <si>
    <t>15-Jan-19: Okay for upgrdation as MPT is already on-air from 28-Feb-17.</t>
  </si>
  <si>
    <t xml:space="preserve">Existing on tower (Assume ) - TML 7.70 EPA / OML 21.17 EPA  / MPT 6.63 EPA /Mytel Colo apps 4.074 EPA   -  Add MW and ODU </t>
  </si>
  <si>
    <t>Existing Tower: OML+TML+MYTEL+KSGM(OLD+NEW) = 66.4%</t>
  </si>
  <si>
    <t>1-01-05005-001</t>
  </si>
  <si>
    <t>SGG00218</t>
  </si>
  <si>
    <t>Existing on tower (Actual) - OML with 8.34 sqm / MPT - 5.86 / TML - 4.50 Sqm /add MW and Odu</t>
  </si>
  <si>
    <t>EXISTING TOWER(OML+TML+KSGM(OLD+NEW)): 104 %
EXISTING TOWER(OML+TML+KSGM(OLD)):100.9%</t>
  </si>
  <si>
    <t xml:space="preserve">DG EOL swap </t>
  </si>
  <si>
    <t>ANSG_0498</t>
  </si>
  <si>
    <t>SGG00255</t>
  </si>
  <si>
    <t>15-Jan-19: Okay for upgrdation as MPT is already on-air from 25-Feb-16.</t>
  </si>
  <si>
    <t xml:space="preserve">Existing on tower (Assume ) - TML 3.84 EPA / OML 13.18 EPA  / MPT 6.27 EPA  -  Change height within reserved area </t>
  </si>
  <si>
    <t>Strengthened Tower: OML+TML+MYTEL+KSGM(OLD+NEW) = 87.2% (Strengthening and Retrofitting are not completed 100% yet. However, it was considered in this analysis by following the design.)
% strengthening done 80%
% Retrofitting  done 70%</t>
  </si>
  <si>
    <t>1-01-05027-001</t>
  </si>
  <si>
    <t>SGG00562</t>
  </si>
  <si>
    <t>As per conversation with LL, site access ok to proceed.</t>
  </si>
  <si>
    <t xml:space="preserve">Existing on tower (Actual) - OML with 10.81 sqm / MPT - 2.50 sqm / TML - 3.37 Sqm / Change MW height </t>
  </si>
  <si>
    <t>EXISTING TOWER(OP1+OP4+OP3(OLD+NEW)): 72.2  %
EXISTING TOWER(OP1+OP4+OP3(OLD)):  72.2 %</t>
  </si>
  <si>
    <t>SHN00207</t>
  </si>
  <si>
    <t>15-Jan-19: Okay for upgrdation as MPT is already on-air from 26-Feb-16.</t>
  </si>
  <si>
    <t xml:space="preserve">Existing on tower (Assume ) - TML 3.93 EPA / MPT 3.74 EPA -Add RRU </t>
  </si>
  <si>
    <t>Existing Tower:TML+KSGM(OLD+NEW) = 63.8%</t>
  </si>
  <si>
    <t>Relocation</t>
  </si>
  <si>
    <t xml:space="preserve">Existing on tower (Actual) - OML with 11.02 sqm / MPT - 4.44 sqm / TML - 2.97 Sqm / Increase RF dimension and Decrease MW dimesion </t>
  </si>
  <si>
    <t>EXISTING TOWER(OML+TML+KSGM(OLD+NEW)):  103.2%
EXISTING TOWER(OML+TML+KSGM(OLD)):  99%</t>
  </si>
  <si>
    <t xml:space="preserve">Existing on tower (Actual) - OML with 7.72 sqm / MPT - 4.16 sqm / TML - 4.04 Sqm / Add 1 RRU </t>
  </si>
  <si>
    <t>EXISTING TOWER(OP1+OP4+OP3(OLD+NEW)): 99.4  %
EXISTING TOWER(OP1+OP4+OP3(OLD)):   99.4 %</t>
  </si>
  <si>
    <t>1-01-05007-010</t>
  </si>
  <si>
    <t>SGG00223</t>
  </si>
  <si>
    <t xml:space="preserve">Existing on tower (Actual) - OML with 9.47 sqm / MPT - 3.04 sqm / TML - 3.87 Sqm / Decrease MW dimesion and add RRU </t>
  </si>
  <si>
    <t>EXISTING TOWER(OP1+OP4+OP3(OLD+NEW)): 96.9  %
EXISTING TOWER(OP1+OP4+OP3(OLD)):  95.8  %</t>
  </si>
  <si>
    <t>1-01-11002-003</t>
  </si>
  <si>
    <t>MON00623</t>
  </si>
  <si>
    <t xml:space="preserve">Existing on tower (Actual) - OML with 9.75 sqm / MPT - 4.43 sqm / New Colocation </t>
  </si>
  <si>
    <t>WIND ZONE CHANGE:
Strengthened Tower(OML+MYTEL+KSGM(NEW)):  93.7  % (old wind zone 130 kPH)
Strengthened  Tower(OML+MYTEL+KSGM(NEW)): 138.4 % (new wind zone 160 kPH)
Estimated Strengthening(Tower steel weight: 3141.647kg ,Foundation Conc; weight 5.1m3 )</t>
  </si>
  <si>
    <t>1-01-17003-011</t>
  </si>
  <si>
    <t>AYY0291</t>
  </si>
  <si>
    <t>Ongoing DG noise issue and Mytel team delivered DG without inform PAT and village. Currently, community againsts new DG and Mytel colo. (off grid area).</t>
  </si>
  <si>
    <t>25-Jan-19</t>
  </si>
  <si>
    <t>Review DG capacity due to community issue swap TBA</t>
  </si>
  <si>
    <t>1-01-06005-005</t>
  </si>
  <si>
    <t>TN0624</t>
  </si>
  <si>
    <t xml:space="preserve"> For VSAT ground space </t>
  </si>
  <si>
    <t>Commercial team to advise if VSAT foundation to be constructed by PAT or TML team .</t>
  </si>
  <si>
    <t>1-01-14007-015</t>
  </si>
  <si>
    <t>KCN00508</t>
  </si>
  <si>
    <t>Multisector</t>
  </si>
  <si>
    <t>41.5-46.5</t>
  </si>
  <si>
    <t>59-60</t>
  </si>
  <si>
    <t xml:space="preserve">Existing on tower (Actual) - OML with 9.01 sqm , MPT actual 4.93 sqm / Latest Colo Apps - 5.07 sqm / TML - 3.94 sqm - Increase 1 RF dimension , add RRU and change leg on MW </t>
  </si>
  <si>
    <t>Strengthened Tower(OML+TML+KSGM(OLD+NEW)): 93.36 %
Strengthened Tower(OML+TML+KSGM(OLD)): 93.22 %</t>
  </si>
  <si>
    <t xml:space="preserve">Existing on tower (Assume ) - TML 4.20 EPA -New Colocation </t>
  </si>
  <si>
    <t>Existing Tower: TML+KSGM (OLD+NEW) ; Tower = 81.9% but FDN unstable due to soil condition is submerged
(Estimate volume of concrete = 6 cb.m;  exten pad of foundation from 6.5m to 7.5m)
Existing Tower: TML(OLD) ; Tower = 74.4% but FDN unstable</t>
  </si>
  <si>
    <t>Existing on tower (Actual) - OML with 9.75 sqm , TML - 3.56 Sqm   -New Colocation</t>
  </si>
  <si>
    <t>EXISTING TOWER(OML+TML+KSGM(NEW)): 67.3%</t>
  </si>
  <si>
    <t>Rental increase of 100k/month was granted which took effect last 16-Dec-18 (400k-500k)</t>
  </si>
  <si>
    <t>Existing on tower (Actual) - OML with 6.41 sqm , MPT - 5.10 Sqm / Increase RF dimension and add RRU and ODU</t>
  </si>
  <si>
    <t>EXISTING TOWER(OML+KSGM(OLD+NEW)): 57.2 %
EXISTING TOWER(OML+KSGM(OLD)):59.4 %</t>
  </si>
  <si>
    <t>Existing on tower (Actual) - OML with 7.56 sqm , MPT - 3.92 Sqm , TML - 2.84 sqm / Increase RF dimension and add RRU and ODU</t>
  </si>
  <si>
    <t>Existing Tower: OML+TML+KSGM(OLD+NEW) = 99.5%
Existing Tower: OML+TML+KSGM(OLD) = 98.0%</t>
  </si>
  <si>
    <t xml:space="preserve">Review PE system capacity after actual site load confirmed </t>
  </si>
  <si>
    <t>1-01-05004-001</t>
  </si>
  <si>
    <t>SGG00208</t>
  </si>
  <si>
    <t xml:space="preserve">Existing on tower (Actual) - OML with 11.73 sqm , MPT - 4.16 Sqm , TML - 3.79 sqm -Change MW height ( 0.5m difference ) - add ODU </t>
  </si>
  <si>
    <t>EXISTING TOWER(OML+TML+KSGM(OLD+NEW)): 103.2 %
EXISTING TOWER(OML+TML+KSGM(OLD)):103.3%</t>
  </si>
  <si>
    <t xml:space="preserve">DG SOH to be confirmed </t>
  </si>
  <si>
    <t>1-01-10003-004</t>
  </si>
  <si>
    <t>MDYMHAM044</t>
  </si>
  <si>
    <t xml:space="preserve">Existing on tower (Actual) - OML with 7.31 sqm- New Colocation RTT  </t>
  </si>
  <si>
    <t>1-2 weeks after approval</t>
  </si>
  <si>
    <t>1-01-10001-007</t>
  </si>
  <si>
    <t>MDYAMTZ004</t>
  </si>
  <si>
    <t>17.35</t>
  </si>
  <si>
    <t>22.35</t>
  </si>
  <si>
    <t xml:space="preserve">Existing on tower (Actual) - OML with 7.12 sqm- New Colocation RTT  </t>
  </si>
  <si>
    <t>1-01-10003-012</t>
  </si>
  <si>
    <t>MDYCMTN064</t>
  </si>
  <si>
    <t>14.7</t>
  </si>
  <si>
    <t>19.7</t>
  </si>
  <si>
    <t xml:space="preserve">Existing on tower (Actual) - OML with 7.52 sqm- New Colocation RTT  </t>
  </si>
  <si>
    <t>1-01-10003-002</t>
  </si>
  <si>
    <t>MDYCMTN040</t>
  </si>
  <si>
    <t>1-01-10003-013</t>
  </si>
  <si>
    <t xml:space="preserve">Existing on tower (Actual) - OML with 3.85 sqm- New Colocation RTT  </t>
  </si>
  <si>
    <t>Total EPA is 5.74+5 =10.74 &lt; 18 EPA Design - OK (Preliminaly Tower Assessment)</t>
  </si>
  <si>
    <t>RT Site: Need TSSR and BA for STR validated</t>
  </si>
  <si>
    <t>EXISTING TOWER(OML+TML+KSGM(OLD+NEW)): 104.8 %
EXISTING TOWER(OML+TML+KSGM(OLD)):    104.8 %</t>
  </si>
  <si>
    <t>EXISTING TOWER(OML+TML+KSGM(OLD+NEW)): 100.9 %
EXISTING TOWER(OML+TML+KSGM(OLD)):97.7%</t>
  </si>
  <si>
    <t>Strengthened Tower(OP1+OP3(OLD+NEW)): 95.1 %
Strengthened Tower(OP1+OP3(OLD)): 95.1 %</t>
  </si>
  <si>
    <t>Existing Tower: OML+TML+KSGM (OLD+NEW) = 56.8%</t>
  </si>
  <si>
    <t>Rental increase of 50k/month was granted which took effect last 29-Nov-18 (250k-300k)</t>
  </si>
  <si>
    <t>New PE system I&amp;C in planning part of 41 site list</t>
  </si>
  <si>
    <t>EXISTING TOWER(OML+TML+KSGM(OLD+NEW)): 97.96 %
EXISTING TOWER(OML+TML+KSGM(OLD)):93.4 %</t>
  </si>
  <si>
    <t>New PE system I&amp;C in planning  part of 41 site list</t>
  </si>
  <si>
    <t>EXISTING TOWER(OML+TML+KSGM(OLD+NEW)): 99.7 %
EXISTING TOWER(OML+TML+KSGM(OLD)): 95.8  %</t>
  </si>
  <si>
    <t>15-Feb-19</t>
  </si>
  <si>
    <t>PE capacity upgrade required confrim available stock</t>
  </si>
  <si>
    <t>Strengthened Tower: OML+MYTEL+KSGM (OLD+NEW) = 120.6% (Estimate modification weight = 140 kg)
Strengthened Tower: OML+MYTEL+KSGM (OLD) = 120.6%
Additional 2x0.9MWs (UE) and KSGM will change bigger antennas and add feedlines</t>
  </si>
  <si>
    <t>DG cap expan</t>
  </si>
  <si>
    <t xml:space="preserve">monitor BB 12 Hrs NS </t>
  </si>
  <si>
    <t>PE systems upgrade required</t>
  </si>
  <si>
    <t>As above site ID duplicated</t>
  </si>
  <si>
    <t>2019-01-31</t>
  </si>
  <si>
    <t>Confirm site ID</t>
  </si>
  <si>
    <t xml:space="preserve">PE systems upgrade required - BB DG </t>
  </si>
  <si>
    <t>2-3 weeks</t>
  </si>
  <si>
    <t xml:space="preserve">Add rect modules </t>
  </si>
  <si>
    <t xml:space="preserve">10 hrs NS monitor BB  </t>
  </si>
  <si>
    <t>Confirm site load and PE condition no data available</t>
  </si>
  <si>
    <t>Add rectifier modules confirm DG SOH - DG NS</t>
  </si>
  <si>
    <t xml:space="preserve">Confirm PE system status </t>
  </si>
  <si>
    <t>DG SOH TBA</t>
  </si>
  <si>
    <t>Add rectifier modules confirm DG SOH</t>
  </si>
  <si>
    <t>Monitor BB performance DG 24/7 NS</t>
  </si>
  <si>
    <t xml:space="preserve">ACAY_0122 with MPT Colo App rev. 3 Reject because Foundation is unstable - As discussed specific case for your evaluation// email by mark //Wednesday, 9 January 2019 </t>
  </si>
  <si>
    <t>Monitor DG cap increase maybe required DG SOH TBA</t>
  </si>
  <si>
    <t>Tower Strengthening</t>
  </si>
  <si>
    <t>Foundation Retrofit</t>
  </si>
  <si>
    <t>ASHN00027</t>
  </si>
  <si>
    <t>SHS01307</t>
  </si>
  <si>
    <t xml:space="preserve">Existing on tower (Actual) - OML with 10.64 sqm/ MPT-2.69Sqm/ Previous Colo Apps - 3.88 Sqm / TML - 3.51 Sqm  - Add 1 RRU </t>
  </si>
  <si>
    <t xml:space="preserve">Existing on tower (Actual) - OML with 7.45 sqm/ MPT-6.47 Sqm/ Add 1 RRU </t>
  </si>
  <si>
    <t>Column Labels</t>
  </si>
  <si>
    <t>Community Validation</t>
  </si>
  <si>
    <t>Structural Validation</t>
  </si>
  <si>
    <t>Power Validation</t>
  </si>
  <si>
    <t>Tower Space Validation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</si>
</sst>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8">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yy;@"/>
    <numFmt numFmtId="165" formatCode="[$-409]d\-mmm\-yyyy;@"/>
    <numFmt numFmtId="166" formatCode="0.000"/>
    <numFmt numFmtId="167" formatCode="&quot;?&quot;#,##0;\-&quot;?&quot;#,##0"/>
    <numFmt numFmtId="168" formatCode="#,##0.00\ &quot;kr&quot;;[Red]\-#,##0.00\ &quot;kr&quot;"/>
    <numFmt numFmtId="169" formatCode="_ * #,##0_ ;_ * \-#,##0_ ;_ * &quot;-&quot;_ ;_ @_ "/>
    <numFmt numFmtId="170" formatCode="#%_);\(#%\);\-_)"/>
    <numFmt numFmtId="171" formatCode="#,##0.00_ ;[Red]\-#,##0.00\ "/>
    <numFmt numFmtId="172" formatCode="0.0"/>
    <numFmt numFmtId="173" formatCode="\t0.00E+00"/>
    <numFmt numFmtId="174" formatCode="_(* #,##0_);_(* \(#,##0\);_(* &quot;-&quot;??_);_(@_)"/>
    <numFmt numFmtId="175" formatCode="&quot;000-&quot;0000\-000"/>
    <numFmt numFmtId="176" formatCode="&quot;259-5001-&quot;000"/>
    <numFmt numFmtId="177" formatCode="&quot;600-&quot;0000\-000"/>
    <numFmt numFmtId="178" formatCode="&quot;700-&quot;0000\-000"/>
    <numFmt numFmtId="179" formatCode="\ #####\ "/>
    <numFmt numFmtId="180" formatCode="m\-d\-yy"/>
    <numFmt numFmtId="181" formatCode="#,##0&quot; F&quot;_);[Red]\(#,##0&quot; F&quot;\)"/>
    <numFmt numFmtId="182" formatCode="#,##0.00&quot; F&quot;_);\(#,##0.00&quot; F&quot;\)"/>
    <numFmt numFmtId="183" formatCode="_ * #,##0_ ;_ * \(#,##0\)_ ;_ * &quot;-&quot;??_ ;_ @_ "/>
    <numFmt numFmtId="184" formatCode="\$\A\ #,##0;[Red]\-\$\A\ #,##0"/>
    <numFmt numFmtId="185" formatCode="_-&quot;Rs&quot;\ * #,##0.00_-;\-&quot;Rs&quot;\ * #,##0.00_-;_-&quot;Rs&quot;\ * &quot;-&quot;??_-;_-@_-"/>
    <numFmt numFmtId="186" formatCode="hh:mm:ss\ AM/PM_)"/>
    <numFmt numFmtId="187" formatCode="[$-409]d\-mmm\-yy;@"/>
    <numFmt numFmtId="188" formatCode="_(&quot;$&quot;* #,##0.0000000_);_(&quot;$&quot;* \(#,##0.0000000\);_(&quot;$&quot;* &quot;-&quot;??_);_(@_)"/>
    <numFmt numFmtId="189" formatCode="General_)"/>
    <numFmt numFmtId="190" formatCode="#,##0&quot; $&quot;;\-#,##0&quot; $&quot;"/>
    <numFmt numFmtId="191" formatCode="#,##0&quot; $&quot;;[Red]\-#,##0&quot; $&quot;"/>
    <numFmt numFmtId="192" formatCode="#,##0.00;\(#,##0.00\)"/>
    <numFmt numFmtId="193" formatCode="_-* #,##0.00_-;\-* #,##0.00_-;_-* &quot;-&quot;??_-;_-@_-"/>
    <numFmt numFmtId="194" formatCode="_ * #,##0.00_ ;_ * \-#,##0.00_ ;_ * &quot;-&quot;??_ ;_ @_ "/>
    <numFmt numFmtId="195" formatCode="_(* #,##0.00_);_(* \(#,##0.00\);_(* \-??_);_(@_)"/>
    <numFmt numFmtId="196" formatCode="_-* #,##0.00\ _k_r_-;\-* #,##0.00\ _k_r_-;_-* &quot;-&quot;??\ _k_r_-;_-@_-"/>
    <numFmt numFmtId="197" formatCode="#,##0_);\(#,##0\);\-_)"/>
    <numFmt numFmtId="198" formatCode="* _(#,##0.00_);[Red]* \(#,##0.00\);* _(&quot;-&quot;?_);@_)"/>
    <numFmt numFmtId="199" formatCode="&quot;$&quot;#,##0.0_);[Red]\(&quot;$&quot;#,##0.0\)"/>
    <numFmt numFmtId="200" formatCode="_-* #,##0.00\ &quot;kr&quot;_-;\-* #,##0.00\ &quot;kr&quot;_-;_-* &quot;-&quot;??\ &quot;kr&quot;_-;_-@_-"/>
    <numFmt numFmtId="201" formatCode="\$\ * _(#,##0_);[Red]\$\ * \(#,##0\);\$\ * _(&quot;-&quot;?_);@_)"/>
    <numFmt numFmtId="202" formatCode="\$\ * _(#,##0.00_);[Red]\$\ * \(#,##0.00\);\$\ * _(&quot;-&quot;?_);@_)"/>
    <numFmt numFmtId="203" formatCode="\€\ * _(#,##0_);[Red]\€\ * \(#,##0\);\€\ * _(&quot;-&quot;?_);@_)"/>
    <numFmt numFmtId="204" formatCode="\€\ * _(#,##0.00_);[Red]\€\ * \(#,##0.00\);\€\ * _(&quot;-&quot;?_);@_)"/>
    <numFmt numFmtId="205" formatCode="&quot;€&quot;\ * _(#,##0_);[Red]&quot;€&quot;\ * \(#,##0\);&quot;€&quot;\ * _(&quot;-&quot;?_);@_)"/>
    <numFmt numFmtId="206" formatCode="\£\ * _(#,##0_);[Red]\£\ * \(#,##0\);\£\ * _(&quot;-&quot;?_);@_)"/>
    <numFmt numFmtId="207" formatCode="\£\ * _(#,##0.00_);[Red]\£\ * \(#,##0.00\);\£\ * _(&quot;-&quot;?_);@_)"/>
    <numFmt numFmtId="208" formatCode="&quot;£&quot;\ * _(#,##0_);[Red]&quot;£&quot;\ * \(#,##0\);&quot;£&quot;\ * _(&quot;-&quot;?_);@_)"/>
    <numFmt numFmtId="209" formatCode="mmm\ yy_)"/>
    <numFmt numFmtId="210" formatCode="yyyy_)"/>
    <numFmt numFmtId="211" formatCode="&quot;PP&quot;#,##0.0;[Red]\(&quot;PP&quot;#,##0.0\)"/>
    <numFmt numFmtId="212" formatCode="&quot;PP&quot;#,##0;[Red]\(&quot;PP&quot;#,##0\)"/>
    <numFmt numFmtId="213" formatCode="mm/dd/yy"/>
    <numFmt numFmtId="214" formatCode="_(* #,##0_);_(* \(#,##0\);_(* &quot;&quot;\ \-\ &quot;&quot;_);_(@_)"/>
    <numFmt numFmtId="215" formatCode="_-* #,##0\ _D_M_-;\-* #,##0\ _D_M_-;_-* &quot;-&quot;\ _D_M_-;_-@_-"/>
    <numFmt numFmtId="216" formatCode="_-* #,##0.00\ _D_M_-;\-* #,##0.00\ _D_M_-;_-* &quot;-&quot;??\ _D_M_-;_-@_-"/>
    <numFmt numFmtId="217" formatCode="_-* #,##0\ _z_l_-;\-* #,##0\ _z_l_-;_-* &quot;-&quot;\ _z_l_-;_-@_-"/>
    <numFmt numFmtId="218" formatCode="_-* #,##0.00\ _z_l_-;\-* #,##0.00\ _z_l_-;_-* &quot;-&quot;??\ _z_l_-;_-@_-"/>
    <numFmt numFmtId="219" formatCode="_(\ #,##0.0_%_);_(\ \(#,##0.0_%\);_(\ &quot; - &quot;_%_);_(@_)"/>
    <numFmt numFmtId="220" formatCode="_(\ #,##0.0%_);_(\ \(#,##0.0%\);_(\ &quot; - &quot;\%_);_(@_)"/>
    <numFmt numFmtId="221" formatCode="#,##0_);\(#,##0\);&quot; - &quot;_);@_)"/>
    <numFmt numFmtId="222" formatCode="\ #,##0.0_);\(#,##0.0\);&quot; - &quot;_);@_)"/>
    <numFmt numFmtId="223" formatCode="\ #,##0.00_);\(#,##0.00\);&quot; - &quot;_);@_)"/>
    <numFmt numFmtId="224" formatCode="\ #,##0.000_);\(#,##0.000\);&quot; - &quot;_);@_)"/>
    <numFmt numFmtId="225" formatCode="#,##0;\(#,##0\);&quot;-&quot;"/>
    <numFmt numFmtId="226" formatCode="d\ mmmm\ yyyy"/>
    <numFmt numFmtId="227" formatCode="#,##0;[Red]\(#,##0\);0"/>
    <numFmt numFmtId="228" formatCode="#,##0.000_ ;\(#,##0.000\);"/>
    <numFmt numFmtId="229" formatCode="#,##0;\(#,##0\)"/>
    <numFmt numFmtId="230" formatCode="###0_);\(###0\)"/>
    <numFmt numFmtId="231" formatCode="0_);[Red]\(0\)"/>
    <numFmt numFmtId="232" formatCode="_(* #,##0.0000_);_(* \(#,##0.0000\);_(* &quot;-&quot;??_);_(@_)"/>
    <numFmt numFmtId="233" formatCode="\H\U\F\ 0.000"/>
    <numFmt numFmtId="234" formatCode="#,##0.0_);\(#,##0.0\)"/>
    <numFmt numFmtId="235" formatCode="#,##0_);[Red]\-#,##0_);0_);@_)"/>
    <numFmt numFmtId="236" formatCode="#,##0;[Red]\(#,##0\)"/>
    <numFmt numFmtId="237" formatCode="0.0%;[Red]\(0.0%\)"/>
    <numFmt numFmtId="238" formatCode="0.00000"/>
    <numFmt numFmtId="239" formatCode="#,##0.0_);[Red]\(#,##0.0\)"/>
    <numFmt numFmtId="240" formatCode="\k\$\ 0.000"/>
    <numFmt numFmtId="241" formatCode="\k\E\C\U\ 0.000"/>
    <numFmt numFmtId="242" formatCode="\k\H\U\F\ 0.000"/>
    <numFmt numFmtId="243" formatCode="\k\L\E\ 0.000"/>
    <numFmt numFmtId="244" formatCode="_-* #,##0_-;_-* #,##0\-;_-* &quot;-&quot;_-;_-@_-"/>
    <numFmt numFmtId="245" formatCode="_-* #,##0.00_-;_-* #,##0.00\-;_-* &quot;-&quot;??_-;_-@_-"/>
    <numFmt numFmtId="246" formatCode="0000"/>
    <numFmt numFmtId="247" formatCode="##,##0.0_);\(#,##0.0\)"/>
    <numFmt numFmtId="248" formatCode="0.0%;\(0.0%\)"/>
    <numFmt numFmtId="249" formatCode="#,###.0_);\(#,##0.0\)"/>
    <numFmt numFmtId="250" formatCode="#,##0\)"/>
    <numFmt numFmtId="251" formatCode="#,##0.000"/>
    <numFmt numFmtId="252" formatCode="0%_);[Red]\(0%\)"/>
    <numFmt numFmtId="253" formatCode="mmm\.\ d\ \'yy\ \a\t\ h:mm"/>
    <numFmt numFmtId="254" formatCode="#,##0.00000"/>
    <numFmt numFmtId="255" formatCode="000000"/>
    <numFmt numFmtId="256" formatCode="&quot;mm&quot;#,##0.0;[Red]\(&quot;mm&quot;#,##0.0\)"/>
    <numFmt numFmtId="257" formatCode="0.00_)"/>
    <numFmt numFmtId="258" formatCode="#,##0.000_);[Red]\(#,##0.000\)"/>
    <numFmt numFmtId="259" formatCode="[$-409]mmm\-yy;@"/>
    <numFmt numFmtId="260" formatCode="[$-409]mmm/yy;@"/>
    <numFmt numFmtId="261" formatCode="[$-409]d/mmm/yy;@"/>
    <numFmt numFmtId="262" formatCode="[$-409]mmmm/yy;@"/>
    <numFmt numFmtId="263" formatCode="###,###"/>
    <numFmt numFmtId="264" formatCode="0.0000"/>
    <numFmt numFmtId="265" formatCode="_(* #,##0.000000000_);_(* \(#,##0.000000000\);_(* &quot;-&quot;?????????_);_(@_)"/>
    <numFmt numFmtId="266" formatCode="0.0000000"/>
    <numFmt numFmtId="267" formatCode="&quot;kr&quot;\ #,##0;[Red]&quot;kr&quot;\ \-#,##0"/>
    <numFmt numFmtId="268" formatCode="#,##0_);\(#,##0\);\-\ "/>
    <numFmt numFmtId="269" formatCode="#,##0.0_)\ \ ;[Red]\(#,##0.0\)\ \ "/>
    <numFmt numFmtId="270" formatCode="#,##0.0_)\ ;[Red]\(#,##0.0\)\ "/>
    <numFmt numFmtId="271" formatCode="#,##0.00_);[Red]\-#,##0.00_);0.00_);@_)"/>
    <numFmt numFmtId="272" formatCode="0.0%&quot;NWI/Sls&quot;"/>
    <numFmt numFmtId="273" formatCode="0.0__"/>
    <numFmt numFmtId="274" formatCode="0.0000&quot;  &quot;"/>
    <numFmt numFmtId="275" formatCode="#,##0.00%;[Red]\-#,##0.00%;0.00%;@_)"/>
    <numFmt numFmtId="276" formatCode="0%;[Red]\-0%"/>
    <numFmt numFmtId="277" formatCode="0.0%&quot;Sales&quot;"/>
    <numFmt numFmtId="278" formatCode="&quot;$&quot;#,##0.0_);\(&quot;$&quot;#,##0.0\)"/>
    <numFmt numFmtId="279" formatCode="#,##0.00&quot; $&quot;;\-#,##0.00&quot; $&quot;"/>
    <numFmt numFmtId="280" formatCode="#,##0.00&quot; $&quot;;[Red]\-#,##0.00&quot; $&quot;"/>
    <numFmt numFmtId="281" formatCode="&quot;TFCF: &quot;#,##0_);[Red]&quot;No! &quot;\(#,##0\)"/>
    <numFmt numFmtId="282" formatCode="_-&quot;L.&quot;\ * #,##0_-;\-&quot;L.&quot;\ * #,##0_-;_-&quot;L.&quot;\ * &quot;-&quot;_-;_-@_-"/>
    <numFmt numFmtId="283" formatCode="_ &quot;kr&quot;\ * #,##0.00_ ;_ &quot;kr&quot;\ * \-#,##0.00_ ;_ &quot;kr&quot;\ * &quot;-&quot;??_ ;_ @_ "/>
    <numFmt numFmtId="284" formatCode="#,###,##0"/>
    <numFmt numFmtId="285" formatCode="#,###,###,##0"/>
    <numFmt numFmtId="286" formatCode="#,##0.000000"/>
    <numFmt numFmtId="287" formatCode="###\ ##0.00"/>
    <numFmt numFmtId="288" formatCode="[&gt;9.9]0;[&gt;0]0.0;\-;"/>
    <numFmt numFmtId="289" formatCode="_-* #,##0\ &quot;DM&quot;_-;\-* #,##0\ &quot;DM&quot;_-;_-* &quot;-&quot;\ &quot;DM&quot;_-;_-@_-"/>
    <numFmt numFmtId="290" formatCode="_-* #,##0.00\ &quot;DM&quot;_-;\-* #,##0.00\ &quot;DM&quot;_-;_-* &quot;-&quot;??\ &quot;DM&quot;_-;_-@_-"/>
    <numFmt numFmtId="291" formatCode="_(&quot;$&quot;* #,##0.00000_);_(&quot;$&quot;* \(#,##0.00000\);_(&quot;$&quot;* &quot;-&quot;??_);_(@_)"/>
    <numFmt numFmtId="292" formatCode="_ &quot;\&quot;* #,##0_ ;_ &quot;\&quot;* \-#,##0_ ;_ &quot;\&quot;* &quot;-&quot;_ ;_ @_ "/>
    <numFmt numFmtId="293" formatCode="_ &quot;\&quot;* #,##0.00_ ;_ &quot;\&quot;* \-#,##0.00_ ;_ &quot;\&quot;* &quot;-&quot;??_ ;_ @_ "/>
    <numFmt numFmtId="294" formatCode="&quot;￥&quot;#,##0;\-&quot;￥&quot;#,##0"/>
    <numFmt numFmtId="295" formatCode="0.000000"/>
    <numFmt numFmtId="296" formatCode="0.00000000"/>
    <numFmt numFmtId="297" formatCode="&quot;\&quot;#,##0.00;[Red]&quot;\&quot;\-#,##0.00"/>
    <numFmt numFmtId="298" formatCode="&quot;\&quot;#,##0;[Red]&quot;\&quot;\-#,##0"/>
    <numFmt numFmtId="299" formatCode="&quot;￥&quot;#,##0.00;[Red]&quot;￥&quot;\-#,##0.00"/>
    <numFmt numFmtId="300" formatCode="0.0#\ &quot;m&quot;"/>
    <numFmt numFmtId="301" formatCode="0.0#\ &quot;kW&quot;"/>
    <numFmt numFmtId="302" formatCode="0\ &quot;Days&quot;"/>
    <numFmt numFmtId="303" formatCode="[$-F400]h:mm:ss\ AM/PM"/>
    <numFmt numFmtId="304" formatCode="&quot;CAR&quot;0000"/>
  </numFmts>
  <fonts count="261">
    <font>
      <sz val="11"/>
      <color theme="1"/>
      <name val="Calibri"/>
      <family val="2"/>
      <scheme val="minor"/>
    </font>
    <font>
      <sz val="12"/>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theme="1"/>
      <name val="Calibri"/>
      <family val="2"/>
      <scheme val="minor"/>
    </font>
    <font>
      <sz val="9"/>
      <color theme="1"/>
      <name val="Calibri"/>
      <family val="2"/>
    </font>
    <font>
      <sz val="10"/>
      <color indexed="8"/>
      <name val="MS Sans Serif"/>
      <family val="2"/>
    </font>
    <font>
      <sz val="10"/>
      <name val="Helv"/>
      <charset val="204"/>
    </font>
    <font>
      <sz val="10"/>
      <name val="Arial"/>
      <family val="2"/>
    </font>
    <font>
      <sz val="12"/>
      <name val="Times New Roman"/>
      <family val="1"/>
    </font>
    <font>
      <sz val="10"/>
      <name val="Geneva"/>
      <family val="2"/>
    </font>
    <font>
      <sz val="10"/>
      <name val="NTHarmonica"/>
      <charset val="204"/>
    </font>
    <font>
      <b/>
      <sz val="12"/>
      <name val="Times New Roman CE"/>
      <family val="1"/>
      <charset val="238"/>
    </font>
    <font>
      <sz val="12"/>
      <name val="Palatino"/>
      <family val="1"/>
    </font>
    <font>
      <sz val="10"/>
      <name val="Courier"/>
      <family val="3"/>
    </font>
    <font>
      <sz val="9"/>
      <name val="Arial"/>
      <family val="2"/>
    </font>
    <font>
      <sz val="10"/>
      <color indexed="8"/>
      <name val="Arial"/>
      <family val="2"/>
    </font>
    <font>
      <sz val="10"/>
      <name val="Arial CE"/>
      <family val="2"/>
      <charset val="238"/>
    </font>
    <font>
      <sz val="12"/>
      <name val="DTMLetterRegular"/>
      <family val="2"/>
    </font>
    <font>
      <sz val="9"/>
      <name val="Helv"/>
    </font>
    <font>
      <sz val="11"/>
      <color indexed="20"/>
      <name val="??"/>
      <family val="3"/>
      <charset val="134"/>
    </font>
    <font>
      <b/>
      <sz val="15"/>
      <color indexed="56"/>
      <name val="??"/>
      <family val="3"/>
      <charset val="134"/>
    </font>
    <font>
      <sz val="12"/>
      <name val="??"/>
      <family val="3"/>
      <charset val="134"/>
    </font>
    <font>
      <sz val="11"/>
      <color indexed="8"/>
      <name val="Calibri"/>
      <family val="2"/>
      <charset val="134"/>
    </font>
    <font>
      <sz val="11"/>
      <color indexed="8"/>
      <name val="Trebuchet MS"/>
      <family val="2"/>
    </font>
    <font>
      <sz val="11"/>
      <color indexed="60"/>
      <name val="??"/>
      <family val="3"/>
      <charset val="134"/>
    </font>
    <font>
      <b/>
      <sz val="13"/>
      <color indexed="56"/>
      <name val="??"/>
      <family val="3"/>
      <charset val="134"/>
    </font>
    <font>
      <b/>
      <sz val="11"/>
      <color indexed="56"/>
      <name val="??"/>
      <family val="3"/>
      <charset val="134"/>
    </font>
    <font>
      <b/>
      <sz val="18"/>
      <color indexed="56"/>
      <name val="??"/>
      <family val="3"/>
      <charset val="134"/>
    </font>
    <font>
      <sz val="11"/>
      <name val="??"/>
      <family val="2"/>
      <charset val="129"/>
    </font>
    <font>
      <sz val="11"/>
      <color indexed="10"/>
      <name val="??"/>
      <family val="3"/>
      <charset val="134"/>
    </font>
    <font>
      <u/>
      <sz val="12"/>
      <color indexed="12"/>
      <name val="??"/>
      <family val="3"/>
      <charset val="134"/>
    </font>
    <font>
      <sz val="11"/>
      <color indexed="52"/>
      <name val="??"/>
      <family val="3"/>
      <charset val="134"/>
    </font>
    <font>
      <sz val="11"/>
      <color indexed="9"/>
      <name val="??"/>
      <family val="3"/>
      <charset val="134"/>
    </font>
    <font>
      <u/>
      <sz val="12"/>
      <color indexed="36"/>
      <name val="??"/>
      <family val="3"/>
      <charset val="134"/>
    </font>
    <font>
      <sz val="12"/>
      <name val="바탕체"/>
      <family val="3"/>
      <charset val="129"/>
    </font>
    <font>
      <sz val="10"/>
      <name val="Book Antiqua"/>
      <family val="1"/>
    </font>
    <font>
      <b/>
      <sz val="8"/>
      <name val="Arial"/>
      <family val="2"/>
    </font>
    <font>
      <sz val="8"/>
      <name val="Arial"/>
      <family val="2"/>
    </font>
    <font>
      <sz val="8"/>
      <name val="Tahoma"/>
      <family val="2"/>
    </font>
    <font>
      <sz val="10"/>
      <name val="MS Sans Serif"/>
      <family val="2"/>
    </font>
    <font>
      <sz val="8"/>
      <name val="Tms Rmn"/>
    </font>
    <font>
      <sz val="8"/>
      <name val="Courier"/>
      <family val="3"/>
    </font>
    <font>
      <sz val="9"/>
      <name val="Courier"/>
      <family val="3"/>
    </font>
    <font>
      <b/>
      <sz val="18"/>
      <color indexed="8"/>
      <name val="Arial"/>
      <family val="2"/>
    </font>
    <font>
      <sz val="12"/>
      <name val="宋体"/>
      <family val="3"/>
      <charset val="134"/>
    </font>
    <font>
      <sz val="12"/>
      <name val="¹ÙÅÁÃ¼"/>
      <family val="1"/>
      <charset val="129"/>
    </font>
    <font>
      <sz val="11"/>
      <color indexed="8"/>
      <name val="??"/>
      <family val="3"/>
      <charset val="134"/>
    </font>
    <font>
      <sz val="11"/>
      <color indexed="8"/>
      <name val="ＭＳ Ｐゴシック"/>
      <family val="3"/>
      <charset val="128"/>
    </font>
    <font>
      <sz val="11"/>
      <color indexed="8"/>
      <name val="宋体"/>
      <charset val="134"/>
    </font>
    <font>
      <sz val="12"/>
      <name val="Arial"/>
      <family val="2"/>
    </font>
    <font>
      <sz val="11"/>
      <color indexed="9"/>
      <name val="Calibri"/>
      <family val="2"/>
    </font>
    <font>
      <sz val="11"/>
      <color theme="0"/>
      <name val="Calibri"/>
      <family val="2"/>
      <scheme val="minor"/>
    </font>
    <font>
      <sz val="11"/>
      <color indexed="9"/>
      <name val="ＭＳ Ｐゴシック"/>
      <family val="3"/>
      <charset val="128"/>
    </font>
    <font>
      <sz val="11"/>
      <color indexed="9"/>
      <name val="宋体"/>
      <charset val="134"/>
    </font>
    <font>
      <sz val="6"/>
      <name val="Univers (WN)"/>
    </font>
    <font>
      <sz val="12"/>
      <name val="Helv"/>
      <family val="2"/>
    </font>
    <font>
      <b/>
      <sz val="10"/>
      <name val="Arial"/>
      <family val="2"/>
    </font>
    <font>
      <sz val="12"/>
      <name val="¹UAAA¼"/>
      <family val="1"/>
      <charset val="129"/>
    </font>
    <font>
      <b/>
      <sz val="10"/>
      <color indexed="10"/>
      <name val="KPN Arial"/>
      <family val="2"/>
    </font>
    <font>
      <sz val="8"/>
      <name val="Times New Roman"/>
      <family val="1"/>
    </font>
    <font>
      <sz val="11"/>
      <color indexed="10"/>
      <name val="Calibri"/>
      <family val="2"/>
    </font>
    <font>
      <sz val="11"/>
      <name val="Arial"/>
      <family val="2"/>
    </font>
    <font>
      <sz val="10"/>
      <color indexed="9"/>
      <name val="Gill Sans MT"/>
      <family val="2"/>
    </font>
    <font>
      <b/>
      <sz val="10"/>
      <color indexed="9"/>
      <name val="Gill Sans MT"/>
      <family val="2"/>
    </font>
    <font>
      <sz val="11"/>
      <color rgb="FF9C0006"/>
      <name val="Calibri"/>
      <family val="2"/>
      <scheme val="minor"/>
    </font>
    <font>
      <sz val="11"/>
      <color indexed="20"/>
      <name val="Calibri"/>
      <family val="2"/>
    </font>
    <font>
      <b/>
      <sz val="11"/>
      <color indexed="62"/>
      <name val="Arial"/>
      <family val="2"/>
    </font>
    <font>
      <sz val="12"/>
      <name val="Tms Rmn"/>
      <family val="1"/>
    </font>
    <font>
      <sz val="11"/>
      <color indexed="17"/>
      <name val="Calibri"/>
      <family val="2"/>
    </font>
    <font>
      <sz val="12"/>
      <name val="±¼¸²Ã¼"/>
      <family val="3"/>
      <charset val="129"/>
    </font>
    <font>
      <sz val="12"/>
      <name val="System"/>
      <family val="2"/>
    </font>
    <font>
      <sz val="10"/>
      <name val="Helvetica"/>
      <family val="2"/>
    </font>
    <font>
      <sz val="9"/>
      <name val="Times New Roman"/>
      <family val="1"/>
    </font>
    <font>
      <b/>
      <sz val="11"/>
      <color indexed="52"/>
      <name val="Calibri"/>
      <family val="2"/>
    </font>
    <font>
      <b/>
      <sz val="11"/>
      <color rgb="FFFA7D00"/>
      <name val="Calibri"/>
      <family val="2"/>
      <scheme val="minor"/>
    </font>
    <font>
      <b/>
      <sz val="10"/>
      <name val="Helv"/>
    </font>
    <font>
      <sz val="11"/>
      <color indexed="52"/>
      <name val="Calibri"/>
      <family val="2"/>
    </font>
    <font>
      <b/>
      <sz val="11"/>
      <color indexed="9"/>
      <name val="Calibri"/>
      <family val="2"/>
    </font>
    <font>
      <b/>
      <sz val="11"/>
      <color theme="0"/>
      <name val="Calibri"/>
      <family val="2"/>
      <scheme val="minor"/>
    </font>
    <font>
      <u/>
      <sz val="10"/>
      <color indexed="12"/>
      <name val="Arial"/>
      <family val="2"/>
    </font>
    <font>
      <b/>
      <sz val="11"/>
      <name val="Arial"/>
      <family val="2"/>
      <charset val="238"/>
    </font>
    <font>
      <sz val="10"/>
      <color indexed="8"/>
      <name val="Impact"/>
      <family val="2"/>
    </font>
    <font>
      <b/>
      <sz val="9"/>
      <name val="Arial"/>
      <family val="2"/>
    </font>
    <font>
      <sz val="10"/>
      <name val="Times New Roman"/>
      <family val="1"/>
    </font>
    <font>
      <sz val="8"/>
      <color theme="1"/>
      <name val="Tahoma"/>
      <family val="2"/>
    </font>
    <font>
      <sz val="10"/>
      <color theme="1"/>
      <name val="Verdana"/>
      <family val="2"/>
    </font>
    <font>
      <sz val="10"/>
      <name val="Verdana"/>
      <family val="2"/>
    </font>
    <font>
      <sz val="11"/>
      <color indexed="63"/>
      <name val="Verdana"/>
      <family val="2"/>
    </font>
    <font>
      <sz val="10"/>
      <color theme="1"/>
      <name val="Arial"/>
      <family val="2"/>
    </font>
    <font>
      <sz val="10"/>
      <name val="BERNHARD"/>
    </font>
    <font>
      <sz val="12"/>
      <name val="S Patkou"/>
      <charset val="2"/>
    </font>
    <font>
      <sz val="11"/>
      <color indexed="8"/>
      <name val="Tahoma"/>
      <family val="2"/>
    </font>
    <font>
      <b/>
      <sz val="10"/>
      <color indexed="9"/>
      <name val="CG Omega"/>
      <family val="2"/>
    </font>
    <font>
      <b/>
      <i/>
      <sz val="9"/>
      <color indexed="10"/>
      <name val="Arial"/>
      <family val="2"/>
    </font>
    <font>
      <sz val="10"/>
      <name val="MS Serif"/>
      <family val="1"/>
    </font>
    <font>
      <sz val="1"/>
      <color indexed="8"/>
      <name val="Courier"/>
      <family val="3"/>
    </font>
    <font>
      <u val="doubleAccounting"/>
      <sz val="10"/>
      <name val="Arial"/>
      <family val="2"/>
    </font>
    <font>
      <sz val="10"/>
      <name val="Arial PL"/>
      <family val="2"/>
    </font>
    <font>
      <b/>
      <sz val="18"/>
      <color indexed="24"/>
      <name val="Arial"/>
      <family val="2"/>
    </font>
    <font>
      <b/>
      <sz val="12"/>
      <color indexed="24"/>
      <name val="Arial"/>
      <family val="2"/>
    </font>
    <font>
      <b/>
      <sz val="1"/>
      <color indexed="8"/>
      <name val="Courier"/>
      <family val="3"/>
    </font>
    <font>
      <sz val="11"/>
      <color indexed="62"/>
      <name val="Calibri"/>
      <family val="2"/>
    </font>
    <font>
      <i/>
      <sz val="11"/>
      <color rgb="FF7F7F7F"/>
      <name val="Calibri"/>
      <family val="2"/>
      <scheme val="minor"/>
    </font>
    <font>
      <i/>
      <sz val="11"/>
      <color indexed="23"/>
      <name val="Calibri"/>
      <family val="2"/>
    </font>
    <font>
      <sz val="10"/>
      <name val="Arial Narrow"/>
      <family val="2"/>
    </font>
    <font>
      <i/>
      <sz val="10"/>
      <name val="Arial Narrow"/>
      <family val="2"/>
    </font>
    <font>
      <b/>
      <sz val="10"/>
      <color indexed="25"/>
      <name val="Arial Narrow"/>
      <family val="2"/>
    </font>
    <font>
      <i/>
      <sz val="10"/>
      <color indexed="25"/>
      <name val="Arial Narrow"/>
      <family val="2"/>
    </font>
    <font>
      <sz val="14"/>
      <name val="Arial"/>
      <family val="2"/>
    </font>
    <font>
      <b/>
      <sz val="12"/>
      <color indexed="55"/>
      <name val="Arial"/>
      <family val="2"/>
    </font>
    <font>
      <b/>
      <sz val="14"/>
      <name val="Arial"/>
      <family val="2"/>
    </font>
    <font>
      <sz val="10"/>
      <color indexed="25"/>
      <name val="Arial Narrow"/>
      <family val="2"/>
    </font>
    <font>
      <b/>
      <sz val="16"/>
      <name val="Arial"/>
      <family val="2"/>
    </font>
    <font>
      <b/>
      <sz val="14"/>
      <color indexed="25"/>
      <name val="Arial"/>
      <family val="2"/>
    </font>
    <font>
      <sz val="8"/>
      <color indexed="25"/>
      <name val="Arial Narrow"/>
      <family val="2"/>
    </font>
    <font>
      <b/>
      <sz val="10"/>
      <name val="Arial Narrow"/>
      <family val="2"/>
    </font>
    <font>
      <b/>
      <i/>
      <sz val="10"/>
      <name val="Arial Narrow"/>
      <family val="2"/>
    </font>
    <font>
      <i/>
      <sz val="1"/>
      <color indexed="8"/>
      <name val="Courier"/>
      <family val="3"/>
    </font>
    <font>
      <sz val="10"/>
      <color indexed="63"/>
      <name val="Arial"/>
      <family val="2"/>
    </font>
    <font>
      <sz val="10"/>
      <color indexed="24"/>
      <name val="Arial"/>
      <family val="2"/>
    </font>
    <font>
      <sz val="11"/>
      <color rgb="FF006100"/>
      <name val="Calibri"/>
      <family val="2"/>
      <scheme val="minor"/>
    </font>
    <font>
      <b/>
      <sz val="22"/>
      <name val="Arial"/>
      <family val="2"/>
    </font>
    <font>
      <b/>
      <sz val="18"/>
      <name val="Arial"/>
      <family val="2"/>
    </font>
    <font>
      <b/>
      <sz val="12"/>
      <name val="Arial"/>
      <family val="2"/>
    </font>
    <font>
      <b/>
      <sz val="12"/>
      <name val="Helv"/>
      <family val="2"/>
    </font>
    <font>
      <b/>
      <i/>
      <sz val="18"/>
      <color indexed="9"/>
      <name val="Times New Roman"/>
      <family val="1"/>
    </font>
    <font>
      <b/>
      <sz val="8"/>
      <color indexed="9"/>
      <name val="Arial"/>
      <family val="2"/>
    </font>
    <font>
      <b/>
      <sz val="14"/>
      <name val="Helv"/>
    </font>
    <font>
      <b/>
      <i/>
      <sz val="14"/>
      <name val="Arial"/>
      <family val="2"/>
    </font>
    <font>
      <b/>
      <sz val="13"/>
      <color indexed="56"/>
      <name val="Calibri"/>
      <family val="2"/>
    </font>
    <font>
      <b/>
      <sz val="11"/>
      <color indexed="56"/>
      <name val="Calibri"/>
      <family val="2"/>
    </font>
    <font>
      <b/>
      <sz val="18"/>
      <name val="Times New Roman"/>
      <family val="1"/>
    </font>
    <font>
      <b/>
      <sz val="14"/>
      <name val="Times New Roman"/>
      <family val="1"/>
    </font>
    <font>
      <b/>
      <sz val="12"/>
      <name val="Times New Roman"/>
      <family val="1"/>
    </font>
    <font>
      <b/>
      <u/>
      <sz val="10"/>
      <name val="Times New Roman"/>
      <family val="1"/>
    </font>
    <font>
      <sz val="8"/>
      <name val="Helv"/>
    </font>
    <font>
      <sz val="8"/>
      <name val="Geneva"/>
      <family val="2"/>
    </font>
    <font>
      <u/>
      <sz val="8.5"/>
      <color indexed="12"/>
      <name val="Arial"/>
      <family val="2"/>
    </font>
    <font>
      <sz val="11"/>
      <color rgb="FF3F3F76"/>
      <name val="Calibri"/>
      <family val="2"/>
      <scheme val="minor"/>
    </font>
    <font>
      <sz val="10"/>
      <color indexed="12"/>
      <name val="Times New Roman"/>
      <family val="1"/>
    </font>
    <font>
      <sz val="8"/>
      <color indexed="39"/>
      <name val="Arial"/>
      <family val="2"/>
    </font>
    <font>
      <sz val="11"/>
      <color indexed="24"/>
      <name val="Calibri"/>
      <family val="2"/>
    </font>
    <font>
      <i/>
      <sz val="10"/>
      <color indexed="8"/>
      <name val="Gill Sans MT"/>
      <family val="2"/>
    </font>
    <font>
      <b/>
      <i/>
      <sz val="10"/>
      <color indexed="8"/>
      <name val="Gill Sans MT"/>
      <family val="2"/>
    </font>
    <font>
      <sz val="16"/>
      <name val="Arial"/>
      <family val="2"/>
    </font>
    <font>
      <sz val="11"/>
      <color rgb="FFFA7D00"/>
      <name val="Calibri"/>
      <family val="2"/>
      <scheme val="minor"/>
    </font>
    <font>
      <sz val="12"/>
      <color indexed="9"/>
      <name val="Helv"/>
      <family val="2"/>
    </font>
    <font>
      <sz val="12"/>
      <name val="Courier New"/>
      <family val="3"/>
    </font>
    <font>
      <b/>
      <sz val="10"/>
      <name val="Times New Roman"/>
      <family val="1"/>
    </font>
    <font>
      <b/>
      <sz val="11"/>
      <name val="Helv"/>
    </font>
    <font>
      <sz val="10"/>
      <name val="Arabic Transparent"/>
      <charset val="178"/>
    </font>
    <font>
      <b/>
      <u/>
      <sz val="10"/>
      <name val="Arial"/>
      <family val="2"/>
    </font>
    <font>
      <i/>
      <sz val="9"/>
      <color indexed="16"/>
      <name val="Arial"/>
      <family val="2"/>
    </font>
    <font>
      <sz val="11"/>
      <color indexed="60"/>
      <name val="Calibri"/>
      <family val="2"/>
    </font>
    <font>
      <sz val="11"/>
      <color rgb="FF9C6500"/>
      <name val="Calibri"/>
      <family val="2"/>
      <scheme val="minor"/>
    </font>
    <font>
      <b/>
      <sz val="10"/>
      <color indexed="8"/>
      <name val="Arial"/>
      <family val="2"/>
    </font>
    <font>
      <sz val="7"/>
      <name val="Small Fonts"/>
      <family val="2"/>
    </font>
    <font>
      <b/>
      <i/>
      <sz val="16"/>
      <name val="Helv"/>
    </font>
    <font>
      <sz val="12"/>
      <name val="Verdana"/>
      <family val="2"/>
    </font>
    <font>
      <sz val="10"/>
      <color theme="1"/>
      <name val="Tahoma"/>
      <family val="2"/>
    </font>
    <font>
      <sz val="10"/>
      <name val="FrutigerNext LT Regular"/>
      <family val="2"/>
    </font>
    <font>
      <sz val="10"/>
      <color indexed="9"/>
      <name val="Arial"/>
      <family val="2"/>
    </font>
    <font>
      <sz val="11"/>
      <color rgb="FF000000"/>
      <name val="Calibri"/>
      <family val="2"/>
      <scheme val="minor"/>
    </font>
    <font>
      <sz val="8"/>
      <color theme="1"/>
      <name val="Calibri"/>
      <family val="2"/>
      <scheme val="minor"/>
    </font>
    <font>
      <i/>
      <sz val="9"/>
      <name val="Arial"/>
      <family val="2"/>
    </font>
    <font>
      <sz val="7"/>
      <color indexed="8"/>
      <name val="Arial"/>
      <family val="2"/>
    </font>
    <font>
      <b/>
      <sz val="6"/>
      <name val="Arial"/>
      <family val="2"/>
    </font>
    <font>
      <b/>
      <sz val="11"/>
      <color rgb="FF3F3F3F"/>
      <name val="Calibri"/>
      <family val="2"/>
      <scheme val="minor"/>
    </font>
    <font>
      <b/>
      <sz val="11"/>
      <color indexed="63"/>
      <name val="Calibri"/>
      <family val="2"/>
    </font>
    <font>
      <b/>
      <i/>
      <sz val="10"/>
      <color indexed="8"/>
      <name val="Arial"/>
      <family val="2"/>
    </font>
    <font>
      <b/>
      <sz val="11"/>
      <color indexed="21"/>
      <name val="Arial"/>
      <family val="2"/>
    </font>
    <font>
      <b/>
      <sz val="22"/>
      <color indexed="21"/>
      <name val="Times New Roman"/>
      <family val="1"/>
    </font>
    <font>
      <sz val="10"/>
      <color indexed="14"/>
      <name val="Geneva"/>
      <family val="2"/>
    </font>
    <font>
      <sz val="9"/>
      <color indexed="10"/>
      <name val="Geneva"/>
      <family val="2"/>
    </font>
    <font>
      <i/>
      <sz val="10"/>
      <color indexed="10"/>
      <name val="Futura Bk BT"/>
      <family val="2"/>
    </font>
    <font>
      <sz val="10"/>
      <name val="Futura Bk BT"/>
      <family val="2"/>
    </font>
    <font>
      <sz val="24"/>
      <name val="Courier New"/>
      <family val="3"/>
    </font>
    <font>
      <b/>
      <sz val="12"/>
      <color indexed="8"/>
      <name val="Arial"/>
      <family val="2"/>
    </font>
    <font>
      <sz val="12"/>
      <color indexed="8"/>
      <name val="Arial"/>
      <family val="2"/>
    </font>
    <font>
      <sz val="11"/>
      <color indexed="8"/>
      <name val="Arial"/>
      <family val="2"/>
    </font>
    <font>
      <u val="singleAccounting"/>
      <sz val="10"/>
      <name val="Arial"/>
      <family val="2"/>
    </font>
    <font>
      <b/>
      <sz val="9"/>
      <color indexed="9"/>
      <name val="Arial"/>
      <family val="2"/>
    </font>
    <font>
      <b/>
      <sz val="28"/>
      <name val="Arial"/>
      <family val="2"/>
    </font>
    <font>
      <sz val="10"/>
      <color indexed="38"/>
      <name val="Book Antiqua"/>
      <family val="1"/>
    </font>
    <font>
      <b/>
      <i/>
      <sz val="8"/>
      <name val="Helv"/>
      <family val="2"/>
    </font>
    <font>
      <b/>
      <sz val="8"/>
      <name val="Tms Rmn"/>
    </font>
    <font>
      <sz val="7"/>
      <name val="Arial"/>
      <family val="2"/>
    </font>
    <font>
      <b/>
      <sz val="11"/>
      <name val="Times New Roman"/>
      <family val="1"/>
    </font>
    <font>
      <b/>
      <sz val="18"/>
      <color indexed="56"/>
      <name val="Cambria"/>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5"/>
      <color indexed="56"/>
      <name val="Calibri"/>
      <family val="2"/>
    </font>
    <font>
      <sz val="10"/>
      <name val="Tms Rmn"/>
    </font>
    <font>
      <b/>
      <sz val="11"/>
      <color theme="1"/>
      <name val="Calibri"/>
      <family val="2"/>
      <scheme val="minor"/>
    </font>
    <font>
      <b/>
      <sz val="11"/>
      <color indexed="8"/>
      <name val="Calibri"/>
      <family val="2"/>
    </font>
    <font>
      <sz val="6"/>
      <name val="Arial"/>
      <family val="2"/>
    </font>
    <font>
      <sz val="8"/>
      <name val="Verdana"/>
      <family val="2"/>
    </font>
    <font>
      <sz val="8"/>
      <color indexed="10"/>
      <name val="Arial"/>
      <family val="2"/>
    </font>
    <font>
      <u/>
      <sz val="8"/>
      <name val="Arial"/>
      <family val="2"/>
    </font>
    <font>
      <sz val="10"/>
      <color indexed="19"/>
      <name val="Arial"/>
      <family val="2"/>
    </font>
    <font>
      <sz val="11"/>
      <name val="¾©"/>
      <family val="1"/>
    </font>
    <font>
      <sz val="11"/>
      <color rgb="FFFF0000"/>
      <name val="Calibri"/>
      <family val="2"/>
      <scheme val="minor"/>
    </font>
    <font>
      <sz val="8"/>
      <color indexed="9"/>
      <name val="Arial"/>
      <family val="2"/>
    </font>
    <font>
      <u/>
      <sz val="10"/>
      <color indexed="36"/>
      <name val="Arial"/>
      <family val="2"/>
    </font>
    <font>
      <sz val="12"/>
      <name val="Arial Cyr"/>
      <charset val="204"/>
    </font>
    <font>
      <sz val="12"/>
      <name val="นูลมรผ"/>
      <family val="1"/>
      <charset val="129"/>
    </font>
    <font>
      <sz val="14"/>
      <name val="AngsanaUPC"/>
      <family val="1"/>
    </font>
    <font>
      <u/>
      <sz val="11"/>
      <color indexed="36"/>
      <name val="돋움"/>
      <family val="2"/>
      <charset val="129"/>
    </font>
    <font>
      <sz val="12"/>
      <name val="뼻뮝"/>
      <family val="1"/>
      <charset val="129"/>
    </font>
    <font>
      <sz val="14"/>
      <name val="뼻뮝"/>
      <family val="3"/>
      <charset val="129"/>
    </font>
    <font>
      <sz val="11"/>
      <name val="굴림체"/>
      <family val="3"/>
      <charset val="129"/>
    </font>
    <font>
      <sz val="10"/>
      <name val="굴림체"/>
      <family val="3"/>
      <charset val="129"/>
    </font>
    <font>
      <sz val="11"/>
      <name val="돋움"/>
      <family val="2"/>
      <charset val="129"/>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name val="明朝"/>
      <family val="1"/>
      <charset val="128"/>
    </font>
    <font>
      <sz val="11"/>
      <color indexed="10"/>
      <name val="ＭＳ Ｐゴシック"/>
      <family val="3"/>
      <charset val="128"/>
    </font>
    <font>
      <sz val="11"/>
      <color indexed="62"/>
      <name val="ＭＳ Ｐゴシック"/>
      <family val="3"/>
      <charset val="128"/>
    </font>
    <font>
      <b/>
      <sz val="11"/>
      <color indexed="63"/>
      <name val="ＭＳ Ｐゴシック"/>
      <family val="3"/>
      <charset val="128"/>
    </font>
    <font>
      <u/>
      <sz val="12"/>
      <color indexed="36"/>
      <name val="宋体"/>
      <charset val="134"/>
    </font>
    <font>
      <sz val="11"/>
      <color indexed="17"/>
      <name val="宋体"/>
      <charset val="134"/>
    </font>
    <font>
      <sz val="11"/>
      <color indexed="20"/>
      <name val="宋体"/>
      <charset val="134"/>
    </font>
    <font>
      <sz val="11"/>
      <color theme="1"/>
      <name val="Trebuchet MS"/>
      <family val="2"/>
    </font>
    <font>
      <sz val="11"/>
      <color indexed="20"/>
      <name val="ＭＳ Ｐゴシック"/>
      <family val="3"/>
      <charset val="128"/>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name val="ＭＳ 明朝"/>
      <family val="3"/>
      <charset val="128"/>
    </font>
    <font>
      <sz val="11"/>
      <name val="ＭＳ Ｐゴシック"/>
      <family val="3"/>
      <charset val="128"/>
    </font>
    <font>
      <b/>
      <sz val="11"/>
      <color indexed="9"/>
      <name val="宋体"/>
      <charset val="134"/>
    </font>
    <font>
      <b/>
      <sz val="11"/>
      <color indexed="8"/>
      <name val="宋体"/>
      <charset val="134"/>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i/>
      <sz val="11"/>
      <color indexed="23"/>
      <name val="宋体"/>
      <charset val="134"/>
    </font>
    <font>
      <b/>
      <sz val="11"/>
      <color indexed="10"/>
      <name val="ＭＳ Ｐゴシック"/>
      <family val="3"/>
      <charset val="128"/>
    </font>
    <font>
      <i/>
      <sz val="11"/>
      <color indexed="23"/>
      <name val="ＭＳ Ｐゴシック"/>
      <family val="3"/>
      <charset val="128"/>
    </font>
    <font>
      <sz val="11"/>
      <color indexed="10"/>
      <name val="宋体"/>
      <charset val="134"/>
    </font>
    <font>
      <b/>
      <sz val="11"/>
      <color indexed="52"/>
      <name val="宋体"/>
      <charset val="134"/>
    </font>
    <font>
      <u/>
      <sz val="12"/>
      <color indexed="12"/>
      <name val="宋体"/>
      <charset val="134"/>
    </font>
    <font>
      <sz val="11"/>
      <color indexed="62"/>
      <name val="宋体"/>
      <charset val="134"/>
    </font>
    <font>
      <b/>
      <sz val="11"/>
      <color indexed="63"/>
      <name val="宋体"/>
      <charset val="134"/>
    </font>
    <font>
      <sz val="11"/>
      <color indexed="60"/>
      <name val="宋体"/>
      <charset val="134"/>
    </font>
    <font>
      <sz val="11"/>
      <name val="蹈框"/>
      <charset val="134"/>
    </font>
    <font>
      <sz val="11"/>
      <color indexed="52"/>
      <name val="宋体"/>
      <charset val="134"/>
    </font>
    <font>
      <b/>
      <sz val="11"/>
      <color indexed="8"/>
      <name val="ＭＳ Ｐゴシック"/>
      <family val="3"/>
      <charset val="128"/>
    </font>
    <font>
      <sz val="11"/>
      <name val="Calibri"/>
      <family val="2"/>
      <scheme val="minor"/>
    </font>
    <font>
      <b/>
      <sz val="11"/>
      <name val="Calibri"/>
      <family val="2"/>
      <scheme val="minor"/>
    </font>
    <font>
      <b/>
      <sz val="16"/>
      <color theme="1"/>
      <name val="Calibri"/>
      <family val="2"/>
      <scheme val="minor"/>
    </font>
    <font>
      <sz val="10"/>
      <name val="Calibri"/>
      <family val="2"/>
      <scheme val="minor"/>
    </font>
    <font>
      <b/>
      <sz val="14"/>
      <color theme="1"/>
      <name val="Calibri"/>
      <family val="2"/>
      <scheme val="minor"/>
    </font>
    <font>
      <u/>
      <sz val="11"/>
      <color theme="10"/>
      <name val="Calibri"/>
      <family val="2"/>
      <scheme val="minor"/>
    </font>
    <font>
      <b/>
      <sz val="18"/>
      <color theme="1"/>
      <name val="Calibri"/>
      <family val="2"/>
      <scheme val="minor"/>
    </font>
  </fonts>
  <fills count="11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36"/>
      </patternFill>
    </fill>
    <fill>
      <patternFill patternType="solid">
        <fgColor indexed="49"/>
      </patternFill>
    </fill>
    <fill>
      <patternFill patternType="solid">
        <fgColor indexed="53"/>
      </patternFill>
    </fill>
    <fill>
      <patternFill patternType="solid">
        <fgColor indexed="42"/>
        <bgColor indexed="64"/>
      </patternFill>
    </fill>
    <fill>
      <patternFill patternType="solid">
        <fgColor indexed="25"/>
      </patternFill>
    </fill>
    <fill>
      <patternFill patternType="solid">
        <fgColor indexed="29"/>
      </patternFill>
    </fill>
    <fill>
      <patternFill patternType="solid">
        <fgColor indexed="47"/>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6"/>
      </patternFill>
    </fill>
    <fill>
      <patternFill patternType="solid">
        <fgColor indexed="11"/>
      </patternFill>
    </fill>
    <fill>
      <patternFill patternType="solid">
        <fgColor indexed="51"/>
      </patternFill>
    </fill>
    <fill>
      <patternFill patternType="solid">
        <fgColor indexed="30"/>
      </patternFill>
    </fill>
    <fill>
      <patternFill patternType="solid">
        <fgColor indexed="52"/>
      </patternFill>
    </fill>
    <fill>
      <patternFill patternType="solid">
        <fgColor indexed="44"/>
        <bgColor indexed="64"/>
      </patternFill>
    </fill>
    <fill>
      <patternFill patternType="solid">
        <fgColor indexed="38"/>
      </patternFill>
    </fill>
    <fill>
      <patternFill patternType="solid">
        <fgColor indexed="8"/>
        <bgColor indexed="64"/>
      </patternFill>
    </fill>
    <fill>
      <patternFill patternType="solid">
        <fgColor indexed="43"/>
        <bgColor indexed="64"/>
      </patternFill>
    </fill>
    <fill>
      <patternFill patternType="solid">
        <fgColor indexed="9"/>
      </patternFill>
    </fill>
    <fill>
      <patternFill patternType="solid">
        <fgColor indexed="55"/>
      </patternFill>
    </fill>
    <fill>
      <patternFill patternType="solid">
        <fgColor indexed="26"/>
        <bgColor indexed="64"/>
      </patternFill>
    </fill>
    <fill>
      <patternFill patternType="solid">
        <fgColor indexed="41"/>
        <bgColor indexed="64"/>
      </patternFill>
    </fill>
    <fill>
      <patternFill patternType="solid">
        <fgColor indexed="40"/>
        <bgColor indexed="64"/>
      </patternFill>
    </fill>
    <fill>
      <patternFill patternType="solid">
        <fgColor indexed="23"/>
        <bgColor indexed="64"/>
      </patternFill>
    </fill>
    <fill>
      <patternFill patternType="solid">
        <fgColor indexed="13"/>
        <bgColor indexed="64"/>
      </patternFill>
    </fill>
    <fill>
      <patternFill patternType="solid">
        <fgColor indexed="51"/>
        <bgColor indexed="13"/>
      </patternFill>
    </fill>
    <fill>
      <patternFill patternType="solid">
        <fgColor indexed="9"/>
        <bgColor indexed="64"/>
      </patternFill>
    </fill>
    <fill>
      <patternFill patternType="solid">
        <fgColor indexed="11"/>
        <bgColor indexed="64"/>
      </patternFill>
    </fill>
    <fill>
      <patternFill patternType="gray0625">
        <fgColor indexed="11"/>
        <bgColor indexed="9"/>
      </patternFill>
    </fill>
    <fill>
      <patternFill patternType="solid">
        <fgColor indexed="22"/>
        <bgColor indexed="64"/>
      </patternFill>
    </fill>
    <fill>
      <patternFill patternType="gray125">
        <fgColor indexed="8"/>
      </patternFill>
    </fill>
    <fill>
      <patternFill patternType="solid">
        <fgColor indexed="15"/>
      </patternFill>
    </fill>
    <fill>
      <patternFill patternType="solid">
        <fgColor indexed="13"/>
        <bgColor indexed="15"/>
      </patternFill>
    </fill>
    <fill>
      <patternFill patternType="solid">
        <fgColor indexed="46"/>
        <bgColor indexed="64"/>
      </patternFill>
    </fill>
    <fill>
      <patternFill patternType="solid">
        <fgColor indexed="12"/>
      </patternFill>
    </fill>
    <fill>
      <patternFill patternType="gray0625">
        <fgColor indexed="22"/>
      </patternFill>
    </fill>
    <fill>
      <patternFill patternType="solid">
        <fgColor indexed="9"/>
        <bgColor indexed="24"/>
      </patternFill>
    </fill>
    <fill>
      <patternFill patternType="darkGray">
        <fgColor indexed="9"/>
        <bgColor indexed="13"/>
      </patternFill>
    </fill>
    <fill>
      <patternFill patternType="solid">
        <fgColor indexed="40"/>
      </patternFill>
    </fill>
    <fill>
      <patternFill patternType="solid">
        <fgColor indexed="48"/>
        <bgColor indexed="64"/>
      </patternFill>
    </fill>
    <fill>
      <patternFill patternType="solid">
        <fgColor indexed="48"/>
        <bgColor indexed="30"/>
      </patternFill>
    </fill>
    <fill>
      <patternFill patternType="solid">
        <fgColor indexed="9"/>
        <bgColor indexed="9"/>
      </patternFill>
    </fill>
    <fill>
      <patternFill patternType="solid">
        <fgColor indexed="23"/>
        <bgColor indexed="55"/>
      </patternFill>
    </fill>
    <fill>
      <patternFill patternType="solid">
        <fgColor indexed="56"/>
      </patternFill>
    </fill>
    <fill>
      <patternFill patternType="solid">
        <fgColor indexed="54"/>
      </patternFill>
    </fill>
    <fill>
      <patternFill patternType="solid">
        <fgColor theme="7"/>
        <bgColor indexed="64"/>
      </patternFill>
    </fill>
    <fill>
      <patternFill patternType="solid">
        <fgColor theme="0"/>
        <bgColor indexed="64"/>
      </patternFill>
    </fill>
    <fill>
      <patternFill patternType="solid">
        <fgColor theme="2"/>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39994506668294322"/>
        <bgColor indexed="64"/>
      </patternFill>
    </fill>
    <fill>
      <patternFill patternType="solid">
        <fgColor theme="8" tint="0.39994506668294322"/>
        <bgColor indexed="64"/>
      </patternFill>
    </fill>
    <fill>
      <patternFill patternType="solid">
        <fgColor theme="7" tint="0.39994506668294322"/>
        <bgColor indexed="64"/>
      </patternFill>
    </fill>
    <fill>
      <patternFill patternType="solid">
        <fgColor theme="9" tint="0.39994506668294322"/>
        <bgColor indexed="64"/>
      </patternFill>
    </fill>
    <fill>
      <patternFill patternType="solid">
        <fgColor theme="5" tint="0.39994506668294322"/>
        <bgColor indexed="64"/>
      </patternFill>
    </fill>
    <fill>
      <patternFill patternType="solid">
        <fgColor theme="7" tint="0.599963377788628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rgb="FF00B0F0"/>
        <bgColor indexed="64"/>
      </patternFill>
    </fill>
    <fill>
      <patternFill patternType="solid">
        <fgColor rgb="FF00B050"/>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9" tint="0.59996337778862885"/>
        <bgColor indexed="64"/>
      </patternFill>
    </fill>
  </fills>
  <borders count="8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style="thin">
        <color auto="1"/>
      </right>
      <top/>
      <bottom/>
      <diagonal/>
    </border>
    <border>
      <left/>
      <right/>
      <top/>
      <bottom style="medium">
        <color auto="1"/>
      </bottom>
      <diagonal/>
    </border>
    <border>
      <left/>
      <right/>
      <top/>
      <bottom style="thin">
        <color auto="1"/>
      </bottom>
      <diagonal/>
    </border>
    <border>
      <left style="double">
        <color auto="1"/>
      </left>
      <right/>
      <top/>
      <bottom style="hair">
        <color auto="1"/>
      </bottom>
      <diagonal/>
    </border>
    <border>
      <left style="medium">
        <color auto="1"/>
      </left>
      <right style="thin">
        <color auto="1"/>
      </right>
      <top style="medium">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auto="1"/>
      </left>
      <right style="thin">
        <color auto="1"/>
      </right>
      <top style="thin">
        <color auto="1"/>
      </top>
      <bottom style="medium">
        <color auto="1"/>
      </bottom>
      <diagonal/>
    </border>
    <border>
      <left style="thin">
        <color indexed="22"/>
      </left>
      <right style="thin">
        <color indexed="22"/>
      </right>
      <top style="thin">
        <color indexed="22"/>
      </top>
      <bottom style="thin">
        <color indexed="22"/>
      </bottom>
      <diagonal/>
    </border>
    <border>
      <left/>
      <right style="thin">
        <color indexed="8"/>
      </right>
      <top/>
      <bottom/>
      <diagonal/>
    </border>
    <border>
      <left style="thick">
        <color indexed="9"/>
      </left>
      <right style="thick">
        <color indexed="9"/>
      </right>
      <top style="thick">
        <color indexed="9"/>
      </top>
      <bottom style="thick">
        <color indexed="9"/>
      </bottom>
      <diagonal/>
    </border>
    <border>
      <left/>
      <right style="thin">
        <color indexed="8"/>
      </right>
      <top/>
      <bottom style="thin">
        <color indexed="9"/>
      </bottom>
      <diagonal/>
    </border>
    <border>
      <left/>
      <right/>
      <top style="double">
        <color auto="1"/>
      </top>
      <bottom style="double">
        <color auto="1"/>
      </bottom>
      <diagonal/>
    </border>
    <border>
      <left style="thin">
        <color auto="1"/>
      </left>
      <right style="double">
        <color auto="1"/>
      </right>
      <top/>
      <bottom/>
      <diagonal/>
    </border>
    <border>
      <left/>
      <right/>
      <top style="thin">
        <color indexed="25"/>
      </top>
      <bottom style="thin">
        <color indexed="25"/>
      </bottom>
      <diagonal/>
    </border>
    <border>
      <left style="thin">
        <color auto="1"/>
      </left>
      <right style="dotted">
        <color auto="1"/>
      </right>
      <top/>
      <bottom/>
      <diagonal/>
    </border>
    <border>
      <left style="thin">
        <color indexed="8"/>
      </left>
      <right style="thin">
        <color indexed="8"/>
      </right>
      <top/>
      <bottom/>
      <diagonal/>
    </border>
    <border>
      <left/>
      <right/>
      <top style="thick">
        <color indexed="9"/>
      </top>
      <bottom style="thick">
        <color indexed="9"/>
      </bottom>
      <diagonal/>
    </border>
    <border>
      <left style="thick">
        <color indexed="9"/>
      </left>
      <right/>
      <top style="thick">
        <color indexed="9"/>
      </top>
      <bottom style="thick">
        <color indexed="9"/>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top/>
      <bottom style="dotted">
        <color auto="1"/>
      </bottom>
      <diagonal/>
    </border>
    <border>
      <left style="hair">
        <color auto="1"/>
      </left>
      <right style="hair">
        <color auto="1"/>
      </right>
      <top style="hair">
        <color auto="1"/>
      </top>
      <bottom style="hair">
        <color auto="1"/>
      </bottom>
      <diagonal/>
    </border>
    <border>
      <left/>
      <right/>
      <top style="thin">
        <color auto="1"/>
      </top>
      <bottom style="thin">
        <color auto="1"/>
      </bottom>
      <diagonal/>
    </border>
    <border>
      <left style="thin">
        <color auto="1"/>
      </left>
      <right/>
      <top style="thin">
        <color auto="1"/>
      </top>
      <bottom/>
      <diagonal/>
    </border>
    <border>
      <left style="dotted">
        <color indexed="57"/>
      </left>
      <right style="dotted">
        <color indexed="57"/>
      </right>
      <top style="dotted">
        <color indexed="57"/>
      </top>
      <bottom style="dotted">
        <color indexed="57"/>
      </bottom>
      <diagonal/>
    </border>
    <border>
      <left style="thin">
        <color indexed="57"/>
      </left>
      <right style="thin">
        <color indexed="57"/>
      </right>
      <top style="thin">
        <color indexed="57"/>
      </top>
      <bottom style="thin">
        <color indexed="57"/>
      </bottom>
      <diagonal/>
    </border>
    <border>
      <left style="thin">
        <color indexed="12"/>
      </left>
      <right style="thin">
        <color indexed="12"/>
      </right>
      <top style="thin">
        <color indexed="12"/>
      </top>
      <bottom style="thin">
        <color indexed="12"/>
      </bottom>
      <diagonal/>
    </border>
    <border>
      <left style="thin">
        <color auto="1"/>
      </left>
      <right style="thin">
        <color auto="1"/>
      </right>
      <top/>
      <bottom/>
      <diagonal/>
    </border>
    <border>
      <left/>
      <right style="thin">
        <color auto="1"/>
      </right>
      <top style="medium">
        <color auto="1"/>
      </top>
      <bottom/>
      <diagonal/>
    </border>
    <border>
      <left style="thin">
        <color auto="1"/>
      </left>
      <right/>
      <top/>
      <bottom/>
      <diagonal/>
    </border>
    <border>
      <left style="thin">
        <color indexed="21"/>
      </left>
      <right/>
      <top style="thin">
        <color auto="1"/>
      </top>
      <bottom style="thin">
        <color auto="1"/>
      </bottom>
      <diagonal/>
    </border>
    <border>
      <left style="thin">
        <color indexed="63"/>
      </left>
      <right style="thin">
        <color indexed="63"/>
      </right>
      <top style="thin">
        <color indexed="63"/>
      </top>
      <bottom style="thin">
        <color indexed="63"/>
      </bottom>
      <diagonal/>
    </border>
    <border>
      <left style="double">
        <color indexed="10"/>
      </left>
      <right style="double">
        <color indexed="10"/>
      </right>
      <top style="double">
        <color indexed="10"/>
      </top>
      <bottom style="double">
        <color indexed="10"/>
      </bottom>
      <diagonal/>
    </border>
    <border>
      <left style="thin">
        <color indexed="48"/>
      </left>
      <right style="thin">
        <color indexed="48"/>
      </right>
      <top style="thin">
        <color indexed="48"/>
      </top>
      <bottom style="thin">
        <color indexed="48"/>
      </bottom>
      <diagonal/>
    </border>
    <border>
      <left/>
      <right/>
      <top style="medium">
        <color indexed="41"/>
      </top>
      <bottom style="medium">
        <color indexed="41"/>
      </bottom>
      <diagonal/>
    </border>
    <border>
      <left/>
      <right/>
      <top style="medium">
        <color indexed="41"/>
      </top>
      <bottom/>
      <diagonal/>
    </border>
    <border>
      <left/>
      <right/>
      <top/>
      <bottom style="thick">
        <color indexed="49"/>
      </bottom>
      <diagonal/>
    </border>
    <border>
      <left/>
      <right/>
      <top/>
      <bottom style="thick">
        <color indexed="25"/>
      </bottom>
      <diagonal/>
    </border>
    <border>
      <left/>
      <right/>
      <top/>
      <bottom style="medium">
        <color indexed="25"/>
      </bottom>
      <diagonal/>
    </border>
    <border>
      <left style="thin">
        <color auto="1"/>
      </left>
      <right style="thin">
        <color auto="1"/>
      </right>
      <top style="medium">
        <color auto="1"/>
      </top>
      <bottom style="medium">
        <color auto="1"/>
      </bottom>
      <diagonal/>
    </border>
    <border>
      <left/>
      <right/>
      <top style="thin">
        <color indexed="62"/>
      </top>
      <bottom style="double">
        <color indexed="62"/>
      </bottom>
      <diagonal/>
    </border>
    <border>
      <left/>
      <right/>
      <top style="thick">
        <color auto="1"/>
      </top>
      <bottom style="thick">
        <color auto="1"/>
      </bottom>
      <diagonal/>
    </border>
    <border>
      <left/>
      <right/>
      <top/>
      <bottom style="thick">
        <color auto="1"/>
      </bottom>
      <diagonal/>
    </border>
    <border>
      <left style="thin">
        <color indexed="8"/>
      </left>
      <right/>
      <top/>
      <bottom style="thin">
        <color indexed="8"/>
      </bottom>
      <diagonal/>
    </border>
    <border>
      <left/>
      <right/>
      <top/>
      <bottom style="double">
        <color indexed="10"/>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auto="1"/>
      </left>
      <right style="thin">
        <color auto="1"/>
      </right>
      <top style="thin">
        <color auto="1"/>
      </top>
      <bottom style="thin">
        <color auto="1"/>
      </bottom>
      <diagonal/>
    </border>
    <border>
      <left/>
      <right/>
      <top style="thin">
        <color auto="1"/>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auto="1"/>
      </top>
      <bottom style="thin">
        <color indexed="64"/>
      </bottom>
      <diagonal/>
    </border>
    <border>
      <left/>
      <right style="thin">
        <color auto="1"/>
      </right>
      <top/>
      <bottom style="thin">
        <color auto="1"/>
      </bottom>
      <diagonal/>
    </border>
    <border>
      <left/>
      <right style="thin">
        <color indexed="64"/>
      </right>
      <top style="thin">
        <color indexed="64"/>
      </top>
      <bottom/>
      <diagonal/>
    </border>
    <border>
      <left style="thin">
        <color indexed="64"/>
      </left>
      <right style="thin">
        <color indexed="64"/>
      </right>
      <top style="thin">
        <color auto="1"/>
      </top>
      <bottom/>
      <diagonal/>
    </border>
    <border>
      <left/>
      <right style="thin">
        <color indexed="64"/>
      </right>
      <top style="thin">
        <color indexed="64"/>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bottom style="thin">
        <color indexed="64"/>
      </bottom>
      <diagonal/>
    </border>
    <border>
      <left style="thin">
        <color indexed="64"/>
      </left>
      <right/>
      <top style="thin">
        <color auto="1"/>
      </top>
      <bottom style="thin">
        <color indexed="64"/>
      </bottom>
      <diagonal/>
    </border>
    <border>
      <left style="thin">
        <color indexed="64"/>
      </left>
      <right/>
      <top/>
      <bottom style="thin">
        <color indexed="64"/>
      </bottom>
      <diagonal/>
    </border>
  </borders>
  <cellStyleXfs count="33835">
    <xf numFmtId="164" fontId="0" fillId="0" borderId="0"/>
    <xf numFmtId="165" fontId="7" fillId="0" borderId="0"/>
    <xf numFmtId="165" fontId="6" fillId="0" borderId="0"/>
    <xf numFmtId="164" fontId="8" fillId="0" borderId="0"/>
    <xf numFmtId="164" fontId="9" fillId="0" borderId="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1" fillId="0" borderId="0"/>
    <xf numFmtId="164" fontId="11" fillId="0" borderId="0"/>
    <xf numFmtId="164" fontId="9" fillId="0" borderId="0"/>
    <xf numFmtId="164" fontId="11"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1" fillId="0" borderId="0"/>
    <xf numFmtId="164" fontId="14"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4" fillId="0" borderId="0"/>
    <xf numFmtId="164" fontId="11" fillId="0" borderId="0"/>
    <xf numFmtId="164" fontId="11" fillId="0" borderId="0"/>
    <xf numFmtId="164" fontId="11" fillId="0" borderId="0"/>
    <xf numFmtId="164" fontId="11" fillId="0" borderId="0"/>
    <xf numFmtId="164" fontId="9" fillId="0" borderId="0"/>
    <xf numFmtId="164" fontId="8"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9"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3" fontId="17" fillId="0" borderId="0"/>
    <xf numFmtId="164" fontId="12" fillId="0" borderId="0"/>
    <xf numFmtId="164" fontId="10" fillId="0" borderId="0" applyNumberFormat="0" applyFill="0" applyBorder="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8" fillId="0" borderId="0">
      <alignment vertical="top"/>
    </xf>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19" fillId="0" borderId="0"/>
    <xf numFmtId="164" fontId="19" fillId="0" borderId="0"/>
    <xf numFmtId="164" fontId="19" fillId="0" borderId="0"/>
    <xf numFmtId="164" fontId="1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2" fillId="0" borderId="0"/>
    <xf numFmtId="164" fontId="9" fillId="0" borderId="0"/>
    <xf numFmtId="164" fontId="9" fillId="0" borderId="0"/>
    <xf numFmtId="164" fontId="10" fillId="0" borderId="0" applyBorder="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applyBorder="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5" fillId="0" borderId="0" applyNumberFormat="0" applyAlignment="0" applyProtection="0"/>
    <xf numFmtId="164" fontId="15" fillId="0" borderId="0" applyNumberFormat="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1" fillId="0" borderId="0"/>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12"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8" fillId="0" borderId="0"/>
    <xf numFmtId="164" fontId="8"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0" fillId="0" borderId="0"/>
    <xf numFmtId="164" fontId="10" fillId="0" borderId="0"/>
    <xf numFmtId="164" fontId="11"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20" fillId="0" borderId="0"/>
    <xf numFmtId="164" fontId="20" fillId="0" borderId="0"/>
    <xf numFmtId="164" fontId="20" fillId="0" borderId="0"/>
    <xf numFmtId="164" fontId="2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6" fontId="21" fillId="0" borderId="0"/>
    <xf numFmtId="164" fontId="10" fillId="0" borderId="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9" fillId="0" borderId="0"/>
    <xf numFmtId="164" fontId="9" fillId="0" borderId="0"/>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9" fillId="0" borderId="0"/>
    <xf numFmtId="164" fontId="24" fillId="0" borderId="0"/>
    <xf numFmtId="164" fontId="25" fillId="0" borderId="0">
      <alignment vertical="center"/>
    </xf>
    <xf numFmtId="164" fontId="26" fillId="0" borderId="0"/>
    <xf numFmtId="164" fontId="27" fillId="34" borderId="0" applyNumberFormat="0" applyBorder="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10" fillId="0" borderId="0"/>
    <xf numFmtId="164" fontId="27" fillId="34" borderId="0" applyNumberFormat="0" applyBorder="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4" fillId="0" borderId="0"/>
    <xf numFmtId="164" fontId="27" fillId="34" borderId="0" applyNumberFormat="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7" fillId="34" borderId="0" applyNumberFormat="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10" fillId="0" borderId="0"/>
    <xf numFmtId="164" fontId="31" fillId="0" borderId="0"/>
    <xf numFmtId="9" fontId="10" fillId="0" borderId="0" applyFont="0" applyFill="0" applyBorder="0" applyAlignment="0" applyProtection="0">
      <alignment vertical="center"/>
    </xf>
    <xf numFmtId="9" fontId="10" fillId="0" borderId="0" applyFont="0" applyFill="0" applyBorder="0" applyAlignment="0" applyProtection="0"/>
    <xf numFmtId="9" fontId="24" fillId="0" borderId="0" applyFont="0" applyFill="0" applyBorder="0" applyAlignment="0" applyProtection="0">
      <alignment vertical="center"/>
    </xf>
    <xf numFmtId="164" fontId="11" fillId="0" borderId="0" applyFont="0" applyFill="0" applyBorder="0" applyAlignment="0" applyProtection="0"/>
    <xf numFmtId="164" fontId="10" fillId="0" borderId="0" applyNumberFormat="0" applyFill="0" applyBorder="0" applyAlignment="0" applyProtection="0"/>
    <xf numFmtId="164" fontId="32" fillId="0" borderId="0" applyNumberFormat="0" applyFill="0" applyBorder="0" applyAlignment="0" applyProtection="0">
      <alignment vertical="center"/>
    </xf>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4" fontId="32" fillId="0" borderId="0" applyNumberForma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4" fontId="32" fillId="0" borderId="0" applyNumberFormat="0" applyFill="0" applyBorder="0" applyAlignment="0" applyProtection="0">
      <alignment vertical="center"/>
    </xf>
    <xf numFmtId="164" fontId="32" fillId="0" borderId="0" applyNumberFormat="0" applyFill="0" applyBorder="0" applyAlignment="0" applyProtection="0">
      <alignment vertical="center"/>
    </xf>
    <xf numFmtId="164" fontId="33" fillId="0" borderId="0" applyNumberFormat="0" applyFill="0" applyBorder="0" applyAlignment="0" applyProtection="0">
      <alignment vertical="top"/>
      <protection locked="0"/>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6" fillId="0" borderId="0" applyNumberFormat="0" applyFill="0" applyBorder="0" applyAlignment="0" applyProtection="0">
      <alignment vertical="top"/>
      <protection locked="0"/>
    </xf>
    <xf numFmtId="164" fontId="24" fillId="0" borderId="0">
      <alignment vertical="center"/>
    </xf>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164" fontId="11" fillId="0" borderId="0" applyFont="0" applyFill="0" applyBorder="0" applyAlignment="0" applyProtection="0"/>
    <xf numFmtId="41" fontId="11" fillId="0" borderId="0" applyFont="0" applyFill="0" applyBorder="0" applyAlignment="0" applyProtection="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10" fillId="0" borderId="0"/>
    <xf numFmtId="164" fontId="10" fillId="0" borderId="0"/>
    <xf numFmtId="164" fontId="10" fillId="0" borderId="0"/>
    <xf numFmtId="164" fontId="10" fillId="0" borderId="0"/>
    <xf numFmtId="0"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72"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9" fillId="0" borderId="0"/>
    <xf numFmtId="164" fontId="10" fillId="0" borderId="0"/>
    <xf numFmtId="164" fontId="10" fillId="0" borderId="0"/>
    <xf numFmtId="164" fontId="9"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20" fillId="0" borderId="0"/>
    <xf numFmtId="173" fontId="10" fillId="0" borderId="0" applyProtection="0">
      <alignment horizontal="left"/>
    </xf>
    <xf numFmtId="173" fontId="10" fillId="0" borderId="0" applyProtection="0">
      <alignment horizontal="left"/>
    </xf>
    <xf numFmtId="173" fontId="10" fillId="0" borderId="0" applyProtection="0">
      <alignment horizontal="left"/>
    </xf>
    <xf numFmtId="1" fontId="21" fillId="0" borderId="0"/>
    <xf numFmtId="1" fontId="42" fillId="0" borderId="0"/>
    <xf numFmtId="1" fontId="42" fillId="0" borderId="0"/>
    <xf numFmtId="1" fontId="43"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21" fillId="0" borderId="0"/>
    <xf numFmtId="1" fontId="42" fillId="0" borderId="0"/>
    <xf numFmtId="172" fontId="44" fillId="0" borderId="0"/>
    <xf numFmtId="164" fontId="46" fillId="0" borderId="0"/>
    <xf numFmtId="16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7"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74" fontId="10" fillId="0" borderId="0"/>
    <xf numFmtId="174" fontId="10" fillId="0" borderId="0"/>
    <xf numFmtId="164" fontId="10" fillId="0" borderId="0"/>
    <xf numFmtId="172" fontId="44" fillId="0" borderId="0"/>
    <xf numFmtId="2" fontId="21" fillId="0" borderId="0"/>
    <xf numFmtId="175" fontId="9" fillId="0" borderId="0">
      <alignment horizontal="center"/>
    </xf>
    <xf numFmtId="3" fontId="17" fillId="0" borderId="0">
      <alignment vertical="center"/>
    </xf>
    <xf numFmtId="9" fontId="48" fillId="0" borderId="0" applyFont="0" applyFill="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5" borderId="0" applyNumberFormat="0" applyBorder="0" applyAlignment="0" applyProtection="0"/>
    <xf numFmtId="164" fontId="25" fillId="33" borderId="0" applyNumberFormat="0" applyBorder="0" applyAlignment="0" applyProtection="0"/>
    <xf numFmtId="164" fontId="25" fillId="46" borderId="0" applyNumberFormat="0" applyBorder="0" applyAlignment="0" applyProtection="0"/>
    <xf numFmtId="164" fontId="25" fillId="47" borderId="0" applyNumberFormat="0" applyBorder="0" applyAlignment="0" applyProtection="0"/>
    <xf numFmtId="164" fontId="25" fillId="48" borderId="0" applyNumberFormat="0" applyBorder="0" applyAlignment="0" applyProtection="0"/>
    <xf numFmtId="164" fontId="25" fillId="44" borderId="0" applyNumberFormat="0" applyBorder="0" applyAlignment="0" applyProtection="0"/>
    <xf numFmtId="164" fontId="50" fillId="50" borderId="0" applyNumberFormat="0" applyBorder="0" applyAlignment="0" applyProtection="0">
      <alignment vertical="center"/>
    </xf>
    <xf numFmtId="164" fontId="50" fillId="43" borderId="0" applyNumberFormat="0" applyBorder="0" applyAlignment="0" applyProtection="0">
      <alignment vertical="center"/>
    </xf>
    <xf numFmtId="164" fontId="50" fillId="51" borderId="0" applyNumberFormat="0" applyBorder="0" applyAlignment="0" applyProtection="0">
      <alignment vertical="center"/>
    </xf>
    <xf numFmtId="164" fontId="50" fillId="44"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76" fontId="52" fillId="0" borderId="0">
      <alignment horizontal="center"/>
    </xf>
    <xf numFmtId="164" fontId="25" fillId="42" borderId="0" applyNumberFormat="0" applyBorder="0" applyAlignment="0" applyProtection="0"/>
    <xf numFmtId="164" fontId="25" fillId="42"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0" borderId="0" applyNumberFormat="0" applyBorder="0" applyAlignment="0" applyProtection="0"/>
    <xf numFmtId="164" fontId="25" fillId="43" borderId="0" applyNumberFormat="0" applyBorder="0" applyAlignment="0" applyProtection="0"/>
    <xf numFmtId="164" fontId="25" fillId="52" borderId="0" applyNumberFormat="0" applyBorder="0" applyAlignment="0" applyProtection="0"/>
    <xf numFmtId="164" fontId="25" fillId="47" borderId="0" applyNumberFormat="0" applyBorder="0" applyAlignment="0" applyProtection="0"/>
    <xf numFmtId="164" fontId="25" fillId="50" borderId="0" applyNumberFormat="0" applyBorder="0" applyAlignment="0" applyProtection="0"/>
    <xf numFmtId="164" fontId="25" fillId="53" borderId="0" applyNumberFormat="0" applyBorder="0" applyAlignment="0" applyProtection="0"/>
    <xf numFmtId="164" fontId="50" fillId="48" borderId="0" applyNumberFormat="0" applyBorder="0" applyAlignment="0" applyProtection="0">
      <alignment vertical="center"/>
    </xf>
    <xf numFmtId="164" fontId="50" fillId="43" borderId="0" applyNumberFormat="0" applyBorder="0" applyAlignment="0" applyProtection="0">
      <alignment vertical="center"/>
    </xf>
    <xf numFmtId="164" fontId="50" fillId="34" borderId="0" applyNumberFormat="0" applyBorder="0" applyAlignment="0" applyProtection="0">
      <alignment vertical="center"/>
    </xf>
    <xf numFmtId="164" fontId="50" fillId="33"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3" fillId="42" borderId="0" applyNumberFormat="0" applyBorder="0" applyAlignment="0" applyProtection="0"/>
    <xf numFmtId="164" fontId="53" fillId="42" borderId="0" applyNumberFormat="0" applyBorder="0" applyAlignment="0" applyProtection="0"/>
    <xf numFmtId="164" fontId="53" fillId="45" borderId="0" applyNumberFormat="0" applyBorder="0" applyAlignment="0" applyProtection="0"/>
    <xf numFmtId="164" fontId="53" fillId="45"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2" borderId="0" applyNumberFormat="0" applyBorder="0" applyAlignment="0" applyProtection="0"/>
    <xf numFmtId="164" fontId="53" fillId="42"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44" borderId="0" applyNumberFormat="0" applyBorder="0" applyAlignment="0" applyProtection="0"/>
    <xf numFmtId="164" fontId="53" fillId="44" borderId="0" applyNumberFormat="0" applyBorder="0" applyAlignment="0" applyProtection="0"/>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4" borderId="0" applyNumberFormat="0" applyBorder="0" applyAlignment="0" applyProtection="0"/>
    <xf numFmtId="164" fontId="53" fillId="43" borderId="0" applyNumberFormat="0" applyBorder="0" applyAlignment="0" applyProtection="0"/>
    <xf numFmtId="164" fontId="53" fillId="52"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55" borderId="0" applyNumberFormat="0" applyBorder="0" applyAlignment="0" applyProtection="0"/>
    <xf numFmtId="164" fontId="55" fillId="48"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33" borderId="0" applyNumberFormat="0" applyBorder="0" applyAlignment="0" applyProtection="0">
      <alignment vertical="center"/>
    </xf>
    <xf numFmtId="164" fontId="55" fillId="48" borderId="0" applyNumberFormat="0" applyBorder="0" applyAlignment="0" applyProtection="0">
      <alignment vertical="center"/>
    </xf>
    <xf numFmtId="164" fontId="55" fillId="43"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77" fontId="9" fillId="0" borderId="0">
      <alignment horizontal="center"/>
    </xf>
    <xf numFmtId="164" fontId="9" fillId="0" borderId="0">
      <protection locked="0"/>
    </xf>
    <xf numFmtId="164" fontId="9" fillId="0" borderId="0">
      <protection locked="0"/>
    </xf>
    <xf numFmtId="164" fontId="9" fillId="0" borderId="0">
      <protection locked="0"/>
    </xf>
    <xf numFmtId="164" fontId="9" fillId="0" borderId="0">
      <protection locked="0"/>
    </xf>
    <xf numFmtId="178" fontId="9" fillId="0" borderId="0">
      <alignment horizontal="center"/>
    </xf>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10" fillId="0" borderId="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79" fontId="40" fillId="0" borderId="0" applyFill="0" applyBorder="0" applyProtection="0">
      <alignment horizontal="left"/>
    </xf>
    <xf numFmtId="180" fontId="59" fillId="56" borderId="23">
      <alignment horizontal="center" vertical="center"/>
    </xf>
    <xf numFmtId="181" fontId="10" fillId="0" borderId="0" applyFont="0" applyFill="0" applyBorder="0" applyAlignment="0" applyProtection="0"/>
    <xf numFmtId="164" fontId="60" fillId="0" borderId="0" applyFont="0" applyFill="0" applyBorder="0" applyAlignment="0" applyProtection="0"/>
    <xf numFmtId="182" fontId="10" fillId="0" borderId="0" applyFont="0" applyFill="0" applyBorder="0" applyAlignment="0" applyProtection="0"/>
    <xf numFmtId="164" fontId="60" fillId="0" borderId="0" applyFont="0" applyFill="0" applyBorder="0" applyAlignment="0" applyProtection="0"/>
    <xf numFmtId="183" fontId="10" fillId="0" borderId="0"/>
    <xf numFmtId="183" fontId="10" fillId="0" borderId="0"/>
    <xf numFmtId="183" fontId="10" fillId="0" borderId="0"/>
    <xf numFmtId="1" fontId="61" fillId="0" borderId="0"/>
    <xf numFmtId="164" fontId="48" fillId="0" borderId="0"/>
    <xf numFmtId="164" fontId="48" fillId="0" borderId="0"/>
    <xf numFmtId="164" fontId="48" fillId="0" borderId="0"/>
    <xf numFmtId="164" fontId="48" fillId="0" borderId="0"/>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10" fillId="0" borderId="0" applyNumberFormat="0" applyFill="0" applyBorder="0" applyAlignment="0" applyProtection="0"/>
    <xf numFmtId="164" fontId="52" fillId="0" borderId="0" applyNumberFormat="0" applyFill="0" applyBorder="0" applyAlignment="0" applyProtection="0"/>
    <xf numFmtId="184" fontId="9" fillId="0" borderId="0"/>
    <xf numFmtId="164" fontId="63" fillId="0" borderId="0" applyNumberFormat="0" applyFill="0" applyBorder="0" applyAlignment="0" applyProtection="0"/>
    <xf numFmtId="164" fontId="63" fillId="0" borderId="0" applyNumberFormat="0" applyFill="0" applyBorder="0" applyAlignment="0" applyProtection="0"/>
    <xf numFmtId="164" fontId="64" fillId="57" borderId="0"/>
    <xf numFmtId="164" fontId="64" fillId="57" borderId="0"/>
    <xf numFmtId="164" fontId="64" fillId="57" borderId="0"/>
    <xf numFmtId="164" fontId="64" fillId="57" borderId="0"/>
    <xf numFmtId="185" fontId="10" fillId="0" borderId="0" applyFont="0" applyFill="0" applyBorder="0" applyAlignment="0" applyProtection="0"/>
    <xf numFmtId="186"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 fontId="65" fillId="58" borderId="0">
      <alignment vertical="center"/>
    </xf>
    <xf numFmtId="2" fontId="66" fillId="58" borderId="0">
      <alignment vertical="center"/>
    </xf>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3" fontId="69" fillId="0" borderId="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10" fillId="0" borderId="0"/>
    <xf numFmtId="164" fontId="71" fillId="46" borderId="0" applyNumberFormat="0" applyBorder="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88" fontId="58" fillId="0" borderId="0" applyFont="0" applyFill="0" applyBorder="0" applyAlignment="0" applyProtection="0"/>
    <xf numFmtId="164" fontId="72" fillId="0" borderId="0"/>
    <xf numFmtId="164" fontId="73" fillId="0" borderId="0"/>
    <xf numFmtId="164" fontId="48" fillId="0" borderId="0"/>
    <xf numFmtId="164" fontId="42" fillId="0" borderId="0"/>
    <xf numFmtId="177" fontId="74" fillId="0" borderId="0">
      <alignment horizontal="center"/>
    </xf>
    <xf numFmtId="164" fontId="47" fillId="0" borderId="0" applyFill="0" applyBorder="0" applyAlignment="0"/>
    <xf numFmtId="164" fontId="47" fillId="0" borderId="0" applyFill="0" applyBorder="0" applyAlignment="0"/>
    <xf numFmtId="164" fontId="47" fillId="0" borderId="0" applyFill="0" applyBorder="0" applyAlignment="0"/>
    <xf numFmtId="164" fontId="47" fillId="0" borderId="0" applyFill="0" applyBorder="0" applyAlignment="0"/>
    <xf numFmtId="189" fontId="75" fillId="0" borderId="0" applyFill="0" applyBorder="0" applyAlignment="0"/>
    <xf numFmtId="166"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0" fontId="10" fillId="0" borderId="0" applyFill="0" applyBorder="0" applyAlignment="0"/>
    <xf numFmtId="190" fontId="10" fillId="0" borderId="0" applyFill="0" applyBorder="0" applyAlignment="0"/>
    <xf numFmtId="190" fontId="10"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8" fillId="0" borderId="0"/>
    <xf numFmtId="164" fontId="79" fillId="0" borderId="19" applyNumberFormat="0" applyFill="0" applyAlignment="0" applyProtection="0"/>
    <xf numFmtId="164" fontId="79" fillId="0" borderId="19" applyNumberFormat="0" applyFill="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79" fillId="0" borderId="19" applyNumberFormat="0" applyFill="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92" fontId="10" fillId="0" borderId="0" applyAlignment="0">
      <alignment horizontal="left" vertical="center"/>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3" fillId="0" borderId="0" applyFont="0" applyAlignment="0"/>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5" fillId="63" borderId="0" applyNumberFormat="0">
      <alignment horizontal="center" vertical="top" wrapText="1"/>
    </xf>
    <xf numFmtId="164" fontId="85" fillId="63" borderId="0" applyNumberFormat="0">
      <alignment horizontal="left" vertical="top" wrapText="1"/>
    </xf>
    <xf numFmtId="164" fontId="85" fillId="63" borderId="0" applyNumberFormat="0">
      <alignment horizontal="centerContinuous" vertical="top"/>
    </xf>
    <xf numFmtId="164" fontId="17" fillId="63" borderId="0" applyNumberFormat="0">
      <alignment horizontal="center" vertical="top" wrapText="1"/>
    </xf>
    <xf numFmtId="164" fontId="39" fillId="0" borderId="15">
      <alignment horizontal="center"/>
    </xf>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41" fontId="10" fillId="0" borderId="0" applyFont="0" applyFill="0" applyBorder="0" applyAlignment="0" applyProtection="0">
      <alignment vertical="center"/>
    </xf>
    <xf numFmtId="41" fontId="10"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43" fontId="25"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164" fontId="6" fillId="0" borderId="0" applyFont="0" applyFill="0" applyBorder="0" applyAlignment="0" applyProtection="0"/>
    <xf numFmtId="43" fontId="6" fillId="0" borderId="0" applyFont="0" applyFill="0" applyBorder="0" applyAlignment="0" applyProtection="0"/>
    <xf numFmtId="19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4"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94" fontId="47" fillId="0" borderId="0" applyFont="0" applyFill="0" applyBorder="0" applyAlignment="0" applyProtection="0"/>
    <xf numFmtId="43" fontId="10" fillId="0" borderId="0" applyFont="0" applyFill="0" applyBorder="0" applyAlignment="0" applyProtection="0"/>
    <xf numFmtId="43" fontId="87" fillId="0" borderId="0" applyFont="0" applyFill="0" applyBorder="0" applyAlignment="0" applyProtection="0"/>
    <xf numFmtId="195" fontId="25" fillId="0" borderId="0" applyFill="0" applyBorder="0" applyAlignment="0" applyProtection="0"/>
    <xf numFmtId="43" fontId="6" fillId="0" borderId="0" applyFont="0" applyFill="0" applyBorder="0" applyAlignment="0" applyProtection="0"/>
    <xf numFmtId="194" fontId="6" fillId="0" borderId="0" applyFont="0" applyFill="0" applyBorder="0" applyAlignment="0" applyProtection="0"/>
    <xf numFmtId="194" fontId="6" fillId="0" borderId="0" applyFont="0" applyFill="0" applyBorder="0" applyAlignment="0" applyProtection="0"/>
    <xf numFmtId="43" fontId="10"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6" fontId="10"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1"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9" fillId="0" borderId="0" applyFont="0" applyFill="0" applyBorder="0" applyAlignment="0" applyProtection="0"/>
    <xf numFmtId="43" fontId="88" fillId="0" borderId="0" applyFont="0" applyFill="0" applyBorder="0" applyAlignment="0" applyProtection="0"/>
    <xf numFmtId="43" fontId="6"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3" fontId="10"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97" fontId="40" fillId="0" borderId="0" applyNumberFormat="0" applyFill="0" applyBorder="0" applyProtection="0">
      <alignment horizontal="center"/>
    </xf>
    <xf numFmtId="164" fontId="93" fillId="0" borderId="0"/>
    <xf numFmtId="164" fontId="9" fillId="0" borderId="29"/>
    <xf numFmtId="198" fontId="17" fillId="0" borderId="0" applyFont="0" applyFill="0" applyBorder="0" applyAlignment="0" applyProtection="0">
      <alignment vertical="center"/>
    </xf>
    <xf numFmtId="189" fontId="75" fillId="0" borderId="0" applyFont="0" applyFill="0" applyBorder="0" applyAlignment="0" applyProtection="0"/>
    <xf numFmtId="199" fontId="40" fillId="0" borderId="0" applyFont="0" applyFill="0" applyBorder="0" applyAlignment="0"/>
    <xf numFmtId="8" fontId="10" fillId="0" borderId="0" applyFont="0" applyFill="0" applyBorder="0" applyAlignment="0"/>
    <xf numFmtId="44" fontId="94"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200" fontId="10" fillId="0" borderId="0" applyFont="0" applyFill="0" applyBorder="0" applyAlignment="0" applyProtection="0"/>
    <xf numFmtId="44" fontId="94" fillId="0" borderId="0" applyFont="0" applyFill="0" applyBorder="0" applyAlignment="0" applyProtection="0"/>
    <xf numFmtId="44" fontId="94" fillId="0" borderId="0" applyFont="0" applyFill="0" applyBorder="0" applyAlignment="0" applyProtection="0"/>
    <xf numFmtId="201" fontId="17" fillId="0" borderId="0" applyFont="0" applyFill="0" applyBorder="0" applyAlignment="0" applyProtection="0">
      <alignment vertical="center"/>
    </xf>
    <xf numFmtId="202"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3" fontId="17" fillId="0" borderId="0" applyFont="0" applyFill="0" applyBorder="0" applyAlignment="0" applyProtection="0">
      <alignment vertical="center"/>
    </xf>
    <xf numFmtId="204" fontId="17" fillId="0" borderId="0" applyFont="0" applyFill="0" applyBorder="0" applyAlignment="0" applyProtection="0">
      <alignment vertical="center"/>
    </xf>
    <xf numFmtId="205"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6" fontId="17" fillId="0" borderId="0" applyFont="0" applyFill="0" applyBorder="0" applyAlignment="0" applyProtection="0">
      <alignment vertical="center"/>
    </xf>
    <xf numFmtId="207" fontId="17" fillId="0" borderId="0" applyFont="0" applyFill="0" applyBorder="0" applyAlignment="0" applyProtection="0">
      <alignment vertical="center"/>
    </xf>
    <xf numFmtId="208"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5" fontId="10" fillId="0" borderId="0" applyFont="0" applyFill="0" applyBorder="0" applyAlignment="0" applyProtection="0"/>
    <xf numFmtId="5" fontId="10" fillId="0" borderId="0" applyFont="0" applyFill="0" applyBorder="0" applyAlignment="0" applyProtection="0"/>
    <xf numFmtId="5" fontId="10" fillId="0" borderId="0" applyFont="0" applyFill="0" applyBorder="0" applyAlignment="0" applyProtection="0"/>
    <xf numFmtId="164" fontId="10" fillId="0" borderId="0" applyFont="0" applyFill="0" applyBorder="0" applyAlignment="0" applyProtection="0"/>
    <xf numFmtId="209" fontId="17" fillId="0" borderId="0" applyFont="0" applyFill="0" applyBorder="0" applyAlignment="0" applyProtection="0">
      <alignment vertical="center"/>
    </xf>
    <xf numFmtId="210" fontId="17" fillId="0" borderId="0" applyFont="0" applyFill="0" applyBorder="0" applyAlignment="0" applyProtection="0">
      <alignment vertical="center"/>
    </xf>
    <xf numFmtId="15" fontId="39" fillId="0" borderId="0" applyFill="0" applyBorder="0" applyAlignment="0"/>
    <xf numFmtId="211" fontId="10" fillId="62" borderId="0"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1" fontId="10" fillId="62" borderId="0" applyFont="0" applyFill="0" applyBorder="0" applyAlignment="0" applyProtection="0"/>
    <xf numFmtId="17" fontId="39" fillId="0" borderId="0" applyFill="0" applyBorder="0">
      <alignment horizontal="right"/>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4" fontId="18" fillId="0" borderId="0" applyFill="0" applyBorder="0" applyAlignment="0"/>
    <xf numFmtId="213" fontId="10" fillId="0" borderId="0" applyFont="0" applyFill="0" applyBorder="0" applyAlignment="0" applyProtection="0"/>
    <xf numFmtId="212" fontId="10" fillId="0" borderId="0" applyFill="0" applyBorder="0">
      <alignment horizontal="right"/>
    </xf>
    <xf numFmtId="14" fontId="95" fillId="64" borderId="30">
      <alignment horizontal="center"/>
    </xf>
    <xf numFmtId="164" fontId="96" fillId="0" borderId="0"/>
    <xf numFmtId="214" fontId="40" fillId="65" borderId="0" applyFill="0">
      <alignment horizontal="right"/>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164" fontId="9" fillId="0" borderId="0"/>
    <xf numFmtId="164" fontId="9" fillId="0" borderId="0"/>
    <xf numFmtId="164" fontId="9" fillId="0" borderId="0"/>
    <xf numFmtId="164" fontId="9" fillId="0" borderId="0"/>
    <xf numFmtId="215" fontId="10" fillId="0" borderId="0" applyFont="0" applyFill="0" applyBorder="0" applyAlignment="0" applyProtection="0"/>
    <xf numFmtId="216" fontId="1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7" fontId="40" fillId="0" borderId="0"/>
    <xf numFmtId="42" fontId="99" fillId="0" borderId="0" applyFill="0" applyBorder="0" applyAlignment="0" applyProtection="0"/>
    <xf numFmtId="217" fontId="8" fillId="0" borderId="0" applyFont="0" applyFill="0" applyBorder="0" applyAlignment="0" applyProtection="0"/>
    <xf numFmtId="169" fontId="100" fillId="0" borderId="0" applyFont="0" applyFill="0" applyBorder="0" applyAlignment="0" applyProtection="0"/>
    <xf numFmtId="218" fontId="8" fillId="0" borderId="0" applyFont="0" applyFill="0" applyBorder="0" applyAlignment="0" applyProtection="0"/>
    <xf numFmtId="194" fontId="100" fillId="0" borderId="0" applyFon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53" fillId="35" borderId="0" applyNumberFormat="0" applyBorder="0" applyAlignment="0" applyProtection="0"/>
    <xf numFmtId="164" fontId="53" fillId="36" borderId="0" applyNumberFormat="0" applyBorder="0" applyAlignment="0" applyProtection="0"/>
    <xf numFmtId="164" fontId="53" fillId="37"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40" borderId="0" applyNumberFormat="0" applyBorder="0" applyAlignment="0" applyProtection="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3" fontId="78" fillId="0" borderId="0" applyNumberFormat="0" applyBorder="0" applyAlignment="0">
      <protection locked="0"/>
    </xf>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xf numFmtId="164" fontId="25" fillId="67" borderId="0" applyNumberFormat="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49" fontId="107" fillId="0" borderId="0" applyNumberFormat="0" applyFill="0" applyBorder="0" applyProtection="0">
      <alignment horizontal="center" vertical="top"/>
    </xf>
    <xf numFmtId="219" fontId="108" fillId="0" borderId="0" applyBorder="0">
      <alignment horizontal="right" vertical="top"/>
    </xf>
    <xf numFmtId="220" fontId="107" fillId="0" borderId="0" applyBorder="0">
      <alignment horizontal="right" vertical="top"/>
    </xf>
    <xf numFmtId="220" fontId="108" fillId="0" borderId="0" applyBorder="0">
      <alignment horizontal="right" vertical="top"/>
    </xf>
    <xf numFmtId="221" fontId="107" fillId="0" borderId="0" applyFill="0" applyBorder="0">
      <alignment horizontal="right" vertical="top"/>
    </xf>
    <xf numFmtId="222" fontId="107" fillId="0" borderId="0" applyFill="0" applyBorder="0">
      <alignment horizontal="right" vertical="top"/>
    </xf>
    <xf numFmtId="223" fontId="107" fillId="0" borderId="0" applyFill="0" applyBorder="0">
      <alignment horizontal="right" vertical="top"/>
    </xf>
    <xf numFmtId="224" fontId="107" fillId="0" borderId="0" applyFill="0" applyBorder="0">
      <alignment horizontal="right" vertical="top"/>
    </xf>
    <xf numFmtId="164" fontId="109" fillId="0" borderId="0">
      <alignment horizontal="left"/>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164" fontId="111" fillId="0" borderId="0">
      <alignment vertical="center"/>
    </xf>
    <xf numFmtId="226" fontId="111" fillId="0" borderId="0">
      <alignment horizontal="left" vertical="center"/>
    </xf>
    <xf numFmtId="227" fontId="112" fillId="0" borderId="0">
      <alignment vertical="center"/>
    </xf>
    <xf numFmtId="164" fontId="113" fillId="0" borderId="0">
      <alignment vertical="center"/>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07" fillId="0" borderId="0">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226" fontId="52" fillId="0" borderId="0">
      <alignment horizontal="left" vertical="center"/>
    </xf>
    <xf numFmtId="225" fontId="52" fillId="0" borderId="0"/>
    <xf numFmtId="225" fontId="115" fillId="0" borderId="0"/>
    <xf numFmtId="225" fontId="116" fillId="0" borderId="0"/>
    <xf numFmtId="225" fontId="10" fillId="0" borderId="0"/>
    <xf numFmtId="225" fontId="117" fillId="0" borderId="0">
      <alignment horizontal="left" vertical="top"/>
    </xf>
    <xf numFmtId="164" fontId="107" fillId="0" borderId="0" applyFill="0" applyBorder="0">
      <alignment horizontal="left" vertical="top" wrapText="1"/>
    </xf>
    <xf numFmtId="164" fontId="118" fillId="0" borderId="0">
      <alignment horizontal="left" vertical="top" wrapText="1"/>
    </xf>
    <xf numFmtId="164" fontId="119" fillId="0" borderId="0">
      <alignment horizontal="left" vertical="top" wrapText="1"/>
    </xf>
    <xf numFmtId="164" fontId="108" fillId="0" borderId="0">
      <alignment horizontal="left" vertical="top" wrapText="1"/>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0" fillId="68" borderId="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29" fontId="121" fillId="69" borderId="0" applyFill="0" applyAlignment="0">
      <alignment horizontal="left" vertical="center"/>
    </xf>
    <xf numFmtId="3"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 fontId="10" fillId="0" borderId="0" applyFont="0" applyFill="0" applyBorder="0" applyAlignment="0" applyProtection="0"/>
    <xf numFmtId="230" fontId="10" fillId="62" borderId="0" applyFont="0" applyFill="0" applyBorder="0" applyAlignment="0"/>
    <xf numFmtId="2" fontId="10" fillId="0" borderId="0" applyFont="0" applyFill="0" applyBorder="0" applyAlignment="0" applyProtection="0"/>
    <xf numFmtId="2" fontId="10" fillId="0" borderId="0" applyFont="0" applyFill="0" applyBorder="0" applyAlignment="0" applyProtection="0"/>
    <xf numFmtId="231" fontId="10" fillId="0" borderId="0" applyFont="0" applyFill="0" applyBorder="0" applyAlignment="0" applyProtection="0"/>
    <xf numFmtId="164" fontId="38" fillId="70" borderId="20" applyBorder="0" applyAlignment="0" applyProtection="0"/>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164" fontId="124" fillId="63" borderId="0" applyNumberFormat="0">
      <alignment vertical="center"/>
    </xf>
    <xf numFmtId="164" fontId="125" fillId="0" borderId="0" applyNumberFormat="0" applyFill="0" applyBorder="0" applyAlignment="0" applyProtection="0">
      <alignment vertical="center"/>
    </xf>
    <xf numFmtId="164" fontId="113" fillId="0" borderId="0" applyNumberFormat="0" applyFill="0" applyBorder="0" applyAlignment="0" applyProtection="0">
      <alignment vertical="center"/>
    </xf>
    <xf numFmtId="164" fontId="126" fillId="0" borderId="0" applyNumberFormat="0" applyFill="0" applyBorder="0" applyAlignment="0" applyProtection="0">
      <alignment horizontal="left" vertical="center"/>
    </xf>
    <xf numFmtId="164" fontId="85" fillId="0" borderId="0" applyNumberFormat="0" applyFill="0" applyBorder="0" applyAlignment="0" applyProtection="0">
      <alignment vertical="center"/>
    </xf>
    <xf numFmtId="164" fontId="127" fillId="0" borderId="0">
      <alignment horizontal="left"/>
    </xf>
    <xf numFmtId="164" fontId="127" fillId="72" borderId="36"/>
    <xf numFmtId="164" fontId="127" fillId="72" borderId="36"/>
    <xf numFmtId="164" fontId="127" fillId="72" borderId="36"/>
    <xf numFmtId="164" fontId="127" fillId="72" borderId="36"/>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128" fillId="58" borderId="0"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7" fillId="0" borderId="0">
      <alignment horizontal="left"/>
    </xf>
    <xf numFmtId="164" fontId="127" fillId="0" borderId="0">
      <alignment horizontal="left"/>
    </xf>
    <xf numFmtId="164" fontId="127" fillId="0" borderId="0">
      <alignment horizontal="left"/>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7" fillId="0" borderId="0">
      <alignment horizontal="left"/>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78"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78" fillId="0" borderId="0"/>
    <xf numFmtId="164" fontId="78" fillId="0" borderId="0"/>
    <xf numFmtId="164" fontId="78"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7" fillId="66" borderId="0" applyNumberFormat="0" applyFont="0" applyBorder="0" applyAlignment="0" applyProtection="0">
      <alignment vertical="center"/>
    </xf>
    <xf numFmtId="233" fontId="139" fillId="0" borderId="0"/>
    <xf numFmtId="164" fontId="140"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68" fillId="33" borderId="0"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9" fontId="10" fillId="59" borderId="0">
      <alignment horizontal="right"/>
    </xf>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7" fillId="0" borderId="45" applyNumberFormat="0" applyAlignment="0">
      <alignment vertical="center"/>
    </xf>
    <xf numFmtId="234" fontId="58" fillId="73" borderId="0"/>
    <xf numFmtId="8" fontId="40" fillId="62" borderId="0" applyFont="0" applyBorder="0" applyAlignment="0" applyProtection="0">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5" fontId="40" fillId="62" borderId="0" applyFont="0" applyBorder="0" applyAlignment="0" applyProtection="0">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0" fontId="40" fillId="62" borderId="0" applyFont="0" applyBorder="0" applyAlignment="0">
      <protection locked="0"/>
    </xf>
    <xf numFmtId="164" fontId="17" fillId="41" borderId="0" applyNumberFormat="0" applyAlignment="0">
      <alignment vertical="center"/>
    </xf>
    <xf numFmtId="164" fontId="17" fillId="69" borderId="0" applyNumberFormat="0" applyAlignment="0">
      <alignment vertical="center"/>
    </xf>
    <xf numFmtId="164" fontId="142" fillId="0" borderId="0" applyNumberFormat="0" applyFill="0" applyBorder="0" applyAlignment="0" applyProtection="0"/>
    <xf numFmtId="38" fontId="40" fillId="62" borderId="0">
      <protection locked="0"/>
    </xf>
    <xf numFmtId="236" fontId="10" fillId="75" borderId="0"/>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237" fontId="40" fillId="62" borderId="0" applyFont="0" applyBorder="0" applyAlignment="0">
      <protection locked="0"/>
    </xf>
    <xf numFmtId="10" fontId="40" fillId="62" borderId="0">
      <protection locked="0"/>
    </xf>
    <xf numFmtId="238" fontId="10" fillId="0" borderId="0"/>
    <xf numFmtId="239" fontId="143" fillId="62" borderId="0" applyNumberFormat="0" applyBorder="0" applyAlignment="0">
      <protection locked="0"/>
    </xf>
    <xf numFmtId="164" fontId="144" fillId="33" borderId="0" applyNumberFormat="0" applyBorder="0" applyAlignment="0" applyProtection="0"/>
    <xf numFmtId="164" fontId="144" fillId="33" borderId="0" applyNumberFormat="0" applyBorder="0" applyAlignment="0" applyProtection="0"/>
    <xf numFmtId="164" fontId="145" fillId="0" borderId="0"/>
    <xf numFmtId="164" fontId="146" fillId="0" borderId="0"/>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0"/>
    <xf numFmtId="164" fontId="10" fillId="0" borderId="0"/>
    <xf numFmtId="164" fontId="10" fillId="0" borderId="0"/>
    <xf numFmtId="164" fontId="10" fillId="0" borderId="0"/>
    <xf numFmtId="164" fontId="12" fillId="0" borderId="0"/>
    <xf numFmtId="164" fontId="12" fillId="0" borderId="0"/>
    <xf numFmtId="164" fontId="11" fillId="0" borderId="0"/>
    <xf numFmtId="164" fontId="11"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240" fontId="139" fillId="0" borderId="0"/>
    <xf numFmtId="241" fontId="12" fillId="0" borderId="0"/>
    <xf numFmtId="241" fontId="12" fillId="0" borderId="0"/>
    <xf numFmtId="242" fontId="139" fillId="0" borderId="0"/>
    <xf numFmtId="243" fontId="139" fillId="0" borderId="0"/>
    <xf numFmtId="244" fontId="147" fillId="0" borderId="0" applyFont="0" applyFill="0" applyBorder="0" applyAlignment="0" applyProtection="0"/>
    <xf numFmtId="245" fontId="147" fillId="0" borderId="0" applyFont="0" applyFill="0" applyBorder="0" applyAlignment="0" applyProtection="0"/>
    <xf numFmtId="164" fontId="9" fillId="0" borderId="0"/>
    <xf numFmtId="164" fontId="9" fillId="0" borderId="0"/>
    <xf numFmtId="164" fontId="9" fillId="0" borderId="0"/>
    <xf numFmtId="164" fontId="9" fillId="0" borderId="0"/>
    <xf numFmtId="164" fontId="10" fillId="0" borderId="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234" fontId="149" fillId="76" borderId="0"/>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 fontId="44" fillId="77" borderId="0"/>
    <xf numFmtId="246" fontId="10" fillId="73" borderId="14" applyNumberFormat="0" applyFont="0" applyBorder="0" applyAlignment="0" applyProtection="0">
      <alignment horizontal="left" vertical="center"/>
      <protection locked="0"/>
    </xf>
    <xf numFmtId="164" fontId="134" fillId="0" borderId="0" applyNumberFormat="0" applyFill="0" applyBorder="0" applyProtection="0">
      <alignment horizontal="left" vertical="center"/>
    </xf>
    <xf numFmtId="172" fontId="151" fillId="0" borderId="20">
      <alignment horizontal="right"/>
    </xf>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41" fontId="10" fillId="0" borderId="0" applyFont="0" applyFill="0" applyBorder="0" applyAlignment="0" applyProtection="0"/>
    <xf numFmtId="247" fontId="10" fillId="0" borderId="0" applyFont="0" applyFill="0" applyBorder="0" applyAlignment="0" applyProtection="0"/>
    <xf numFmtId="248"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249" fontId="10" fillId="0" borderId="0" applyFont="0" applyFill="0" applyBorder="0" applyAlignment="0" applyProtection="0"/>
    <xf numFmtId="250"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38" fillId="0" borderId="50" applyNumberFormat="0" applyBorder="0"/>
    <xf numFmtId="164" fontId="153" fillId="0" borderId="0" applyNumberFormat="0">
      <alignment horizontal="right"/>
    </xf>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256" fontId="10" fillId="71" borderId="0" applyFont="0" applyBorder="0" applyAlignment="0" applyProtection="0">
      <alignment horizontal="right"/>
      <protection hidden="1"/>
    </xf>
    <xf numFmtId="164" fontId="155" fillId="0" borderId="0" applyNumberFormat="0" applyAlignment="0">
      <alignment vertical="center"/>
    </xf>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37" fontId="159" fillId="0" borderId="0"/>
    <xf numFmtId="164" fontId="42" fillId="0" borderId="0"/>
    <xf numFmtId="164" fontId="10" fillId="0" borderId="0"/>
    <xf numFmtId="257" fontId="16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38" fontId="40" fillId="0" borderId="0" applyFont="0" applyFill="0" applyBorder="0" applyAlignment="0"/>
    <xf numFmtId="239" fontId="10" fillId="0" borderId="0" applyFont="0" applyFill="0" applyBorder="0" applyAlignment="0"/>
    <xf numFmtId="40" fontId="40" fillId="0" borderId="0" applyFont="0" applyFill="0" applyBorder="0" applyAlignment="0"/>
    <xf numFmtId="258" fontId="40" fillId="0" borderId="0" applyFont="0" applyFill="0" applyBorder="0" applyAlignment="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59" fontId="6" fillId="0" borderId="0"/>
    <xf numFmtId="260" fontId="6" fillId="0" borderId="0"/>
    <xf numFmtId="261" fontId="6" fillId="0" borderId="0"/>
    <xf numFmtId="164" fontId="6" fillId="0" borderId="0"/>
    <xf numFmtId="164" fontId="6" fillId="0" borderId="0"/>
    <xf numFmtId="0" fontId="6" fillId="0" borderId="0"/>
    <xf numFmtId="0" fontId="6" fillId="0" borderId="0"/>
    <xf numFmtId="0" fontId="6" fillId="0" borderId="0"/>
    <xf numFmtId="164" fontId="6" fillId="0" borderId="0"/>
    <xf numFmtId="262" fontId="6" fillId="0" borderId="0"/>
    <xf numFmtId="26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263"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87" fillId="0" borderId="0"/>
    <xf numFmtId="164" fontId="6" fillId="0" borderId="0"/>
    <xf numFmtId="164" fontId="47" fillId="0" borderId="0">
      <alignment vertical="center"/>
    </xf>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161" fillId="0" borderId="0"/>
    <xf numFmtId="164" fontId="6" fillId="0" borderId="0"/>
    <xf numFmtId="164" fontId="162" fillId="0" borderId="0"/>
    <xf numFmtId="0" fontId="162" fillId="0" borderId="0"/>
    <xf numFmtId="187" fontId="162" fillId="0" borderId="0"/>
    <xf numFmtId="164" fontId="1" fillId="0" borderId="0"/>
    <xf numFmtId="164" fontId="6" fillId="0" borderId="0"/>
    <xf numFmtId="164" fontId="6" fillId="0" borderId="0"/>
    <xf numFmtId="164" fontId="161"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7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6" fillId="0" borderId="0"/>
    <xf numFmtId="164" fontId="6" fillId="0" borderId="0"/>
    <xf numFmtId="164" fontId="41" fillId="0" borderId="0"/>
    <xf numFmtId="17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72" fontId="6" fillId="0" borderId="0"/>
    <xf numFmtId="172" fontId="6" fillId="0" borderId="0"/>
    <xf numFmtId="172" fontId="6"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3"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25" fillId="0" borderId="0"/>
    <xf numFmtId="164" fontId="6" fillId="0" borderId="0"/>
    <xf numFmtId="164" fontId="6" fillId="0" borderId="0"/>
    <xf numFmtId="164" fontId="6" fillId="0" borderId="0"/>
    <xf numFmtId="164" fontId="6"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89" fillId="0" borderId="0"/>
    <xf numFmtId="164" fontId="6" fillId="0" borderId="0"/>
    <xf numFmtId="2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41" fillId="0" borderId="0"/>
    <xf numFmtId="164" fontId="41"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74" fontId="6" fillId="0" borderId="0"/>
    <xf numFmtId="164" fontId="89" fillId="0" borderId="0"/>
    <xf numFmtId="174" fontId="6" fillId="0" borderId="0"/>
    <xf numFmtId="164" fontId="89" fillId="0" borderId="0"/>
    <xf numFmtId="174" fontId="6" fillId="0" borderId="0"/>
    <xf numFmtId="164" fontId="41" fillId="0" borderId="0"/>
    <xf numFmtId="174" fontId="6" fillId="0" borderId="0"/>
    <xf numFmtId="174" fontId="6" fillId="0" borderId="0"/>
    <xf numFmtId="174" fontId="6" fillId="0" borderId="0"/>
    <xf numFmtId="174" fontId="6" fillId="0" borderId="0"/>
    <xf numFmtId="174" fontId="6" fillId="0" borderId="0"/>
    <xf numFmtId="164" fontId="6" fillId="0" borderId="0"/>
    <xf numFmtId="174" fontId="6"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64" fontId="10" fillId="0" borderId="0"/>
    <xf numFmtId="164" fontId="10" fillId="0" borderId="0"/>
    <xf numFmtId="164" fontId="10" fillId="0" borderId="0"/>
    <xf numFmtId="164" fontId="10" fillId="0" borderId="0"/>
    <xf numFmtId="164" fontId="164" fillId="0" borderId="0"/>
    <xf numFmtId="164" fontId="10" fillId="0" borderId="0"/>
    <xf numFmtId="164" fontId="6" fillId="0" borderId="0"/>
    <xf numFmtId="164" fontId="10"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0" fontId="10" fillId="0" borderId="0"/>
    <xf numFmtId="187" fontId="10" fillId="0" borderId="0"/>
    <xf numFmtId="17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6" fillId="0" borderId="0"/>
    <xf numFmtId="164" fontId="161" fillId="0" borderId="0"/>
    <xf numFmtId="164" fontId="6" fillId="0" borderId="0"/>
    <xf numFmtId="164" fontId="6" fillId="0" borderId="0"/>
    <xf numFmtId="0" fontId="6" fillId="0" borderId="0"/>
    <xf numFmtId="164" fontId="6" fillId="0" borderId="0"/>
    <xf numFmtId="262" fontId="6" fillId="0" borderId="0"/>
    <xf numFmtId="0" fontId="6" fillId="0" borderId="0"/>
    <xf numFmtId="187"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91" fillId="0" borderId="0"/>
    <xf numFmtId="164" fontId="9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6" fillId="0" borderId="0"/>
    <xf numFmtId="259" fontId="6" fillId="0" borderId="0"/>
    <xf numFmtId="0" fontId="165" fillId="0" borderId="0"/>
    <xf numFmtId="164" fontId="6" fillId="0" borderId="0"/>
    <xf numFmtId="164" fontId="6" fillId="0" borderId="0"/>
    <xf numFmtId="0" fontId="6" fillId="0" borderId="0"/>
    <xf numFmtId="0" fontId="6" fillId="0" borderId="0"/>
    <xf numFmtId="165" fontId="6" fillId="0" borderId="0"/>
    <xf numFmtId="0" fontId="6" fillId="0" borderId="0"/>
    <xf numFmtId="0" fontId="6" fillId="0" borderId="0"/>
    <xf numFmtId="0" fontId="6" fillId="0" borderId="0"/>
    <xf numFmtId="0" fontId="6" fillId="0" borderId="0"/>
    <xf numFmtId="0" fontId="6" fillId="0" borderId="0"/>
    <xf numFmtId="164" fontId="6" fillId="0" borderId="0"/>
    <xf numFmtId="164" fontId="6" fillId="0" borderId="0"/>
    <xf numFmtId="174" fontId="88" fillId="0" borderId="0"/>
    <xf numFmtId="164" fontId="6" fillId="0" borderId="0"/>
    <xf numFmtId="265" fontId="88" fillId="0" borderId="0"/>
    <xf numFmtId="164" fontId="6" fillId="0" borderId="0"/>
    <xf numFmtId="164" fontId="88" fillId="0" borderId="0"/>
    <xf numFmtId="164" fontId="88" fillId="0" borderId="0"/>
    <xf numFmtId="164" fontId="1" fillId="0" borderId="0"/>
    <xf numFmtId="164" fontId="10" fillId="0" borderId="0"/>
    <xf numFmtId="164" fontId="10" fillId="0" borderId="0"/>
    <xf numFmtId="164" fontId="10" fillId="0" borderId="0"/>
    <xf numFmtId="164" fontId="10" fillId="0" borderId="0"/>
    <xf numFmtId="164" fontId="87" fillId="0" borderId="0"/>
    <xf numFmtId="164" fontId="87" fillId="0" borderId="0"/>
    <xf numFmtId="164" fontId="6" fillId="0" borderId="0"/>
    <xf numFmtId="164" fontId="6" fillId="0" borderId="0"/>
    <xf numFmtId="164" fontId="6" fillId="0" borderId="0"/>
    <xf numFmtId="164" fontId="6" fillId="0" borderId="0"/>
    <xf numFmtId="164" fontId="10"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25" fillId="0" borderId="0"/>
    <xf numFmtId="260" fontId="6" fillId="0" borderId="0"/>
    <xf numFmtId="164" fontId="6" fillId="0" borderId="0"/>
    <xf numFmtId="164" fontId="6"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87" fontId="10" fillId="0" borderId="0"/>
    <xf numFmtId="262" fontId="10"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71"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6" fillId="0" borderId="0"/>
    <xf numFmtId="164" fontId="6" fillId="0" borderId="0"/>
    <xf numFmtId="164" fontId="6"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74" fontId="6" fillId="0" borderId="0"/>
    <xf numFmtId="174" fontId="6" fillId="0" borderId="0"/>
    <xf numFmtId="174" fontId="6" fillId="0" borderId="0"/>
    <xf numFmtId="174" fontId="6" fillId="0" borderId="0"/>
    <xf numFmtId="17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41"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6" fillId="0" borderId="0"/>
    <xf numFmtId="164" fontId="16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232" fontId="6" fillId="0" borderId="0"/>
    <xf numFmtId="232" fontId="6" fillId="0" borderId="0"/>
    <xf numFmtId="232"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0" fontId="7" fillId="0" borderId="0"/>
    <xf numFmtId="232"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6"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7" fontId="64" fillId="0" borderId="0" applyNumberFormat="0" applyFill="0" applyBorder="0" applyAlignment="0" applyProtection="0"/>
    <xf numFmtId="268" fontId="10" fillId="0" borderId="0" applyFont="0" applyFill="0" applyBorder="0" applyAlignment="0" applyProtection="0"/>
    <xf numFmtId="269" fontId="40" fillId="0" borderId="0" applyFont="0" applyFill="0" applyBorder="0" applyAlignment="0" applyProtection="0"/>
    <xf numFmtId="164" fontId="167" fillId="0" borderId="0"/>
    <xf numFmtId="164" fontId="8" fillId="0" borderId="0"/>
    <xf numFmtId="164" fontId="8" fillId="0" borderId="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168" fillId="65" borderId="0">
      <alignment horizontal="left" vertical="top"/>
    </xf>
    <xf numFmtId="270" fontId="10" fillId="0" borderId="0" applyFont="0" applyFill="0" applyBorder="0" applyAlignment="0" applyProtection="0"/>
    <xf numFmtId="235" fontId="17" fillId="0" borderId="0" applyFont="0" applyFill="0" applyBorder="0" applyAlignment="0" applyProtection="0">
      <alignment vertical="center"/>
    </xf>
    <xf numFmtId="271" fontId="17" fillId="0" borderId="0" applyFont="0" applyFill="0" applyBorder="0" applyAlignment="0" applyProtection="0">
      <alignment vertical="center"/>
    </xf>
    <xf numFmtId="38" fontId="86" fillId="0" borderId="20" applyFont="0" applyFill="0" applyBorder="0" applyAlignment="0" applyProtection="0"/>
    <xf numFmtId="272" fontId="40" fillId="0" borderId="0" applyFont="0" applyFill="0" applyBorder="0" applyAlignment="0" applyProtection="0"/>
    <xf numFmtId="245" fontId="10" fillId="0" borderId="0" applyFont="0" applyFill="0" applyBorder="0" applyAlignment="0" applyProtection="0"/>
    <xf numFmtId="244" fontId="10" fillId="0" borderId="0" applyFont="0" applyFill="0" applyBorder="0" applyAlignment="0" applyProtection="0"/>
    <xf numFmtId="164" fontId="61" fillId="0" borderId="0"/>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40" fontId="18" fillId="68" borderId="0">
      <alignment horizontal="right"/>
    </xf>
    <xf numFmtId="164" fontId="172" fillId="62" borderId="0">
      <alignment horizontal="center"/>
    </xf>
    <xf numFmtId="164" fontId="158" fillId="68" borderId="0"/>
    <xf numFmtId="164" fontId="173" fillId="0" borderId="0" applyBorder="0">
      <alignment horizontal="centerContinuous"/>
    </xf>
    <xf numFmtId="164" fontId="174" fillId="0" borderId="0" applyBorder="0">
      <alignment horizontal="centerContinuous"/>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64" fontId="130" fillId="0" borderId="0">
      <alignment horizontal="left"/>
    </xf>
    <xf numFmtId="273" fontId="10" fillId="0" borderId="0"/>
    <xf numFmtId="14" fontId="62" fillId="0" borderId="0">
      <alignment horizontal="center" wrapText="1"/>
      <protection locked="0"/>
    </xf>
    <xf numFmtId="164" fontId="9" fillId="0" borderId="0"/>
    <xf numFmtId="190" fontId="10" fillId="0" borderId="0" applyFont="0" applyFill="0" applyBorder="0" applyAlignment="0" applyProtection="0"/>
    <xf numFmtId="190" fontId="10" fillId="0" borderId="0" applyFont="0" applyFill="0" applyBorder="0" applyAlignment="0" applyProtection="0"/>
    <xf numFmtId="190"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37" fontId="40" fillId="0" borderId="0" applyFont="0" applyFill="0" applyBorder="0" applyAlignment="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8" fillId="0" borderId="0" applyFont="0" applyFill="0" applyBorder="0" applyAlignment="0" applyProtection="0"/>
    <xf numFmtId="9" fontId="16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7" fillId="0" borderId="0" applyFont="0" applyFill="0" applyBorder="0" applyAlignment="0" applyProtection="0"/>
    <xf numFmtId="9" fontId="6" fillId="0" borderId="0" applyFont="0" applyFill="0" applyBorder="0" applyAlignment="0" applyProtection="0"/>
    <xf numFmtId="9" fontId="51"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42" fillId="0" borderId="12" applyNumberFormat="0" applyBorder="0"/>
    <xf numFmtId="275" fontId="17" fillId="0" borderId="0" applyFont="0" applyFill="0" applyBorder="0" applyAlignment="0" applyProtection="0">
      <alignment vertical="center"/>
    </xf>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276" fontId="86" fillId="0" borderId="0" applyFont="0" applyFill="0" applyBorder="0" applyAlignment="0" applyProtection="0"/>
    <xf numFmtId="277" fontId="4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9" fontId="175" fillId="0" borderId="20">
      <alignment horizontal="center"/>
    </xf>
    <xf numFmtId="13" fontId="10" fillId="0" borderId="0" applyFont="0" applyFill="0" applyProtection="0"/>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5" fontId="9" fillId="0" borderId="0">
      <alignment horizontal="right"/>
    </xf>
    <xf numFmtId="9" fontId="176" fillId="0" borderId="0" applyNumberFormat="0" applyFill="0" applyBorder="0" applyAlignment="0" applyProtection="0"/>
    <xf numFmtId="9" fontId="10" fillId="0" borderId="0" applyFont="0" applyFill="0" applyBorder="0" applyAlignment="0" applyProtection="0"/>
    <xf numFmtId="164" fontId="18" fillId="79" borderId="0" applyNumberFormat="0" applyFill="0" applyBorder="0" applyAlignment="0"/>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267" fontId="64" fillId="0" borderId="0" applyNumberFormat="0" applyFill="0" applyBorder="0" applyAlignment="0" applyProtection="0">
      <alignment horizontal="left"/>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38" fontId="138" fillId="0" borderId="0"/>
    <xf numFmtId="164" fontId="85" fillId="0" borderId="0" applyNumberFormat="0" applyFill="0" applyBorder="0">
      <alignment horizontal="left" vertical="center" wrapText="1"/>
    </xf>
    <xf numFmtId="164" fontId="17" fillId="0" borderId="0" applyNumberFormat="0" applyFill="0" applyBorder="0">
      <alignment horizontal="left" vertical="center" wrapText="1" indent="1"/>
    </xf>
    <xf numFmtId="164" fontId="86" fillId="0" borderId="0"/>
    <xf numFmtId="164" fontId="86" fillId="0" borderId="0"/>
    <xf numFmtId="164" fontId="86" fillId="0" borderId="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2" fillId="80" borderId="0"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164" fontId="71" fillId="48" borderId="0" applyNumberFormat="0" applyBorder="0" applyAlignment="0" applyProtection="0"/>
    <xf numFmtId="164" fontId="71" fillId="48" borderId="0" applyNumberFormat="0" applyBorder="0" applyAlignment="0" applyProtection="0"/>
    <xf numFmtId="197" fontId="40" fillId="0" borderId="0">
      <alignment horizontal="right"/>
    </xf>
    <xf numFmtId="164" fontId="135" fillId="0" borderId="0" applyNumberFormat="0" applyFill="0" applyBorder="0" applyProtection="0">
      <alignment horizontal="left" vertical="center"/>
    </xf>
    <xf numFmtId="42" fontId="183" fillId="0" borderId="0" applyFill="0" applyBorder="0" applyAlignment="0" applyProtection="0"/>
    <xf numFmtId="164" fontId="184" fillId="81" borderId="0">
      <alignment horizontal="right" vertical="center"/>
    </xf>
    <xf numFmtId="164" fontId="184" fillId="81" borderId="0">
      <alignment horizontal="right" vertical="center"/>
    </xf>
    <xf numFmtId="164" fontId="184" fillId="82" borderId="0">
      <alignment horizontal="right" vertical="center"/>
    </xf>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40" fontId="86" fillId="0" borderId="0" applyFont="0" applyFill="0" applyBorder="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85" fillId="83" borderId="0" applyNumberFormat="0" applyFont="0" applyFill="0" applyBorder="0" applyAlignment="0" applyProtection="0">
      <alignment horizontal="center"/>
    </xf>
    <xf numFmtId="164" fontId="8" fillId="0" borderId="0"/>
    <xf numFmtId="278" fontId="10" fillId="0" borderId="0">
      <alignment horizontal="center"/>
    </xf>
    <xf numFmtId="278" fontId="10" fillId="0" borderId="0">
      <alignment horizontal="center"/>
    </xf>
    <xf numFmtId="278" fontId="10" fillId="0" borderId="0">
      <alignment horizontal="center"/>
    </xf>
    <xf numFmtId="164" fontId="10" fillId="0" borderId="0"/>
    <xf numFmtId="164" fontId="186" fillId="0" borderId="20" applyFill="0" applyBorder="0" applyAlignment="0" applyProtection="0"/>
    <xf numFmtId="267" fontId="64" fillId="41" borderId="0" applyNumberFormat="0" applyFont="0" applyBorder="0" applyAlignment="0">
      <protection hidden="1"/>
    </xf>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5" fillId="0" borderId="0" applyNumberFormat="0" applyAlignment="0" applyProtection="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9" fillId="0" borderId="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87" fillId="0" borderId="0"/>
    <xf numFmtId="164" fontId="187" fillId="0" borderId="0"/>
    <xf numFmtId="164" fontId="187" fillId="0" borderId="0"/>
    <xf numFmtId="164" fontId="187" fillId="0" borderId="0"/>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164" fontId="152" fillId="0" borderId="0"/>
    <xf numFmtId="164" fontId="152" fillId="0" borderId="0"/>
    <xf numFmtId="164" fontId="152" fillId="0" borderId="0"/>
    <xf numFmtId="164" fontId="152" fillId="0" borderId="0"/>
    <xf numFmtId="164" fontId="10" fillId="0" borderId="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164" fontId="17" fillId="71" borderId="0" applyNumberFormat="0" applyFont="0" applyBorder="0" applyAlignment="0" applyProtection="0">
      <alignment vertical="center"/>
    </xf>
    <xf numFmtId="164" fontId="17" fillId="0" borderId="0" applyNumberFormat="0" applyFont="0" applyFill="0" applyAlignment="0" applyProtection="0">
      <alignment vertical="center"/>
    </xf>
    <xf numFmtId="235" fontId="17" fillId="0" borderId="0" applyNumberFormat="0" applyFont="0" applyBorder="0" applyAlignment="0" applyProtection="0">
      <alignment vertical="center"/>
    </xf>
    <xf numFmtId="3" fontId="10" fillId="0" borderId="0"/>
    <xf numFmtId="3" fontId="10" fillId="0" borderId="0"/>
    <xf numFmtId="3" fontId="10" fillId="0" borderId="0"/>
    <xf numFmtId="3" fontId="10" fillId="0" borderId="0"/>
    <xf numFmtId="3" fontId="10" fillId="0" borderId="0"/>
    <xf numFmtId="239" fontId="10" fillId="69" borderId="0" applyNumberFormat="0" applyFont="0" applyBorder="0" applyAlignment="0" applyProtection="0"/>
    <xf numFmtId="49" fontId="10" fillId="0" borderId="0" applyFont="0" applyFill="0" applyBorder="0" applyAlignment="0" applyProtection="0"/>
    <xf numFmtId="49" fontId="18" fillId="0" borderId="0" applyFill="0" applyBorder="0" applyAlignment="0"/>
    <xf numFmtId="279" fontId="10" fillId="0" borderId="0" applyFill="0" applyBorder="0" applyAlignment="0"/>
    <xf numFmtId="279" fontId="10" fillId="0" borderId="0" applyFill="0" applyBorder="0" applyAlignment="0"/>
    <xf numFmtId="279" fontId="10" fillId="0" borderId="0" applyFill="0" applyBorder="0" applyAlignment="0"/>
    <xf numFmtId="280" fontId="10" fillId="0" borderId="0" applyFill="0" applyBorder="0" applyAlignment="0"/>
    <xf numFmtId="280" fontId="10" fillId="0" borderId="0" applyFill="0" applyBorder="0" applyAlignment="0"/>
    <xf numFmtId="280" fontId="10" fillId="0" borderId="0" applyFill="0" applyBorder="0" applyAlignment="0"/>
    <xf numFmtId="164" fontId="39" fillId="84" borderId="0"/>
    <xf numFmtId="164" fontId="39" fillId="65" borderId="0" applyFill="0"/>
    <xf numFmtId="164" fontId="40" fillId="65" borderId="0" applyFill="0">
      <alignment horizontal="left"/>
    </xf>
    <xf numFmtId="164" fontId="40" fillId="65" borderId="0" applyFill="0">
      <alignment horizontal="left"/>
    </xf>
    <xf numFmtId="164" fontId="40" fillId="84" borderId="0">
      <alignment horizontal="left"/>
    </xf>
    <xf numFmtId="164" fontId="40" fillId="65" borderId="0" applyFill="0">
      <alignment horizontal="left" indent="1"/>
    </xf>
    <xf numFmtId="164" fontId="40" fillId="65" borderId="0" applyFill="0">
      <alignment horizontal="left" indent="1"/>
    </xf>
    <xf numFmtId="164" fontId="106" fillId="0" borderId="0" applyNumberFormat="0" applyFill="0" applyBorder="0" applyAlignment="0" applyProtection="0"/>
    <xf numFmtId="164" fontId="106" fillId="0" borderId="0" applyNumberFormat="0" applyFill="0" applyBorder="0" applyAlignment="0" applyProtection="0"/>
    <xf numFmtId="164" fontId="63" fillId="0" borderId="0" applyNumberFormat="0" applyFill="0" applyBorder="0" applyAlignment="0" applyProtection="0"/>
    <xf numFmtId="164" fontId="106" fillId="0" borderId="0" applyNumberFormat="0" applyFill="0" applyBorder="0" applyAlignment="0" applyProtection="0"/>
    <xf numFmtId="281" fontId="189" fillId="0" borderId="0" applyFill="0" applyBorder="0" applyAlignment="0" applyProtection="0">
      <alignment horizontal="right"/>
    </xf>
    <xf numFmtId="164" fontId="86" fillId="0" borderId="0" applyNumberFormat="0" applyFill="0" applyBorder="0" applyAlignment="0" applyProtection="0"/>
    <xf numFmtId="164" fontId="11" fillId="0" borderId="0" applyNumberFormat="0" applyFill="0" applyBorder="0" applyAlignment="0" applyProtection="0"/>
    <xf numFmtId="40" fontId="190" fillId="0" borderId="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2" fillId="0" borderId="0" applyNumberFormat="0" applyFill="0" applyBorder="0" applyAlignment="0" applyProtection="0"/>
    <xf numFmtId="164" fontId="193" fillId="0" borderId="57" applyNumberFormat="0" applyFill="0" applyAlignment="0" applyProtection="0"/>
    <xf numFmtId="164" fontId="193" fillId="0" borderId="57" applyNumberFormat="0" applyFill="0" applyAlignment="0" applyProtection="0"/>
    <xf numFmtId="164" fontId="194" fillId="0" borderId="58" applyNumberFormat="0" applyFill="0" applyAlignment="0" applyProtection="0"/>
    <xf numFmtId="164" fontId="194" fillId="0" borderId="58" applyNumberFormat="0" applyFill="0" applyAlignment="0" applyProtection="0"/>
    <xf numFmtId="164" fontId="195" fillId="0" borderId="59" applyNumberFormat="0" applyFill="0" applyAlignment="0" applyProtection="0"/>
    <xf numFmtId="164" fontId="195" fillId="0" borderId="59" applyNumberFormat="0" applyFill="0" applyAlignment="0" applyProtection="0"/>
    <xf numFmtId="164" fontId="195" fillId="0" borderId="0" applyNumberFormat="0" applyFill="0" applyBorder="0" applyAlignment="0" applyProtection="0"/>
    <xf numFmtId="164" fontId="195" fillId="0" borderId="0" applyNumberFormat="0" applyFill="0" applyBorder="0" applyAlignment="0" applyProtection="0"/>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64" fontId="191" fillId="0" borderId="0" applyNumberFormat="0" applyFill="0" applyBorder="0" applyAlignment="0" applyProtection="0"/>
    <xf numFmtId="164" fontId="196" fillId="0" borderId="16" applyNumberFormat="0" applyFill="0" applyAlignment="0" applyProtection="0"/>
    <xf numFmtId="164" fontId="132" fillId="0" borderId="17" applyNumberFormat="0" applyFill="0" applyAlignment="0" applyProtection="0"/>
    <xf numFmtId="164" fontId="133" fillId="0" borderId="18" applyNumberFormat="0" applyFill="0" applyAlignment="0" applyProtection="0"/>
    <xf numFmtId="164" fontId="133" fillId="0" borderId="0" applyNumberFormat="0" applyFill="0" applyBorder="0" applyAlignment="0" applyProtection="0"/>
    <xf numFmtId="164" fontId="197" fillId="0" borderId="0">
      <alignment vertical="top" wrapText="1"/>
    </xf>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235" fontId="85" fillId="63" borderId="0" applyNumberFormat="0" applyAlignment="0" applyProtection="0">
      <alignment vertical="center"/>
    </xf>
    <xf numFmtId="229" fontId="10" fillId="56" borderId="0"/>
    <xf numFmtId="194" fontId="10" fillId="0" borderId="0" applyFont="0" applyFill="0" applyBorder="0" applyAlignment="0" applyProtection="0"/>
    <xf numFmtId="169" fontId="12" fillId="0" borderId="0" applyFont="0" applyFill="0" applyBorder="0" applyAlignment="0" applyProtection="0"/>
    <xf numFmtId="40" fontId="42" fillId="0" borderId="0" applyFont="0" applyFill="0" applyBorder="0" applyAlignment="0" applyProtection="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17" fillId="0" borderId="0" applyNumberFormat="0" applyFont="0" applyBorder="0" applyAlignment="0" applyProtection="0">
      <alignment vertical="center"/>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17" fillId="0" borderId="0" applyNumberFormat="0" applyFont="0" applyAlignment="0" applyProtection="0">
      <alignment vertical="center"/>
    </xf>
    <xf numFmtId="164" fontId="12" fillId="69" borderId="0"/>
    <xf numFmtId="282" fontId="10" fillId="0" borderId="0" applyFont="0" applyFill="0" applyBorder="0" applyAlignment="0" applyProtection="0"/>
    <xf numFmtId="42" fontId="10" fillId="0" borderId="0" applyFont="0" applyFill="0" applyBorder="0" applyAlignment="0" applyProtection="0"/>
    <xf numFmtId="283" fontId="10" fillId="0" borderId="0" applyFont="0" applyFill="0" applyBorder="0" applyAlignment="0" applyProtection="0"/>
    <xf numFmtId="164" fontId="38" fillId="0" borderId="20" applyFill="0" applyBorder="0" applyAlignment="0" applyProtection="0"/>
    <xf numFmtId="164" fontId="201" fillId="68" borderId="0"/>
    <xf numFmtId="49" fontId="39" fillId="68" borderId="62" applyFill="0" applyBorder="0"/>
    <xf numFmtId="49" fontId="39" fillId="0" borderId="63" applyFill="0" applyBorder="0">
      <alignment wrapText="1"/>
    </xf>
    <xf numFmtId="49" fontId="39" fillId="71" borderId="0" applyBorder="0">
      <alignment horizontal="left" wrapText="1"/>
    </xf>
    <xf numFmtId="284" fontId="202"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0" fontId="40"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3" fontId="40" fillId="68" borderId="0" applyFill="0" applyBorder="0">
      <alignment horizontal="right"/>
    </xf>
    <xf numFmtId="164" fontId="39" fillId="68" borderId="0" applyFill="0" applyBorder="0"/>
    <xf numFmtId="285" fontId="40" fillId="68" borderId="0" applyFill="0" applyBorder="0">
      <alignment horizontal="right"/>
    </xf>
    <xf numFmtId="49" fontId="59" fillId="71" borderId="0" applyBorder="0"/>
    <xf numFmtId="10" fontId="202" fillId="71" borderId="0" applyFill="0" applyBorder="0"/>
    <xf numFmtId="49"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6" fontId="40" fillId="68" borderId="0" applyFill="0" applyBorder="0">
      <alignment horizontal="right"/>
    </xf>
    <xf numFmtId="49" fontId="39" fillId="68" borderId="0" applyFill="0" applyBorder="0">
      <alignment horizontal="left"/>
    </xf>
    <xf numFmtId="10" fontId="40" fillId="68" borderId="0" applyFill="0" applyBorder="0"/>
    <xf numFmtId="164" fontId="203" fillId="68" borderId="0" applyFill="0" applyBorder="0"/>
    <xf numFmtId="164" fontId="203" fillId="68" borderId="0" applyFill="0" applyBorder="0"/>
    <xf numFmtId="164" fontId="203" fillId="68" borderId="0" applyFill="0" applyBorder="0"/>
    <xf numFmtId="164" fontId="203" fillId="68" borderId="0" applyFill="0" applyBorder="0"/>
    <xf numFmtId="164" fontId="40" fillId="0" borderId="0" applyBorder="0"/>
    <xf numFmtId="164" fontId="40" fillId="0" borderId="0" applyBorder="0"/>
    <xf numFmtId="164" fontId="40" fillId="0" borderId="0" applyBorder="0"/>
    <xf numFmtId="164" fontId="40"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71" borderId="0" applyFill="0" applyBorder="0"/>
    <xf numFmtId="164" fontId="40" fillId="71" borderId="0" applyFill="0" applyBorder="0"/>
    <xf numFmtId="164" fontId="40" fillId="71" borderId="0" applyFill="0" applyBorder="0"/>
    <xf numFmtId="164" fontId="40" fillId="71" borderId="0" applyFill="0" applyBorder="0"/>
    <xf numFmtId="49" fontId="113"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7" fontId="40" fillId="68" borderId="0" applyFill="0" applyBorder="0">
      <alignment horizontal="right"/>
    </xf>
    <xf numFmtId="164" fontId="40" fillId="0" borderId="0" applyFill="0" applyBorder="0"/>
    <xf numFmtId="49" fontId="39" fillId="71" borderId="0" applyBorder="0"/>
    <xf numFmtId="49" fontId="39" fillId="71"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49" fontId="39" fillId="71" borderId="0" applyBorder="0">
      <alignment horizontal="left"/>
    </xf>
    <xf numFmtId="49" fontId="39" fillId="71" borderId="0" applyBorder="0">
      <alignment horizontal="left"/>
    </xf>
    <xf numFmtId="284" fontId="202" fillId="0" borderId="0" applyBorder="0"/>
    <xf numFmtId="284" fontId="40" fillId="0" borderId="0" applyBorder="0"/>
    <xf numFmtId="284" fontId="202" fillId="68" borderId="0" applyFill="0" applyBorder="0"/>
    <xf numFmtId="284" fontId="40" fillId="71" borderId="0" applyFill="0" applyBorder="0"/>
    <xf numFmtId="284" fontId="40" fillId="68" borderId="0" applyFill="0" applyBorder="0"/>
    <xf numFmtId="284" fontId="40" fillId="68" borderId="0" applyFill="0" applyBorder="0"/>
    <xf numFmtId="285" fontId="40" fillId="68" borderId="0">
      <alignment horizontal="right"/>
    </xf>
    <xf numFmtId="285" fontId="40" fillId="68" borderId="0" applyFill="0" applyBorder="0">
      <alignment horizontal="right"/>
    </xf>
    <xf numFmtId="285" fontId="40" fillId="68" borderId="0" applyFill="0" applyBorder="0">
      <alignment horizontal="right"/>
    </xf>
    <xf numFmtId="285" fontId="40" fillId="68" borderId="0" applyFill="0" applyBorder="0">
      <alignment horizontal="right"/>
    </xf>
    <xf numFmtId="285" fontId="40" fillId="0" borderId="0" applyFont="0" applyFill="0" applyBorder="0">
      <alignment horizontal="right"/>
    </xf>
    <xf numFmtId="49" fontId="39" fillId="68" borderId="0" applyFill="0" applyBorder="0"/>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284" fontId="40" fillId="0" borderId="0" applyBorder="0"/>
    <xf numFmtId="284" fontId="39" fillId="0" borderId="0" applyBorder="0"/>
    <xf numFmtId="284" fontId="40" fillId="0" borderId="0" applyBorder="0"/>
    <xf numFmtId="284" fontId="39" fillId="0" borderId="0" applyBorder="0"/>
    <xf numFmtId="285" fontId="40" fillId="68" borderId="0" applyFill="0" applyBorder="0">
      <alignment horizontal="right"/>
    </xf>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2" fontId="122" fillId="0" borderId="0" applyFont="0" applyFill="0" applyBorder="0" applyAlignment="0" applyProtection="0"/>
    <xf numFmtId="288" fontId="12" fillId="0" borderId="20" applyBorder="0" applyAlignment="0">
      <alignment horizontal="center"/>
    </xf>
    <xf numFmtId="164" fontId="205" fillId="0" borderId="0"/>
    <xf numFmtId="289" fontId="10" fillId="0" borderId="0" applyFont="0" applyFill="0" applyBorder="0" applyAlignment="0" applyProtection="0"/>
    <xf numFmtId="290" fontId="10" fillId="0" borderId="0" applyFont="0" applyFill="0" applyBorder="0" applyAlignment="0" applyProtection="0"/>
    <xf numFmtId="42" fontId="8" fillId="0" borderId="0" applyFont="0" applyFill="0" applyBorder="0" applyAlignment="0" applyProtection="0"/>
    <xf numFmtId="44" fontId="8" fillId="0" borderId="0" applyFon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58" fillId="0" borderId="64"/>
    <xf numFmtId="164" fontId="58" fillId="0" borderId="64"/>
    <xf numFmtId="239" fontId="207" fillId="0" borderId="0" applyNumberFormat="0" applyFill="0" applyBorder="0" applyAlignment="0" applyProtection="0"/>
    <xf numFmtId="291" fontId="58" fillId="0" borderId="0" applyFont="0" applyFill="0" applyBorder="0" applyAlignment="0" applyProtection="0"/>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9" fillId="0" borderId="0"/>
    <xf numFmtId="9" fontId="210" fillId="0" borderId="0" applyFont="0" applyFill="0" applyBorder="0" applyAlignment="0" applyProtection="0"/>
    <xf numFmtId="164" fontId="211" fillId="0" borderId="0"/>
    <xf numFmtId="164" fontId="210" fillId="0" borderId="0"/>
    <xf numFmtId="164" fontId="210" fillId="0" borderId="0"/>
    <xf numFmtId="164" fontId="210" fillId="0" borderId="0"/>
    <xf numFmtId="164" fontId="210" fillId="0" borderId="0"/>
    <xf numFmtId="169" fontId="210" fillId="0" borderId="0" applyFont="0" applyFill="0" applyBorder="0" applyAlignment="0" applyProtection="0"/>
    <xf numFmtId="194" fontId="210" fillId="0" borderId="0" applyFont="0" applyFill="0" applyBorder="0" applyAlignment="0" applyProtection="0"/>
    <xf numFmtId="292" fontId="210" fillId="0" borderId="0" applyFont="0" applyFill="0" applyBorder="0" applyAlignment="0" applyProtection="0"/>
    <xf numFmtId="293" fontId="210" fillId="0" borderId="0" applyFont="0" applyFill="0" applyBorder="0" applyAlignment="0" applyProtection="0"/>
    <xf numFmtId="164" fontId="210" fillId="0" borderId="0"/>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3" fillId="0" borderId="0"/>
    <xf numFmtId="38" fontId="214" fillId="0" borderId="0" applyFont="0" applyFill="0" applyBorder="0" applyAlignment="0" applyProtection="0"/>
    <xf numFmtId="41" fontId="215"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216" fillId="0" borderId="0" applyFont="0" applyFill="0" applyBorder="0" applyAlignment="0" applyProtection="0"/>
    <xf numFmtId="164" fontId="216" fillId="0" borderId="0" applyFont="0" applyFill="0" applyBorder="0" applyAlignment="0" applyProtection="0"/>
    <xf numFmtId="164" fontId="217" fillId="0" borderId="0"/>
    <xf numFmtId="164" fontId="55" fillId="85"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86" borderId="0" applyNumberFormat="0" applyBorder="0" applyAlignment="0" applyProtection="0">
      <alignment vertical="center"/>
    </xf>
    <xf numFmtId="164" fontId="55" fillId="39" borderId="0" applyNumberFormat="0" applyBorder="0" applyAlignment="0" applyProtection="0">
      <alignment vertical="center"/>
    </xf>
    <xf numFmtId="164" fontId="55" fillId="36" borderId="0" applyNumberFormat="0" applyBorder="0" applyAlignment="0" applyProtection="0">
      <alignment vertical="center"/>
    </xf>
    <xf numFmtId="164" fontId="218" fillId="0" borderId="0" applyNumberFormat="0" applyFill="0" applyBorder="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20" fillId="34" borderId="0" applyNumberFormat="0" applyBorder="0" applyAlignment="0" applyProtection="0">
      <alignment vertical="center"/>
    </xf>
    <xf numFmtId="9" fontId="17" fillId="0" borderId="0" applyFont="0" applyFill="0" applyBorder="0" applyAlignment="0" applyProtection="0"/>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2" fillId="0" borderId="65" applyNumberFormat="0" applyFill="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11" fillId="0" borderId="0" applyFont="0" applyFill="0" applyBorder="0" applyAlignment="0" applyProtection="0"/>
    <xf numFmtId="164" fontId="11" fillId="0" borderId="0" applyFont="0" applyFill="0" applyBorder="0" applyAlignment="0" applyProtection="0"/>
    <xf numFmtId="194" fontId="10" fillId="0" borderId="0" applyFont="0" applyFill="0" applyBorder="0" applyAlignment="0" applyProtection="0">
      <alignment vertical="center"/>
    </xf>
    <xf numFmtId="43" fontId="6" fillId="0" borderId="0" applyFont="0" applyFill="0" applyBorder="0" applyAlignment="0" applyProtection="0">
      <alignment vertical="center"/>
    </xf>
    <xf numFmtId="294"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294" fontId="10" fillId="0" borderId="0" applyFont="0" applyFill="0" applyBorder="0" applyAlignment="0" applyProtection="0"/>
    <xf numFmtId="294" fontId="10" fillId="0" borderId="0" applyFont="0" applyFill="0" applyBorder="0" applyAlignment="0" applyProtection="0"/>
    <xf numFmtId="43" fontId="47" fillId="0" borderId="0" applyFon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94" fontId="10" fillId="0" borderId="0" applyFont="0" applyFill="0" applyBorder="0" applyAlignment="0" applyProtection="0">
      <alignment vertical="center"/>
    </xf>
    <xf numFmtId="194" fontId="6" fillId="0" borderId="0" applyFont="0" applyFill="0" applyBorder="0" applyAlignment="0" applyProtection="0">
      <alignment vertical="center"/>
    </xf>
    <xf numFmtId="194" fontId="10" fillId="0" borderId="0" applyFont="0" applyFill="0" applyBorder="0" applyAlignment="0" applyProtection="0">
      <alignment vertical="center"/>
    </xf>
    <xf numFmtId="194" fontId="47"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47" fillId="0" borderId="0" applyFont="0" applyFill="0" applyBorder="0" applyAlignment="0" applyProtection="0">
      <alignment vertical="center"/>
    </xf>
    <xf numFmtId="43" fontId="47" fillId="0" borderId="0" applyFont="0" applyFill="0" applyBorder="0" applyAlignment="0" applyProtection="0"/>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41" fontId="47" fillId="0" borderId="0" applyFont="0" applyFill="0" applyBorder="0" applyAlignment="0" applyProtection="0"/>
    <xf numFmtId="194" fontId="86" fillId="0" borderId="0" applyFont="0" applyFill="0" applyBorder="0" applyAlignment="0" applyProtection="0"/>
    <xf numFmtId="169" fontId="86" fillId="0" borderId="0" applyFont="0" applyFill="0" applyBorder="0" applyAlignment="0" applyProtection="0"/>
    <xf numFmtId="164" fontId="225" fillId="0" borderId="0" applyNumberFormat="0" applyFill="0" applyBorder="0" applyAlignment="0" applyProtection="0">
      <alignment vertical="top"/>
      <protection locked="0"/>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47" fillId="0" borderId="0"/>
    <xf numFmtId="164" fontId="6" fillId="0" borderId="0">
      <alignment vertical="center"/>
    </xf>
    <xf numFmtId="164" fontId="6" fillId="0" borderId="0">
      <alignment vertical="center"/>
    </xf>
    <xf numFmtId="164" fontId="228" fillId="0" borderId="0"/>
    <xf numFmtId="164" fontId="47" fillId="0" borderId="0">
      <alignment vertical="center"/>
    </xf>
    <xf numFmtId="164" fontId="47" fillId="0" borderId="0">
      <alignment vertical="center"/>
    </xf>
    <xf numFmtId="164" fontId="6" fillId="0" borderId="0">
      <alignment vertical="center"/>
    </xf>
    <xf numFmtId="164" fontId="47" fillId="0" borderId="0">
      <alignment vertical="center"/>
    </xf>
    <xf numFmtId="164" fontId="10" fillId="0" borderId="0">
      <alignment vertical="center"/>
    </xf>
    <xf numFmtId="164" fontId="10" fillId="0" borderId="0"/>
    <xf numFmtId="164" fontId="6" fillId="0" borderId="0">
      <alignment vertical="center"/>
    </xf>
    <xf numFmtId="164" fontId="47" fillId="0" borderId="0">
      <alignment vertical="center"/>
    </xf>
    <xf numFmtId="164" fontId="10" fillId="0" borderId="0"/>
    <xf numFmtId="164" fontId="47" fillId="0" borderId="0">
      <alignment vertical="center"/>
    </xf>
    <xf numFmtId="164" fontId="163" fillId="0" borderId="0"/>
    <xf numFmtId="164" fontId="10" fillId="0" borderId="0"/>
    <xf numFmtId="164" fontId="10" fillId="0" borderId="0"/>
    <xf numFmtId="164" fontId="6" fillId="0" borderId="0">
      <alignment vertical="center"/>
    </xf>
    <xf numFmtId="164" fontId="10" fillId="0" borderId="0"/>
    <xf numFmtId="164" fontId="47" fillId="0" borderId="0">
      <alignment vertical="center"/>
    </xf>
    <xf numFmtId="164" fontId="47" fillId="0" borderId="0"/>
    <xf numFmtId="164" fontId="47" fillId="0" borderId="0"/>
    <xf numFmtId="164" fontId="10" fillId="0" borderId="0"/>
    <xf numFmtId="164" fontId="10" fillId="0" borderId="0"/>
    <xf numFmtId="164" fontId="10" fillId="0" borderId="0"/>
    <xf numFmtId="164" fontId="6" fillId="0" borderId="0">
      <alignment vertical="center"/>
    </xf>
    <xf numFmtId="164" fontId="47" fillId="0" borderId="0"/>
    <xf numFmtId="164" fontId="6" fillId="0" borderId="0">
      <alignment vertical="center"/>
    </xf>
    <xf numFmtId="164" fontId="6" fillId="0" borderId="0"/>
    <xf numFmtId="164" fontId="6" fillId="0" borderId="0">
      <alignment vertical="center"/>
    </xf>
    <xf numFmtId="164" fontId="6" fillId="0" borderId="0"/>
    <xf numFmtId="164" fontId="10" fillId="0" borderId="0"/>
    <xf numFmtId="164" fontId="11" fillId="0" borderId="0"/>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229" fillId="47" borderId="0" applyNumberFormat="0" applyBorder="0" applyAlignment="0" applyProtection="0">
      <alignment vertical="center"/>
    </xf>
    <xf numFmtId="164" fontId="86" fillId="0" borderId="0"/>
    <xf numFmtId="164" fontId="52" fillId="0" borderId="0"/>
    <xf numFmtId="164" fontId="52" fillId="0" borderId="0"/>
    <xf numFmtId="164" fontId="52" fillId="0" borderId="0"/>
    <xf numFmtId="164" fontId="52" fillId="0" borderId="0"/>
    <xf numFmtId="164" fontId="230" fillId="0" borderId="0" applyNumberFormat="0" applyFill="0" applyBorder="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9" fillId="0" borderId="0"/>
    <xf numFmtId="164" fontId="9" fillId="0" borderId="0"/>
    <xf numFmtId="164" fontId="9" fillId="0" borderId="0"/>
    <xf numFmtId="164" fontId="9" fillId="0" borderId="0"/>
    <xf numFmtId="164" fontId="9" fillId="0" borderId="0"/>
    <xf numFmtId="194" fontId="50" fillId="0" borderId="0" applyFont="0" applyFill="0" applyBorder="0" applyAlignment="0" applyProtection="0"/>
    <xf numFmtId="194" fontId="50" fillId="0" borderId="0" applyFont="0" applyFill="0" applyBorder="0" applyAlignment="0" applyProtection="0"/>
    <xf numFmtId="40" fontId="234" fillId="0" borderId="0" applyFont="0" applyFill="0" applyBorder="0" applyAlignment="0" applyProtection="0"/>
    <xf numFmtId="38" fontId="235" fillId="0" borderId="0" applyFont="0" applyFill="0" applyBorder="0" applyAlignment="0" applyProtection="0">
      <alignment vertical="center"/>
    </xf>
    <xf numFmtId="41" fontId="10" fillId="0" borderId="0" applyFont="0" applyFill="0" applyBorder="0" applyAlignment="0" applyProtection="0"/>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17" fillId="0" borderId="0"/>
    <xf numFmtId="164" fontId="50" fillId="0" borderId="0"/>
    <xf numFmtId="164" fontId="17" fillId="0" borderId="0"/>
    <xf numFmtId="164" fontId="10" fillId="0" borderId="0"/>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295" fontId="11" fillId="0" borderId="0" applyFont="0" applyFill="0" applyBorder="0" applyAlignment="0" applyProtection="0"/>
    <xf numFmtId="296" fontId="11" fillId="0" borderId="0" applyFont="0" applyFill="0" applyBorder="0" applyAlignment="0" applyProtection="0"/>
    <xf numFmtId="9" fontId="10" fillId="0" borderId="0" applyFont="0" applyFill="0" applyBorder="0" applyAlignment="0" applyProtection="0">
      <alignment vertical="center"/>
    </xf>
    <xf numFmtId="9" fontId="10" fillId="0" borderId="0" applyFont="0" applyFill="0" applyBorder="0" applyAlignment="0" applyProtection="0"/>
    <xf numFmtId="9" fontId="47"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xf numFmtId="9" fontId="10" fillId="0" borderId="0" applyFont="0" applyFill="0" applyBorder="0" applyAlignment="0" applyProtection="0">
      <alignment vertical="center"/>
    </xf>
    <xf numFmtId="164" fontId="238" fillId="48" borderId="0" applyNumberFormat="0" applyBorder="0" applyAlignment="0" applyProtection="0">
      <alignment vertical="center"/>
    </xf>
    <xf numFmtId="164" fontId="239" fillId="0" borderId="66" applyNumberFormat="0" applyFill="0" applyAlignment="0" applyProtection="0">
      <alignment vertical="center"/>
    </xf>
    <xf numFmtId="164" fontId="240" fillId="0" borderId="67" applyNumberFormat="0" applyFill="0" applyAlignment="0" applyProtection="0">
      <alignment vertical="center"/>
    </xf>
    <xf numFmtId="164" fontId="241" fillId="0" borderId="68" applyNumberFormat="0" applyFill="0" applyAlignment="0" applyProtection="0">
      <alignment vertical="center"/>
    </xf>
    <xf numFmtId="164" fontId="241"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4" fillId="0" borderId="0" applyNumberFormat="0" applyFill="0" applyBorder="0" applyAlignment="0" applyProtection="0">
      <alignment vertical="center"/>
    </xf>
    <xf numFmtId="164" fontId="222"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7"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297" fontId="234" fillId="0" borderId="0" applyFont="0" applyFill="0" applyBorder="0" applyAlignment="0" applyProtection="0"/>
    <xf numFmtId="298" fontId="234" fillId="0" borderId="0" applyFont="0" applyFill="0" applyBorder="0" applyAlignment="0" applyProtection="0"/>
    <xf numFmtId="164" fontId="251" fillId="0" borderId="0"/>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266" fontId="11" fillId="0" borderId="0" applyFont="0" applyFill="0" applyBorder="0" applyAlignment="0" applyProtection="0"/>
    <xf numFmtId="299" fontId="47" fillId="0" borderId="0" applyFont="0" applyFill="0" applyBorder="0" applyAlignment="0" applyProtection="0"/>
    <xf numFmtId="0" fontId="6" fillId="0" borderId="0"/>
    <xf numFmtId="0" fontId="1" fillId="0" borderId="0"/>
    <xf numFmtId="164" fontId="259" fillId="0" borderId="0" applyNumberFormat="0" applyFill="0" applyBorder="0" applyAlignment="0" applyProtection="0"/>
  </cellStyleXfs>
  <cellXfs count="178">
    <xf numFmtId="164" fontId="0" fillId="0" borderId="0" xfId="0"/>
    <xf numFmtId="0" fontId="0" fillId="0" borderId="0" xfId="0" applyNumberFormat="1"/>
    <xf numFmtId="164" fontId="0" fillId="0" borderId="0" xfId="0" applyFill="1" applyAlignment="1" applyProtection="1">
      <protection locked="0"/>
    </xf>
    <xf numFmtId="164" fontId="0" fillId="0" borderId="0" xfId="0" applyAlignment="1" applyProtection="1">
      <protection locked="0"/>
    </xf>
    <xf numFmtId="164" fontId="0" fillId="0" borderId="0" xfId="0" applyFill="1" applyBorder="1" applyAlignment="1" applyProtection="1">
      <protection locked="0"/>
    </xf>
    <xf numFmtId="164" fontId="0" fillId="0" borderId="0" xfId="0" applyBorder="1" applyAlignment="1" applyProtection="1">
      <protection locked="0"/>
    </xf>
    <xf numFmtId="0" fontId="0" fillId="0" borderId="0" xfId="0" applyNumberFormat="1" applyAlignment="1" applyProtection="1">
      <protection locked="0"/>
    </xf>
    <xf numFmtId="0" fontId="0" fillId="0" borderId="0" xfId="0" applyNumberFormat="1" applyAlignment="1" applyProtection="1">
      <alignment horizontal="center"/>
      <protection locked="0"/>
    </xf>
    <xf numFmtId="14" fontId="0" fillId="0" borderId="0" xfId="0" applyNumberFormat="1" applyAlignment="1" applyProtection="1">
      <protection locked="0"/>
    </xf>
    <xf numFmtId="0" fontId="255" fillId="0" borderId="44" xfId="0" applyNumberFormat="1" applyFont="1" applyFill="1" applyBorder="1" applyAlignment="1" applyProtection="1"/>
    <xf numFmtId="164" fontId="254" fillId="0" borderId="71" xfId="0" applyFont="1" applyFill="1" applyBorder="1" applyAlignment="1" applyProtection="1"/>
    <xf numFmtId="164" fontId="254" fillId="89" borderId="0" xfId="0" applyFont="1" applyFill="1" applyBorder="1" applyAlignment="1" applyProtection="1"/>
    <xf numFmtId="14" fontId="254" fillId="89" borderId="71" xfId="0" applyNumberFormat="1" applyFont="1" applyFill="1" applyBorder="1" applyAlignment="1" applyProtection="1"/>
    <xf numFmtId="0" fontId="254" fillId="89" borderId="71" xfId="0" applyNumberFormat="1" applyFont="1" applyFill="1" applyBorder="1" applyAlignment="1" applyProtection="1"/>
    <xf numFmtId="0" fontId="254" fillId="89" borderId="72" xfId="0" applyNumberFormat="1" applyFont="1" applyFill="1" applyBorder="1" applyAlignment="1" applyProtection="1"/>
    <xf numFmtId="164" fontId="254" fillId="89" borderId="71" xfId="0" applyFont="1" applyFill="1" applyBorder="1" applyAlignment="1" applyProtection="1"/>
    <xf numFmtId="0" fontId="254" fillId="89" borderId="0" xfId="0" applyNumberFormat="1" applyFont="1" applyFill="1" applyBorder="1" applyAlignment="1" applyProtection="1">
      <alignment horizontal="center"/>
    </xf>
    <xf numFmtId="164" fontId="254" fillId="89" borderId="0" xfId="0" applyFont="1" applyFill="1" applyAlignment="1" applyProtection="1"/>
    <xf numFmtId="0" fontId="255" fillId="89" borderId="44" xfId="0" applyNumberFormat="1" applyFont="1" applyFill="1" applyBorder="1" applyAlignment="1" applyProtection="1"/>
    <xf numFmtId="14" fontId="254" fillId="89" borderId="0" xfId="0" applyNumberFormat="1" applyFont="1" applyFill="1" applyBorder="1" applyAlignment="1" applyProtection="1"/>
    <xf numFmtId="0" fontId="254" fillId="89" borderId="0" xfId="0" applyNumberFormat="1" applyFont="1" applyFill="1" applyBorder="1" applyAlignment="1" applyProtection="1"/>
    <xf numFmtId="0" fontId="0" fillId="0" borderId="70" xfId="0" applyNumberFormat="1" applyFill="1" applyBorder="1" applyAlignment="1" applyProtection="1"/>
    <xf numFmtId="164" fontId="254" fillId="0" borderId="73" xfId="0" applyFont="1" applyFill="1" applyBorder="1" applyAlignment="1" applyProtection="1"/>
    <xf numFmtId="164" fontId="0" fillId="0" borderId="74" xfId="0" applyFill="1" applyBorder="1" applyAlignment="1" applyProtection="1"/>
    <xf numFmtId="0" fontId="254" fillId="0" borderId="70" xfId="0" applyNumberFormat="1" applyFont="1" applyFill="1" applyBorder="1" applyAlignment="1" applyProtection="1"/>
    <xf numFmtId="0" fontId="254" fillId="89" borderId="0" xfId="0" applyNumberFormat="1" applyFont="1" applyFill="1" applyAlignment="1" applyProtection="1"/>
    <xf numFmtId="0" fontId="255" fillId="89" borderId="50" xfId="0" applyNumberFormat="1" applyFont="1" applyFill="1" applyBorder="1" applyAlignment="1" applyProtection="1"/>
    <xf numFmtId="164" fontId="0" fillId="89" borderId="0" xfId="0" applyFill="1" applyAlignment="1" applyProtection="1"/>
    <xf numFmtId="14" fontId="0" fillId="89" borderId="0" xfId="0" applyNumberFormat="1" applyFill="1" applyAlignment="1" applyProtection="1"/>
    <xf numFmtId="0" fontId="0" fillId="89" borderId="0" xfId="0" applyNumberFormat="1" applyFill="1" applyAlignment="1" applyProtection="1"/>
    <xf numFmtId="164" fontId="0" fillId="89" borderId="0" xfId="0" applyFill="1" applyBorder="1" applyAlignment="1" applyProtection="1"/>
    <xf numFmtId="0" fontId="0" fillId="89" borderId="0" xfId="0" applyNumberFormat="1" applyFill="1" applyBorder="1" applyAlignment="1" applyProtection="1">
      <alignment horizontal="center"/>
    </xf>
    <xf numFmtId="0" fontId="254" fillId="87" borderId="0" xfId="0" applyNumberFormat="1" applyFont="1" applyFill="1" applyBorder="1" applyAlignment="1" applyProtection="1"/>
    <xf numFmtId="164" fontId="0" fillId="89" borderId="0" xfId="0" applyNumberFormat="1" applyFill="1" applyAlignment="1" applyProtection="1"/>
    <xf numFmtId="0" fontId="198" fillId="89" borderId="0" xfId="0" applyNumberFormat="1" applyFont="1" applyFill="1" applyAlignment="1" applyProtection="1"/>
    <xf numFmtId="0" fontId="0" fillId="87" borderId="0" xfId="0" applyNumberFormat="1" applyFill="1" applyAlignment="1" applyProtection="1"/>
    <xf numFmtId="0" fontId="0" fillId="89" borderId="0" xfId="0" applyNumberFormat="1" applyFill="1" applyBorder="1" applyAlignment="1" applyProtection="1"/>
    <xf numFmtId="0" fontId="254" fillId="0" borderId="74" xfId="0" applyNumberFormat="1" applyFont="1" applyFill="1" applyBorder="1" applyAlignment="1" applyProtection="1"/>
    <xf numFmtId="164" fontId="255" fillId="0" borderId="74" xfId="0" applyFont="1" applyFill="1" applyBorder="1" applyAlignment="1" applyProtection="1"/>
    <xf numFmtId="164" fontId="254" fillId="0" borderId="74" xfId="0" applyFont="1" applyFill="1" applyBorder="1" applyAlignment="1" applyProtection="1"/>
    <xf numFmtId="0" fontId="0" fillId="0" borderId="0" xfId="0" applyNumberFormat="1" applyFill="1" applyAlignment="1" applyProtection="1"/>
    <xf numFmtId="164" fontId="0" fillId="0" borderId="0" xfId="0" applyFill="1" applyAlignment="1" applyProtection="1"/>
    <xf numFmtId="164" fontId="0" fillId="0" borderId="0" xfId="0" applyAlignment="1" applyProtection="1"/>
    <xf numFmtId="14" fontId="0" fillId="0" borderId="0" xfId="0" applyNumberFormat="1" applyFill="1" applyAlignment="1" applyProtection="1"/>
    <xf numFmtId="164" fontId="0" fillId="0" borderId="0" xfId="0" applyFill="1" applyBorder="1" applyAlignment="1" applyProtection="1"/>
    <xf numFmtId="0" fontId="0" fillId="0" borderId="0" xfId="0" applyNumberFormat="1" applyFill="1" applyBorder="1" applyAlignment="1" applyProtection="1">
      <alignment horizontal="center"/>
    </xf>
    <xf numFmtId="164" fontId="256" fillId="0" borderId="0" xfId="0" applyFont="1" applyBorder="1" applyAlignment="1" applyProtection="1"/>
    <xf numFmtId="164" fontId="0" fillId="0" borderId="0" xfId="0" applyBorder="1" applyAlignment="1" applyProtection="1"/>
    <xf numFmtId="0" fontId="0" fillId="0" borderId="0" xfId="0" applyNumberFormat="1" applyAlignment="1" applyProtection="1"/>
    <xf numFmtId="0" fontId="0" fillId="0" borderId="0" xfId="0" applyNumberFormat="1" applyBorder="1" applyAlignment="1" applyProtection="1">
      <alignment horizontal="center"/>
    </xf>
    <xf numFmtId="0" fontId="258" fillId="0" borderId="0" xfId="0" applyNumberFormat="1" applyFont="1" applyAlignment="1" applyProtection="1">
      <alignment horizontal="center" vertical="center"/>
    </xf>
    <xf numFmtId="0" fontId="258" fillId="0" borderId="0" xfId="0" applyNumberFormat="1" applyFont="1" applyBorder="1" applyAlignment="1" applyProtection="1">
      <alignment horizontal="center" vertical="center"/>
    </xf>
    <xf numFmtId="0" fontId="258" fillId="0" borderId="0" xfId="0" applyNumberFormat="1" applyFont="1" applyFill="1" applyAlignment="1" applyProtection="1">
      <alignment horizontal="center" vertical="center"/>
    </xf>
    <xf numFmtId="0" fontId="254" fillId="88" borderId="13" xfId="0" applyNumberFormat="1" applyFont="1" applyFill="1" applyBorder="1" applyAlignment="1" applyProtection="1">
      <alignment horizontal="center" vertical="center" wrapText="1"/>
    </xf>
    <xf numFmtId="164" fontId="254" fillId="90" borderId="0" xfId="0" applyFont="1" applyFill="1" applyBorder="1" applyAlignment="1" applyProtection="1"/>
    <xf numFmtId="0" fontId="254" fillId="90" borderId="0" xfId="0" applyNumberFormat="1" applyFont="1" applyFill="1" applyBorder="1" applyAlignment="1" applyProtection="1"/>
    <xf numFmtId="164" fontId="0" fillId="90" borderId="0" xfId="0" applyFill="1" applyBorder="1" applyAlignment="1" applyProtection="1"/>
    <xf numFmtId="0" fontId="0" fillId="90" borderId="0" xfId="0" applyNumberFormat="1" applyFill="1" applyBorder="1" applyAlignment="1" applyProtection="1"/>
    <xf numFmtId="0" fontId="0" fillId="90" borderId="0" xfId="0" applyNumberFormat="1" applyFill="1" applyAlignment="1" applyProtection="1"/>
    <xf numFmtId="164" fontId="0" fillId="90" borderId="0" xfId="0" applyFill="1" applyAlignment="1" applyProtection="1"/>
    <xf numFmtId="0" fontId="258" fillId="90" borderId="0" xfId="0" applyNumberFormat="1" applyFont="1" applyFill="1" applyAlignment="1" applyProtection="1">
      <alignment horizontal="center" vertical="center"/>
    </xf>
    <xf numFmtId="0" fontId="254" fillId="90" borderId="13" xfId="0" applyNumberFormat="1" applyFont="1" applyFill="1" applyBorder="1" applyAlignment="1" applyProtection="1">
      <alignment horizontal="center" vertical="center" wrapText="1"/>
    </xf>
    <xf numFmtId="164" fontId="254" fillId="90" borderId="13" xfId="0" applyFont="1" applyFill="1" applyBorder="1" applyAlignment="1" applyProtection="1">
      <alignment horizontal="center" vertical="center" wrapText="1"/>
    </xf>
    <xf numFmtId="164" fontId="0" fillId="90" borderId="0" xfId="0" applyFill="1" applyAlignment="1" applyProtection="1">
      <protection locked="0"/>
    </xf>
    <xf numFmtId="0" fontId="0" fillId="90" borderId="0" xfId="0" applyNumberFormat="1" applyFill="1" applyAlignment="1" applyProtection="1">
      <protection locked="0"/>
    </xf>
    <xf numFmtId="0" fontId="0" fillId="101" borderId="74" xfId="0" applyNumberFormat="1" applyFill="1" applyBorder="1"/>
    <xf numFmtId="14" fontId="0" fillId="101" borderId="74" xfId="0" applyNumberFormat="1" applyFill="1" applyBorder="1"/>
    <xf numFmtId="164" fontId="0" fillId="101" borderId="74" xfId="0" applyFill="1" applyBorder="1"/>
    <xf numFmtId="164" fontId="254" fillId="0" borderId="0" xfId="0" applyFont="1" applyFill="1" applyBorder="1" applyAlignment="1" applyProtection="1"/>
    <xf numFmtId="164" fontId="254" fillId="102" borderId="13" xfId="0" applyFont="1" applyFill="1" applyBorder="1" applyAlignment="1" applyProtection="1">
      <alignment horizontal="center" vertical="center" wrapText="1"/>
    </xf>
    <xf numFmtId="164" fontId="254" fillId="103" borderId="13" xfId="0" applyFont="1" applyFill="1" applyBorder="1" applyAlignment="1" applyProtection="1">
      <alignment horizontal="center" vertical="center" wrapText="1"/>
    </xf>
    <xf numFmtId="164" fontId="254" fillId="104" borderId="13" xfId="0" applyFont="1" applyFill="1" applyBorder="1" applyAlignment="1" applyProtection="1">
      <alignment horizontal="center" vertical="center" wrapText="1"/>
    </xf>
    <xf numFmtId="164" fontId="254" fillId="92" borderId="13" xfId="0" applyFont="1" applyFill="1" applyBorder="1" applyAlignment="1" applyProtection="1">
      <alignment horizontal="center" vertical="center" wrapText="1"/>
    </xf>
    <xf numFmtId="164" fontId="254" fillId="91" borderId="13" xfId="0" applyFont="1" applyFill="1" applyBorder="1" applyAlignment="1" applyProtection="1">
      <alignment horizontal="center" vertical="center" wrapText="1"/>
    </xf>
    <xf numFmtId="164" fontId="254" fillId="88" borderId="13" xfId="0" applyFont="1" applyFill="1" applyBorder="1" applyAlignment="1" applyProtection="1">
      <alignment horizontal="center" vertical="center" wrapText="1"/>
    </xf>
    <xf numFmtId="14" fontId="0" fillId="106" borderId="0" xfId="0" applyNumberFormat="1" applyFill="1" applyAlignment="1" applyProtection="1"/>
    <xf numFmtId="0" fontId="0" fillId="106" borderId="0" xfId="0" applyNumberFormat="1" applyFill="1" applyAlignment="1" applyProtection="1"/>
    <xf numFmtId="164" fontId="0" fillId="106" borderId="0" xfId="0" applyFill="1" applyAlignment="1" applyProtection="1"/>
    <xf numFmtId="0" fontId="0" fillId="107" borderId="0" xfId="0" applyNumberFormat="1" applyFill="1" applyAlignment="1" applyProtection="1"/>
    <xf numFmtId="164" fontId="0" fillId="0" borderId="75" xfId="0" applyFill="1" applyBorder="1" applyAlignment="1" applyProtection="1"/>
    <xf numFmtId="0" fontId="254" fillId="0" borderId="75" xfId="0" applyNumberFormat="1" applyFont="1" applyFill="1" applyBorder="1" applyAlignment="1" applyProtection="1"/>
    <xf numFmtId="164" fontId="254" fillId="0" borderId="75" xfId="0" applyFont="1" applyFill="1" applyBorder="1" applyAlignment="1" applyProtection="1"/>
    <xf numFmtId="164" fontId="198" fillId="0" borderId="0" xfId="0" applyFont="1" applyBorder="1" applyAlignment="1" applyProtection="1">
      <alignment horizontal="left"/>
    </xf>
    <xf numFmtId="164" fontId="0" fillId="0" borderId="0" xfId="0" applyFont="1" applyBorder="1" applyAlignment="1" applyProtection="1">
      <alignment horizontal="center"/>
    </xf>
    <xf numFmtId="303" fontId="0" fillId="0" borderId="0" xfId="0" applyNumberFormat="1" applyBorder="1" applyAlignment="1" applyProtection="1">
      <alignment horizontal="center"/>
    </xf>
    <xf numFmtId="164" fontId="254" fillId="89" borderId="76" xfId="0" applyFont="1" applyFill="1" applyBorder="1" applyAlignment="1" applyProtection="1">
      <alignment horizontal="center" vertical="center" wrapText="1"/>
    </xf>
    <xf numFmtId="164" fontId="254" fillId="89" borderId="13" xfId="0" applyFont="1" applyFill="1" applyBorder="1" applyAlignment="1" applyProtection="1">
      <alignment horizontal="center" vertical="center" wrapText="1"/>
    </xf>
    <xf numFmtId="164" fontId="254" fillId="99" borderId="13" xfId="0" applyFont="1" applyFill="1" applyBorder="1" applyAlignment="1" applyProtection="1">
      <alignment horizontal="center" vertical="center" wrapText="1"/>
    </xf>
    <xf numFmtId="164" fontId="254" fillId="100" borderId="13" xfId="0" applyFont="1" applyFill="1" applyBorder="1" applyAlignment="1" applyProtection="1">
      <alignment horizontal="center" vertical="center" wrapText="1"/>
    </xf>
    <xf numFmtId="164" fontId="257" fillId="93" borderId="13" xfId="0" applyFont="1" applyFill="1" applyBorder="1" applyAlignment="1" applyProtection="1">
      <alignment horizontal="left" vertical="center" textRotation="90" wrapText="1"/>
    </xf>
    <xf numFmtId="164" fontId="254" fillId="93" borderId="13" xfId="0" applyFont="1" applyFill="1" applyBorder="1" applyAlignment="1" applyProtection="1">
      <alignment horizontal="center" vertical="center" wrapText="1"/>
    </xf>
    <xf numFmtId="164" fontId="257" fillId="94" borderId="13" xfId="0" applyFont="1" applyFill="1" applyBorder="1" applyAlignment="1" applyProtection="1">
      <alignment horizontal="left" vertical="center" textRotation="90" wrapText="1"/>
    </xf>
    <xf numFmtId="164" fontId="254" fillId="94" borderId="13" xfId="0" applyFont="1" applyFill="1" applyBorder="1" applyAlignment="1" applyProtection="1">
      <alignment horizontal="center" vertical="center" wrapText="1"/>
    </xf>
    <xf numFmtId="164" fontId="257" fillId="95" borderId="13" xfId="0" applyFont="1" applyFill="1" applyBorder="1" applyAlignment="1" applyProtection="1">
      <alignment horizontal="left" vertical="center" textRotation="90" wrapText="1"/>
    </xf>
    <xf numFmtId="164" fontId="254" fillId="95" borderId="13" xfId="0" applyFont="1" applyFill="1" applyBorder="1" applyAlignment="1" applyProtection="1">
      <alignment horizontal="center" vertical="center" wrapText="1"/>
    </xf>
    <xf numFmtId="164" fontId="257" fillId="96" borderId="13" xfId="0" applyFont="1" applyFill="1" applyBorder="1" applyAlignment="1" applyProtection="1">
      <alignment horizontal="left" vertical="center" textRotation="90" wrapText="1"/>
    </xf>
    <xf numFmtId="164" fontId="254" fillId="96" borderId="13" xfId="0" applyFont="1" applyFill="1" applyBorder="1" applyAlignment="1" applyProtection="1">
      <alignment horizontal="center" vertical="center" wrapText="1"/>
    </xf>
    <xf numFmtId="164" fontId="257" fillId="97" borderId="13" xfId="0" applyFont="1" applyFill="1" applyBorder="1" applyAlignment="1" applyProtection="1">
      <alignment horizontal="left" vertical="center" textRotation="90" wrapText="1"/>
    </xf>
    <xf numFmtId="164" fontId="254" fillId="97" borderId="13" xfId="0" applyFont="1" applyFill="1" applyBorder="1" applyAlignment="1" applyProtection="1">
      <alignment horizontal="center" vertical="center" wrapText="1"/>
    </xf>
    <xf numFmtId="164" fontId="257" fillId="98" borderId="13" xfId="0" applyFont="1" applyFill="1" applyBorder="1" applyAlignment="1" applyProtection="1">
      <alignment horizontal="left" vertical="center" textRotation="90" wrapText="1"/>
    </xf>
    <xf numFmtId="164" fontId="254" fillId="98" borderId="13" xfId="0" applyFont="1" applyFill="1" applyBorder="1" applyAlignment="1" applyProtection="1">
      <alignment horizontal="center" vertical="center" wrapText="1"/>
    </xf>
    <xf numFmtId="303" fontId="198" fillId="0" borderId="0" xfId="0" applyNumberFormat="1" applyFont="1" applyBorder="1" applyAlignment="1" applyProtection="1">
      <alignment horizontal="center"/>
    </xf>
    <xf numFmtId="0" fontId="254" fillId="90" borderId="76" xfId="0" applyNumberFormat="1" applyFont="1" applyFill="1" applyBorder="1" applyAlignment="1" applyProtection="1">
      <alignment horizontal="center" vertical="center" wrapText="1"/>
    </xf>
    <xf numFmtId="0" fontId="254" fillId="88" borderId="75" xfId="0" applyNumberFormat="1" applyFont="1" applyFill="1" applyBorder="1" applyAlignment="1" applyProtection="1">
      <alignment horizontal="center" vertical="center" wrapText="1"/>
    </xf>
    <xf numFmtId="164" fontId="0" fillId="90" borderId="0" xfId="0" applyNumberFormat="1" applyFill="1" applyAlignment="1" applyProtection="1">
      <protection locked="0"/>
    </xf>
    <xf numFmtId="304" fontId="0" fillId="0" borderId="76" xfId="0" applyNumberFormat="1" applyBorder="1" applyAlignment="1"/>
    <xf numFmtId="164" fontId="254" fillId="105" borderId="75" xfId="0" applyFont="1" applyFill="1" applyBorder="1" applyAlignment="1" applyProtection="1">
      <alignment horizontal="center" vertical="center" wrapText="1"/>
    </xf>
    <xf numFmtId="164" fontId="254" fillId="88" borderId="75" xfId="0" applyFont="1" applyFill="1" applyBorder="1" applyAlignment="1" applyProtection="1">
      <alignment horizontal="center" vertical="center" wrapText="1"/>
    </xf>
    <xf numFmtId="164" fontId="254" fillId="88" borderId="75" xfId="0" applyFont="1" applyFill="1" applyBorder="1" applyAlignment="1">
      <alignment horizontal="center" vertical="center"/>
    </xf>
    <xf numFmtId="0" fontId="260" fillId="0" borderId="0" xfId="0" applyNumberFormat="1" applyFont="1"/>
    <xf numFmtId="164" fontId="0" fillId="0" borderId="0" xfId="0" pivotButton="1"/>
    <xf numFmtId="164" fontId="0" fillId="0" borderId="0" xfId="0" applyAlignment="1">
      <alignment horizontal="left"/>
    </xf>
    <xf numFmtId="304" fontId="0" fillId="0" borderId="77" xfId="0" applyNumberFormat="1" applyBorder="1" applyAlignment="1"/>
    <xf numFmtId="0" fontId="0" fillId="0" borderId="78" xfId="0" applyNumberFormat="1" applyBorder="1" applyAlignment="1"/>
    <xf numFmtId="14" fontId="0" fillId="0" borderId="78" xfId="0" applyNumberFormat="1" applyBorder="1" applyAlignment="1"/>
    <xf numFmtId="301" fontId="0" fillId="0" borderId="78" xfId="0" applyNumberFormat="1" applyBorder="1" applyAlignment="1"/>
    <xf numFmtId="300" fontId="0" fillId="0" borderId="78" xfId="0" applyNumberFormat="1" applyBorder="1" applyAlignment="1"/>
    <xf numFmtId="0" fontId="0" fillId="0" borderId="78" xfId="0" applyNumberFormat="1" applyBorder="1" applyAlignment="1">
      <alignment shrinkToFit="1"/>
    </xf>
    <xf numFmtId="164" fontId="0" fillId="0" borderId="78" xfId="0" applyBorder="1" applyAlignment="1"/>
    <xf numFmtId="14" fontId="0" fillId="0" borderId="78" xfId="0" applyNumberFormat="1" applyBorder="1" applyAlignment="1">
      <alignment shrinkToFit="1"/>
    </xf>
    <xf numFmtId="14" fontId="0" fillId="0" borderId="78" xfId="0" applyNumberFormat="1" applyBorder="1"/>
    <xf numFmtId="302" fontId="0" fillId="0" borderId="78" xfId="0" applyNumberFormat="1" applyBorder="1" applyAlignment="1" applyProtection="1">
      <alignment horizontal="center"/>
    </xf>
    <xf numFmtId="0" fontId="0" fillId="0" borderId="78" xfId="0" applyNumberFormat="1" applyBorder="1" applyAlignment="1" applyProtection="1">
      <alignment horizontal="center"/>
    </xf>
    <xf numFmtId="0" fontId="259" fillId="0" borderId="78" xfId="33834" applyNumberFormat="1" applyBorder="1" applyAlignment="1" applyProtection="1">
      <protection locked="0"/>
    </xf>
    <xf numFmtId="0" fontId="0" fillId="0" borderId="78" xfId="0" applyNumberFormat="1" applyBorder="1" applyAlignment="1" applyProtection="1">
      <protection locked="0"/>
    </xf>
    <xf numFmtId="304" fontId="0" fillId="0" borderId="79" xfId="0" applyNumberFormat="1" applyBorder="1" applyAlignment="1"/>
    <xf numFmtId="0" fontId="0" fillId="0" borderId="80" xfId="0" applyNumberFormat="1" applyBorder="1" applyAlignment="1"/>
    <xf numFmtId="14" fontId="0" fillId="0" borderId="80" xfId="0" applyNumberFormat="1" applyBorder="1" applyAlignment="1"/>
    <xf numFmtId="301" fontId="0" fillId="0" borderId="80" xfId="0" applyNumberFormat="1" applyBorder="1" applyAlignment="1"/>
    <xf numFmtId="300" fontId="0" fillId="0" borderId="80" xfId="0" applyNumberFormat="1" applyBorder="1" applyAlignment="1"/>
    <xf numFmtId="0" fontId="0" fillId="0" borderId="80" xfId="0" applyNumberFormat="1" applyBorder="1" applyAlignment="1">
      <alignment shrinkToFit="1"/>
    </xf>
    <xf numFmtId="164" fontId="0" fillId="0" borderId="80" xfId="0" applyBorder="1" applyAlignment="1"/>
    <xf numFmtId="14" fontId="0" fillId="0" borderId="80" xfId="0" applyNumberFormat="1" applyBorder="1" applyAlignment="1">
      <alignment shrinkToFit="1"/>
    </xf>
    <xf numFmtId="14" fontId="0" fillId="0" borderId="80" xfId="0" applyNumberFormat="1" applyBorder="1"/>
    <xf numFmtId="302" fontId="0" fillId="0" borderId="80" xfId="0" applyNumberFormat="1" applyBorder="1" applyAlignment="1" applyProtection="1">
      <alignment horizontal="center"/>
    </xf>
    <xf numFmtId="0" fontId="0" fillId="0" borderId="80" xfId="0" applyNumberFormat="1" applyBorder="1" applyAlignment="1" applyProtection="1">
      <alignment horizontal="center"/>
    </xf>
    <xf numFmtId="0" fontId="0" fillId="0" borderId="80" xfId="0" applyNumberFormat="1" applyBorder="1" applyAlignment="1" applyProtection="1">
      <protection locked="0"/>
    </xf>
    <xf numFmtId="0" fontId="0" fillId="0" borderId="80" xfId="0" pivotButton="1" applyNumberFormat="1" applyBorder="1"/>
    <xf numFmtId="0" fontId="0" fillId="0" borderId="80" xfId="0" applyNumberFormat="1" applyBorder="1"/>
    <xf numFmtId="0" fontId="0" fillId="0" borderId="80" xfId="0" applyNumberFormat="1" applyBorder="1" applyAlignment="1">
      <alignment horizontal="left"/>
    </xf>
    <xf numFmtId="0" fontId="0" fillId="0" borderId="80" xfId="0" applyNumberFormat="1" applyBorder="1" applyAlignment="1">
      <alignment horizontal="center"/>
    </xf>
    <xf numFmtId="0" fontId="0" fillId="92" borderId="80" xfId="0" applyNumberFormat="1" applyFill="1" applyBorder="1" applyAlignment="1">
      <alignment horizontal="left"/>
    </xf>
    <xf numFmtId="0" fontId="0" fillId="92" borderId="80" xfId="0" applyNumberFormat="1" applyFill="1" applyBorder="1" applyAlignment="1">
      <alignment horizontal="center"/>
    </xf>
    <xf numFmtId="0" fontId="0" fillId="104" borderId="80" xfId="0" applyNumberFormat="1" applyFill="1" applyBorder="1" applyAlignment="1">
      <alignment horizontal="center"/>
    </xf>
    <xf numFmtId="0" fontId="0" fillId="104" borderId="80" xfId="0" applyNumberFormat="1" applyFill="1" applyBorder="1" applyAlignment="1">
      <alignment horizontal="left"/>
    </xf>
    <xf numFmtId="0" fontId="0" fillId="108" borderId="80" xfId="0" applyNumberFormat="1" applyFill="1" applyBorder="1" applyAlignment="1">
      <alignment horizontal="center"/>
    </xf>
    <xf numFmtId="0" fontId="0" fillId="108" borderId="80" xfId="0" applyNumberFormat="1" applyFill="1" applyBorder="1" applyAlignment="1">
      <alignment horizontal="left"/>
    </xf>
    <xf numFmtId="0" fontId="0" fillId="109" borderId="80" xfId="0" applyNumberFormat="1" applyFill="1" applyBorder="1" applyAlignment="1">
      <alignment horizontal="center"/>
    </xf>
    <xf numFmtId="0" fontId="0" fillId="109" borderId="80" xfId="0" applyNumberFormat="1" applyFill="1" applyBorder="1" applyAlignment="1">
      <alignment horizontal="left" indent="1"/>
    </xf>
    <xf numFmtId="0" fontId="0" fillId="110" borderId="80" xfId="0" applyNumberFormat="1" applyFill="1" applyBorder="1" applyAlignment="1">
      <alignment horizontal="center"/>
    </xf>
    <xf numFmtId="0" fontId="0" fillId="110" borderId="80" xfId="0" applyNumberFormat="1" applyFill="1" applyBorder="1" applyAlignment="1">
      <alignment horizontal="left" indent="1"/>
    </xf>
    <xf numFmtId="0" fontId="0" fillId="105" borderId="80" xfId="0" applyNumberFormat="1" applyFill="1" applyBorder="1" applyAlignment="1">
      <alignment horizontal="center"/>
    </xf>
    <xf numFmtId="0" fontId="0" fillId="105" borderId="80" xfId="0" applyNumberFormat="1" applyFill="1" applyBorder="1" applyAlignment="1">
      <alignment horizontal="left" indent="1"/>
    </xf>
    <xf numFmtId="0" fontId="259" fillId="0" borderId="80" xfId="33834" applyNumberFormat="1" applyBorder="1" applyAlignment="1" applyProtection="1">
      <protection locked="0"/>
    </xf>
    <xf numFmtId="4" fontId="0" fillId="0" borderId="80" xfId="0" applyNumberFormat="1" applyBorder="1"/>
    <xf numFmtId="0" fontId="260" fillId="0" borderId="0" xfId="0" applyNumberFormat="1" applyFont="1" applyAlignment="1">
      <alignment horizontal="center"/>
    </xf>
    <xf numFmtId="0" fontId="0" fillId="0" borderId="0" xfId="0" pivotButton="1" applyNumberFormat="1"/>
    <xf numFmtId="0" fontId="0" fillId="0" borderId="81" xfId="0" applyNumberFormat="1" applyBorder="1" applyAlignment="1"/>
    <xf numFmtId="14" fontId="0" fillId="0" borderId="81" xfId="0" applyNumberFormat="1" applyBorder="1" applyAlignment="1"/>
    <xf numFmtId="301" fontId="0" fillId="0" borderId="81" xfId="0" applyNumberFormat="1" applyBorder="1" applyAlignment="1"/>
    <xf numFmtId="300" fontId="0" fillId="0" borderId="81" xfId="0" applyNumberFormat="1" applyBorder="1" applyAlignment="1"/>
    <xf numFmtId="0" fontId="0" fillId="0" borderId="81" xfId="0" applyNumberFormat="1" applyBorder="1" applyAlignment="1">
      <alignment shrinkToFit="1"/>
    </xf>
    <xf numFmtId="0" fontId="0" fillId="0" borderId="82" xfId="0" applyNumberFormat="1" applyBorder="1" applyAlignment="1">
      <alignment shrinkToFit="1"/>
    </xf>
    <xf numFmtId="0" fontId="0" fillId="0" borderId="83" xfId="0" applyNumberFormat="1" applyBorder="1" applyAlignment="1">
      <alignment shrinkToFit="1"/>
    </xf>
    <xf numFmtId="0" fontId="0" fillId="0" borderId="44" xfId="0" applyNumberFormat="1" applyBorder="1" applyAlignment="1">
      <alignment shrinkToFit="1"/>
    </xf>
    <xf numFmtId="4" fontId="0" fillId="0" borderId="81" xfId="0" applyNumberFormat="1" applyBorder="1"/>
    <xf numFmtId="4" fontId="0" fillId="0" borderId="78" xfId="0" applyNumberFormat="1" applyBorder="1"/>
    <xf numFmtId="0" fontId="0" fillId="0" borderId="79" xfId="0" applyNumberFormat="1" applyBorder="1" applyAlignment="1"/>
    <xf numFmtId="0" fontId="0" fillId="0" borderId="76" xfId="0" applyNumberFormat="1" applyBorder="1" applyAlignment="1"/>
    <xf numFmtId="0" fontId="0" fillId="0" borderId="77" xfId="0" applyNumberFormat="1" applyBorder="1" applyAlignment="1"/>
    <xf numFmtId="164" fontId="0" fillId="0" borderId="81" xfId="0" applyBorder="1" applyAlignment="1"/>
    <xf numFmtId="14" fontId="0" fillId="0" borderId="81" xfId="0" applyNumberFormat="1" applyBorder="1" applyAlignment="1">
      <alignment shrinkToFit="1"/>
    </xf>
    <xf numFmtId="14" fontId="0" fillId="0" borderId="81" xfId="0" applyNumberFormat="1" applyBorder="1"/>
    <xf numFmtId="302" fontId="0" fillId="0" borderId="81" xfId="0" applyNumberFormat="1" applyBorder="1" applyAlignment="1" applyProtection="1">
      <alignment horizontal="center"/>
    </xf>
    <xf numFmtId="0" fontId="0" fillId="0" borderId="81" xfId="0" applyNumberFormat="1" applyBorder="1" applyAlignment="1" applyProtection="1">
      <alignment horizontal="center"/>
    </xf>
    <xf numFmtId="0" fontId="259" fillId="0" borderId="81" xfId="33834" applyNumberFormat="1" applyBorder="1" applyAlignment="1" applyProtection="1">
      <protection locked="0"/>
    </xf>
    <xf numFmtId="0" fontId="0" fillId="0" borderId="81" xfId="0" applyNumberFormat="1" applyBorder="1" applyAlignment="1" applyProtection="1">
      <protection locked="0"/>
    </xf>
    <xf numFmtId="0" fontId="198" fillId="0" borderId="0" xfId="0" applyNumberFormat="1" applyFont="1"/>
  </cellXfs>
  <cellStyles count="33835">
    <cellStyle name=" 1" xfId="7" xr:uid="{00000000-0005-0000-0000-000000000000}"/>
    <cellStyle name=" Task]_x000a__x000a_TaskName=Scan At_x000a__x000a_TaskID=3_x000a__x000a_WorkstationName=SmarTone_x000a__x000a_LastExecuted=0_x000a__x000a_LastSt" xfId="8" xr:uid="{00000000-0005-0000-0000-000001000000}"/>
    <cellStyle name=" Task]_x000a__x000a_TaskName=Scan At_x000a__x000a_TaskID=3_x000a__x000a_WorkstationName=SmarTone_x000a__x000a_LastExecuted=0_x000a__x000a_LastSt 2" xfId="9" xr:uid="{00000000-0005-0000-0000-000002000000}"/>
    <cellStyle name=" Task]_x000a__x000a_TaskName=Scan At_x000a__x000a_TaskID=3_x000a__x000a_WorkstationName=SmarTone_x000a__x000a_LastExecuted=0_x000a__x000a_LastSt 2 2" xfId="10" xr:uid="{00000000-0005-0000-0000-000003000000}"/>
    <cellStyle name=" Task]_x000a__x000a_TaskName=Scan At_x000a__x000a_TaskID=3_x000a__x000a_WorkstationName=SmarTone_x000a__x000a_LastExecuted=0_x000a__x000a_LastSt 3" xfId="11" xr:uid="{00000000-0005-0000-0000-000004000000}"/>
    <cellStyle name=" Task]_x000d__x000a_TaskName=Scan At_x000d__x000a_TaskID=3_x000d__x000a_WorkstationName=SmarTone_x000d__x000a_LastExecuted=0_x000d__x000a_LastSt" xfId="12" xr:uid="{00000000-0005-0000-0000-000005000000}"/>
    <cellStyle name=" Task]_x000d__x000a_TaskName=Scan At_x000d__x000a_TaskID=3_x000d__x000a_WorkstationName=SmarTone_x000d__x000a_LastExecuted=0_x000d__x000a_LastSt 2" xfId="13" xr:uid="{00000000-0005-0000-0000-000006000000}"/>
    <cellStyle name=" Task]_x000d__x000a_TaskName=Scan At_x000d__x000a_TaskID=3_x000d__x000a_WorkstationName=SmarTone_x000d__x000a_LastExecuted=0_x000d__x000a_LastSt 2 2" xfId="14" xr:uid="{00000000-0005-0000-0000-000007000000}"/>
    <cellStyle name=" Task]_x000d__x000a_TaskName=Scan At_x000d__x000a_TaskID=3_x000d__x000a_WorkstationName=SmarTone_x000d__x000a_LastExecuted=0_x000d__x000a_LastSt 3" xfId="15" xr:uid="{00000000-0005-0000-0000-000008000000}"/>
    <cellStyle name="_x000a__x000a_JournalTemplate=C:\COMFO\CTALK\JOURSTD.TPL_x000a__x000a_LbStateAddress=3 3 0 251 1 89 2 311_x000a__x000a_LbStateJou" xfId="3" xr:uid="{00000000-0005-0000-0000-000009000000}"/>
    <cellStyle name="_x000a_shell=progma" xfId="4" xr:uid="{00000000-0005-0000-0000-00000A000000}"/>
    <cellStyle name="_x000d__x000a_JournalTemplate=C:\COMFO\CTALK\JOURSTD.TPL_x000d__x000a_LbStateAddress=3 3 0 251 1 89 2 311_x000d__x000a_LbStateJou" xfId="5" xr:uid="{00000000-0005-0000-0000-00000B000000}"/>
    <cellStyle name="_x000d__x000a_JournalTemplate=C:\COMFO\CTALK\JOURSTD.TPL_x000d__x000a_LbStateAddress=3 3 0 251 1 89 2 311_x000d__x000a_LbStateJou 2" xfId="6" xr:uid="{00000000-0005-0000-0000-00000C000000}"/>
    <cellStyle name="$/mm" xfId="6782" xr:uid="{00000000-0005-0000-0000-00000D000000}"/>
    <cellStyle name="$/mm 2" xfId="6783" xr:uid="{00000000-0005-0000-0000-00000E000000}"/>
    <cellStyle name="$/mm 3" xfId="6784" xr:uid="{00000000-0005-0000-0000-00000F000000}"/>
    <cellStyle name="%" xfId="4776" xr:uid="{00000000-0005-0000-0000-000010000000}"/>
    <cellStyle name="% 10" xfId="4777" xr:uid="{00000000-0005-0000-0000-000011000000}"/>
    <cellStyle name="% 11" xfId="4778" xr:uid="{00000000-0005-0000-0000-000012000000}"/>
    <cellStyle name="% 11 2" xfId="4779" xr:uid="{00000000-0005-0000-0000-000013000000}"/>
    <cellStyle name="% 11 2 2" xfId="4780" xr:uid="{00000000-0005-0000-0000-000014000000}"/>
    <cellStyle name="% 11 3" xfId="4781" xr:uid="{00000000-0005-0000-0000-000015000000}"/>
    <cellStyle name="% 12" xfId="4782" xr:uid="{00000000-0005-0000-0000-000016000000}"/>
    <cellStyle name="% 13" xfId="4783" xr:uid="{00000000-0005-0000-0000-000017000000}"/>
    <cellStyle name="% 2" xfId="4784" xr:uid="{00000000-0005-0000-0000-000018000000}"/>
    <cellStyle name="% 2 2" xfId="4785" xr:uid="{00000000-0005-0000-0000-000019000000}"/>
    <cellStyle name="% 2 2 2" xfId="4786" xr:uid="{00000000-0005-0000-0000-00001A000000}"/>
    <cellStyle name="% 2 3" xfId="4787" xr:uid="{00000000-0005-0000-0000-00001B000000}"/>
    <cellStyle name="% 2 3 2" xfId="4788" xr:uid="{00000000-0005-0000-0000-00001C000000}"/>
    <cellStyle name="% 2 3 2 2" xfId="4789" xr:uid="{00000000-0005-0000-0000-00001D000000}"/>
    <cellStyle name="% 2 3 3" xfId="4790" xr:uid="{00000000-0005-0000-0000-00001E000000}"/>
    <cellStyle name="% 2 4" xfId="4791" xr:uid="{00000000-0005-0000-0000-00001F000000}"/>
    <cellStyle name="% 2 5" xfId="4792" xr:uid="{00000000-0005-0000-0000-000020000000}"/>
    <cellStyle name="% 2 6" xfId="4793" xr:uid="{00000000-0005-0000-0000-000021000000}"/>
    <cellStyle name="% 3" xfId="4794" xr:uid="{00000000-0005-0000-0000-000022000000}"/>
    <cellStyle name="% 3 2" xfId="4795" xr:uid="{00000000-0005-0000-0000-000023000000}"/>
    <cellStyle name="% 3 2 2" xfId="4796" xr:uid="{00000000-0005-0000-0000-000024000000}"/>
    <cellStyle name="% 3 3" xfId="4797" xr:uid="{00000000-0005-0000-0000-000025000000}"/>
    <cellStyle name="% 4" xfId="4798" xr:uid="{00000000-0005-0000-0000-000026000000}"/>
    <cellStyle name="% 4 2" xfId="4799" xr:uid="{00000000-0005-0000-0000-000027000000}"/>
    <cellStyle name="% 4 2 2" xfId="4800" xr:uid="{00000000-0005-0000-0000-000028000000}"/>
    <cellStyle name="% 4 3" xfId="4801" xr:uid="{00000000-0005-0000-0000-000029000000}"/>
    <cellStyle name="% 5" xfId="4802" xr:uid="{00000000-0005-0000-0000-00002A000000}"/>
    <cellStyle name="% 5 2" xfId="4803" xr:uid="{00000000-0005-0000-0000-00002B000000}"/>
    <cellStyle name="% 6" xfId="4804" xr:uid="{00000000-0005-0000-0000-00002C000000}"/>
    <cellStyle name="% 6 2" xfId="4805" xr:uid="{00000000-0005-0000-0000-00002D000000}"/>
    <cellStyle name="% 7" xfId="4806" xr:uid="{00000000-0005-0000-0000-00002E000000}"/>
    <cellStyle name="% 7 2" xfId="4807" xr:uid="{00000000-0005-0000-0000-00002F000000}"/>
    <cellStyle name="% 8" xfId="4808" xr:uid="{00000000-0005-0000-0000-000030000000}"/>
    <cellStyle name="% 8 2" xfId="4809" xr:uid="{00000000-0005-0000-0000-000031000000}"/>
    <cellStyle name="% 9" xfId="4810" xr:uid="{00000000-0005-0000-0000-000032000000}"/>
    <cellStyle name="% 9 2" xfId="4811" xr:uid="{00000000-0005-0000-0000-000033000000}"/>
    <cellStyle name="%??O%??P%??Q%??R%??S%??T%??U%??V%??W%??X%??Y%??Z%??[%??\%??]%??^%??_%??`%??a%?" xfId="4893" xr:uid="{00000000-0005-0000-0000-000034000000}"/>
    <cellStyle name="%_BC_DB_breakdown_pa3" xfId="4812" xr:uid="{00000000-0005-0000-0000-000035000000}"/>
    <cellStyle name="%_BC_DB_breakdown_pa3 2" xfId="4813" xr:uid="{00000000-0005-0000-0000-000036000000}"/>
    <cellStyle name="%_Belltel Cost SDP 3 PA70" xfId="4814" xr:uid="{00000000-0005-0000-0000-000037000000}"/>
    <cellStyle name="%_Belltel GNOC Requirements PA1" xfId="4815" xr:uid="{00000000-0005-0000-0000-000038000000}"/>
    <cellStyle name="%_Copy of FS BC Costing_WILLCOM_FOPS_Simulation_20091026_pa3" xfId="4816" xr:uid="{00000000-0005-0000-0000-000039000000}"/>
    <cellStyle name="%_Copy of FS BC Costing_WILLCOM_FOPS_Simulation_20091026_pa3 2" xfId="4817" xr:uid="{00000000-0005-0000-0000-00003A000000}"/>
    <cellStyle name="%_Copy of FS BC Costing_WILLCOM_FOPS_Simulation_20091026_pa3_BC_DB_breakdown_pa3" xfId="4818" xr:uid="{00000000-0005-0000-0000-00003B000000}"/>
    <cellStyle name="%_Copy of FS BC Costing_WILLCOM_FOPS_Simulation_20091026_pa3_BC_DB_breakdown_pa3 2" xfId="4819" xr:uid="{00000000-0005-0000-0000-00003C000000}"/>
    <cellStyle name="%_Copy of Myanmar-MS-Addendum-Proposal-Summary-April3-2013" xfId="4820" xr:uid="{00000000-0005-0000-0000-00003D000000}"/>
    <cellStyle name="%_DD BC Costing Aug15" xfId="4821" xr:uid="{00000000-0005-0000-0000-00003E000000}"/>
    <cellStyle name="%_DD BC Costing Aug15 2" xfId="4822" xr:uid="{00000000-0005-0000-0000-00003F000000}"/>
    <cellStyle name="%_DD BC Costing Aug15_BC_DB_breakdown_pa3" xfId="4823" xr:uid="{00000000-0005-0000-0000-000040000000}"/>
    <cellStyle name="%_DD BC Costing Aug15_BC_DB_breakdown_pa3 2" xfId="4824" xr:uid="{00000000-0005-0000-0000-000041000000}"/>
    <cellStyle name="%_DD BC PA1" xfId="4825" xr:uid="{00000000-0005-0000-0000-000042000000}"/>
    <cellStyle name="%_DD BC PA1 2" xfId="4826" xr:uid="{00000000-0005-0000-0000-000043000000}"/>
    <cellStyle name="%_DD BC PA1_BC_DB_breakdown_pa3" xfId="4827" xr:uid="{00000000-0005-0000-0000-000044000000}"/>
    <cellStyle name="%_DD BC PA1_BC_DB_breakdown_pa3 2" xfId="4828" xr:uid="{00000000-0005-0000-0000-000045000000}"/>
    <cellStyle name="%_DD BC Step 1 PA3" xfId="4829" xr:uid="{00000000-0005-0000-0000-000046000000}"/>
    <cellStyle name="%_DD BC Step 1 PA3 2" xfId="4830" xr:uid="{00000000-0005-0000-0000-000047000000}"/>
    <cellStyle name="%_DD BC Step 1 PA3_BC_DB_breakdown_pa3" xfId="4831" xr:uid="{00000000-0005-0000-0000-000048000000}"/>
    <cellStyle name="%_DD BC Step 1 PA3_BC_DB_breakdown_pa3 2" xfId="4832" xr:uid="{00000000-0005-0000-0000-000049000000}"/>
    <cellStyle name="%_EM_BC_CF Analysis_pa1" xfId="4833" xr:uid="{00000000-0005-0000-0000-00004A000000}"/>
    <cellStyle name="%_EM_BC_CF Analysis_pa1 2" xfId="4834" xr:uid="{00000000-0005-0000-0000-00004B000000}"/>
    <cellStyle name="%_EM_BC_CF Analysis_pa1_BC_DB_breakdown_pa3" xfId="4835" xr:uid="{00000000-0005-0000-0000-00004C000000}"/>
    <cellStyle name="%_EM_BC_CF Analysis_pa1_BC_DB_breakdown_pa3 2" xfId="4836" xr:uid="{00000000-0005-0000-0000-00004D000000}"/>
    <cellStyle name="%_EM_BC_PL Analysis_20100218_pa1" xfId="4837" xr:uid="{00000000-0005-0000-0000-00004E000000}"/>
    <cellStyle name="%_EM_BC_PL Analysis_20100218_pa1 2" xfId="4838" xr:uid="{00000000-0005-0000-0000-00004F000000}"/>
    <cellStyle name="%_EM_BC_PL Analysis_20100218_pa1_BC_DB_breakdown_pa3" xfId="4839" xr:uid="{00000000-0005-0000-0000-000050000000}"/>
    <cellStyle name="%_EM_BC_PL Analysis_20100218_pa1_BC_DB_breakdown_pa3 2" xfId="4840" xr:uid="{00000000-0005-0000-0000-000051000000}"/>
    <cellStyle name="%_EM_BC_PL Analysis_pa2" xfId="4841" xr:uid="{00000000-0005-0000-0000-000052000000}"/>
    <cellStyle name="%_EM_BC_PL Analysis_pa2 2" xfId="4842" xr:uid="{00000000-0005-0000-0000-000053000000}"/>
    <cellStyle name="%_EM_BC_PL Analysis_pa2_BC_DB_breakdown_pa3" xfId="4843" xr:uid="{00000000-0005-0000-0000-000054000000}"/>
    <cellStyle name="%_EM_BC_PL Analysis_pa2_BC_DB_breakdown_pa3 2" xfId="4844" xr:uid="{00000000-0005-0000-0000-000055000000}"/>
    <cellStyle name="%_FS BC Costing_EM_20100218_pa1" xfId="4845" xr:uid="{00000000-0005-0000-0000-000056000000}"/>
    <cellStyle name="%_FS BC Costing_EM_20100218_pa1 2" xfId="4846" xr:uid="{00000000-0005-0000-0000-000057000000}"/>
    <cellStyle name="%_FS BC Costing_EM_20100218_pa1_BC_DB_breakdown_pa3" xfId="4847" xr:uid="{00000000-0005-0000-0000-000058000000}"/>
    <cellStyle name="%_FS BC Costing_EM_20100218_pa1_BC_DB_breakdown_pa3 2" xfId="4848" xr:uid="{00000000-0005-0000-0000-000059000000}"/>
    <cellStyle name="%_FS BC Costing_WILLCOM_MS_20091117_pa2" xfId="4849" xr:uid="{00000000-0005-0000-0000-00005A000000}"/>
    <cellStyle name="%_FS BC Costing_WILLCOM_MS_20091117_pa2 2" xfId="4850" xr:uid="{00000000-0005-0000-0000-00005B000000}"/>
    <cellStyle name="%_FS BC Costing_WILLCOM_MS_20091117_pa2_BC_DB_breakdown_pa3" xfId="4851" xr:uid="{00000000-0005-0000-0000-00005C000000}"/>
    <cellStyle name="%_FS BC Costing_WILLCOM_MS_20091117_pa2_BC_DB_breakdown_pa3 2" xfId="4852" xr:uid="{00000000-0005-0000-0000-00005D000000}"/>
    <cellStyle name="%_FS BC Costing_WILLCOM_pa1" xfId="4853" xr:uid="{00000000-0005-0000-0000-00005E000000}"/>
    <cellStyle name="%_FS BC Costing_WILLCOM_pa1 2" xfId="4854" xr:uid="{00000000-0005-0000-0000-00005F000000}"/>
    <cellStyle name="%_FS BC Costing_WILLCOM_pa1_BC_DB_breakdown_pa3" xfId="4855" xr:uid="{00000000-0005-0000-0000-000060000000}"/>
    <cellStyle name="%_FS BC Costing_WILLCOM_pa1_BC_DB_breakdown_pa3 2" xfId="4856" xr:uid="{00000000-0005-0000-0000-000061000000}"/>
    <cellStyle name="%_FS BC Costing_WILLCOM_pa11_UM&amp;GM_wo3%_wfullscope_wpastesheet" xfId="4857" xr:uid="{00000000-0005-0000-0000-000062000000}"/>
    <cellStyle name="%_FS BC Costing_WILLCOM_pa11_UM&amp;GM_wo3%_wfullscope_wpastesheet 2" xfId="4858" xr:uid="{00000000-0005-0000-0000-000063000000}"/>
    <cellStyle name="%_FS BC Costing_WILLCOM_pa11_UM&amp;GM_wo3%_wfullscope_wpastesheet_BC_DB_breakdown_pa3" xfId="4859" xr:uid="{00000000-0005-0000-0000-000064000000}"/>
    <cellStyle name="%_FS BC Costing_WILLCOM_pa11_UM&amp;GM_wo3%_wfullscope_wpastesheet_BC_DB_breakdown_pa3 2" xfId="4860" xr:uid="{00000000-0005-0000-0000-000065000000}"/>
    <cellStyle name="%_MVTV_Templates for Solution_All_pa2" xfId="4861" xr:uid="{00000000-0005-0000-0000-000066000000}"/>
    <cellStyle name="%_MVTV_Templates for Solution_All_pa2 2" xfId="4862" xr:uid="{00000000-0005-0000-0000-000067000000}"/>
    <cellStyle name="%_MVTV_Templates for Solution_All_pa2_BC_DB_breakdown_pa3" xfId="4863" xr:uid="{00000000-0005-0000-0000-000068000000}"/>
    <cellStyle name="%_MVTV_Templates for Solution_All_pa2_BC_DB_breakdown_pa3 2" xfId="4864" xr:uid="{00000000-0005-0000-0000-000069000000}"/>
    <cellStyle name="%_Net Debt 160200" xfId="4865" xr:uid="{00000000-0005-0000-0000-00006A000000}"/>
    <cellStyle name="%_Net Debt 160200 2" xfId="4866" xr:uid="{00000000-0005-0000-0000-00006B000000}"/>
    <cellStyle name="%_Net Debt 160200_BC_DB_breakdown_pa3" xfId="4867" xr:uid="{00000000-0005-0000-0000-00006C000000}"/>
    <cellStyle name="%_Net Debt 160200_BC_DB_breakdown_pa3 2" xfId="4868" xr:uid="{00000000-0005-0000-0000-00006D000000}"/>
    <cellStyle name="%_SAGA BC-2_pa1" xfId="4869" xr:uid="{00000000-0005-0000-0000-00006E000000}"/>
    <cellStyle name="%_SAGA BC-2_pa1 2" xfId="4870" xr:uid="{00000000-0005-0000-0000-00006F000000}"/>
    <cellStyle name="%_SAGA BC-2_pa1_BC_DB_breakdown_pa3" xfId="4871" xr:uid="{00000000-0005-0000-0000-000070000000}"/>
    <cellStyle name="%_SAGA BC-2_pa1_BC_DB_breakdown_pa3 2" xfId="4872" xr:uid="{00000000-0005-0000-0000-000071000000}"/>
    <cellStyle name="%_SAGA BC-2_pa1_BC_DB_breakdown_pa3_GSC China Qoutation for TELIN Operational Setup" xfId="4873" xr:uid="{00000000-0005-0000-0000-000072000000}"/>
    <cellStyle name="%_SAGA BC-2_pa1_BC_DB_breakdown_pa3_GSC China Qoutation for TELIN Operational Setup 2" xfId="4874" xr:uid="{00000000-0005-0000-0000-000073000000}"/>
    <cellStyle name="%_SAGA BC-2_pa1_GSC China Qoutation for TELIN Operational Setup" xfId="4875" xr:uid="{00000000-0005-0000-0000-000074000000}"/>
    <cellStyle name="%_SAGA BC-2_pa1_GSC China Qoutation for TELIN Operational Setup 2" xfId="4876" xr:uid="{00000000-0005-0000-0000-000075000000}"/>
    <cellStyle name="%_SAGA BC-2_pa2" xfId="4877" xr:uid="{00000000-0005-0000-0000-000076000000}"/>
    <cellStyle name="%_SAGA BC-2_pa2 2" xfId="4878" xr:uid="{00000000-0005-0000-0000-000077000000}"/>
    <cellStyle name="%_SAGA BC-2_pa2_BC_DB_breakdown_pa3" xfId="4879" xr:uid="{00000000-0005-0000-0000-000078000000}"/>
    <cellStyle name="%_SAGA BC-2_pa2_BC_DB_breakdown_pa3 2" xfId="4880" xr:uid="{00000000-0005-0000-0000-000079000000}"/>
    <cellStyle name="%_SAGA BC-2_pa2_BC_DB_breakdown_pa3_GSC China Qoutation for TELIN Operational Setup" xfId="4881" xr:uid="{00000000-0005-0000-0000-00007A000000}"/>
    <cellStyle name="%_SAGA BC-2_pa2_BC_DB_breakdown_pa3_GSC China Qoutation for TELIN Operational Setup 2" xfId="4882" xr:uid="{00000000-0005-0000-0000-00007B000000}"/>
    <cellStyle name="%_SAGA BC-2_pa2_GSC China Qoutation for TELIN Operational Setup" xfId="4883" xr:uid="{00000000-0005-0000-0000-00007C000000}"/>
    <cellStyle name="%_SAGA BC-2_pa2_GSC China Qoutation for TELIN Operational Setup 2" xfId="4884" xr:uid="{00000000-0005-0000-0000-00007D000000}"/>
    <cellStyle name="%_Templates for Finance, PA1" xfId="4885" xr:uid="{00000000-0005-0000-0000-00007E000000}"/>
    <cellStyle name="%_Templates for Finance, PA1 2" xfId="4886" xr:uid="{00000000-0005-0000-0000-00007F000000}"/>
    <cellStyle name="%_Templates for Finance, PA1_BC_DB_breakdown_pa3" xfId="4887" xr:uid="{00000000-0005-0000-0000-000080000000}"/>
    <cellStyle name="%_Templates for Finance, PA1_BC_DB_breakdown_pa3 2" xfId="4888" xr:uid="{00000000-0005-0000-0000-000081000000}"/>
    <cellStyle name="%_Templates for Solution, Rev A" xfId="4889" xr:uid="{00000000-0005-0000-0000-000082000000}"/>
    <cellStyle name="%_Templates for Solution, Rev A 2" xfId="4890" xr:uid="{00000000-0005-0000-0000-000083000000}"/>
    <cellStyle name="%_Templates for Solution, Rev A_BC_DB_breakdown_pa3" xfId="4891" xr:uid="{00000000-0005-0000-0000-000084000000}"/>
    <cellStyle name="%_Templates for Solution, Rev A_BC_DB_breakdown_pa3 2" xfId="4892" xr:uid="{00000000-0005-0000-0000-000085000000}"/>
    <cellStyle name="%L3 子表1标题" xfId="4894" xr:uid="{00000000-0005-0000-0000-000086000000}"/>
    <cellStyle name="%L3 子表1标题 2" xfId="4895" xr:uid="{00000000-0005-0000-0000-000087000000}"/>
    <cellStyle name="%L3 子表1标题 2 2" xfId="4896" xr:uid="{00000000-0005-0000-0000-000088000000}"/>
    <cellStyle name="%L3 子表1标题 2 2 2" xfId="4897" xr:uid="{00000000-0005-0000-0000-000089000000}"/>
    <cellStyle name="%L3 子表1标题 2 3" xfId="4898" xr:uid="{00000000-0005-0000-0000-00008A000000}"/>
    <cellStyle name="%L3 子表1标题 3" xfId="4899" xr:uid="{00000000-0005-0000-0000-00008B000000}"/>
    <cellStyle name="%L3 子表1标题 3 2" xfId="4900" xr:uid="{00000000-0005-0000-0000-00008C000000}"/>
    <cellStyle name="%L3 子表1标题 4" xfId="4901" xr:uid="{00000000-0005-0000-0000-00008D000000}"/>
    <cellStyle name="%L3 子表2表头" xfId="4902" xr:uid="{00000000-0005-0000-0000-00008E000000}"/>
    <cellStyle name="%L3 子表2表头 10" xfId="4903" xr:uid="{00000000-0005-0000-0000-00008F000000}"/>
    <cellStyle name="%L3 子表2表头 11" xfId="4904" xr:uid="{00000000-0005-0000-0000-000090000000}"/>
    <cellStyle name="%L3 子表2表头 12" xfId="4905" xr:uid="{00000000-0005-0000-0000-000091000000}"/>
    <cellStyle name="%L3 子表2表头 13" xfId="4906" xr:uid="{00000000-0005-0000-0000-000092000000}"/>
    <cellStyle name="%L3 子表2表头 14" xfId="4907" xr:uid="{00000000-0005-0000-0000-000093000000}"/>
    <cellStyle name="%L3 子表2表头 15" xfId="4908" xr:uid="{00000000-0005-0000-0000-000094000000}"/>
    <cellStyle name="%L3 子表2表头 16" xfId="4909" xr:uid="{00000000-0005-0000-0000-000095000000}"/>
    <cellStyle name="%L3 子表2表头 17" xfId="4910" xr:uid="{00000000-0005-0000-0000-000096000000}"/>
    <cellStyle name="%L3 子表2表头 18" xfId="4911" xr:uid="{00000000-0005-0000-0000-000097000000}"/>
    <cellStyle name="%L3 子表2表头 19" xfId="4912" xr:uid="{00000000-0005-0000-0000-000098000000}"/>
    <cellStyle name="%L3 子表2表头 2" xfId="4913" xr:uid="{00000000-0005-0000-0000-000099000000}"/>
    <cellStyle name="%L3 子表2表头 2 10" xfId="4914" xr:uid="{00000000-0005-0000-0000-00009A000000}"/>
    <cellStyle name="%L3 子表2表头 2 11" xfId="4915" xr:uid="{00000000-0005-0000-0000-00009B000000}"/>
    <cellStyle name="%L3 子表2表头 2 12" xfId="4916" xr:uid="{00000000-0005-0000-0000-00009C000000}"/>
    <cellStyle name="%L3 子表2表头 2 13" xfId="4917" xr:uid="{00000000-0005-0000-0000-00009D000000}"/>
    <cellStyle name="%L3 子表2表头 2 14" xfId="4918" xr:uid="{00000000-0005-0000-0000-00009E000000}"/>
    <cellStyle name="%L3 子表2表头 2 15" xfId="4919" xr:uid="{00000000-0005-0000-0000-00009F000000}"/>
    <cellStyle name="%L3 子表2表头 2 16" xfId="4920" xr:uid="{00000000-0005-0000-0000-0000A0000000}"/>
    <cellStyle name="%L3 子表2表头 2 17" xfId="4921" xr:uid="{00000000-0005-0000-0000-0000A1000000}"/>
    <cellStyle name="%L3 子表2表头 2 18" xfId="4922" xr:uid="{00000000-0005-0000-0000-0000A2000000}"/>
    <cellStyle name="%L3 子表2表头 2 19" xfId="4923" xr:uid="{00000000-0005-0000-0000-0000A3000000}"/>
    <cellStyle name="%L3 子表2表头 2 2" xfId="4924" xr:uid="{00000000-0005-0000-0000-0000A4000000}"/>
    <cellStyle name="%L3 子表2表头 2 2 10" xfId="4925" xr:uid="{00000000-0005-0000-0000-0000A5000000}"/>
    <cellStyle name="%L3 子表2表头 2 2 11" xfId="4926" xr:uid="{00000000-0005-0000-0000-0000A6000000}"/>
    <cellStyle name="%L3 子表2表头 2 2 12" xfId="4927" xr:uid="{00000000-0005-0000-0000-0000A7000000}"/>
    <cellStyle name="%L3 子表2表头 2 2 13" xfId="4928" xr:uid="{00000000-0005-0000-0000-0000A8000000}"/>
    <cellStyle name="%L3 子表2表头 2 2 14" xfId="4929" xr:uid="{00000000-0005-0000-0000-0000A9000000}"/>
    <cellStyle name="%L3 子表2表头 2 2 15" xfId="4930" xr:uid="{00000000-0005-0000-0000-0000AA000000}"/>
    <cellStyle name="%L3 子表2表头 2 2 16" xfId="4931" xr:uid="{00000000-0005-0000-0000-0000AB000000}"/>
    <cellStyle name="%L3 子表2表头 2 2 17" xfId="4932" xr:uid="{00000000-0005-0000-0000-0000AC000000}"/>
    <cellStyle name="%L3 子表2表头 2 2 18" xfId="4933" xr:uid="{00000000-0005-0000-0000-0000AD000000}"/>
    <cellStyle name="%L3 子表2表头 2 2 19" xfId="4934" xr:uid="{00000000-0005-0000-0000-0000AE000000}"/>
    <cellStyle name="%L3 子表2表头 2 2 2" xfId="4935" xr:uid="{00000000-0005-0000-0000-0000AF000000}"/>
    <cellStyle name="%L3 子表2表头 2 2 2 10" xfId="4936" xr:uid="{00000000-0005-0000-0000-0000B0000000}"/>
    <cellStyle name="%L3 子表2表头 2 2 2 11" xfId="4937" xr:uid="{00000000-0005-0000-0000-0000B1000000}"/>
    <cellStyle name="%L3 子表2表头 2 2 2 12" xfId="4938" xr:uid="{00000000-0005-0000-0000-0000B2000000}"/>
    <cellStyle name="%L3 子表2表头 2 2 2 13" xfId="4939" xr:uid="{00000000-0005-0000-0000-0000B3000000}"/>
    <cellStyle name="%L3 子表2表头 2 2 2 14" xfId="4940" xr:uid="{00000000-0005-0000-0000-0000B4000000}"/>
    <cellStyle name="%L3 子表2表头 2 2 2 15" xfId="4941" xr:uid="{00000000-0005-0000-0000-0000B5000000}"/>
    <cellStyle name="%L3 子表2表头 2 2 2 16" xfId="4942" xr:uid="{00000000-0005-0000-0000-0000B6000000}"/>
    <cellStyle name="%L3 子表2表头 2 2 2 17" xfId="4943" xr:uid="{00000000-0005-0000-0000-0000B7000000}"/>
    <cellStyle name="%L3 子表2表头 2 2 2 18" xfId="4944" xr:uid="{00000000-0005-0000-0000-0000B8000000}"/>
    <cellStyle name="%L3 子表2表头 2 2 2 19" xfId="4945" xr:uid="{00000000-0005-0000-0000-0000B9000000}"/>
    <cellStyle name="%L3 子表2表头 2 2 2 2" xfId="4946" xr:uid="{00000000-0005-0000-0000-0000BA000000}"/>
    <cellStyle name="%L3 子表2表头 2 2 2 2 2" xfId="4947" xr:uid="{00000000-0005-0000-0000-0000BB000000}"/>
    <cellStyle name="%L3 子表2表头 2 2 2 2 3" xfId="4948" xr:uid="{00000000-0005-0000-0000-0000BC000000}"/>
    <cellStyle name="%L3 子表2表头 2 2 2 20" xfId="4949" xr:uid="{00000000-0005-0000-0000-0000BD000000}"/>
    <cellStyle name="%L3 子表2表头 2 2 2 21" xfId="4950" xr:uid="{00000000-0005-0000-0000-0000BE000000}"/>
    <cellStyle name="%L3 子表2表头 2 2 2 22" xfId="4951" xr:uid="{00000000-0005-0000-0000-0000BF000000}"/>
    <cellStyle name="%L3 子表2表头 2 2 2 23" xfId="4952" xr:uid="{00000000-0005-0000-0000-0000C0000000}"/>
    <cellStyle name="%L3 子表2表头 2 2 2 24" xfId="4953" xr:uid="{00000000-0005-0000-0000-0000C1000000}"/>
    <cellStyle name="%L3 子表2表头 2 2 2 25" xfId="4954" xr:uid="{00000000-0005-0000-0000-0000C2000000}"/>
    <cellStyle name="%L3 子表2表头 2 2 2 3" xfId="4955" xr:uid="{00000000-0005-0000-0000-0000C3000000}"/>
    <cellStyle name="%L3 子表2表头 2 2 2 4" xfId="4956" xr:uid="{00000000-0005-0000-0000-0000C4000000}"/>
    <cellStyle name="%L3 子表2表头 2 2 2 5" xfId="4957" xr:uid="{00000000-0005-0000-0000-0000C5000000}"/>
    <cellStyle name="%L3 子表2表头 2 2 2 6" xfId="4958" xr:uid="{00000000-0005-0000-0000-0000C6000000}"/>
    <cellStyle name="%L3 子表2表头 2 2 2 7" xfId="4959" xr:uid="{00000000-0005-0000-0000-0000C7000000}"/>
    <cellStyle name="%L3 子表2表头 2 2 2 8" xfId="4960" xr:uid="{00000000-0005-0000-0000-0000C8000000}"/>
    <cellStyle name="%L3 子表2表头 2 2 2 9" xfId="4961" xr:uid="{00000000-0005-0000-0000-0000C9000000}"/>
    <cellStyle name="%L3 子表2表头 2 2 20" xfId="4962" xr:uid="{00000000-0005-0000-0000-0000CA000000}"/>
    <cellStyle name="%L3 子表2表头 2 2 21" xfId="4963" xr:uid="{00000000-0005-0000-0000-0000CB000000}"/>
    <cellStyle name="%L3 子表2表头 2 2 22" xfId="4964" xr:uid="{00000000-0005-0000-0000-0000CC000000}"/>
    <cellStyle name="%L3 子表2表头 2 2 23" xfId="4965" xr:uid="{00000000-0005-0000-0000-0000CD000000}"/>
    <cellStyle name="%L3 子表2表头 2 2 24" xfId="4966" xr:uid="{00000000-0005-0000-0000-0000CE000000}"/>
    <cellStyle name="%L3 子表2表头 2 2 25" xfId="4967" xr:uid="{00000000-0005-0000-0000-0000CF000000}"/>
    <cellStyle name="%L3 子表2表头 2 2 26" xfId="4968" xr:uid="{00000000-0005-0000-0000-0000D0000000}"/>
    <cellStyle name="%L3 子表2表头 2 2 27" xfId="4969" xr:uid="{00000000-0005-0000-0000-0000D1000000}"/>
    <cellStyle name="%L3 子表2表头 2 2 28" xfId="4970" xr:uid="{00000000-0005-0000-0000-0000D2000000}"/>
    <cellStyle name="%L3 子表2表头 2 2 29" xfId="4971" xr:uid="{00000000-0005-0000-0000-0000D3000000}"/>
    <cellStyle name="%L3 子表2表头 2 2 3" xfId="4972" xr:uid="{00000000-0005-0000-0000-0000D4000000}"/>
    <cellStyle name="%L3 子表2表头 2 2 3 2" xfId="4973" xr:uid="{00000000-0005-0000-0000-0000D5000000}"/>
    <cellStyle name="%L3 子表2表头 2 2 3 2 2" xfId="4974" xr:uid="{00000000-0005-0000-0000-0000D6000000}"/>
    <cellStyle name="%L3 子表2表头 2 2 3 2 3" xfId="4975" xr:uid="{00000000-0005-0000-0000-0000D7000000}"/>
    <cellStyle name="%L3 子表2表头 2 2 3 3" xfId="4976" xr:uid="{00000000-0005-0000-0000-0000D8000000}"/>
    <cellStyle name="%L3 子表2表头 2 2 3 3 2" xfId="4977" xr:uid="{00000000-0005-0000-0000-0000D9000000}"/>
    <cellStyle name="%L3 子表2表头 2 2 3 3 3" xfId="4978" xr:uid="{00000000-0005-0000-0000-0000DA000000}"/>
    <cellStyle name="%L3 子表2表头 2 2 3 4" xfId="4979" xr:uid="{00000000-0005-0000-0000-0000DB000000}"/>
    <cellStyle name="%L3 子表2表头 2 2 3 5" xfId="4980" xr:uid="{00000000-0005-0000-0000-0000DC000000}"/>
    <cellStyle name="%L3 子表2表头 2 2 30" xfId="4981" xr:uid="{00000000-0005-0000-0000-0000DD000000}"/>
    <cellStyle name="%L3 子表2表头 2 2 31" xfId="4982" xr:uid="{00000000-0005-0000-0000-0000DE000000}"/>
    <cellStyle name="%L3 子表2表头 2 2 32" xfId="4983" xr:uid="{00000000-0005-0000-0000-0000DF000000}"/>
    <cellStyle name="%L3 子表2表头 2 2 33" xfId="4984" xr:uid="{00000000-0005-0000-0000-0000E0000000}"/>
    <cellStyle name="%L3 子表2表头 2 2 34" xfId="4985" xr:uid="{00000000-0005-0000-0000-0000E1000000}"/>
    <cellStyle name="%L3 子表2表头 2 2 35" xfId="4986" xr:uid="{00000000-0005-0000-0000-0000E2000000}"/>
    <cellStyle name="%L3 子表2表头 2 2 36" xfId="4987" xr:uid="{00000000-0005-0000-0000-0000E3000000}"/>
    <cellStyle name="%L3 子表2表头 2 2 4" xfId="4988" xr:uid="{00000000-0005-0000-0000-0000E4000000}"/>
    <cellStyle name="%L3 子表2表头 2 2 4 2" xfId="4989" xr:uid="{00000000-0005-0000-0000-0000E5000000}"/>
    <cellStyle name="%L3 子表2表头 2 2 4 2 2" xfId="4990" xr:uid="{00000000-0005-0000-0000-0000E6000000}"/>
    <cellStyle name="%L3 子表2表头 2 2 4 2 3" xfId="4991" xr:uid="{00000000-0005-0000-0000-0000E7000000}"/>
    <cellStyle name="%L3 子表2表头 2 2 4 3" xfId="4992" xr:uid="{00000000-0005-0000-0000-0000E8000000}"/>
    <cellStyle name="%L3 子表2表头 2 2 4 3 2" xfId="4993" xr:uid="{00000000-0005-0000-0000-0000E9000000}"/>
    <cellStyle name="%L3 子表2表头 2 2 4 3 3" xfId="4994" xr:uid="{00000000-0005-0000-0000-0000EA000000}"/>
    <cellStyle name="%L3 子表2表头 2 2 4 4" xfId="4995" xr:uid="{00000000-0005-0000-0000-0000EB000000}"/>
    <cellStyle name="%L3 子表2表头 2 2 4 5" xfId="4996" xr:uid="{00000000-0005-0000-0000-0000EC000000}"/>
    <cellStyle name="%L3 子表2表头 2 2 5" xfId="4997" xr:uid="{00000000-0005-0000-0000-0000ED000000}"/>
    <cellStyle name="%L3 子表2表头 2 2 5 2" xfId="4998" xr:uid="{00000000-0005-0000-0000-0000EE000000}"/>
    <cellStyle name="%L3 子表2表头 2 2 5 3" xfId="4999" xr:uid="{00000000-0005-0000-0000-0000EF000000}"/>
    <cellStyle name="%L3 子表2表头 2 2 6" xfId="5000" xr:uid="{00000000-0005-0000-0000-0000F0000000}"/>
    <cellStyle name="%L3 子表2表头 2 2 7" xfId="5001" xr:uid="{00000000-0005-0000-0000-0000F1000000}"/>
    <cellStyle name="%L3 子表2表头 2 2 8" xfId="5002" xr:uid="{00000000-0005-0000-0000-0000F2000000}"/>
    <cellStyle name="%L3 子表2表头 2 2 9" xfId="5003" xr:uid="{00000000-0005-0000-0000-0000F3000000}"/>
    <cellStyle name="%L3 子表2表头 2 20" xfId="5004" xr:uid="{00000000-0005-0000-0000-0000F4000000}"/>
    <cellStyle name="%L3 子表2表头 2 21" xfId="5005" xr:uid="{00000000-0005-0000-0000-0000F5000000}"/>
    <cellStyle name="%L3 子表2表头 2 22" xfId="5006" xr:uid="{00000000-0005-0000-0000-0000F6000000}"/>
    <cellStyle name="%L3 子表2表头 2 23" xfId="5007" xr:uid="{00000000-0005-0000-0000-0000F7000000}"/>
    <cellStyle name="%L3 子表2表头 2 24" xfId="5008" xr:uid="{00000000-0005-0000-0000-0000F8000000}"/>
    <cellStyle name="%L3 子表2表头 2 25" xfId="5009" xr:uid="{00000000-0005-0000-0000-0000F9000000}"/>
    <cellStyle name="%L3 子表2表头 2 26" xfId="5010" xr:uid="{00000000-0005-0000-0000-0000FA000000}"/>
    <cellStyle name="%L3 子表2表头 2 27" xfId="5011" xr:uid="{00000000-0005-0000-0000-0000FB000000}"/>
    <cellStyle name="%L3 子表2表头 2 28" xfId="5012" xr:uid="{00000000-0005-0000-0000-0000FC000000}"/>
    <cellStyle name="%L3 子表2表头 2 29" xfId="5013" xr:uid="{00000000-0005-0000-0000-0000FD000000}"/>
    <cellStyle name="%L3 子表2表头 2 3" xfId="5014" xr:uid="{00000000-0005-0000-0000-0000FE000000}"/>
    <cellStyle name="%L3 子表2表头 2 3 10" xfId="5015" xr:uid="{00000000-0005-0000-0000-0000FF000000}"/>
    <cellStyle name="%L3 子表2表头 2 3 11" xfId="5016" xr:uid="{00000000-0005-0000-0000-000000010000}"/>
    <cellStyle name="%L3 子表2表头 2 3 12" xfId="5017" xr:uid="{00000000-0005-0000-0000-000001010000}"/>
    <cellStyle name="%L3 子表2表头 2 3 13" xfId="5018" xr:uid="{00000000-0005-0000-0000-000002010000}"/>
    <cellStyle name="%L3 子表2表头 2 3 14" xfId="5019" xr:uid="{00000000-0005-0000-0000-000003010000}"/>
    <cellStyle name="%L3 子表2表头 2 3 15" xfId="5020" xr:uid="{00000000-0005-0000-0000-000004010000}"/>
    <cellStyle name="%L3 子表2表头 2 3 16" xfId="5021" xr:uid="{00000000-0005-0000-0000-000005010000}"/>
    <cellStyle name="%L3 子表2表头 2 3 17" xfId="5022" xr:uid="{00000000-0005-0000-0000-000006010000}"/>
    <cellStyle name="%L3 子表2表头 2 3 18" xfId="5023" xr:uid="{00000000-0005-0000-0000-000007010000}"/>
    <cellStyle name="%L3 子表2表头 2 3 19" xfId="5024" xr:uid="{00000000-0005-0000-0000-000008010000}"/>
    <cellStyle name="%L3 子表2表头 2 3 2" xfId="5025" xr:uid="{00000000-0005-0000-0000-000009010000}"/>
    <cellStyle name="%L3 子表2表头 2 3 2 2" xfId="5026" xr:uid="{00000000-0005-0000-0000-00000A010000}"/>
    <cellStyle name="%L3 子表2表头 2 3 2 3" xfId="5027" xr:uid="{00000000-0005-0000-0000-00000B010000}"/>
    <cellStyle name="%L3 子表2表头 2 3 20" xfId="5028" xr:uid="{00000000-0005-0000-0000-00000C010000}"/>
    <cellStyle name="%L3 子表2表头 2 3 21" xfId="5029" xr:uid="{00000000-0005-0000-0000-00000D010000}"/>
    <cellStyle name="%L3 子表2表头 2 3 22" xfId="5030" xr:uid="{00000000-0005-0000-0000-00000E010000}"/>
    <cellStyle name="%L3 子表2表头 2 3 23" xfId="5031" xr:uid="{00000000-0005-0000-0000-00000F010000}"/>
    <cellStyle name="%L3 子表2表头 2 3 24" xfId="5032" xr:uid="{00000000-0005-0000-0000-000010010000}"/>
    <cellStyle name="%L3 子表2表头 2 3 25" xfId="5033" xr:uid="{00000000-0005-0000-0000-000011010000}"/>
    <cellStyle name="%L3 子表2表头 2 3 3" xfId="5034" xr:uid="{00000000-0005-0000-0000-000012010000}"/>
    <cellStyle name="%L3 子表2表头 2 3 4" xfId="5035" xr:uid="{00000000-0005-0000-0000-000013010000}"/>
    <cellStyle name="%L3 子表2表头 2 3 5" xfId="5036" xr:uid="{00000000-0005-0000-0000-000014010000}"/>
    <cellStyle name="%L3 子表2表头 2 3 6" xfId="5037" xr:uid="{00000000-0005-0000-0000-000015010000}"/>
    <cellStyle name="%L3 子表2表头 2 3 7" xfId="5038" xr:uid="{00000000-0005-0000-0000-000016010000}"/>
    <cellStyle name="%L3 子表2表头 2 3 8" xfId="5039" xr:uid="{00000000-0005-0000-0000-000017010000}"/>
    <cellStyle name="%L3 子表2表头 2 3 9" xfId="5040" xr:uid="{00000000-0005-0000-0000-000018010000}"/>
    <cellStyle name="%L3 子表2表头 2 30" xfId="5041" xr:uid="{00000000-0005-0000-0000-000019010000}"/>
    <cellStyle name="%L3 子表2表头 2 31" xfId="5042" xr:uid="{00000000-0005-0000-0000-00001A010000}"/>
    <cellStyle name="%L3 子表2表头 2 32" xfId="5043" xr:uid="{00000000-0005-0000-0000-00001B010000}"/>
    <cellStyle name="%L3 子表2表头 2 33" xfId="5044" xr:uid="{00000000-0005-0000-0000-00001C010000}"/>
    <cellStyle name="%L3 子表2表头 2 34" xfId="5045" xr:uid="{00000000-0005-0000-0000-00001D010000}"/>
    <cellStyle name="%L3 子表2表头 2 35" xfId="5046" xr:uid="{00000000-0005-0000-0000-00001E010000}"/>
    <cellStyle name="%L3 子表2表头 2 36" xfId="5047" xr:uid="{00000000-0005-0000-0000-00001F010000}"/>
    <cellStyle name="%L3 子表2表头 2 37" xfId="5048" xr:uid="{00000000-0005-0000-0000-000020010000}"/>
    <cellStyle name="%L3 子表2表头 2 4" xfId="5049" xr:uid="{00000000-0005-0000-0000-000021010000}"/>
    <cellStyle name="%L3 子表2表头 2 4 2" xfId="5050" xr:uid="{00000000-0005-0000-0000-000022010000}"/>
    <cellStyle name="%L3 子表2表头 2 4 2 2" xfId="5051" xr:uid="{00000000-0005-0000-0000-000023010000}"/>
    <cellStyle name="%L3 子表2表头 2 4 2 3" xfId="5052" xr:uid="{00000000-0005-0000-0000-000024010000}"/>
    <cellStyle name="%L3 子表2表头 2 4 3" xfId="5053" xr:uid="{00000000-0005-0000-0000-000025010000}"/>
    <cellStyle name="%L3 子表2表头 2 4 3 2" xfId="5054" xr:uid="{00000000-0005-0000-0000-000026010000}"/>
    <cellStyle name="%L3 子表2表头 2 4 3 3" xfId="5055" xr:uid="{00000000-0005-0000-0000-000027010000}"/>
    <cellStyle name="%L3 子表2表头 2 4 4" xfId="5056" xr:uid="{00000000-0005-0000-0000-000028010000}"/>
    <cellStyle name="%L3 子表2表头 2 4 5" xfId="5057" xr:uid="{00000000-0005-0000-0000-000029010000}"/>
    <cellStyle name="%L3 子表2表头 2 5" xfId="5058" xr:uid="{00000000-0005-0000-0000-00002A010000}"/>
    <cellStyle name="%L3 子表2表头 2 5 2" xfId="5059" xr:uid="{00000000-0005-0000-0000-00002B010000}"/>
    <cellStyle name="%L3 子表2表头 2 5 2 2" xfId="5060" xr:uid="{00000000-0005-0000-0000-00002C010000}"/>
    <cellStyle name="%L3 子表2表头 2 5 2 3" xfId="5061" xr:uid="{00000000-0005-0000-0000-00002D010000}"/>
    <cellStyle name="%L3 子表2表头 2 5 3" xfId="5062" xr:uid="{00000000-0005-0000-0000-00002E010000}"/>
    <cellStyle name="%L3 子表2表头 2 5 3 2" xfId="5063" xr:uid="{00000000-0005-0000-0000-00002F010000}"/>
    <cellStyle name="%L3 子表2表头 2 5 3 3" xfId="5064" xr:uid="{00000000-0005-0000-0000-000030010000}"/>
    <cellStyle name="%L3 子表2表头 2 5 4" xfId="5065" xr:uid="{00000000-0005-0000-0000-000031010000}"/>
    <cellStyle name="%L3 子表2表头 2 5 5" xfId="5066" xr:uid="{00000000-0005-0000-0000-000032010000}"/>
    <cellStyle name="%L3 子表2表头 2 6" xfId="5067" xr:uid="{00000000-0005-0000-0000-000033010000}"/>
    <cellStyle name="%L3 子表2表头 2 6 2" xfId="5068" xr:uid="{00000000-0005-0000-0000-000034010000}"/>
    <cellStyle name="%L3 子表2表头 2 6 3" xfId="5069" xr:uid="{00000000-0005-0000-0000-000035010000}"/>
    <cellStyle name="%L3 子表2表头 2 7" xfId="5070" xr:uid="{00000000-0005-0000-0000-000036010000}"/>
    <cellStyle name="%L3 子表2表头 2 8" xfId="5071" xr:uid="{00000000-0005-0000-0000-000037010000}"/>
    <cellStyle name="%L3 子表2表头 2 9" xfId="5072" xr:uid="{00000000-0005-0000-0000-000038010000}"/>
    <cellStyle name="%L3 子表2表头 20" xfId="5073" xr:uid="{00000000-0005-0000-0000-000039010000}"/>
    <cellStyle name="%L3 子表2表头 21" xfId="5074" xr:uid="{00000000-0005-0000-0000-00003A010000}"/>
    <cellStyle name="%L3 子表2表头 22" xfId="5075" xr:uid="{00000000-0005-0000-0000-00003B010000}"/>
    <cellStyle name="%L3 子表2表头 23" xfId="5076" xr:uid="{00000000-0005-0000-0000-00003C010000}"/>
    <cellStyle name="%L3 子表2表头 24" xfId="5077" xr:uid="{00000000-0005-0000-0000-00003D010000}"/>
    <cellStyle name="%L3 子表2表头 25" xfId="5078" xr:uid="{00000000-0005-0000-0000-00003E010000}"/>
    <cellStyle name="%L3 子表2表头 26" xfId="5079" xr:uid="{00000000-0005-0000-0000-00003F010000}"/>
    <cellStyle name="%L3 子表2表头 27" xfId="5080" xr:uid="{00000000-0005-0000-0000-000040010000}"/>
    <cellStyle name="%L3 子表2表头 28" xfId="5081" xr:uid="{00000000-0005-0000-0000-000041010000}"/>
    <cellStyle name="%L3 子表2表头 29" xfId="5082" xr:uid="{00000000-0005-0000-0000-000042010000}"/>
    <cellStyle name="%L3 子表2表头 3" xfId="5083" xr:uid="{00000000-0005-0000-0000-000043010000}"/>
    <cellStyle name="%L3 子表2表头 3 10" xfId="5084" xr:uid="{00000000-0005-0000-0000-000044010000}"/>
    <cellStyle name="%L3 子表2表头 3 11" xfId="5085" xr:uid="{00000000-0005-0000-0000-000045010000}"/>
    <cellStyle name="%L3 子表2表头 3 12" xfId="5086" xr:uid="{00000000-0005-0000-0000-000046010000}"/>
    <cellStyle name="%L3 子表2表头 3 13" xfId="5087" xr:uid="{00000000-0005-0000-0000-000047010000}"/>
    <cellStyle name="%L3 子表2表头 3 14" xfId="5088" xr:uid="{00000000-0005-0000-0000-000048010000}"/>
    <cellStyle name="%L3 子表2表头 3 15" xfId="5089" xr:uid="{00000000-0005-0000-0000-000049010000}"/>
    <cellStyle name="%L3 子表2表头 3 16" xfId="5090" xr:uid="{00000000-0005-0000-0000-00004A010000}"/>
    <cellStyle name="%L3 子表2表头 3 17" xfId="5091" xr:uid="{00000000-0005-0000-0000-00004B010000}"/>
    <cellStyle name="%L3 子表2表头 3 18" xfId="5092" xr:uid="{00000000-0005-0000-0000-00004C010000}"/>
    <cellStyle name="%L3 子表2表头 3 19" xfId="5093" xr:uid="{00000000-0005-0000-0000-00004D010000}"/>
    <cellStyle name="%L3 子表2表头 3 2" xfId="5094" xr:uid="{00000000-0005-0000-0000-00004E010000}"/>
    <cellStyle name="%L3 子表2表头 3 2 10" xfId="5095" xr:uid="{00000000-0005-0000-0000-00004F010000}"/>
    <cellStyle name="%L3 子表2表头 3 2 11" xfId="5096" xr:uid="{00000000-0005-0000-0000-000050010000}"/>
    <cellStyle name="%L3 子表2表头 3 2 12" xfId="5097" xr:uid="{00000000-0005-0000-0000-000051010000}"/>
    <cellStyle name="%L3 子表2表头 3 2 13" xfId="5098" xr:uid="{00000000-0005-0000-0000-000052010000}"/>
    <cellStyle name="%L3 子表2表头 3 2 14" xfId="5099" xr:uid="{00000000-0005-0000-0000-000053010000}"/>
    <cellStyle name="%L3 子表2表头 3 2 15" xfId="5100" xr:uid="{00000000-0005-0000-0000-000054010000}"/>
    <cellStyle name="%L3 子表2表头 3 2 16" xfId="5101" xr:uid="{00000000-0005-0000-0000-000055010000}"/>
    <cellStyle name="%L3 子表2表头 3 2 17" xfId="5102" xr:uid="{00000000-0005-0000-0000-000056010000}"/>
    <cellStyle name="%L3 子表2表头 3 2 18" xfId="5103" xr:uid="{00000000-0005-0000-0000-000057010000}"/>
    <cellStyle name="%L3 子表2表头 3 2 19" xfId="5104" xr:uid="{00000000-0005-0000-0000-000058010000}"/>
    <cellStyle name="%L3 子表2表头 3 2 2" xfId="5105" xr:uid="{00000000-0005-0000-0000-000059010000}"/>
    <cellStyle name="%L3 子表2表头 3 2 2 2" xfId="5106" xr:uid="{00000000-0005-0000-0000-00005A010000}"/>
    <cellStyle name="%L3 子表2表头 3 2 2 3" xfId="5107" xr:uid="{00000000-0005-0000-0000-00005B010000}"/>
    <cellStyle name="%L3 子表2表头 3 2 20" xfId="5108" xr:uid="{00000000-0005-0000-0000-00005C010000}"/>
    <cellStyle name="%L3 子表2表头 3 2 21" xfId="5109" xr:uid="{00000000-0005-0000-0000-00005D010000}"/>
    <cellStyle name="%L3 子表2表头 3 2 22" xfId="5110" xr:uid="{00000000-0005-0000-0000-00005E010000}"/>
    <cellStyle name="%L3 子表2表头 3 2 23" xfId="5111" xr:uid="{00000000-0005-0000-0000-00005F010000}"/>
    <cellStyle name="%L3 子表2表头 3 2 24" xfId="5112" xr:uid="{00000000-0005-0000-0000-000060010000}"/>
    <cellStyle name="%L3 子表2表头 3 2 25" xfId="5113" xr:uid="{00000000-0005-0000-0000-000061010000}"/>
    <cellStyle name="%L3 子表2表头 3 2 3" xfId="5114" xr:uid="{00000000-0005-0000-0000-000062010000}"/>
    <cellStyle name="%L3 子表2表头 3 2 4" xfId="5115" xr:uid="{00000000-0005-0000-0000-000063010000}"/>
    <cellStyle name="%L3 子表2表头 3 2 5" xfId="5116" xr:uid="{00000000-0005-0000-0000-000064010000}"/>
    <cellStyle name="%L3 子表2表头 3 2 6" xfId="5117" xr:uid="{00000000-0005-0000-0000-000065010000}"/>
    <cellStyle name="%L3 子表2表头 3 2 7" xfId="5118" xr:uid="{00000000-0005-0000-0000-000066010000}"/>
    <cellStyle name="%L3 子表2表头 3 2 8" xfId="5119" xr:uid="{00000000-0005-0000-0000-000067010000}"/>
    <cellStyle name="%L3 子表2表头 3 2 9" xfId="5120" xr:uid="{00000000-0005-0000-0000-000068010000}"/>
    <cellStyle name="%L3 子表2表头 3 20" xfId="5121" xr:uid="{00000000-0005-0000-0000-000069010000}"/>
    <cellStyle name="%L3 子表2表头 3 21" xfId="5122" xr:uid="{00000000-0005-0000-0000-00006A010000}"/>
    <cellStyle name="%L3 子表2表头 3 22" xfId="5123" xr:uid="{00000000-0005-0000-0000-00006B010000}"/>
    <cellStyle name="%L3 子表2表头 3 23" xfId="5124" xr:uid="{00000000-0005-0000-0000-00006C010000}"/>
    <cellStyle name="%L3 子表2表头 3 24" xfId="5125" xr:uid="{00000000-0005-0000-0000-00006D010000}"/>
    <cellStyle name="%L3 子表2表头 3 25" xfId="5126" xr:uid="{00000000-0005-0000-0000-00006E010000}"/>
    <cellStyle name="%L3 子表2表头 3 26" xfId="5127" xr:uid="{00000000-0005-0000-0000-00006F010000}"/>
    <cellStyle name="%L3 子表2表头 3 27" xfId="5128" xr:uid="{00000000-0005-0000-0000-000070010000}"/>
    <cellStyle name="%L3 子表2表头 3 28" xfId="5129" xr:uid="{00000000-0005-0000-0000-000071010000}"/>
    <cellStyle name="%L3 子表2表头 3 29" xfId="5130" xr:uid="{00000000-0005-0000-0000-000072010000}"/>
    <cellStyle name="%L3 子表2表头 3 3" xfId="5131" xr:uid="{00000000-0005-0000-0000-000073010000}"/>
    <cellStyle name="%L3 子表2表头 3 3 2" xfId="5132" xr:uid="{00000000-0005-0000-0000-000074010000}"/>
    <cellStyle name="%L3 子表2表头 3 3 2 2" xfId="5133" xr:uid="{00000000-0005-0000-0000-000075010000}"/>
    <cellStyle name="%L3 子表2表头 3 3 2 3" xfId="5134" xr:uid="{00000000-0005-0000-0000-000076010000}"/>
    <cellStyle name="%L3 子表2表头 3 3 3" xfId="5135" xr:uid="{00000000-0005-0000-0000-000077010000}"/>
    <cellStyle name="%L3 子表2表头 3 3 3 2" xfId="5136" xr:uid="{00000000-0005-0000-0000-000078010000}"/>
    <cellStyle name="%L3 子表2表头 3 3 3 3" xfId="5137" xr:uid="{00000000-0005-0000-0000-000079010000}"/>
    <cellStyle name="%L3 子表2表头 3 3 4" xfId="5138" xr:uid="{00000000-0005-0000-0000-00007A010000}"/>
    <cellStyle name="%L3 子表2表头 3 3 5" xfId="5139" xr:uid="{00000000-0005-0000-0000-00007B010000}"/>
    <cellStyle name="%L3 子表2表头 3 30" xfId="5140" xr:uid="{00000000-0005-0000-0000-00007C010000}"/>
    <cellStyle name="%L3 子表2表头 3 31" xfId="5141" xr:uid="{00000000-0005-0000-0000-00007D010000}"/>
    <cellStyle name="%L3 子表2表头 3 32" xfId="5142" xr:uid="{00000000-0005-0000-0000-00007E010000}"/>
    <cellStyle name="%L3 子表2表头 3 33" xfId="5143" xr:uid="{00000000-0005-0000-0000-00007F010000}"/>
    <cellStyle name="%L3 子表2表头 3 34" xfId="5144" xr:uid="{00000000-0005-0000-0000-000080010000}"/>
    <cellStyle name="%L3 子表2表头 3 35" xfId="5145" xr:uid="{00000000-0005-0000-0000-000081010000}"/>
    <cellStyle name="%L3 子表2表头 3 36" xfId="5146" xr:uid="{00000000-0005-0000-0000-000082010000}"/>
    <cellStyle name="%L3 子表2表头 3 4" xfId="5147" xr:uid="{00000000-0005-0000-0000-000083010000}"/>
    <cellStyle name="%L3 子表2表头 3 4 2" xfId="5148" xr:uid="{00000000-0005-0000-0000-000084010000}"/>
    <cellStyle name="%L3 子表2表头 3 4 2 2" xfId="5149" xr:uid="{00000000-0005-0000-0000-000085010000}"/>
    <cellStyle name="%L3 子表2表头 3 4 2 3" xfId="5150" xr:uid="{00000000-0005-0000-0000-000086010000}"/>
    <cellStyle name="%L3 子表2表头 3 4 3" xfId="5151" xr:uid="{00000000-0005-0000-0000-000087010000}"/>
    <cellStyle name="%L3 子表2表头 3 4 3 2" xfId="5152" xr:uid="{00000000-0005-0000-0000-000088010000}"/>
    <cellStyle name="%L3 子表2表头 3 4 3 3" xfId="5153" xr:uid="{00000000-0005-0000-0000-000089010000}"/>
    <cellStyle name="%L3 子表2表头 3 4 4" xfId="5154" xr:uid="{00000000-0005-0000-0000-00008A010000}"/>
    <cellStyle name="%L3 子表2表头 3 4 5" xfId="5155" xr:uid="{00000000-0005-0000-0000-00008B010000}"/>
    <cellStyle name="%L3 子表2表头 3 5" xfId="5156" xr:uid="{00000000-0005-0000-0000-00008C010000}"/>
    <cellStyle name="%L3 子表2表头 3 5 2" xfId="5157" xr:uid="{00000000-0005-0000-0000-00008D010000}"/>
    <cellStyle name="%L3 子表2表头 3 5 3" xfId="5158" xr:uid="{00000000-0005-0000-0000-00008E010000}"/>
    <cellStyle name="%L3 子表2表头 3 6" xfId="5159" xr:uid="{00000000-0005-0000-0000-00008F010000}"/>
    <cellStyle name="%L3 子表2表头 3 7" xfId="5160" xr:uid="{00000000-0005-0000-0000-000090010000}"/>
    <cellStyle name="%L3 子表2表头 3 8" xfId="5161" xr:uid="{00000000-0005-0000-0000-000091010000}"/>
    <cellStyle name="%L3 子表2表头 3 9" xfId="5162" xr:uid="{00000000-0005-0000-0000-000092010000}"/>
    <cellStyle name="%L3 子表2表头 30" xfId="5163" xr:uid="{00000000-0005-0000-0000-000093010000}"/>
    <cellStyle name="%L3 子表2表头 31" xfId="5164" xr:uid="{00000000-0005-0000-0000-000094010000}"/>
    <cellStyle name="%L3 子表2表头 32" xfId="5165" xr:uid="{00000000-0005-0000-0000-000095010000}"/>
    <cellStyle name="%L3 子表2表头 33" xfId="5166" xr:uid="{00000000-0005-0000-0000-000096010000}"/>
    <cellStyle name="%L3 子表2表头 34" xfId="5167" xr:uid="{00000000-0005-0000-0000-000097010000}"/>
    <cellStyle name="%L3 子表2表头 35" xfId="5168" xr:uid="{00000000-0005-0000-0000-000098010000}"/>
    <cellStyle name="%L3 子表2表头 36" xfId="5169" xr:uid="{00000000-0005-0000-0000-000099010000}"/>
    <cellStyle name="%L3 子表2表头 37" xfId="5170" xr:uid="{00000000-0005-0000-0000-00009A010000}"/>
    <cellStyle name="%L3 子表2表头 38" xfId="5171" xr:uid="{00000000-0005-0000-0000-00009B010000}"/>
    <cellStyle name="%L3 子表2表头 4" xfId="5172" xr:uid="{00000000-0005-0000-0000-00009C010000}"/>
    <cellStyle name="%L3 子表2表头 4 10" xfId="5173" xr:uid="{00000000-0005-0000-0000-00009D010000}"/>
    <cellStyle name="%L3 子表2表头 4 11" xfId="5174" xr:uid="{00000000-0005-0000-0000-00009E010000}"/>
    <cellStyle name="%L3 子表2表头 4 12" xfId="5175" xr:uid="{00000000-0005-0000-0000-00009F010000}"/>
    <cellStyle name="%L3 子表2表头 4 13" xfId="5176" xr:uid="{00000000-0005-0000-0000-0000A0010000}"/>
    <cellStyle name="%L3 子表2表头 4 14" xfId="5177" xr:uid="{00000000-0005-0000-0000-0000A1010000}"/>
    <cellStyle name="%L3 子表2表头 4 15" xfId="5178" xr:uid="{00000000-0005-0000-0000-0000A2010000}"/>
    <cellStyle name="%L3 子表2表头 4 16" xfId="5179" xr:uid="{00000000-0005-0000-0000-0000A3010000}"/>
    <cellStyle name="%L3 子表2表头 4 17" xfId="5180" xr:uid="{00000000-0005-0000-0000-0000A4010000}"/>
    <cellStyle name="%L3 子表2表头 4 18" xfId="5181" xr:uid="{00000000-0005-0000-0000-0000A5010000}"/>
    <cellStyle name="%L3 子表2表头 4 19" xfId="5182" xr:uid="{00000000-0005-0000-0000-0000A6010000}"/>
    <cellStyle name="%L3 子表2表头 4 2" xfId="5183" xr:uid="{00000000-0005-0000-0000-0000A7010000}"/>
    <cellStyle name="%L3 子表2表头 4 2 2" xfId="5184" xr:uid="{00000000-0005-0000-0000-0000A8010000}"/>
    <cellStyle name="%L3 子表2表头 4 2 3" xfId="5185" xr:uid="{00000000-0005-0000-0000-0000A9010000}"/>
    <cellStyle name="%L3 子表2表头 4 20" xfId="5186" xr:uid="{00000000-0005-0000-0000-0000AA010000}"/>
    <cellStyle name="%L3 子表2表头 4 21" xfId="5187" xr:uid="{00000000-0005-0000-0000-0000AB010000}"/>
    <cellStyle name="%L3 子表2表头 4 22" xfId="5188" xr:uid="{00000000-0005-0000-0000-0000AC010000}"/>
    <cellStyle name="%L3 子表2表头 4 23" xfId="5189" xr:uid="{00000000-0005-0000-0000-0000AD010000}"/>
    <cellStyle name="%L3 子表2表头 4 24" xfId="5190" xr:uid="{00000000-0005-0000-0000-0000AE010000}"/>
    <cellStyle name="%L3 子表2表头 4 25" xfId="5191" xr:uid="{00000000-0005-0000-0000-0000AF010000}"/>
    <cellStyle name="%L3 子表2表头 4 3" xfId="5192" xr:uid="{00000000-0005-0000-0000-0000B0010000}"/>
    <cellStyle name="%L3 子表2表头 4 4" xfId="5193" xr:uid="{00000000-0005-0000-0000-0000B1010000}"/>
    <cellStyle name="%L3 子表2表头 4 5" xfId="5194" xr:uid="{00000000-0005-0000-0000-0000B2010000}"/>
    <cellStyle name="%L3 子表2表头 4 6" xfId="5195" xr:uid="{00000000-0005-0000-0000-0000B3010000}"/>
    <cellStyle name="%L3 子表2表头 4 7" xfId="5196" xr:uid="{00000000-0005-0000-0000-0000B4010000}"/>
    <cellStyle name="%L3 子表2表头 4 8" xfId="5197" xr:uid="{00000000-0005-0000-0000-0000B5010000}"/>
    <cellStyle name="%L3 子表2表头 4 9" xfId="5198" xr:uid="{00000000-0005-0000-0000-0000B6010000}"/>
    <cellStyle name="%L3 子表2表头 5" xfId="5199" xr:uid="{00000000-0005-0000-0000-0000B7010000}"/>
    <cellStyle name="%L3 子表2表头 5 2" xfId="5200" xr:uid="{00000000-0005-0000-0000-0000B8010000}"/>
    <cellStyle name="%L3 子表2表头 5 2 2" xfId="5201" xr:uid="{00000000-0005-0000-0000-0000B9010000}"/>
    <cellStyle name="%L3 子表2表头 5 2 3" xfId="5202" xr:uid="{00000000-0005-0000-0000-0000BA010000}"/>
    <cellStyle name="%L3 子表2表头 5 3" xfId="5203" xr:uid="{00000000-0005-0000-0000-0000BB010000}"/>
    <cellStyle name="%L3 子表2表头 5 3 2" xfId="5204" xr:uid="{00000000-0005-0000-0000-0000BC010000}"/>
    <cellStyle name="%L3 子表2表头 5 3 3" xfId="5205" xr:uid="{00000000-0005-0000-0000-0000BD010000}"/>
    <cellStyle name="%L3 子表2表头 5 4" xfId="5206" xr:uid="{00000000-0005-0000-0000-0000BE010000}"/>
    <cellStyle name="%L3 子表2表头 5 5" xfId="5207" xr:uid="{00000000-0005-0000-0000-0000BF010000}"/>
    <cellStyle name="%L3 子表2表头 6" xfId="5208" xr:uid="{00000000-0005-0000-0000-0000C0010000}"/>
    <cellStyle name="%L3 子表2表头 6 2" xfId="5209" xr:uid="{00000000-0005-0000-0000-0000C1010000}"/>
    <cellStyle name="%L3 子表2表头 6 2 2" xfId="5210" xr:uid="{00000000-0005-0000-0000-0000C2010000}"/>
    <cellStyle name="%L3 子表2表头 6 2 3" xfId="5211" xr:uid="{00000000-0005-0000-0000-0000C3010000}"/>
    <cellStyle name="%L3 子表2表头 6 3" xfId="5212" xr:uid="{00000000-0005-0000-0000-0000C4010000}"/>
    <cellStyle name="%L3 子表2表头 6 3 2" xfId="5213" xr:uid="{00000000-0005-0000-0000-0000C5010000}"/>
    <cellStyle name="%L3 子表2表头 6 3 3" xfId="5214" xr:uid="{00000000-0005-0000-0000-0000C6010000}"/>
    <cellStyle name="%L3 子表2表头 6 4" xfId="5215" xr:uid="{00000000-0005-0000-0000-0000C7010000}"/>
    <cellStyle name="%L3 子表2表头 6 5" xfId="5216" xr:uid="{00000000-0005-0000-0000-0000C8010000}"/>
    <cellStyle name="%L3 子表2表头 7" xfId="5217" xr:uid="{00000000-0005-0000-0000-0000C9010000}"/>
    <cellStyle name="%L3 子表2表头 7 2" xfId="5218" xr:uid="{00000000-0005-0000-0000-0000CA010000}"/>
    <cellStyle name="%L3 子表2表头 7 3" xfId="5219" xr:uid="{00000000-0005-0000-0000-0000CB010000}"/>
    <cellStyle name="%L3 子表2表头 8" xfId="5220" xr:uid="{00000000-0005-0000-0000-0000CC010000}"/>
    <cellStyle name="%L3 子表2表头 9" xfId="5221" xr:uid="{00000000-0005-0000-0000-0000CD010000}"/>
    <cellStyle name="%L3 子表3描述单位层一" xfId="5222" xr:uid="{00000000-0005-0000-0000-0000CE010000}"/>
    <cellStyle name="%L3 子表3描述单位层一 10" xfId="5223" xr:uid="{00000000-0005-0000-0000-0000CF010000}"/>
    <cellStyle name="%L3 子表3描述单位层一 11" xfId="5224" xr:uid="{00000000-0005-0000-0000-0000D0010000}"/>
    <cellStyle name="%L3 子表3描述单位层一 12" xfId="5225" xr:uid="{00000000-0005-0000-0000-0000D1010000}"/>
    <cellStyle name="%L3 子表3描述单位层一 13" xfId="5226" xr:uid="{00000000-0005-0000-0000-0000D2010000}"/>
    <cellStyle name="%L3 子表3描述单位层一 14" xfId="5227" xr:uid="{00000000-0005-0000-0000-0000D3010000}"/>
    <cellStyle name="%L3 子表3描述单位层一 15" xfId="5228" xr:uid="{00000000-0005-0000-0000-0000D4010000}"/>
    <cellStyle name="%L3 子表3描述单位层一 16" xfId="5229" xr:uid="{00000000-0005-0000-0000-0000D5010000}"/>
    <cellStyle name="%L3 子表3描述单位层一 17" xfId="5230" xr:uid="{00000000-0005-0000-0000-0000D6010000}"/>
    <cellStyle name="%L3 子表3描述单位层一 18" xfId="5231" xr:uid="{00000000-0005-0000-0000-0000D7010000}"/>
    <cellStyle name="%L3 子表3描述单位层一 19" xfId="5232" xr:uid="{00000000-0005-0000-0000-0000D8010000}"/>
    <cellStyle name="%L3 子表3描述单位层一 2" xfId="5233" xr:uid="{00000000-0005-0000-0000-0000D9010000}"/>
    <cellStyle name="%L3 子表3描述单位层一 2 10" xfId="5234" xr:uid="{00000000-0005-0000-0000-0000DA010000}"/>
    <cellStyle name="%L3 子表3描述单位层一 2 11" xfId="5235" xr:uid="{00000000-0005-0000-0000-0000DB010000}"/>
    <cellStyle name="%L3 子表3描述单位层一 2 12" xfId="5236" xr:uid="{00000000-0005-0000-0000-0000DC010000}"/>
    <cellStyle name="%L3 子表3描述单位层一 2 13" xfId="5237" xr:uid="{00000000-0005-0000-0000-0000DD010000}"/>
    <cellStyle name="%L3 子表3描述单位层一 2 14" xfId="5238" xr:uid="{00000000-0005-0000-0000-0000DE010000}"/>
    <cellStyle name="%L3 子表3描述单位层一 2 15" xfId="5239" xr:uid="{00000000-0005-0000-0000-0000DF010000}"/>
    <cellStyle name="%L3 子表3描述单位层一 2 16" xfId="5240" xr:uid="{00000000-0005-0000-0000-0000E0010000}"/>
    <cellStyle name="%L3 子表3描述单位层一 2 17" xfId="5241" xr:uid="{00000000-0005-0000-0000-0000E1010000}"/>
    <cellStyle name="%L3 子表3描述单位层一 2 18" xfId="5242" xr:uid="{00000000-0005-0000-0000-0000E2010000}"/>
    <cellStyle name="%L3 子表3描述单位层一 2 19" xfId="5243" xr:uid="{00000000-0005-0000-0000-0000E3010000}"/>
    <cellStyle name="%L3 子表3描述单位层一 2 2" xfId="5244" xr:uid="{00000000-0005-0000-0000-0000E4010000}"/>
    <cellStyle name="%L3 子表3描述单位层一 2 2 10" xfId="5245" xr:uid="{00000000-0005-0000-0000-0000E5010000}"/>
    <cellStyle name="%L3 子表3描述单位层一 2 2 11" xfId="5246" xr:uid="{00000000-0005-0000-0000-0000E6010000}"/>
    <cellStyle name="%L3 子表3描述单位层一 2 2 12" xfId="5247" xr:uid="{00000000-0005-0000-0000-0000E7010000}"/>
    <cellStyle name="%L3 子表3描述单位层一 2 2 13" xfId="5248" xr:uid="{00000000-0005-0000-0000-0000E8010000}"/>
    <cellStyle name="%L3 子表3描述单位层一 2 2 14" xfId="5249" xr:uid="{00000000-0005-0000-0000-0000E9010000}"/>
    <cellStyle name="%L3 子表3描述单位层一 2 2 15" xfId="5250" xr:uid="{00000000-0005-0000-0000-0000EA010000}"/>
    <cellStyle name="%L3 子表3描述单位层一 2 2 16" xfId="5251" xr:uid="{00000000-0005-0000-0000-0000EB010000}"/>
    <cellStyle name="%L3 子表3描述单位层一 2 2 17" xfId="5252" xr:uid="{00000000-0005-0000-0000-0000EC010000}"/>
    <cellStyle name="%L3 子表3描述单位层一 2 2 18" xfId="5253" xr:uid="{00000000-0005-0000-0000-0000ED010000}"/>
    <cellStyle name="%L3 子表3描述单位层一 2 2 19" xfId="5254" xr:uid="{00000000-0005-0000-0000-0000EE010000}"/>
    <cellStyle name="%L3 子表3描述单位层一 2 2 2" xfId="5255" xr:uid="{00000000-0005-0000-0000-0000EF010000}"/>
    <cellStyle name="%L3 子表3描述单位层一 2 2 2 10" xfId="5256" xr:uid="{00000000-0005-0000-0000-0000F0010000}"/>
    <cellStyle name="%L3 子表3描述单位层一 2 2 2 11" xfId="5257" xr:uid="{00000000-0005-0000-0000-0000F1010000}"/>
    <cellStyle name="%L3 子表3描述单位层一 2 2 2 12" xfId="5258" xr:uid="{00000000-0005-0000-0000-0000F2010000}"/>
    <cellStyle name="%L3 子表3描述单位层一 2 2 2 13" xfId="5259" xr:uid="{00000000-0005-0000-0000-0000F3010000}"/>
    <cellStyle name="%L3 子表3描述单位层一 2 2 2 14" xfId="5260" xr:uid="{00000000-0005-0000-0000-0000F4010000}"/>
    <cellStyle name="%L3 子表3描述单位层一 2 2 2 15" xfId="5261" xr:uid="{00000000-0005-0000-0000-0000F5010000}"/>
    <cellStyle name="%L3 子表3描述单位层一 2 2 2 16" xfId="5262" xr:uid="{00000000-0005-0000-0000-0000F6010000}"/>
    <cellStyle name="%L3 子表3描述单位层一 2 2 2 17" xfId="5263" xr:uid="{00000000-0005-0000-0000-0000F7010000}"/>
    <cellStyle name="%L3 子表3描述单位层一 2 2 2 18" xfId="5264" xr:uid="{00000000-0005-0000-0000-0000F8010000}"/>
    <cellStyle name="%L3 子表3描述单位层一 2 2 2 19" xfId="5265" xr:uid="{00000000-0005-0000-0000-0000F9010000}"/>
    <cellStyle name="%L3 子表3描述单位层一 2 2 2 2" xfId="5266" xr:uid="{00000000-0005-0000-0000-0000FA010000}"/>
    <cellStyle name="%L3 子表3描述单位层一 2 2 2 2 2" xfId="5267" xr:uid="{00000000-0005-0000-0000-0000FB010000}"/>
    <cellStyle name="%L3 子表3描述单位层一 2 2 2 2 3" xfId="5268" xr:uid="{00000000-0005-0000-0000-0000FC010000}"/>
    <cellStyle name="%L3 子表3描述单位层一 2 2 2 20" xfId="5269" xr:uid="{00000000-0005-0000-0000-0000FD010000}"/>
    <cellStyle name="%L3 子表3描述单位层一 2 2 2 21" xfId="5270" xr:uid="{00000000-0005-0000-0000-0000FE010000}"/>
    <cellStyle name="%L3 子表3描述单位层一 2 2 2 22" xfId="5271" xr:uid="{00000000-0005-0000-0000-0000FF010000}"/>
    <cellStyle name="%L3 子表3描述单位层一 2 2 2 23" xfId="5272" xr:uid="{00000000-0005-0000-0000-000000020000}"/>
    <cellStyle name="%L3 子表3描述单位层一 2 2 2 24" xfId="5273" xr:uid="{00000000-0005-0000-0000-000001020000}"/>
    <cellStyle name="%L3 子表3描述单位层一 2 2 2 25" xfId="5274" xr:uid="{00000000-0005-0000-0000-000002020000}"/>
    <cellStyle name="%L3 子表3描述单位层一 2 2 2 3" xfId="5275" xr:uid="{00000000-0005-0000-0000-000003020000}"/>
    <cellStyle name="%L3 子表3描述单位层一 2 2 2 4" xfId="5276" xr:uid="{00000000-0005-0000-0000-000004020000}"/>
    <cellStyle name="%L3 子表3描述单位层一 2 2 2 5" xfId="5277" xr:uid="{00000000-0005-0000-0000-000005020000}"/>
    <cellStyle name="%L3 子表3描述单位层一 2 2 2 6" xfId="5278" xr:uid="{00000000-0005-0000-0000-000006020000}"/>
    <cellStyle name="%L3 子表3描述单位层一 2 2 2 7" xfId="5279" xr:uid="{00000000-0005-0000-0000-000007020000}"/>
    <cellStyle name="%L3 子表3描述单位层一 2 2 2 8" xfId="5280" xr:uid="{00000000-0005-0000-0000-000008020000}"/>
    <cellStyle name="%L3 子表3描述单位层一 2 2 2 9" xfId="5281" xr:uid="{00000000-0005-0000-0000-000009020000}"/>
    <cellStyle name="%L3 子表3描述单位层一 2 2 20" xfId="5282" xr:uid="{00000000-0005-0000-0000-00000A020000}"/>
    <cellStyle name="%L3 子表3描述单位层一 2 2 21" xfId="5283" xr:uid="{00000000-0005-0000-0000-00000B020000}"/>
    <cellStyle name="%L3 子表3描述单位层一 2 2 22" xfId="5284" xr:uid="{00000000-0005-0000-0000-00000C020000}"/>
    <cellStyle name="%L3 子表3描述单位层一 2 2 23" xfId="5285" xr:uid="{00000000-0005-0000-0000-00000D020000}"/>
    <cellStyle name="%L3 子表3描述单位层一 2 2 24" xfId="5286" xr:uid="{00000000-0005-0000-0000-00000E020000}"/>
    <cellStyle name="%L3 子表3描述单位层一 2 2 25" xfId="5287" xr:uid="{00000000-0005-0000-0000-00000F020000}"/>
    <cellStyle name="%L3 子表3描述单位层一 2 2 26" xfId="5288" xr:uid="{00000000-0005-0000-0000-000010020000}"/>
    <cellStyle name="%L3 子表3描述单位层一 2 2 27" xfId="5289" xr:uid="{00000000-0005-0000-0000-000011020000}"/>
    <cellStyle name="%L3 子表3描述单位层一 2 2 28" xfId="5290" xr:uid="{00000000-0005-0000-0000-000012020000}"/>
    <cellStyle name="%L3 子表3描述单位层一 2 2 29" xfId="5291" xr:uid="{00000000-0005-0000-0000-000013020000}"/>
    <cellStyle name="%L3 子表3描述单位层一 2 2 3" xfId="5292" xr:uid="{00000000-0005-0000-0000-000014020000}"/>
    <cellStyle name="%L3 子表3描述单位层一 2 2 3 2" xfId="5293" xr:uid="{00000000-0005-0000-0000-000015020000}"/>
    <cellStyle name="%L3 子表3描述单位层一 2 2 3 2 2" xfId="5294" xr:uid="{00000000-0005-0000-0000-000016020000}"/>
    <cellStyle name="%L3 子表3描述单位层一 2 2 3 2 3" xfId="5295" xr:uid="{00000000-0005-0000-0000-000017020000}"/>
    <cellStyle name="%L3 子表3描述单位层一 2 2 3 3" xfId="5296" xr:uid="{00000000-0005-0000-0000-000018020000}"/>
    <cellStyle name="%L3 子表3描述单位层一 2 2 3 3 2" xfId="5297" xr:uid="{00000000-0005-0000-0000-000019020000}"/>
    <cellStyle name="%L3 子表3描述单位层一 2 2 3 3 3" xfId="5298" xr:uid="{00000000-0005-0000-0000-00001A020000}"/>
    <cellStyle name="%L3 子表3描述单位层一 2 2 3 4" xfId="5299" xr:uid="{00000000-0005-0000-0000-00001B020000}"/>
    <cellStyle name="%L3 子表3描述单位层一 2 2 3 5" xfId="5300" xr:uid="{00000000-0005-0000-0000-00001C020000}"/>
    <cellStyle name="%L3 子表3描述单位层一 2 2 30" xfId="5301" xr:uid="{00000000-0005-0000-0000-00001D020000}"/>
    <cellStyle name="%L3 子表3描述单位层一 2 2 31" xfId="5302" xr:uid="{00000000-0005-0000-0000-00001E020000}"/>
    <cellStyle name="%L3 子表3描述单位层一 2 2 32" xfId="5303" xr:uid="{00000000-0005-0000-0000-00001F020000}"/>
    <cellStyle name="%L3 子表3描述单位层一 2 2 33" xfId="5304" xr:uid="{00000000-0005-0000-0000-000020020000}"/>
    <cellStyle name="%L3 子表3描述单位层一 2 2 34" xfId="5305" xr:uid="{00000000-0005-0000-0000-000021020000}"/>
    <cellStyle name="%L3 子表3描述单位层一 2 2 35" xfId="5306" xr:uid="{00000000-0005-0000-0000-000022020000}"/>
    <cellStyle name="%L3 子表3描述单位层一 2 2 36" xfId="5307" xr:uid="{00000000-0005-0000-0000-000023020000}"/>
    <cellStyle name="%L3 子表3描述单位层一 2 2 4" xfId="5308" xr:uid="{00000000-0005-0000-0000-000024020000}"/>
    <cellStyle name="%L3 子表3描述单位层一 2 2 4 2" xfId="5309" xr:uid="{00000000-0005-0000-0000-000025020000}"/>
    <cellStyle name="%L3 子表3描述单位层一 2 2 4 2 2" xfId="5310" xr:uid="{00000000-0005-0000-0000-000026020000}"/>
    <cellStyle name="%L3 子表3描述单位层一 2 2 4 2 3" xfId="5311" xr:uid="{00000000-0005-0000-0000-000027020000}"/>
    <cellStyle name="%L3 子表3描述单位层一 2 2 4 3" xfId="5312" xr:uid="{00000000-0005-0000-0000-000028020000}"/>
    <cellStyle name="%L3 子表3描述单位层一 2 2 4 3 2" xfId="5313" xr:uid="{00000000-0005-0000-0000-000029020000}"/>
    <cellStyle name="%L3 子表3描述单位层一 2 2 4 3 3" xfId="5314" xr:uid="{00000000-0005-0000-0000-00002A020000}"/>
    <cellStyle name="%L3 子表3描述单位层一 2 2 4 4" xfId="5315" xr:uid="{00000000-0005-0000-0000-00002B020000}"/>
    <cellStyle name="%L3 子表3描述单位层一 2 2 4 5" xfId="5316" xr:uid="{00000000-0005-0000-0000-00002C020000}"/>
    <cellStyle name="%L3 子表3描述单位层一 2 2 5" xfId="5317" xr:uid="{00000000-0005-0000-0000-00002D020000}"/>
    <cellStyle name="%L3 子表3描述单位层一 2 2 5 2" xfId="5318" xr:uid="{00000000-0005-0000-0000-00002E020000}"/>
    <cellStyle name="%L3 子表3描述单位层一 2 2 5 3" xfId="5319" xr:uid="{00000000-0005-0000-0000-00002F020000}"/>
    <cellStyle name="%L3 子表3描述单位层一 2 2 6" xfId="5320" xr:uid="{00000000-0005-0000-0000-000030020000}"/>
    <cellStyle name="%L3 子表3描述单位层一 2 2 7" xfId="5321" xr:uid="{00000000-0005-0000-0000-000031020000}"/>
    <cellStyle name="%L3 子表3描述单位层一 2 2 8" xfId="5322" xr:uid="{00000000-0005-0000-0000-000032020000}"/>
    <cellStyle name="%L3 子表3描述单位层一 2 2 9" xfId="5323" xr:uid="{00000000-0005-0000-0000-000033020000}"/>
    <cellStyle name="%L3 子表3描述单位层一 2 20" xfId="5324" xr:uid="{00000000-0005-0000-0000-000034020000}"/>
    <cellStyle name="%L3 子表3描述单位层一 2 21" xfId="5325" xr:uid="{00000000-0005-0000-0000-000035020000}"/>
    <cellStyle name="%L3 子表3描述单位层一 2 22" xfId="5326" xr:uid="{00000000-0005-0000-0000-000036020000}"/>
    <cellStyle name="%L3 子表3描述单位层一 2 23" xfId="5327" xr:uid="{00000000-0005-0000-0000-000037020000}"/>
    <cellStyle name="%L3 子表3描述单位层一 2 24" xfId="5328" xr:uid="{00000000-0005-0000-0000-000038020000}"/>
    <cellStyle name="%L3 子表3描述单位层一 2 25" xfId="5329" xr:uid="{00000000-0005-0000-0000-000039020000}"/>
    <cellStyle name="%L3 子表3描述单位层一 2 26" xfId="5330" xr:uid="{00000000-0005-0000-0000-00003A020000}"/>
    <cellStyle name="%L3 子表3描述单位层一 2 27" xfId="5331" xr:uid="{00000000-0005-0000-0000-00003B020000}"/>
    <cellStyle name="%L3 子表3描述单位层一 2 28" xfId="5332" xr:uid="{00000000-0005-0000-0000-00003C020000}"/>
    <cellStyle name="%L3 子表3描述单位层一 2 29" xfId="5333" xr:uid="{00000000-0005-0000-0000-00003D020000}"/>
    <cellStyle name="%L3 子表3描述单位层一 2 3" xfId="5334" xr:uid="{00000000-0005-0000-0000-00003E020000}"/>
    <cellStyle name="%L3 子表3描述单位层一 2 3 10" xfId="5335" xr:uid="{00000000-0005-0000-0000-00003F020000}"/>
    <cellStyle name="%L3 子表3描述单位层一 2 3 11" xfId="5336" xr:uid="{00000000-0005-0000-0000-000040020000}"/>
    <cellStyle name="%L3 子表3描述单位层一 2 3 12" xfId="5337" xr:uid="{00000000-0005-0000-0000-000041020000}"/>
    <cellStyle name="%L3 子表3描述单位层一 2 3 13" xfId="5338" xr:uid="{00000000-0005-0000-0000-000042020000}"/>
    <cellStyle name="%L3 子表3描述单位层一 2 3 14" xfId="5339" xr:uid="{00000000-0005-0000-0000-000043020000}"/>
    <cellStyle name="%L3 子表3描述单位层一 2 3 15" xfId="5340" xr:uid="{00000000-0005-0000-0000-000044020000}"/>
    <cellStyle name="%L3 子表3描述单位层一 2 3 16" xfId="5341" xr:uid="{00000000-0005-0000-0000-000045020000}"/>
    <cellStyle name="%L3 子表3描述单位层一 2 3 17" xfId="5342" xr:uid="{00000000-0005-0000-0000-000046020000}"/>
    <cellStyle name="%L3 子表3描述单位层一 2 3 18" xfId="5343" xr:uid="{00000000-0005-0000-0000-000047020000}"/>
    <cellStyle name="%L3 子表3描述单位层一 2 3 19" xfId="5344" xr:uid="{00000000-0005-0000-0000-000048020000}"/>
    <cellStyle name="%L3 子表3描述单位层一 2 3 2" xfId="5345" xr:uid="{00000000-0005-0000-0000-000049020000}"/>
    <cellStyle name="%L3 子表3描述单位层一 2 3 2 2" xfId="5346" xr:uid="{00000000-0005-0000-0000-00004A020000}"/>
    <cellStyle name="%L3 子表3描述单位层一 2 3 2 3" xfId="5347" xr:uid="{00000000-0005-0000-0000-00004B020000}"/>
    <cellStyle name="%L3 子表3描述单位层一 2 3 20" xfId="5348" xr:uid="{00000000-0005-0000-0000-00004C020000}"/>
    <cellStyle name="%L3 子表3描述单位层一 2 3 21" xfId="5349" xr:uid="{00000000-0005-0000-0000-00004D020000}"/>
    <cellStyle name="%L3 子表3描述单位层一 2 3 22" xfId="5350" xr:uid="{00000000-0005-0000-0000-00004E020000}"/>
    <cellStyle name="%L3 子表3描述单位层一 2 3 23" xfId="5351" xr:uid="{00000000-0005-0000-0000-00004F020000}"/>
    <cellStyle name="%L3 子表3描述单位层一 2 3 24" xfId="5352" xr:uid="{00000000-0005-0000-0000-000050020000}"/>
    <cellStyle name="%L3 子表3描述单位层一 2 3 25" xfId="5353" xr:uid="{00000000-0005-0000-0000-000051020000}"/>
    <cellStyle name="%L3 子表3描述单位层一 2 3 3" xfId="5354" xr:uid="{00000000-0005-0000-0000-000052020000}"/>
    <cellStyle name="%L3 子表3描述单位层一 2 3 4" xfId="5355" xr:uid="{00000000-0005-0000-0000-000053020000}"/>
    <cellStyle name="%L3 子表3描述单位层一 2 3 5" xfId="5356" xr:uid="{00000000-0005-0000-0000-000054020000}"/>
    <cellStyle name="%L3 子表3描述单位层一 2 3 6" xfId="5357" xr:uid="{00000000-0005-0000-0000-000055020000}"/>
    <cellStyle name="%L3 子表3描述单位层一 2 3 7" xfId="5358" xr:uid="{00000000-0005-0000-0000-000056020000}"/>
    <cellStyle name="%L3 子表3描述单位层一 2 3 8" xfId="5359" xr:uid="{00000000-0005-0000-0000-000057020000}"/>
    <cellStyle name="%L3 子表3描述单位层一 2 3 9" xfId="5360" xr:uid="{00000000-0005-0000-0000-000058020000}"/>
    <cellStyle name="%L3 子表3描述单位层一 2 30" xfId="5361" xr:uid="{00000000-0005-0000-0000-000059020000}"/>
    <cellStyle name="%L3 子表3描述单位层一 2 31" xfId="5362" xr:uid="{00000000-0005-0000-0000-00005A020000}"/>
    <cellStyle name="%L3 子表3描述单位层一 2 32" xfId="5363" xr:uid="{00000000-0005-0000-0000-00005B020000}"/>
    <cellStyle name="%L3 子表3描述单位层一 2 33" xfId="5364" xr:uid="{00000000-0005-0000-0000-00005C020000}"/>
    <cellStyle name="%L3 子表3描述单位层一 2 34" xfId="5365" xr:uid="{00000000-0005-0000-0000-00005D020000}"/>
    <cellStyle name="%L3 子表3描述单位层一 2 35" xfId="5366" xr:uid="{00000000-0005-0000-0000-00005E020000}"/>
    <cellStyle name="%L3 子表3描述单位层一 2 36" xfId="5367" xr:uid="{00000000-0005-0000-0000-00005F020000}"/>
    <cellStyle name="%L3 子表3描述单位层一 2 37" xfId="5368" xr:uid="{00000000-0005-0000-0000-000060020000}"/>
    <cellStyle name="%L3 子表3描述单位层一 2 4" xfId="5369" xr:uid="{00000000-0005-0000-0000-000061020000}"/>
    <cellStyle name="%L3 子表3描述单位层一 2 4 2" xfId="5370" xr:uid="{00000000-0005-0000-0000-000062020000}"/>
    <cellStyle name="%L3 子表3描述单位层一 2 4 2 2" xfId="5371" xr:uid="{00000000-0005-0000-0000-000063020000}"/>
    <cellStyle name="%L3 子表3描述单位层一 2 4 2 3" xfId="5372" xr:uid="{00000000-0005-0000-0000-000064020000}"/>
    <cellStyle name="%L3 子表3描述单位层一 2 4 3" xfId="5373" xr:uid="{00000000-0005-0000-0000-000065020000}"/>
    <cellStyle name="%L3 子表3描述单位层一 2 4 3 2" xfId="5374" xr:uid="{00000000-0005-0000-0000-000066020000}"/>
    <cellStyle name="%L3 子表3描述单位层一 2 4 3 3" xfId="5375" xr:uid="{00000000-0005-0000-0000-000067020000}"/>
    <cellStyle name="%L3 子表3描述单位层一 2 4 4" xfId="5376" xr:uid="{00000000-0005-0000-0000-000068020000}"/>
    <cellStyle name="%L3 子表3描述单位层一 2 4 5" xfId="5377" xr:uid="{00000000-0005-0000-0000-000069020000}"/>
    <cellStyle name="%L3 子表3描述单位层一 2 5" xfId="5378" xr:uid="{00000000-0005-0000-0000-00006A020000}"/>
    <cellStyle name="%L3 子表3描述单位层一 2 5 2" xfId="5379" xr:uid="{00000000-0005-0000-0000-00006B020000}"/>
    <cellStyle name="%L3 子表3描述单位层一 2 5 2 2" xfId="5380" xr:uid="{00000000-0005-0000-0000-00006C020000}"/>
    <cellStyle name="%L3 子表3描述单位层一 2 5 2 3" xfId="5381" xr:uid="{00000000-0005-0000-0000-00006D020000}"/>
    <cellStyle name="%L3 子表3描述单位层一 2 5 3" xfId="5382" xr:uid="{00000000-0005-0000-0000-00006E020000}"/>
    <cellStyle name="%L3 子表3描述单位层一 2 5 3 2" xfId="5383" xr:uid="{00000000-0005-0000-0000-00006F020000}"/>
    <cellStyle name="%L3 子表3描述单位层一 2 5 3 3" xfId="5384" xr:uid="{00000000-0005-0000-0000-000070020000}"/>
    <cellStyle name="%L3 子表3描述单位层一 2 5 4" xfId="5385" xr:uid="{00000000-0005-0000-0000-000071020000}"/>
    <cellStyle name="%L3 子表3描述单位层一 2 5 5" xfId="5386" xr:uid="{00000000-0005-0000-0000-000072020000}"/>
    <cellStyle name="%L3 子表3描述单位层一 2 6" xfId="5387" xr:uid="{00000000-0005-0000-0000-000073020000}"/>
    <cellStyle name="%L3 子表3描述单位层一 2 6 2" xfId="5388" xr:uid="{00000000-0005-0000-0000-000074020000}"/>
    <cellStyle name="%L3 子表3描述单位层一 2 6 3" xfId="5389" xr:uid="{00000000-0005-0000-0000-000075020000}"/>
    <cellStyle name="%L3 子表3描述单位层一 2 7" xfId="5390" xr:uid="{00000000-0005-0000-0000-000076020000}"/>
    <cellStyle name="%L3 子表3描述单位层一 2 8" xfId="5391" xr:uid="{00000000-0005-0000-0000-000077020000}"/>
    <cellStyle name="%L3 子表3描述单位层一 2 9" xfId="5392" xr:uid="{00000000-0005-0000-0000-000078020000}"/>
    <cellStyle name="%L3 子表3描述单位层一 20" xfId="5393" xr:uid="{00000000-0005-0000-0000-000079020000}"/>
    <cellStyle name="%L3 子表3描述单位层一 21" xfId="5394" xr:uid="{00000000-0005-0000-0000-00007A020000}"/>
    <cellStyle name="%L3 子表3描述单位层一 22" xfId="5395" xr:uid="{00000000-0005-0000-0000-00007B020000}"/>
    <cellStyle name="%L3 子表3描述单位层一 23" xfId="5396" xr:uid="{00000000-0005-0000-0000-00007C020000}"/>
    <cellStyle name="%L3 子表3描述单位层一 24" xfId="5397" xr:uid="{00000000-0005-0000-0000-00007D020000}"/>
    <cellStyle name="%L3 子表3描述单位层一 25" xfId="5398" xr:uid="{00000000-0005-0000-0000-00007E020000}"/>
    <cellStyle name="%L3 子表3描述单位层一 26" xfId="5399" xr:uid="{00000000-0005-0000-0000-00007F020000}"/>
    <cellStyle name="%L3 子表3描述单位层一 27" xfId="5400" xr:uid="{00000000-0005-0000-0000-000080020000}"/>
    <cellStyle name="%L3 子表3描述单位层一 28" xfId="5401" xr:uid="{00000000-0005-0000-0000-000081020000}"/>
    <cellStyle name="%L3 子表3描述单位层一 29" xfId="5402" xr:uid="{00000000-0005-0000-0000-000082020000}"/>
    <cellStyle name="%L3 子表3描述单位层一 3" xfId="5403" xr:uid="{00000000-0005-0000-0000-000083020000}"/>
    <cellStyle name="%L3 子表3描述单位层一 3 10" xfId="5404" xr:uid="{00000000-0005-0000-0000-000084020000}"/>
    <cellStyle name="%L3 子表3描述单位层一 3 11" xfId="5405" xr:uid="{00000000-0005-0000-0000-000085020000}"/>
    <cellStyle name="%L3 子表3描述单位层一 3 12" xfId="5406" xr:uid="{00000000-0005-0000-0000-000086020000}"/>
    <cellStyle name="%L3 子表3描述单位层一 3 13" xfId="5407" xr:uid="{00000000-0005-0000-0000-000087020000}"/>
    <cellStyle name="%L3 子表3描述单位层一 3 14" xfId="5408" xr:uid="{00000000-0005-0000-0000-000088020000}"/>
    <cellStyle name="%L3 子表3描述单位层一 3 15" xfId="5409" xr:uid="{00000000-0005-0000-0000-000089020000}"/>
    <cellStyle name="%L3 子表3描述单位层一 3 16" xfId="5410" xr:uid="{00000000-0005-0000-0000-00008A020000}"/>
    <cellStyle name="%L3 子表3描述单位层一 3 17" xfId="5411" xr:uid="{00000000-0005-0000-0000-00008B020000}"/>
    <cellStyle name="%L3 子表3描述单位层一 3 18" xfId="5412" xr:uid="{00000000-0005-0000-0000-00008C020000}"/>
    <cellStyle name="%L3 子表3描述单位层一 3 19" xfId="5413" xr:uid="{00000000-0005-0000-0000-00008D020000}"/>
    <cellStyle name="%L3 子表3描述单位层一 3 2" xfId="5414" xr:uid="{00000000-0005-0000-0000-00008E020000}"/>
    <cellStyle name="%L3 子表3描述单位层一 3 2 10" xfId="5415" xr:uid="{00000000-0005-0000-0000-00008F020000}"/>
    <cellStyle name="%L3 子表3描述单位层一 3 2 11" xfId="5416" xr:uid="{00000000-0005-0000-0000-000090020000}"/>
    <cellStyle name="%L3 子表3描述单位层一 3 2 12" xfId="5417" xr:uid="{00000000-0005-0000-0000-000091020000}"/>
    <cellStyle name="%L3 子表3描述单位层一 3 2 13" xfId="5418" xr:uid="{00000000-0005-0000-0000-000092020000}"/>
    <cellStyle name="%L3 子表3描述单位层一 3 2 14" xfId="5419" xr:uid="{00000000-0005-0000-0000-000093020000}"/>
    <cellStyle name="%L3 子表3描述单位层一 3 2 15" xfId="5420" xr:uid="{00000000-0005-0000-0000-000094020000}"/>
    <cellStyle name="%L3 子表3描述单位层一 3 2 16" xfId="5421" xr:uid="{00000000-0005-0000-0000-000095020000}"/>
    <cellStyle name="%L3 子表3描述单位层一 3 2 17" xfId="5422" xr:uid="{00000000-0005-0000-0000-000096020000}"/>
    <cellStyle name="%L3 子表3描述单位层一 3 2 18" xfId="5423" xr:uid="{00000000-0005-0000-0000-000097020000}"/>
    <cellStyle name="%L3 子表3描述单位层一 3 2 19" xfId="5424" xr:uid="{00000000-0005-0000-0000-000098020000}"/>
    <cellStyle name="%L3 子表3描述单位层一 3 2 2" xfId="5425" xr:uid="{00000000-0005-0000-0000-000099020000}"/>
    <cellStyle name="%L3 子表3描述单位层一 3 2 2 2" xfId="5426" xr:uid="{00000000-0005-0000-0000-00009A020000}"/>
    <cellStyle name="%L3 子表3描述单位层一 3 2 2 3" xfId="5427" xr:uid="{00000000-0005-0000-0000-00009B020000}"/>
    <cellStyle name="%L3 子表3描述单位层一 3 2 20" xfId="5428" xr:uid="{00000000-0005-0000-0000-00009C020000}"/>
    <cellStyle name="%L3 子表3描述单位层一 3 2 21" xfId="5429" xr:uid="{00000000-0005-0000-0000-00009D020000}"/>
    <cellStyle name="%L3 子表3描述单位层一 3 2 22" xfId="5430" xr:uid="{00000000-0005-0000-0000-00009E020000}"/>
    <cellStyle name="%L3 子表3描述单位层一 3 2 23" xfId="5431" xr:uid="{00000000-0005-0000-0000-00009F020000}"/>
    <cellStyle name="%L3 子表3描述单位层一 3 2 24" xfId="5432" xr:uid="{00000000-0005-0000-0000-0000A0020000}"/>
    <cellStyle name="%L3 子表3描述单位层一 3 2 25" xfId="5433" xr:uid="{00000000-0005-0000-0000-0000A1020000}"/>
    <cellStyle name="%L3 子表3描述单位层一 3 2 3" xfId="5434" xr:uid="{00000000-0005-0000-0000-0000A2020000}"/>
    <cellStyle name="%L3 子表3描述单位层一 3 2 4" xfId="5435" xr:uid="{00000000-0005-0000-0000-0000A3020000}"/>
    <cellStyle name="%L3 子表3描述单位层一 3 2 5" xfId="5436" xr:uid="{00000000-0005-0000-0000-0000A4020000}"/>
    <cellStyle name="%L3 子表3描述单位层一 3 2 6" xfId="5437" xr:uid="{00000000-0005-0000-0000-0000A5020000}"/>
    <cellStyle name="%L3 子表3描述单位层一 3 2 7" xfId="5438" xr:uid="{00000000-0005-0000-0000-0000A6020000}"/>
    <cellStyle name="%L3 子表3描述单位层一 3 2 8" xfId="5439" xr:uid="{00000000-0005-0000-0000-0000A7020000}"/>
    <cellStyle name="%L3 子表3描述单位层一 3 2 9" xfId="5440" xr:uid="{00000000-0005-0000-0000-0000A8020000}"/>
    <cellStyle name="%L3 子表3描述单位层一 3 20" xfId="5441" xr:uid="{00000000-0005-0000-0000-0000A9020000}"/>
    <cellStyle name="%L3 子表3描述单位层一 3 21" xfId="5442" xr:uid="{00000000-0005-0000-0000-0000AA020000}"/>
    <cellStyle name="%L3 子表3描述单位层一 3 22" xfId="5443" xr:uid="{00000000-0005-0000-0000-0000AB020000}"/>
    <cellStyle name="%L3 子表3描述单位层一 3 23" xfId="5444" xr:uid="{00000000-0005-0000-0000-0000AC020000}"/>
    <cellStyle name="%L3 子表3描述单位层一 3 24" xfId="5445" xr:uid="{00000000-0005-0000-0000-0000AD020000}"/>
    <cellStyle name="%L3 子表3描述单位层一 3 25" xfId="5446" xr:uid="{00000000-0005-0000-0000-0000AE020000}"/>
    <cellStyle name="%L3 子表3描述单位层一 3 26" xfId="5447" xr:uid="{00000000-0005-0000-0000-0000AF020000}"/>
    <cellStyle name="%L3 子表3描述单位层一 3 27" xfId="5448" xr:uid="{00000000-0005-0000-0000-0000B0020000}"/>
    <cellStyle name="%L3 子表3描述单位层一 3 28" xfId="5449" xr:uid="{00000000-0005-0000-0000-0000B1020000}"/>
    <cellStyle name="%L3 子表3描述单位层一 3 29" xfId="5450" xr:uid="{00000000-0005-0000-0000-0000B2020000}"/>
    <cellStyle name="%L3 子表3描述单位层一 3 3" xfId="5451" xr:uid="{00000000-0005-0000-0000-0000B3020000}"/>
    <cellStyle name="%L3 子表3描述单位层一 3 3 2" xfId="5452" xr:uid="{00000000-0005-0000-0000-0000B4020000}"/>
    <cellStyle name="%L3 子表3描述单位层一 3 3 2 2" xfId="5453" xr:uid="{00000000-0005-0000-0000-0000B5020000}"/>
    <cellStyle name="%L3 子表3描述单位层一 3 3 2 3" xfId="5454" xr:uid="{00000000-0005-0000-0000-0000B6020000}"/>
    <cellStyle name="%L3 子表3描述单位层一 3 3 3" xfId="5455" xr:uid="{00000000-0005-0000-0000-0000B7020000}"/>
    <cellStyle name="%L3 子表3描述单位层一 3 3 3 2" xfId="5456" xr:uid="{00000000-0005-0000-0000-0000B8020000}"/>
    <cellStyle name="%L3 子表3描述单位层一 3 3 3 3" xfId="5457" xr:uid="{00000000-0005-0000-0000-0000B9020000}"/>
    <cellStyle name="%L3 子表3描述单位层一 3 3 4" xfId="5458" xr:uid="{00000000-0005-0000-0000-0000BA020000}"/>
    <cellStyle name="%L3 子表3描述单位层一 3 3 5" xfId="5459" xr:uid="{00000000-0005-0000-0000-0000BB020000}"/>
    <cellStyle name="%L3 子表3描述单位层一 3 30" xfId="5460" xr:uid="{00000000-0005-0000-0000-0000BC020000}"/>
    <cellStyle name="%L3 子表3描述单位层一 3 31" xfId="5461" xr:uid="{00000000-0005-0000-0000-0000BD020000}"/>
    <cellStyle name="%L3 子表3描述单位层一 3 32" xfId="5462" xr:uid="{00000000-0005-0000-0000-0000BE020000}"/>
    <cellStyle name="%L3 子表3描述单位层一 3 33" xfId="5463" xr:uid="{00000000-0005-0000-0000-0000BF020000}"/>
    <cellStyle name="%L3 子表3描述单位层一 3 34" xfId="5464" xr:uid="{00000000-0005-0000-0000-0000C0020000}"/>
    <cellStyle name="%L3 子表3描述单位层一 3 35" xfId="5465" xr:uid="{00000000-0005-0000-0000-0000C1020000}"/>
    <cellStyle name="%L3 子表3描述单位层一 3 36" xfId="5466" xr:uid="{00000000-0005-0000-0000-0000C2020000}"/>
    <cellStyle name="%L3 子表3描述单位层一 3 4" xfId="5467" xr:uid="{00000000-0005-0000-0000-0000C3020000}"/>
    <cellStyle name="%L3 子表3描述单位层一 3 4 2" xfId="5468" xr:uid="{00000000-0005-0000-0000-0000C4020000}"/>
    <cellStyle name="%L3 子表3描述单位层一 3 4 2 2" xfId="5469" xr:uid="{00000000-0005-0000-0000-0000C5020000}"/>
    <cellStyle name="%L3 子表3描述单位层一 3 4 2 3" xfId="5470" xr:uid="{00000000-0005-0000-0000-0000C6020000}"/>
    <cellStyle name="%L3 子表3描述单位层一 3 4 3" xfId="5471" xr:uid="{00000000-0005-0000-0000-0000C7020000}"/>
    <cellStyle name="%L3 子表3描述单位层一 3 4 3 2" xfId="5472" xr:uid="{00000000-0005-0000-0000-0000C8020000}"/>
    <cellStyle name="%L3 子表3描述单位层一 3 4 3 3" xfId="5473" xr:uid="{00000000-0005-0000-0000-0000C9020000}"/>
    <cellStyle name="%L3 子表3描述单位层一 3 4 4" xfId="5474" xr:uid="{00000000-0005-0000-0000-0000CA020000}"/>
    <cellStyle name="%L3 子表3描述单位层一 3 4 5" xfId="5475" xr:uid="{00000000-0005-0000-0000-0000CB020000}"/>
    <cellStyle name="%L3 子表3描述单位层一 3 5" xfId="5476" xr:uid="{00000000-0005-0000-0000-0000CC020000}"/>
    <cellStyle name="%L3 子表3描述单位层一 3 5 2" xfId="5477" xr:uid="{00000000-0005-0000-0000-0000CD020000}"/>
    <cellStyle name="%L3 子表3描述单位层一 3 5 3" xfId="5478" xr:uid="{00000000-0005-0000-0000-0000CE020000}"/>
    <cellStyle name="%L3 子表3描述单位层一 3 6" xfId="5479" xr:uid="{00000000-0005-0000-0000-0000CF020000}"/>
    <cellStyle name="%L3 子表3描述单位层一 3 7" xfId="5480" xr:uid="{00000000-0005-0000-0000-0000D0020000}"/>
    <cellStyle name="%L3 子表3描述单位层一 3 8" xfId="5481" xr:uid="{00000000-0005-0000-0000-0000D1020000}"/>
    <cellStyle name="%L3 子表3描述单位层一 3 9" xfId="5482" xr:uid="{00000000-0005-0000-0000-0000D2020000}"/>
    <cellStyle name="%L3 子表3描述单位层一 30" xfId="5483" xr:uid="{00000000-0005-0000-0000-0000D3020000}"/>
    <cellStyle name="%L3 子表3描述单位层一 31" xfId="5484" xr:uid="{00000000-0005-0000-0000-0000D4020000}"/>
    <cellStyle name="%L3 子表3描述单位层一 32" xfId="5485" xr:uid="{00000000-0005-0000-0000-0000D5020000}"/>
    <cellStyle name="%L3 子表3描述单位层一 33" xfId="5486" xr:uid="{00000000-0005-0000-0000-0000D6020000}"/>
    <cellStyle name="%L3 子表3描述单位层一 34" xfId="5487" xr:uid="{00000000-0005-0000-0000-0000D7020000}"/>
    <cellStyle name="%L3 子表3描述单位层一 35" xfId="5488" xr:uid="{00000000-0005-0000-0000-0000D8020000}"/>
    <cellStyle name="%L3 子表3描述单位层一 36" xfId="5489" xr:uid="{00000000-0005-0000-0000-0000D9020000}"/>
    <cellStyle name="%L3 子表3描述单位层一 37" xfId="5490" xr:uid="{00000000-0005-0000-0000-0000DA020000}"/>
    <cellStyle name="%L3 子表3描述单位层一 38" xfId="5491" xr:uid="{00000000-0005-0000-0000-0000DB020000}"/>
    <cellStyle name="%L3 子表3描述单位层一 4" xfId="5492" xr:uid="{00000000-0005-0000-0000-0000DC020000}"/>
    <cellStyle name="%L3 子表3描述单位层一 4 10" xfId="5493" xr:uid="{00000000-0005-0000-0000-0000DD020000}"/>
    <cellStyle name="%L3 子表3描述单位层一 4 11" xfId="5494" xr:uid="{00000000-0005-0000-0000-0000DE020000}"/>
    <cellStyle name="%L3 子表3描述单位层一 4 12" xfId="5495" xr:uid="{00000000-0005-0000-0000-0000DF020000}"/>
    <cellStyle name="%L3 子表3描述单位层一 4 13" xfId="5496" xr:uid="{00000000-0005-0000-0000-0000E0020000}"/>
    <cellStyle name="%L3 子表3描述单位层一 4 14" xfId="5497" xr:uid="{00000000-0005-0000-0000-0000E1020000}"/>
    <cellStyle name="%L3 子表3描述单位层一 4 15" xfId="5498" xr:uid="{00000000-0005-0000-0000-0000E2020000}"/>
    <cellStyle name="%L3 子表3描述单位层一 4 16" xfId="5499" xr:uid="{00000000-0005-0000-0000-0000E3020000}"/>
    <cellStyle name="%L3 子表3描述单位层一 4 17" xfId="5500" xr:uid="{00000000-0005-0000-0000-0000E4020000}"/>
    <cellStyle name="%L3 子表3描述单位层一 4 18" xfId="5501" xr:uid="{00000000-0005-0000-0000-0000E5020000}"/>
    <cellStyle name="%L3 子表3描述单位层一 4 19" xfId="5502" xr:uid="{00000000-0005-0000-0000-0000E6020000}"/>
    <cellStyle name="%L3 子表3描述单位层一 4 2" xfId="5503" xr:uid="{00000000-0005-0000-0000-0000E7020000}"/>
    <cellStyle name="%L3 子表3描述单位层一 4 2 2" xfId="5504" xr:uid="{00000000-0005-0000-0000-0000E8020000}"/>
    <cellStyle name="%L3 子表3描述单位层一 4 2 3" xfId="5505" xr:uid="{00000000-0005-0000-0000-0000E9020000}"/>
    <cellStyle name="%L3 子表3描述单位层一 4 20" xfId="5506" xr:uid="{00000000-0005-0000-0000-0000EA020000}"/>
    <cellStyle name="%L3 子表3描述单位层一 4 21" xfId="5507" xr:uid="{00000000-0005-0000-0000-0000EB020000}"/>
    <cellStyle name="%L3 子表3描述单位层一 4 22" xfId="5508" xr:uid="{00000000-0005-0000-0000-0000EC020000}"/>
    <cellStyle name="%L3 子表3描述单位层一 4 23" xfId="5509" xr:uid="{00000000-0005-0000-0000-0000ED020000}"/>
    <cellStyle name="%L3 子表3描述单位层一 4 24" xfId="5510" xr:uid="{00000000-0005-0000-0000-0000EE020000}"/>
    <cellStyle name="%L3 子表3描述单位层一 4 25" xfId="5511" xr:uid="{00000000-0005-0000-0000-0000EF020000}"/>
    <cellStyle name="%L3 子表3描述单位层一 4 3" xfId="5512" xr:uid="{00000000-0005-0000-0000-0000F0020000}"/>
    <cellStyle name="%L3 子表3描述单位层一 4 4" xfId="5513" xr:uid="{00000000-0005-0000-0000-0000F1020000}"/>
    <cellStyle name="%L3 子表3描述单位层一 4 5" xfId="5514" xr:uid="{00000000-0005-0000-0000-0000F2020000}"/>
    <cellStyle name="%L3 子表3描述单位层一 4 6" xfId="5515" xr:uid="{00000000-0005-0000-0000-0000F3020000}"/>
    <cellStyle name="%L3 子表3描述单位层一 4 7" xfId="5516" xr:uid="{00000000-0005-0000-0000-0000F4020000}"/>
    <cellStyle name="%L3 子表3描述单位层一 4 8" xfId="5517" xr:uid="{00000000-0005-0000-0000-0000F5020000}"/>
    <cellStyle name="%L3 子表3描述单位层一 4 9" xfId="5518" xr:uid="{00000000-0005-0000-0000-0000F6020000}"/>
    <cellStyle name="%L3 子表3描述单位层一 5" xfId="5519" xr:uid="{00000000-0005-0000-0000-0000F7020000}"/>
    <cellStyle name="%L3 子表3描述单位层一 5 2" xfId="5520" xr:uid="{00000000-0005-0000-0000-0000F8020000}"/>
    <cellStyle name="%L3 子表3描述单位层一 5 2 2" xfId="5521" xr:uid="{00000000-0005-0000-0000-0000F9020000}"/>
    <cellStyle name="%L3 子表3描述单位层一 5 2 3" xfId="5522" xr:uid="{00000000-0005-0000-0000-0000FA020000}"/>
    <cellStyle name="%L3 子表3描述单位层一 5 3" xfId="5523" xr:uid="{00000000-0005-0000-0000-0000FB020000}"/>
    <cellStyle name="%L3 子表3描述单位层一 5 3 2" xfId="5524" xr:uid="{00000000-0005-0000-0000-0000FC020000}"/>
    <cellStyle name="%L3 子表3描述单位层一 5 3 3" xfId="5525" xr:uid="{00000000-0005-0000-0000-0000FD020000}"/>
    <cellStyle name="%L3 子表3描述单位层一 5 4" xfId="5526" xr:uid="{00000000-0005-0000-0000-0000FE020000}"/>
    <cellStyle name="%L3 子表3描述单位层一 5 5" xfId="5527" xr:uid="{00000000-0005-0000-0000-0000FF020000}"/>
    <cellStyle name="%L3 子表3描述单位层一 6" xfId="5528" xr:uid="{00000000-0005-0000-0000-000000030000}"/>
    <cellStyle name="%L3 子表3描述单位层一 6 2" xfId="5529" xr:uid="{00000000-0005-0000-0000-000001030000}"/>
    <cellStyle name="%L3 子表3描述单位层一 6 2 2" xfId="5530" xr:uid="{00000000-0005-0000-0000-000002030000}"/>
    <cellStyle name="%L3 子表3描述单位层一 6 2 3" xfId="5531" xr:uid="{00000000-0005-0000-0000-000003030000}"/>
    <cellStyle name="%L3 子表3描述单位层一 6 3" xfId="5532" xr:uid="{00000000-0005-0000-0000-000004030000}"/>
    <cellStyle name="%L3 子表3描述单位层一 6 3 2" xfId="5533" xr:uid="{00000000-0005-0000-0000-000005030000}"/>
    <cellStyle name="%L3 子表3描述单位层一 6 3 3" xfId="5534" xr:uid="{00000000-0005-0000-0000-000006030000}"/>
    <cellStyle name="%L3 子表3描述单位层一 6 4" xfId="5535" xr:uid="{00000000-0005-0000-0000-000007030000}"/>
    <cellStyle name="%L3 子表3描述单位层一 6 5" xfId="5536" xr:uid="{00000000-0005-0000-0000-000008030000}"/>
    <cellStyle name="%L3 子表3描述单位层一 7" xfId="5537" xr:uid="{00000000-0005-0000-0000-000009030000}"/>
    <cellStyle name="%L3 子表3描述单位层一 7 2" xfId="5538" xr:uid="{00000000-0005-0000-0000-00000A030000}"/>
    <cellStyle name="%L3 子表3描述单位层一 7 3" xfId="5539" xr:uid="{00000000-0005-0000-0000-00000B030000}"/>
    <cellStyle name="%L3 子表3描述单位层一 8" xfId="5540" xr:uid="{00000000-0005-0000-0000-00000C030000}"/>
    <cellStyle name="%L3 子表3描述单位层一 9" xfId="5541" xr:uid="{00000000-0005-0000-0000-00000D030000}"/>
    <cellStyle name="%L3 子表3描述单位层二" xfId="5542" xr:uid="{00000000-0005-0000-0000-00000E030000}"/>
    <cellStyle name="%L3 子表3描述单位层二 10" xfId="5543" xr:uid="{00000000-0005-0000-0000-00000F030000}"/>
    <cellStyle name="%L3 子表3描述单位层二 11" xfId="5544" xr:uid="{00000000-0005-0000-0000-000010030000}"/>
    <cellStyle name="%L3 子表3描述单位层二 12" xfId="5545" xr:uid="{00000000-0005-0000-0000-000011030000}"/>
    <cellStyle name="%L3 子表3描述单位层二 13" xfId="5546" xr:uid="{00000000-0005-0000-0000-000012030000}"/>
    <cellStyle name="%L3 子表3描述单位层二 14" xfId="5547" xr:uid="{00000000-0005-0000-0000-000013030000}"/>
    <cellStyle name="%L3 子表3描述单位层二 15" xfId="5548" xr:uid="{00000000-0005-0000-0000-000014030000}"/>
    <cellStyle name="%L3 子表3描述单位层二 16" xfId="5549" xr:uid="{00000000-0005-0000-0000-000015030000}"/>
    <cellStyle name="%L3 子表3描述单位层二 17" xfId="5550" xr:uid="{00000000-0005-0000-0000-000016030000}"/>
    <cellStyle name="%L3 子表3描述单位层二 18" xfId="5551" xr:uid="{00000000-0005-0000-0000-000017030000}"/>
    <cellStyle name="%L3 子表3描述单位层二 19" xfId="5552" xr:uid="{00000000-0005-0000-0000-000018030000}"/>
    <cellStyle name="%L3 子表3描述单位层二 2" xfId="5553" xr:uid="{00000000-0005-0000-0000-000019030000}"/>
    <cellStyle name="%L3 子表3描述单位层二 2 10" xfId="5554" xr:uid="{00000000-0005-0000-0000-00001A030000}"/>
    <cellStyle name="%L3 子表3描述单位层二 2 11" xfId="5555" xr:uid="{00000000-0005-0000-0000-00001B030000}"/>
    <cellStyle name="%L3 子表3描述单位层二 2 12" xfId="5556" xr:uid="{00000000-0005-0000-0000-00001C030000}"/>
    <cellStyle name="%L3 子表3描述单位层二 2 13" xfId="5557" xr:uid="{00000000-0005-0000-0000-00001D030000}"/>
    <cellStyle name="%L3 子表3描述单位层二 2 14" xfId="5558" xr:uid="{00000000-0005-0000-0000-00001E030000}"/>
    <cellStyle name="%L3 子表3描述单位层二 2 15" xfId="5559" xr:uid="{00000000-0005-0000-0000-00001F030000}"/>
    <cellStyle name="%L3 子表3描述单位层二 2 16" xfId="5560" xr:uid="{00000000-0005-0000-0000-000020030000}"/>
    <cellStyle name="%L3 子表3描述单位层二 2 17" xfId="5561" xr:uid="{00000000-0005-0000-0000-000021030000}"/>
    <cellStyle name="%L3 子表3描述单位层二 2 18" xfId="5562" xr:uid="{00000000-0005-0000-0000-000022030000}"/>
    <cellStyle name="%L3 子表3描述单位层二 2 19" xfId="5563" xr:uid="{00000000-0005-0000-0000-000023030000}"/>
    <cellStyle name="%L3 子表3描述单位层二 2 2" xfId="5564" xr:uid="{00000000-0005-0000-0000-000024030000}"/>
    <cellStyle name="%L3 子表3描述单位层二 2 2 10" xfId="5565" xr:uid="{00000000-0005-0000-0000-000025030000}"/>
    <cellStyle name="%L3 子表3描述单位层二 2 2 11" xfId="5566" xr:uid="{00000000-0005-0000-0000-000026030000}"/>
    <cellStyle name="%L3 子表3描述单位层二 2 2 12" xfId="5567" xr:uid="{00000000-0005-0000-0000-000027030000}"/>
    <cellStyle name="%L3 子表3描述单位层二 2 2 13" xfId="5568" xr:uid="{00000000-0005-0000-0000-000028030000}"/>
    <cellStyle name="%L3 子表3描述单位层二 2 2 14" xfId="5569" xr:uid="{00000000-0005-0000-0000-000029030000}"/>
    <cellStyle name="%L3 子表3描述单位层二 2 2 15" xfId="5570" xr:uid="{00000000-0005-0000-0000-00002A030000}"/>
    <cellStyle name="%L3 子表3描述单位层二 2 2 16" xfId="5571" xr:uid="{00000000-0005-0000-0000-00002B030000}"/>
    <cellStyle name="%L3 子表3描述单位层二 2 2 17" xfId="5572" xr:uid="{00000000-0005-0000-0000-00002C030000}"/>
    <cellStyle name="%L3 子表3描述单位层二 2 2 18" xfId="5573" xr:uid="{00000000-0005-0000-0000-00002D030000}"/>
    <cellStyle name="%L3 子表3描述单位层二 2 2 19" xfId="5574" xr:uid="{00000000-0005-0000-0000-00002E030000}"/>
    <cellStyle name="%L3 子表3描述单位层二 2 2 2" xfId="5575" xr:uid="{00000000-0005-0000-0000-00002F030000}"/>
    <cellStyle name="%L3 子表3描述单位层二 2 2 2 10" xfId="5576" xr:uid="{00000000-0005-0000-0000-000030030000}"/>
    <cellStyle name="%L3 子表3描述单位层二 2 2 2 11" xfId="5577" xr:uid="{00000000-0005-0000-0000-000031030000}"/>
    <cellStyle name="%L3 子表3描述单位层二 2 2 2 12" xfId="5578" xr:uid="{00000000-0005-0000-0000-000032030000}"/>
    <cellStyle name="%L3 子表3描述单位层二 2 2 2 13" xfId="5579" xr:uid="{00000000-0005-0000-0000-000033030000}"/>
    <cellStyle name="%L3 子表3描述单位层二 2 2 2 14" xfId="5580" xr:uid="{00000000-0005-0000-0000-000034030000}"/>
    <cellStyle name="%L3 子表3描述单位层二 2 2 2 15" xfId="5581" xr:uid="{00000000-0005-0000-0000-000035030000}"/>
    <cellStyle name="%L3 子表3描述单位层二 2 2 2 16" xfId="5582" xr:uid="{00000000-0005-0000-0000-000036030000}"/>
    <cellStyle name="%L3 子表3描述单位层二 2 2 2 17" xfId="5583" xr:uid="{00000000-0005-0000-0000-000037030000}"/>
    <cellStyle name="%L3 子表3描述单位层二 2 2 2 18" xfId="5584" xr:uid="{00000000-0005-0000-0000-000038030000}"/>
    <cellStyle name="%L3 子表3描述单位层二 2 2 2 19" xfId="5585" xr:uid="{00000000-0005-0000-0000-000039030000}"/>
    <cellStyle name="%L3 子表3描述单位层二 2 2 2 2" xfId="5586" xr:uid="{00000000-0005-0000-0000-00003A030000}"/>
    <cellStyle name="%L3 子表3描述单位层二 2 2 2 2 2" xfId="5587" xr:uid="{00000000-0005-0000-0000-00003B030000}"/>
    <cellStyle name="%L3 子表3描述单位层二 2 2 2 2 3" xfId="5588" xr:uid="{00000000-0005-0000-0000-00003C030000}"/>
    <cellStyle name="%L3 子表3描述单位层二 2 2 2 20" xfId="5589" xr:uid="{00000000-0005-0000-0000-00003D030000}"/>
    <cellStyle name="%L3 子表3描述单位层二 2 2 2 21" xfId="5590" xr:uid="{00000000-0005-0000-0000-00003E030000}"/>
    <cellStyle name="%L3 子表3描述单位层二 2 2 2 22" xfId="5591" xr:uid="{00000000-0005-0000-0000-00003F030000}"/>
    <cellStyle name="%L3 子表3描述单位层二 2 2 2 23" xfId="5592" xr:uid="{00000000-0005-0000-0000-000040030000}"/>
    <cellStyle name="%L3 子表3描述单位层二 2 2 2 24" xfId="5593" xr:uid="{00000000-0005-0000-0000-000041030000}"/>
    <cellStyle name="%L3 子表3描述单位层二 2 2 2 25" xfId="5594" xr:uid="{00000000-0005-0000-0000-000042030000}"/>
    <cellStyle name="%L3 子表3描述单位层二 2 2 2 3" xfId="5595" xr:uid="{00000000-0005-0000-0000-000043030000}"/>
    <cellStyle name="%L3 子表3描述单位层二 2 2 2 4" xfId="5596" xr:uid="{00000000-0005-0000-0000-000044030000}"/>
    <cellStyle name="%L3 子表3描述单位层二 2 2 2 5" xfId="5597" xr:uid="{00000000-0005-0000-0000-000045030000}"/>
    <cellStyle name="%L3 子表3描述单位层二 2 2 2 6" xfId="5598" xr:uid="{00000000-0005-0000-0000-000046030000}"/>
    <cellStyle name="%L3 子表3描述单位层二 2 2 2 7" xfId="5599" xr:uid="{00000000-0005-0000-0000-000047030000}"/>
    <cellStyle name="%L3 子表3描述单位层二 2 2 2 8" xfId="5600" xr:uid="{00000000-0005-0000-0000-000048030000}"/>
    <cellStyle name="%L3 子表3描述单位层二 2 2 2 9" xfId="5601" xr:uid="{00000000-0005-0000-0000-000049030000}"/>
    <cellStyle name="%L3 子表3描述单位层二 2 2 20" xfId="5602" xr:uid="{00000000-0005-0000-0000-00004A030000}"/>
    <cellStyle name="%L3 子表3描述单位层二 2 2 21" xfId="5603" xr:uid="{00000000-0005-0000-0000-00004B030000}"/>
    <cellStyle name="%L3 子表3描述单位层二 2 2 22" xfId="5604" xr:uid="{00000000-0005-0000-0000-00004C030000}"/>
    <cellStyle name="%L3 子表3描述单位层二 2 2 23" xfId="5605" xr:uid="{00000000-0005-0000-0000-00004D030000}"/>
    <cellStyle name="%L3 子表3描述单位层二 2 2 24" xfId="5606" xr:uid="{00000000-0005-0000-0000-00004E030000}"/>
    <cellStyle name="%L3 子表3描述单位层二 2 2 25" xfId="5607" xr:uid="{00000000-0005-0000-0000-00004F030000}"/>
    <cellStyle name="%L3 子表3描述单位层二 2 2 26" xfId="5608" xr:uid="{00000000-0005-0000-0000-000050030000}"/>
    <cellStyle name="%L3 子表3描述单位层二 2 2 27" xfId="5609" xr:uid="{00000000-0005-0000-0000-000051030000}"/>
    <cellStyle name="%L3 子表3描述单位层二 2 2 28" xfId="5610" xr:uid="{00000000-0005-0000-0000-000052030000}"/>
    <cellStyle name="%L3 子表3描述单位层二 2 2 29" xfId="5611" xr:uid="{00000000-0005-0000-0000-000053030000}"/>
    <cellStyle name="%L3 子表3描述单位层二 2 2 3" xfId="5612" xr:uid="{00000000-0005-0000-0000-000054030000}"/>
    <cellStyle name="%L3 子表3描述单位层二 2 2 3 2" xfId="5613" xr:uid="{00000000-0005-0000-0000-000055030000}"/>
    <cellStyle name="%L3 子表3描述单位层二 2 2 3 2 2" xfId="5614" xr:uid="{00000000-0005-0000-0000-000056030000}"/>
    <cellStyle name="%L3 子表3描述单位层二 2 2 3 2 3" xfId="5615" xr:uid="{00000000-0005-0000-0000-000057030000}"/>
    <cellStyle name="%L3 子表3描述单位层二 2 2 3 3" xfId="5616" xr:uid="{00000000-0005-0000-0000-000058030000}"/>
    <cellStyle name="%L3 子表3描述单位层二 2 2 3 3 2" xfId="5617" xr:uid="{00000000-0005-0000-0000-000059030000}"/>
    <cellStyle name="%L3 子表3描述单位层二 2 2 3 3 3" xfId="5618" xr:uid="{00000000-0005-0000-0000-00005A030000}"/>
    <cellStyle name="%L3 子表3描述单位层二 2 2 3 4" xfId="5619" xr:uid="{00000000-0005-0000-0000-00005B030000}"/>
    <cellStyle name="%L3 子表3描述单位层二 2 2 3 5" xfId="5620" xr:uid="{00000000-0005-0000-0000-00005C030000}"/>
    <cellStyle name="%L3 子表3描述单位层二 2 2 30" xfId="5621" xr:uid="{00000000-0005-0000-0000-00005D030000}"/>
    <cellStyle name="%L3 子表3描述单位层二 2 2 31" xfId="5622" xr:uid="{00000000-0005-0000-0000-00005E030000}"/>
    <cellStyle name="%L3 子表3描述单位层二 2 2 32" xfId="5623" xr:uid="{00000000-0005-0000-0000-00005F030000}"/>
    <cellStyle name="%L3 子表3描述单位层二 2 2 33" xfId="5624" xr:uid="{00000000-0005-0000-0000-000060030000}"/>
    <cellStyle name="%L3 子表3描述单位层二 2 2 34" xfId="5625" xr:uid="{00000000-0005-0000-0000-000061030000}"/>
    <cellStyle name="%L3 子表3描述单位层二 2 2 35" xfId="5626" xr:uid="{00000000-0005-0000-0000-000062030000}"/>
    <cellStyle name="%L3 子表3描述单位层二 2 2 36" xfId="5627" xr:uid="{00000000-0005-0000-0000-000063030000}"/>
    <cellStyle name="%L3 子表3描述单位层二 2 2 4" xfId="5628" xr:uid="{00000000-0005-0000-0000-000064030000}"/>
    <cellStyle name="%L3 子表3描述单位层二 2 2 4 2" xfId="5629" xr:uid="{00000000-0005-0000-0000-000065030000}"/>
    <cellStyle name="%L3 子表3描述单位层二 2 2 4 2 2" xfId="5630" xr:uid="{00000000-0005-0000-0000-000066030000}"/>
    <cellStyle name="%L3 子表3描述单位层二 2 2 4 2 3" xfId="5631" xr:uid="{00000000-0005-0000-0000-000067030000}"/>
    <cellStyle name="%L3 子表3描述单位层二 2 2 4 3" xfId="5632" xr:uid="{00000000-0005-0000-0000-000068030000}"/>
    <cellStyle name="%L3 子表3描述单位层二 2 2 4 3 2" xfId="5633" xr:uid="{00000000-0005-0000-0000-000069030000}"/>
    <cellStyle name="%L3 子表3描述单位层二 2 2 4 3 3" xfId="5634" xr:uid="{00000000-0005-0000-0000-00006A030000}"/>
    <cellStyle name="%L3 子表3描述单位层二 2 2 4 4" xfId="5635" xr:uid="{00000000-0005-0000-0000-00006B030000}"/>
    <cellStyle name="%L3 子表3描述单位层二 2 2 4 5" xfId="5636" xr:uid="{00000000-0005-0000-0000-00006C030000}"/>
    <cellStyle name="%L3 子表3描述单位层二 2 2 5" xfId="5637" xr:uid="{00000000-0005-0000-0000-00006D030000}"/>
    <cellStyle name="%L3 子表3描述单位层二 2 2 5 2" xfId="5638" xr:uid="{00000000-0005-0000-0000-00006E030000}"/>
    <cellStyle name="%L3 子表3描述单位层二 2 2 5 3" xfId="5639" xr:uid="{00000000-0005-0000-0000-00006F030000}"/>
    <cellStyle name="%L3 子表3描述单位层二 2 2 6" xfId="5640" xr:uid="{00000000-0005-0000-0000-000070030000}"/>
    <cellStyle name="%L3 子表3描述单位层二 2 2 7" xfId="5641" xr:uid="{00000000-0005-0000-0000-000071030000}"/>
    <cellStyle name="%L3 子表3描述单位层二 2 2 8" xfId="5642" xr:uid="{00000000-0005-0000-0000-000072030000}"/>
    <cellStyle name="%L3 子表3描述单位层二 2 2 9" xfId="5643" xr:uid="{00000000-0005-0000-0000-000073030000}"/>
    <cellStyle name="%L3 子表3描述单位层二 2 20" xfId="5644" xr:uid="{00000000-0005-0000-0000-000074030000}"/>
    <cellStyle name="%L3 子表3描述单位层二 2 21" xfId="5645" xr:uid="{00000000-0005-0000-0000-000075030000}"/>
    <cellStyle name="%L3 子表3描述单位层二 2 22" xfId="5646" xr:uid="{00000000-0005-0000-0000-000076030000}"/>
    <cellStyle name="%L3 子表3描述单位层二 2 23" xfId="5647" xr:uid="{00000000-0005-0000-0000-000077030000}"/>
    <cellStyle name="%L3 子表3描述单位层二 2 24" xfId="5648" xr:uid="{00000000-0005-0000-0000-000078030000}"/>
    <cellStyle name="%L3 子表3描述单位层二 2 25" xfId="5649" xr:uid="{00000000-0005-0000-0000-000079030000}"/>
    <cellStyle name="%L3 子表3描述单位层二 2 26" xfId="5650" xr:uid="{00000000-0005-0000-0000-00007A030000}"/>
    <cellStyle name="%L3 子表3描述单位层二 2 27" xfId="5651" xr:uid="{00000000-0005-0000-0000-00007B030000}"/>
    <cellStyle name="%L3 子表3描述单位层二 2 28" xfId="5652" xr:uid="{00000000-0005-0000-0000-00007C030000}"/>
    <cellStyle name="%L3 子表3描述单位层二 2 29" xfId="5653" xr:uid="{00000000-0005-0000-0000-00007D030000}"/>
    <cellStyle name="%L3 子表3描述单位层二 2 3" xfId="5654" xr:uid="{00000000-0005-0000-0000-00007E030000}"/>
    <cellStyle name="%L3 子表3描述单位层二 2 3 10" xfId="5655" xr:uid="{00000000-0005-0000-0000-00007F030000}"/>
    <cellStyle name="%L3 子表3描述单位层二 2 3 11" xfId="5656" xr:uid="{00000000-0005-0000-0000-000080030000}"/>
    <cellStyle name="%L3 子表3描述单位层二 2 3 12" xfId="5657" xr:uid="{00000000-0005-0000-0000-000081030000}"/>
    <cellStyle name="%L3 子表3描述单位层二 2 3 13" xfId="5658" xr:uid="{00000000-0005-0000-0000-000082030000}"/>
    <cellStyle name="%L3 子表3描述单位层二 2 3 14" xfId="5659" xr:uid="{00000000-0005-0000-0000-000083030000}"/>
    <cellStyle name="%L3 子表3描述单位层二 2 3 15" xfId="5660" xr:uid="{00000000-0005-0000-0000-000084030000}"/>
    <cellStyle name="%L3 子表3描述单位层二 2 3 16" xfId="5661" xr:uid="{00000000-0005-0000-0000-000085030000}"/>
    <cellStyle name="%L3 子表3描述单位层二 2 3 17" xfId="5662" xr:uid="{00000000-0005-0000-0000-000086030000}"/>
    <cellStyle name="%L3 子表3描述单位层二 2 3 18" xfId="5663" xr:uid="{00000000-0005-0000-0000-000087030000}"/>
    <cellStyle name="%L3 子表3描述单位层二 2 3 19" xfId="5664" xr:uid="{00000000-0005-0000-0000-000088030000}"/>
    <cellStyle name="%L3 子表3描述单位层二 2 3 2" xfId="5665" xr:uid="{00000000-0005-0000-0000-000089030000}"/>
    <cellStyle name="%L3 子表3描述单位层二 2 3 2 2" xfId="5666" xr:uid="{00000000-0005-0000-0000-00008A030000}"/>
    <cellStyle name="%L3 子表3描述单位层二 2 3 2 3" xfId="5667" xr:uid="{00000000-0005-0000-0000-00008B030000}"/>
    <cellStyle name="%L3 子表3描述单位层二 2 3 20" xfId="5668" xr:uid="{00000000-0005-0000-0000-00008C030000}"/>
    <cellStyle name="%L3 子表3描述单位层二 2 3 21" xfId="5669" xr:uid="{00000000-0005-0000-0000-00008D030000}"/>
    <cellStyle name="%L3 子表3描述单位层二 2 3 22" xfId="5670" xr:uid="{00000000-0005-0000-0000-00008E030000}"/>
    <cellStyle name="%L3 子表3描述单位层二 2 3 23" xfId="5671" xr:uid="{00000000-0005-0000-0000-00008F030000}"/>
    <cellStyle name="%L3 子表3描述单位层二 2 3 24" xfId="5672" xr:uid="{00000000-0005-0000-0000-000090030000}"/>
    <cellStyle name="%L3 子表3描述单位层二 2 3 25" xfId="5673" xr:uid="{00000000-0005-0000-0000-000091030000}"/>
    <cellStyle name="%L3 子表3描述单位层二 2 3 3" xfId="5674" xr:uid="{00000000-0005-0000-0000-000092030000}"/>
    <cellStyle name="%L3 子表3描述单位层二 2 3 4" xfId="5675" xr:uid="{00000000-0005-0000-0000-000093030000}"/>
    <cellStyle name="%L3 子表3描述单位层二 2 3 5" xfId="5676" xr:uid="{00000000-0005-0000-0000-000094030000}"/>
    <cellStyle name="%L3 子表3描述单位层二 2 3 6" xfId="5677" xr:uid="{00000000-0005-0000-0000-000095030000}"/>
    <cellStyle name="%L3 子表3描述单位层二 2 3 7" xfId="5678" xr:uid="{00000000-0005-0000-0000-000096030000}"/>
    <cellStyle name="%L3 子表3描述单位层二 2 3 8" xfId="5679" xr:uid="{00000000-0005-0000-0000-000097030000}"/>
    <cellStyle name="%L3 子表3描述单位层二 2 3 9" xfId="5680" xr:uid="{00000000-0005-0000-0000-000098030000}"/>
    <cellStyle name="%L3 子表3描述单位层二 2 30" xfId="5681" xr:uid="{00000000-0005-0000-0000-000099030000}"/>
    <cellStyle name="%L3 子表3描述单位层二 2 31" xfId="5682" xr:uid="{00000000-0005-0000-0000-00009A030000}"/>
    <cellStyle name="%L3 子表3描述单位层二 2 32" xfId="5683" xr:uid="{00000000-0005-0000-0000-00009B030000}"/>
    <cellStyle name="%L3 子表3描述单位层二 2 33" xfId="5684" xr:uid="{00000000-0005-0000-0000-00009C030000}"/>
    <cellStyle name="%L3 子表3描述单位层二 2 34" xfId="5685" xr:uid="{00000000-0005-0000-0000-00009D030000}"/>
    <cellStyle name="%L3 子表3描述单位层二 2 35" xfId="5686" xr:uid="{00000000-0005-0000-0000-00009E030000}"/>
    <cellStyle name="%L3 子表3描述单位层二 2 36" xfId="5687" xr:uid="{00000000-0005-0000-0000-00009F030000}"/>
    <cellStyle name="%L3 子表3描述单位层二 2 37" xfId="5688" xr:uid="{00000000-0005-0000-0000-0000A0030000}"/>
    <cellStyle name="%L3 子表3描述单位层二 2 4" xfId="5689" xr:uid="{00000000-0005-0000-0000-0000A1030000}"/>
    <cellStyle name="%L3 子表3描述单位层二 2 4 2" xfId="5690" xr:uid="{00000000-0005-0000-0000-0000A2030000}"/>
    <cellStyle name="%L3 子表3描述单位层二 2 4 2 2" xfId="5691" xr:uid="{00000000-0005-0000-0000-0000A3030000}"/>
    <cellStyle name="%L3 子表3描述单位层二 2 4 2 3" xfId="5692" xr:uid="{00000000-0005-0000-0000-0000A4030000}"/>
    <cellStyle name="%L3 子表3描述单位层二 2 4 3" xfId="5693" xr:uid="{00000000-0005-0000-0000-0000A5030000}"/>
    <cellStyle name="%L3 子表3描述单位层二 2 4 3 2" xfId="5694" xr:uid="{00000000-0005-0000-0000-0000A6030000}"/>
    <cellStyle name="%L3 子表3描述单位层二 2 4 3 3" xfId="5695" xr:uid="{00000000-0005-0000-0000-0000A7030000}"/>
    <cellStyle name="%L3 子表3描述单位层二 2 4 4" xfId="5696" xr:uid="{00000000-0005-0000-0000-0000A8030000}"/>
    <cellStyle name="%L3 子表3描述单位层二 2 4 5" xfId="5697" xr:uid="{00000000-0005-0000-0000-0000A9030000}"/>
    <cellStyle name="%L3 子表3描述单位层二 2 5" xfId="5698" xr:uid="{00000000-0005-0000-0000-0000AA030000}"/>
    <cellStyle name="%L3 子表3描述单位层二 2 5 2" xfId="5699" xr:uid="{00000000-0005-0000-0000-0000AB030000}"/>
    <cellStyle name="%L3 子表3描述单位层二 2 5 2 2" xfId="5700" xr:uid="{00000000-0005-0000-0000-0000AC030000}"/>
    <cellStyle name="%L3 子表3描述单位层二 2 5 2 3" xfId="5701" xr:uid="{00000000-0005-0000-0000-0000AD030000}"/>
    <cellStyle name="%L3 子表3描述单位层二 2 5 3" xfId="5702" xr:uid="{00000000-0005-0000-0000-0000AE030000}"/>
    <cellStyle name="%L3 子表3描述单位层二 2 5 3 2" xfId="5703" xr:uid="{00000000-0005-0000-0000-0000AF030000}"/>
    <cellStyle name="%L3 子表3描述单位层二 2 5 3 3" xfId="5704" xr:uid="{00000000-0005-0000-0000-0000B0030000}"/>
    <cellStyle name="%L3 子表3描述单位层二 2 5 4" xfId="5705" xr:uid="{00000000-0005-0000-0000-0000B1030000}"/>
    <cellStyle name="%L3 子表3描述单位层二 2 5 5" xfId="5706" xr:uid="{00000000-0005-0000-0000-0000B2030000}"/>
    <cellStyle name="%L3 子表3描述单位层二 2 6" xfId="5707" xr:uid="{00000000-0005-0000-0000-0000B3030000}"/>
    <cellStyle name="%L3 子表3描述单位层二 2 6 2" xfId="5708" xr:uid="{00000000-0005-0000-0000-0000B4030000}"/>
    <cellStyle name="%L3 子表3描述单位层二 2 6 3" xfId="5709" xr:uid="{00000000-0005-0000-0000-0000B5030000}"/>
    <cellStyle name="%L3 子表3描述单位层二 2 7" xfId="5710" xr:uid="{00000000-0005-0000-0000-0000B6030000}"/>
    <cellStyle name="%L3 子表3描述单位层二 2 8" xfId="5711" xr:uid="{00000000-0005-0000-0000-0000B7030000}"/>
    <cellStyle name="%L3 子表3描述单位层二 2 9" xfId="5712" xr:uid="{00000000-0005-0000-0000-0000B8030000}"/>
    <cellStyle name="%L3 子表3描述单位层二 20" xfId="5713" xr:uid="{00000000-0005-0000-0000-0000B9030000}"/>
    <cellStyle name="%L3 子表3描述单位层二 21" xfId="5714" xr:uid="{00000000-0005-0000-0000-0000BA030000}"/>
    <cellStyle name="%L3 子表3描述单位层二 22" xfId="5715" xr:uid="{00000000-0005-0000-0000-0000BB030000}"/>
    <cellStyle name="%L3 子表3描述单位层二 23" xfId="5716" xr:uid="{00000000-0005-0000-0000-0000BC030000}"/>
    <cellStyle name="%L3 子表3描述单位层二 24" xfId="5717" xr:uid="{00000000-0005-0000-0000-0000BD030000}"/>
    <cellStyle name="%L3 子表3描述单位层二 25" xfId="5718" xr:uid="{00000000-0005-0000-0000-0000BE030000}"/>
    <cellStyle name="%L3 子表3描述单位层二 26" xfId="5719" xr:uid="{00000000-0005-0000-0000-0000BF030000}"/>
    <cellStyle name="%L3 子表3描述单位层二 27" xfId="5720" xr:uid="{00000000-0005-0000-0000-0000C0030000}"/>
    <cellStyle name="%L3 子表3描述单位层二 28" xfId="5721" xr:uid="{00000000-0005-0000-0000-0000C1030000}"/>
    <cellStyle name="%L3 子表3描述单位层二 29" xfId="5722" xr:uid="{00000000-0005-0000-0000-0000C2030000}"/>
    <cellStyle name="%L3 子表3描述单位层二 3" xfId="5723" xr:uid="{00000000-0005-0000-0000-0000C3030000}"/>
    <cellStyle name="%L3 子表3描述单位层二 3 10" xfId="5724" xr:uid="{00000000-0005-0000-0000-0000C4030000}"/>
    <cellStyle name="%L3 子表3描述单位层二 3 11" xfId="5725" xr:uid="{00000000-0005-0000-0000-0000C5030000}"/>
    <cellStyle name="%L3 子表3描述单位层二 3 12" xfId="5726" xr:uid="{00000000-0005-0000-0000-0000C6030000}"/>
    <cellStyle name="%L3 子表3描述单位层二 3 13" xfId="5727" xr:uid="{00000000-0005-0000-0000-0000C7030000}"/>
    <cellStyle name="%L3 子表3描述单位层二 3 14" xfId="5728" xr:uid="{00000000-0005-0000-0000-0000C8030000}"/>
    <cellStyle name="%L3 子表3描述单位层二 3 15" xfId="5729" xr:uid="{00000000-0005-0000-0000-0000C9030000}"/>
    <cellStyle name="%L3 子表3描述单位层二 3 16" xfId="5730" xr:uid="{00000000-0005-0000-0000-0000CA030000}"/>
    <cellStyle name="%L3 子表3描述单位层二 3 17" xfId="5731" xr:uid="{00000000-0005-0000-0000-0000CB030000}"/>
    <cellStyle name="%L3 子表3描述单位层二 3 18" xfId="5732" xr:uid="{00000000-0005-0000-0000-0000CC030000}"/>
    <cellStyle name="%L3 子表3描述单位层二 3 19" xfId="5733" xr:uid="{00000000-0005-0000-0000-0000CD030000}"/>
    <cellStyle name="%L3 子表3描述单位层二 3 2" xfId="5734" xr:uid="{00000000-0005-0000-0000-0000CE030000}"/>
    <cellStyle name="%L3 子表3描述单位层二 3 2 10" xfId="5735" xr:uid="{00000000-0005-0000-0000-0000CF030000}"/>
    <cellStyle name="%L3 子表3描述单位层二 3 2 11" xfId="5736" xr:uid="{00000000-0005-0000-0000-0000D0030000}"/>
    <cellStyle name="%L3 子表3描述单位层二 3 2 12" xfId="5737" xr:uid="{00000000-0005-0000-0000-0000D1030000}"/>
    <cellStyle name="%L3 子表3描述单位层二 3 2 13" xfId="5738" xr:uid="{00000000-0005-0000-0000-0000D2030000}"/>
    <cellStyle name="%L3 子表3描述单位层二 3 2 14" xfId="5739" xr:uid="{00000000-0005-0000-0000-0000D3030000}"/>
    <cellStyle name="%L3 子表3描述单位层二 3 2 15" xfId="5740" xr:uid="{00000000-0005-0000-0000-0000D4030000}"/>
    <cellStyle name="%L3 子表3描述单位层二 3 2 16" xfId="5741" xr:uid="{00000000-0005-0000-0000-0000D5030000}"/>
    <cellStyle name="%L3 子表3描述单位层二 3 2 17" xfId="5742" xr:uid="{00000000-0005-0000-0000-0000D6030000}"/>
    <cellStyle name="%L3 子表3描述单位层二 3 2 18" xfId="5743" xr:uid="{00000000-0005-0000-0000-0000D7030000}"/>
    <cellStyle name="%L3 子表3描述单位层二 3 2 19" xfId="5744" xr:uid="{00000000-0005-0000-0000-0000D8030000}"/>
    <cellStyle name="%L3 子表3描述单位层二 3 2 2" xfId="5745" xr:uid="{00000000-0005-0000-0000-0000D9030000}"/>
    <cellStyle name="%L3 子表3描述单位层二 3 2 2 2" xfId="5746" xr:uid="{00000000-0005-0000-0000-0000DA030000}"/>
    <cellStyle name="%L3 子表3描述单位层二 3 2 2 3" xfId="5747" xr:uid="{00000000-0005-0000-0000-0000DB030000}"/>
    <cellStyle name="%L3 子表3描述单位层二 3 2 20" xfId="5748" xr:uid="{00000000-0005-0000-0000-0000DC030000}"/>
    <cellStyle name="%L3 子表3描述单位层二 3 2 21" xfId="5749" xr:uid="{00000000-0005-0000-0000-0000DD030000}"/>
    <cellStyle name="%L3 子表3描述单位层二 3 2 22" xfId="5750" xr:uid="{00000000-0005-0000-0000-0000DE030000}"/>
    <cellStyle name="%L3 子表3描述单位层二 3 2 23" xfId="5751" xr:uid="{00000000-0005-0000-0000-0000DF030000}"/>
    <cellStyle name="%L3 子表3描述单位层二 3 2 24" xfId="5752" xr:uid="{00000000-0005-0000-0000-0000E0030000}"/>
    <cellStyle name="%L3 子表3描述单位层二 3 2 25" xfId="5753" xr:uid="{00000000-0005-0000-0000-0000E1030000}"/>
    <cellStyle name="%L3 子表3描述单位层二 3 2 3" xfId="5754" xr:uid="{00000000-0005-0000-0000-0000E2030000}"/>
    <cellStyle name="%L3 子表3描述单位层二 3 2 4" xfId="5755" xr:uid="{00000000-0005-0000-0000-0000E3030000}"/>
    <cellStyle name="%L3 子表3描述单位层二 3 2 5" xfId="5756" xr:uid="{00000000-0005-0000-0000-0000E4030000}"/>
    <cellStyle name="%L3 子表3描述单位层二 3 2 6" xfId="5757" xr:uid="{00000000-0005-0000-0000-0000E5030000}"/>
    <cellStyle name="%L3 子表3描述单位层二 3 2 7" xfId="5758" xr:uid="{00000000-0005-0000-0000-0000E6030000}"/>
    <cellStyle name="%L3 子表3描述单位层二 3 2 8" xfId="5759" xr:uid="{00000000-0005-0000-0000-0000E7030000}"/>
    <cellStyle name="%L3 子表3描述单位层二 3 2 9" xfId="5760" xr:uid="{00000000-0005-0000-0000-0000E8030000}"/>
    <cellStyle name="%L3 子表3描述单位层二 3 20" xfId="5761" xr:uid="{00000000-0005-0000-0000-0000E9030000}"/>
    <cellStyle name="%L3 子表3描述单位层二 3 21" xfId="5762" xr:uid="{00000000-0005-0000-0000-0000EA030000}"/>
    <cellStyle name="%L3 子表3描述单位层二 3 22" xfId="5763" xr:uid="{00000000-0005-0000-0000-0000EB030000}"/>
    <cellStyle name="%L3 子表3描述单位层二 3 23" xfId="5764" xr:uid="{00000000-0005-0000-0000-0000EC030000}"/>
    <cellStyle name="%L3 子表3描述单位层二 3 24" xfId="5765" xr:uid="{00000000-0005-0000-0000-0000ED030000}"/>
    <cellStyle name="%L3 子表3描述单位层二 3 25" xfId="5766" xr:uid="{00000000-0005-0000-0000-0000EE030000}"/>
    <cellStyle name="%L3 子表3描述单位层二 3 26" xfId="5767" xr:uid="{00000000-0005-0000-0000-0000EF030000}"/>
    <cellStyle name="%L3 子表3描述单位层二 3 27" xfId="5768" xr:uid="{00000000-0005-0000-0000-0000F0030000}"/>
    <cellStyle name="%L3 子表3描述单位层二 3 28" xfId="5769" xr:uid="{00000000-0005-0000-0000-0000F1030000}"/>
    <cellStyle name="%L3 子表3描述单位层二 3 29" xfId="5770" xr:uid="{00000000-0005-0000-0000-0000F2030000}"/>
    <cellStyle name="%L3 子表3描述单位层二 3 3" xfId="5771" xr:uid="{00000000-0005-0000-0000-0000F3030000}"/>
    <cellStyle name="%L3 子表3描述单位层二 3 3 2" xfId="5772" xr:uid="{00000000-0005-0000-0000-0000F4030000}"/>
    <cellStyle name="%L3 子表3描述单位层二 3 3 2 2" xfId="5773" xr:uid="{00000000-0005-0000-0000-0000F5030000}"/>
    <cellStyle name="%L3 子表3描述单位层二 3 3 2 3" xfId="5774" xr:uid="{00000000-0005-0000-0000-0000F6030000}"/>
    <cellStyle name="%L3 子表3描述单位层二 3 3 3" xfId="5775" xr:uid="{00000000-0005-0000-0000-0000F7030000}"/>
    <cellStyle name="%L3 子表3描述单位层二 3 3 3 2" xfId="5776" xr:uid="{00000000-0005-0000-0000-0000F8030000}"/>
    <cellStyle name="%L3 子表3描述单位层二 3 3 3 3" xfId="5777" xr:uid="{00000000-0005-0000-0000-0000F9030000}"/>
    <cellStyle name="%L3 子表3描述单位层二 3 3 4" xfId="5778" xr:uid="{00000000-0005-0000-0000-0000FA030000}"/>
    <cellStyle name="%L3 子表3描述单位层二 3 3 5" xfId="5779" xr:uid="{00000000-0005-0000-0000-0000FB030000}"/>
    <cellStyle name="%L3 子表3描述单位层二 3 30" xfId="5780" xr:uid="{00000000-0005-0000-0000-0000FC030000}"/>
    <cellStyle name="%L3 子表3描述单位层二 3 31" xfId="5781" xr:uid="{00000000-0005-0000-0000-0000FD030000}"/>
    <cellStyle name="%L3 子表3描述单位层二 3 32" xfId="5782" xr:uid="{00000000-0005-0000-0000-0000FE030000}"/>
    <cellStyle name="%L3 子表3描述单位层二 3 33" xfId="5783" xr:uid="{00000000-0005-0000-0000-0000FF030000}"/>
    <cellStyle name="%L3 子表3描述单位层二 3 34" xfId="5784" xr:uid="{00000000-0005-0000-0000-000000040000}"/>
    <cellStyle name="%L3 子表3描述单位层二 3 35" xfId="5785" xr:uid="{00000000-0005-0000-0000-000001040000}"/>
    <cellStyle name="%L3 子表3描述单位层二 3 36" xfId="5786" xr:uid="{00000000-0005-0000-0000-000002040000}"/>
    <cellStyle name="%L3 子表3描述单位层二 3 4" xfId="5787" xr:uid="{00000000-0005-0000-0000-000003040000}"/>
    <cellStyle name="%L3 子表3描述单位层二 3 4 2" xfId="5788" xr:uid="{00000000-0005-0000-0000-000004040000}"/>
    <cellStyle name="%L3 子表3描述单位层二 3 4 2 2" xfId="5789" xr:uid="{00000000-0005-0000-0000-000005040000}"/>
    <cellStyle name="%L3 子表3描述单位层二 3 4 2 3" xfId="5790" xr:uid="{00000000-0005-0000-0000-000006040000}"/>
    <cellStyle name="%L3 子表3描述单位层二 3 4 3" xfId="5791" xr:uid="{00000000-0005-0000-0000-000007040000}"/>
    <cellStyle name="%L3 子表3描述单位层二 3 4 3 2" xfId="5792" xr:uid="{00000000-0005-0000-0000-000008040000}"/>
    <cellStyle name="%L3 子表3描述单位层二 3 4 3 3" xfId="5793" xr:uid="{00000000-0005-0000-0000-000009040000}"/>
    <cellStyle name="%L3 子表3描述单位层二 3 4 4" xfId="5794" xr:uid="{00000000-0005-0000-0000-00000A040000}"/>
    <cellStyle name="%L3 子表3描述单位层二 3 4 5" xfId="5795" xr:uid="{00000000-0005-0000-0000-00000B040000}"/>
    <cellStyle name="%L3 子表3描述单位层二 3 5" xfId="5796" xr:uid="{00000000-0005-0000-0000-00000C040000}"/>
    <cellStyle name="%L3 子表3描述单位层二 3 5 2" xfId="5797" xr:uid="{00000000-0005-0000-0000-00000D040000}"/>
    <cellStyle name="%L3 子表3描述单位层二 3 5 3" xfId="5798" xr:uid="{00000000-0005-0000-0000-00000E040000}"/>
    <cellStyle name="%L3 子表3描述单位层二 3 6" xfId="5799" xr:uid="{00000000-0005-0000-0000-00000F040000}"/>
    <cellStyle name="%L3 子表3描述单位层二 3 7" xfId="5800" xr:uid="{00000000-0005-0000-0000-000010040000}"/>
    <cellStyle name="%L3 子表3描述单位层二 3 8" xfId="5801" xr:uid="{00000000-0005-0000-0000-000011040000}"/>
    <cellStyle name="%L3 子表3描述单位层二 3 9" xfId="5802" xr:uid="{00000000-0005-0000-0000-000012040000}"/>
    <cellStyle name="%L3 子表3描述单位层二 30" xfId="5803" xr:uid="{00000000-0005-0000-0000-000013040000}"/>
    <cellStyle name="%L3 子表3描述单位层二 31" xfId="5804" xr:uid="{00000000-0005-0000-0000-000014040000}"/>
    <cellStyle name="%L3 子表3描述单位层二 32" xfId="5805" xr:uid="{00000000-0005-0000-0000-000015040000}"/>
    <cellStyle name="%L3 子表3描述单位层二 33" xfId="5806" xr:uid="{00000000-0005-0000-0000-000016040000}"/>
    <cellStyle name="%L3 子表3描述单位层二 34" xfId="5807" xr:uid="{00000000-0005-0000-0000-000017040000}"/>
    <cellStyle name="%L3 子表3描述单位层二 35" xfId="5808" xr:uid="{00000000-0005-0000-0000-000018040000}"/>
    <cellStyle name="%L3 子表3描述单位层二 36" xfId="5809" xr:uid="{00000000-0005-0000-0000-000019040000}"/>
    <cellStyle name="%L3 子表3描述单位层二 37" xfId="5810" xr:uid="{00000000-0005-0000-0000-00001A040000}"/>
    <cellStyle name="%L3 子表3描述单位层二 38" xfId="5811" xr:uid="{00000000-0005-0000-0000-00001B040000}"/>
    <cellStyle name="%L3 子表3描述单位层二 4" xfId="5812" xr:uid="{00000000-0005-0000-0000-00001C040000}"/>
    <cellStyle name="%L3 子表3描述单位层二 4 10" xfId="5813" xr:uid="{00000000-0005-0000-0000-00001D040000}"/>
    <cellStyle name="%L3 子表3描述单位层二 4 11" xfId="5814" xr:uid="{00000000-0005-0000-0000-00001E040000}"/>
    <cellStyle name="%L3 子表3描述单位层二 4 12" xfId="5815" xr:uid="{00000000-0005-0000-0000-00001F040000}"/>
    <cellStyle name="%L3 子表3描述单位层二 4 13" xfId="5816" xr:uid="{00000000-0005-0000-0000-000020040000}"/>
    <cellStyle name="%L3 子表3描述单位层二 4 14" xfId="5817" xr:uid="{00000000-0005-0000-0000-000021040000}"/>
    <cellStyle name="%L3 子表3描述单位层二 4 15" xfId="5818" xr:uid="{00000000-0005-0000-0000-000022040000}"/>
    <cellStyle name="%L3 子表3描述单位层二 4 16" xfId="5819" xr:uid="{00000000-0005-0000-0000-000023040000}"/>
    <cellStyle name="%L3 子表3描述单位层二 4 17" xfId="5820" xr:uid="{00000000-0005-0000-0000-000024040000}"/>
    <cellStyle name="%L3 子表3描述单位层二 4 18" xfId="5821" xr:uid="{00000000-0005-0000-0000-000025040000}"/>
    <cellStyle name="%L3 子表3描述单位层二 4 19" xfId="5822" xr:uid="{00000000-0005-0000-0000-000026040000}"/>
    <cellStyle name="%L3 子表3描述单位层二 4 2" xfId="5823" xr:uid="{00000000-0005-0000-0000-000027040000}"/>
    <cellStyle name="%L3 子表3描述单位层二 4 2 2" xfId="5824" xr:uid="{00000000-0005-0000-0000-000028040000}"/>
    <cellStyle name="%L3 子表3描述单位层二 4 2 3" xfId="5825" xr:uid="{00000000-0005-0000-0000-000029040000}"/>
    <cellStyle name="%L3 子表3描述单位层二 4 20" xfId="5826" xr:uid="{00000000-0005-0000-0000-00002A040000}"/>
    <cellStyle name="%L3 子表3描述单位层二 4 21" xfId="5827" xr:uid="{00000000-0005-0000-0000-00002B040000}"/>
    <cellStyle name="%L3 子表3描述单位层二 4 22" xfId="5828" xr:uid="{00000000-0005-0000-0000-00002C040000}"/>
    <cellStyle name="%L3 子表3描述单位层二 4 23" xfId="5829" xr:uid="{00000000-0005-0000-0000-00002D040000}"/>
    <cellStyle name="%L3 子表3描述单位层二 4 24" xfId="5830" xr:uid="{00000000-0005-0000-0000-00002E040000}"/>
    <cellStyle name="%L3 子表3描述单位层二 4 25" xfId="5831" xr:uid="{00000000-0005-0000-0000-00002F040000}"/>
    <cellStyle name="%L3 子表3描述单位层二 4 3" xfId="5832" xr:uid="{00000000-0005-0000-0000-000030040000}"/>
    <cellStyle name="%L3 子表3描述单位层二 4 4" xfId="5833" xr:uid="{00000000-0005-0000-0000-000031040000}"/>
    <cellStyle name="%L3 子表3描述单位层二 4 5" xfId="5834" xr:uid="{00000000-0005-0000-0000-000032040000}"/>
    <cellStyle name="%L3 子表3描述单位层二 4 6" xfId="5835" xr:uid="{00000000-0005-0000-0000-000033040000}"/>
    <cellStyle name="%L3 子表3描述单位层二 4 7" xfId="5836" xr:uid="{00000000-0005-0000-0000-000034040000}"/>
    <cellStyle name="%L3 子表3描述单位层二 4 8" xfId="5837" xr:uid="{00000000-0005-0000-0000-000035040000}"/>
    <cellStyle name="%L3 子表3描述单位层二 4 9" xfId="5838" xr:uid="{00000000-0005-0000-0000-000036040000}"/>
    <cellStyle name="%L3 子表3描述单位层二 5" xfId="5839" xr:uid="{00000000-0005-0000-0000-000037040000}"/>
    <cellStyle name="%L3 子表3描述单位层二 5 2" xfId="5840" xr:uid="{00000000-0005-0000-0000-000038040000}"/>
    <cellStyle name="%L3 子表3描述单位层二 5 2 2" xfId="5841" xr:uid="{00000000-0005-0000-0000-000039040000}"/>
    <cellStyle name="%L3 子表3描述单位层二 5 2 3" xfId="5842" xr:uid="{00000000-0005-0000-0000-00003A040000}"/>
    <cellStyle name="%L3 子表3描述单位层二 5 3" xfId="5843" xr:uid="{00000000-0005-0000-0000-00003B040000}"/>
    <cellStyle name="%L3 子表3描述单位层二 5 3 2" xfId="5844" xr:uid="{00000000-0005-0000-0000-00003C040000}"/>
    <cellStyle name="%L3 子表3描述单位层二 5 3 3" xfId="5845" xr:uid="{00000000-0005-0000-0000-00003D040000}"/>
    <cellStyle name="%L3 子表3描述单位层二 5 4" xfId="5846" xr:uid="{00000000-0005-0000-0000-00003E040000}"/>
    <cellStyle name="%L3 子表3描述单位层二 5 5" xfId="5847" xr:uid="{00000000-0005-0000-0000-00003F040000}"/>
    <cellStyle name="%L3 子表3描述单位层二 6" xfId="5848" xr:uid="{00000000-0005-0000-0000-000040040000}"/>
    <cellStyle name="%L3 子表3描述单位层二 6 2" xfId="5849" xr:uid="{00000000-0005-0000-0000-000041040000}"/>
    <cellStyle name="%L3 子表3描述单位层二 6 2 2" xfId="5850" xr:uid="{00000000-0005-0000-0000-000042040000}"/>
    <cellStyle name="%L3 子表3描述单位层二 6 2 3" xfId="5851" xr:uid="{00000000-0005-0000-0000-000043040000}"/>
    <cellStyle name="%L3 子表3描述单位层二 6 3" xfId="5852" xr:uid="{00000000-0005-0000-0000-000044040000}"/>
    <cellStyle name="%L3 子表3描述单位层二 6 3 2" xfId="5853" xr:uid="{00000000-0005-0000-0000-000045040000}"/>
    <cellStyle name="%L3 子表3描述单位层二 6 3 3" xfId="5854" xr:uid="{00000000-0005-0000-0000-000046040000}"/>
    <cellStyle name="%L3 子表3描述单位层二 6 4" xfId="5855" xr:uid="{00000000-0005-0000-0000-000047040000}"/>
    <cellStyle name="%L3 子表3描述单位层二 6 5" xfId="5856" xr:uid="{00000000-0005-0000-0000-000048040000}"/>
    <cellStyle name="%L3 子表3描述单位层二 7" xfId="5857" xr:uid="{00000000-0005-0000-0000-000049040000}"/>
    <cellStyle name="%L3 子表3描述单位层二 7 2" xfId="5858" xr:uid="{00000000-0005-0000-0000-00004A040000}"/>
    <cellStyle name="%L3 子表3描述单位层二 7 3" xfId="5859" xr:uid="{00000000-0005-0000-0000-00004B040000}"/>
    <cellStyle name="%L3 子表3描述单位层二 8" xfId="5860" xr:uid="{00000000-0005-0000-0000-00004C040000}"/>
    <cellStyle name="%L3 子表3描述单位层二 9" xfId="5861" xr:uid="{00000000-0005-0000-0000-00004D040000}"/>
    <cellStyle name="%L3 子表4数量层一" xfId="5862" xr:uid="{00000000-0005-0000-0000-00004E040000}"/>
    <cellStyle name="%L3 子表4数量层一 10" xfId="5863" xr:uid="{00000000-0005-0000-0000-00004F040000}"/>
    <cellStyle name="%L3 子表4数量层一 11" xfId="5864" xr:uid="{00000000-0005-0000-0000-000050040000}"/>
    <cellStyle name="%L3 子表4数量层一 12" xfId="5865" xr:uid="{00000000-0005-0000-0000-000051040000}"/>
    <cellStyle name="%L3 子表4数量层一 13" xfId="5866" xr:uid="{00000000-0005-0000-0000-000052040000}"/>
    <cellStyle name="%L3 子表4数量层一 14" xfId="5867" xr:uid="{00000000-0005-0000-0000-000053040000}"/>
    <cellStyle name="%L3 子表4数量层一 15" xfId="5868" xr:uid="{00000000-0005-0000-0000-000054040000}"/>
    <cellStyle name="%L3 子表4数量层一 16" xfId="5869" xr:uid="{00000000-0005-0000-0000-000055040000}"/>
    <cellStyle name="%L3 子表4数量层一 17" xfId="5870" xr:uid="{00000000-0005-0000-0000-000056040000}"/>
    <cellStyle name="%L3 子表4数量层一 18" xfId="5871" xr:uid="{00000000-0005-0000-0000-000057040000}"/>
    <cellStyle name="%L3 子表4数量层一 19" xfId="5872" xr:uid="{00000000-0005-0000-0000-000058040000}"/>
    <cellStyle name="%L3 子表4数量层一 2" xfId="5873" xr:uid="{00000000-0005-0000-0000-000059040000}"/>
    <cellStyle name="%L3 子表4数量层一 2 10" xfId="5874" xr:uid="{00000000-0005-0000-0000-00005A040000}"/>
    <cellStyle name="%L3 子表4数量层一 2 11" xfId="5875" xr:uid="{00000000-0005-0000-0000-00005B040000}"/>
    <cellStyle name="%L3 子表4数量层一 2 12" xfId="5876" xr:uid="{00000000-0005-0000-0000-00005C040000}"/>
    <cellStyle name="%L3 子表4数量层一 2 13" xfId="5877" xr:uid="{00000000-0005-0000-0000-00005D040000}"/>
    <cellStyle name="%L3 子表4数量层一 2 14" xfId="5878" xr:uid="{00000000-0005-0000-0000-00005E040000}"/>
    <cellStyle name="%L3 子表4数量层一 2 15" xfId="5879" xr:uid="{00000000-0005-0000-0000-00005F040000}"/>
    <cellStyle name="%L3 子表4数量层一 2 16" xfId="5880" xr:uid="{00000000-0005-0000-0000-000060040000}"/>
    <cellStyle name="%L3 子表4数量层一 2 17" xfId="5881" xr:uid="{00000000-0005-0000-0000-000061040000}"/>
    <cellStyle name="%L3 子表4数量层一 2 18" xfId="5882" xr:uid="{00000000-0005-0000-0000-000062040000}"/>
    <cellStyle name="%L3 子表4数量层一 2 19" xfId="5883" xr:uid="{00000000-0005-0000-0000-000063040000}"/>
    <cellStyle name="%L3 子表4数量层一 2 2" xfId="5884" xr:uid="{00000000-0005-0000-0000-000064040000}"/>
    <cellStyle name="%L3 子表4数量层一 2 2 10" xfId="5885" xr:uid="{00000000-0005-0000-0000-000065040000}"/>
    <cellStyle name="%L3 子表4数量层一 2 2 11" xfId="5886" xr:uid="{00000000-0005-0000-0000-000066040000}"/>
    <cellStyle name="%L3 子表4数量层一 2 2 12" xfId="5887" xr:uid="{00000000-0005-0000-0000-000067040000}"/>
    <cellStyle name="%L3 子表4数量层一 2 2 13" xfId="5888" xr:uid="{00000000-0005-0000-0000-000068040000}"/>
    <cellStyle name="%L3 子表4数量层一 2 2 14" xfId="5889" xr:uid="{00000000-0005-0000-0000-000069040000}"/>
    <cellStyle name="%L3 子表4数量层一 2 2 15" xfId="5890" xr:uid="{00000000-0005-0000-0000-00006A040000}"/>
    <cellStyle name="%L3 子表4数量层一 2 2 16" xfId="5891" xr:uid="{00000000-0005-0000-0000-00006B040000}"/>
    <cellStyle name="%L3 子表4数量层一 2 2 17" xfId="5892" xr:uid="{00000000-0005-0000-0000-00006C040000}"/>
    <cellStyle name="%L3 子表4数量层一 2 2 18" xfId="5893" xr:uid="{00000000-0005-0000-0000-00006D040000}"/>
    <cellStyle name="%L3 子表4数量层一 2 2 19" xfId="5894" xr:uid="{00000000-0005-0000-0000-00006E040000}"/>
    <cellStyle name="%L3 子表4数量层一 2 2 2" xfId="5895" xr:uid="{00000000-0005-0000-0000-00006F040000}"/>
    <cellStyle name="%L3 子表4数量层一 2 2 2 10" xfId="5896" xr:uid="{00000000-0005-0000-0000-000070040000}"/>
    <cellStyle name="%L3 子表4数量层一 2 2 2 11" xfId="5897" xr:uid="{00000000-0005-0000-0000-000071040000}"/>
    <cellStyle name="%L3 子表4数量层一 2 2 2 12" xfId="5898" xr:uid="{00000000-0005-0000-0000-000072040000}"/>
    <cellStyle name="%L3 子表4数量层一 2 2 2 13" xfId="5899" xr:uid="{00000000-0005-0000-0000-000073040000}"/>
    <cellStyle name="%L3 子表4数量层一 2 2 2 14" xfId="5900" xr:uid="{00000000-0005-0000-0000-000074040000}"/>
    <cellStyle name="%L3 子表4数量层一 2 2 2 15" xfId="5901" xr:uid="{00000000-0005-0000-0000-000075040000}"/>
    <cellStyle name="%L3 子表4数量层一 2 2 2 16" xfId="5902" xr:uid="{00000000-0005-0000-0000-000076040000}"/>
    <cellStyle name="%L3 子表4数量层一 2 2 2 17" xfId="5903" xr:uid="{00000000-0005-0000-0000-000077040000}"/>
    <cellStyle name="%L3 子表4数量层一 2 2 2 18" xfId="5904" xr:uid="{00000000-0005-0000-0000-000078040000}"/>
    <cellStyle name="%L3 子表4数量层一 2 2 2 19" xfId="5905" xr:uid="{00000000-0005-0000-0000-000079040000}"/>
    <cellStyle name="%L3 子表4数量层一 2 2 2 2" xfId="5906" xr:uid="{00000000-0005-0000-0000-00007A040000}"/>
    <cellStyle name="%L3 子表4数量层一 2 2 2 2 2" xfId="5907" xr:uid="{00000000-0005-0000-0000-00007B040000}"/>
    <cellStyle name="%L3 子表4数量层一 2 2 2 2 3" xfId="5908" xr:uid="{00000000-0005-0000-0000-00007C040000}"/>
    <cellStyle name="%L3 子表4数量层一 2 2 2 20" xfId="5909" xr:uid="{00000000-0005-0000-0000-00007D040000}"/>
    <cellStyle name="%L3 子表4数量层一 2 2 2 21" xfId="5910" xr:uid="{00000000-0005-0000-0000-00007E040000}"/>
    <cellStyle name="%L3 子表4数量层一 2 2 2 22" xfId="5911" xr:uid="{00000000-0005-0000-0000-00007F040000}"/>
    <cellStyle name="%L3 子表4数量层一 2 2 2 23" xfId="5912" xr:uid="{00000000-0005-0000-0000-000080040000}"/>
    <cellStyle name="%L3 子表4数量层一 2 2 2 24" xfId="5913" xr:uid="{00000000-0005-0000-0000-000081040000}"/>
    <cellStyle name="%L3 子表4数量层一 2 2 2 25" xfId="5914" xr:uid="{00000000-0005-0000-0000-000082040000}"/>
    <cellStyle name="%L3 子表4数量层一 2 2 2 3" xfId="5915" xr:uid="{00000000-0005-0000-0000-000083040000}"/>
    <cellStyle name="%L3 子表4数量层一 2 2 2 4" xfId="5916" xr:uid="{00000000-0005-0000-0000-000084040000}"/>
    <cellStyle name="%L3 子表4数量层一 2 2 2 5" xfId="5917" xr:uid="{00000000-0005-0000-0000-000085040000}"/>
    <cellStyle name="%L3 子表4数量层一 2 2 2 6" xfId="5918" xr:uid="{00000000-0005-0000-0000-000086040000}"/>
    <cellStyle name="%L3 子表4数量层一 2 2 2 7" xfId="5919" xr:uid="{00000000-0005-0000-0000-000087040000}"/>
    <cellStyle name="%L3 子表4数量层一 2 2 2 8" xfId="5920" xr:uid="{00000000-0005-0000-0000-000088040000}"/>
    <cellStyle name="%L3 子表4数量层一 2 2 2 9" xfId="5921" xr:uid="{00000000-0005-0000-0000-000089040000}"/>
    <cellStyle name="%L3 子表4数量层一 2 2 20" xfId="5922" xr:uid="{00000000-0005-0000-0000-00008A040000}"/>
    <cellStyle name="%L3 子表4数量层一 2 2 21" xfId="5923" xr:uid="{00000000-0005-0000-0000-00008B040000}"/>
    <cellStyle name="%L3 子表4数量层一 2 2 22" xfId="5924" xr:uid="{00000000-0005-0000-0000-00008C040000}"/>
    <cellStyle name="%L3 子表4数量层一 2 2 23" xfId="5925" xr:uid="{00000000-0005-0000-0000-00008D040000}"/>
    <cellStyle name="%L3 子表4数量层一 2 2 24" xfId="5926" xr:uid="{00000000-0005-0000-0000-00008E040000}"/>
    <cellStyle name="%L3 子表4数量层一 2 2 25" xfId="5927" xr:uid="{00000000-0005-0000-0000-00008F040000}"/>
    <cellStyle name="%L3 子表4数量层一 2 2 26" xfId="5928" xr:uid="{00000000-0005-0000-0000-000090040000}"/>
    <cellStyle name="%L3 子表4数量层一 2 2 27" xfId="5929" xr:uid="{00000000-0005-0000-0000-000091040000}"/>
    <cellStyle name="%L3 子表4数量层一 2 2 28" xfId="5930" xr:uid="{00000000-0005-0000-0000-000092040000}"/>
    <cellStyle name="%L3 子表4数量层一 2 2 29" xfId="5931" xr:uid="{00000000-0005-0000-0000-000093040000}"/>
    <cellStyle name="%L3 子表4数量层一 2 2 3" xfId="5932" xr:uid="{00000000-0005-0000-0000-000094040000}"/>
    <cellStyle name="%L3 子表4数量层一 2 2 3 2" xfId="5933" xr:uid="{00000000-0005-0000-0000-000095040000}"/>
    <cellStyle name="%L3 子表4数量层一 2 2 3 2 2" xfId="5934" xr:uid="{00000000-0005-0000-0000-000096040000}"/>
    <cellStyle name="%L3 子表4数量层一 2 2 3 2 3" xfId="5935" xr:uid="{00000000-0005-0000-0000-000097040000}"/>
    <cellStyle name="%L3 子表4数量层一 2 2 3 3" xfId="5936" xr:uid="{00000000-0005-0000-0000-000098040000}"/>
    <cellStyle name="%L3 子表4数量层一 2 2 3 3 2" xfId="5937" xr:uid="{00000000-0005-0000-0000-000099040000}"/>
    <cellStyle name="%L3 子表4数量层一 2 2 3 3 3" xfId="5938" xr:uid="{00000000-0005-0000-0000-00009A040000}"/>
    <cellStyle name="%L3 子表4数量层一 2 2 3 4" xfId="5939" xr:uid="{00000000-0005-0000-0000-00009B040000}"/>
    <cellStyle name="%L3 子表4数量层一 2 2 3 5" xfId="5940" xr:uid="{00000000-0005-0000-0000-00009C040000}"/>
    <cellStyle name="%L3 子表4数量层一 2 2 30" xfId="5941" xr:uid="{00000000-0005-0000-0000-00009D040000}"/>
    <cellStyle name="%L3 子表4数量层一 2 2 31" xfId="5942" xr:uid="{00000000-0005-0000-0000-00009E040000}"/>
    <cellStyle name="%L3 子表4数量层一 2 2 32" xfId="5943" xr:uid="{00000000-0005-0000-0000-00009F040000}"/>
    <cellStyle name="%L3 子表4数量层一 2 2 33" xfId="5944" xr:uid="{00000000-0005-0000-0000-0000A0040000}"/>
    <cellStyle name="%L3 子表4数量层一 2 2 34" xfId="5945" xr:uid="{00000000-0005-0000-0000-0000A1040000}"/>
    <cellStyle name="%L3 子表4数量层一 2 2 35" xfId="5946" xr:uid="{00000000-0005-0000-0000-0000A2040000}"/>
    <cellStyle name="%L3 子表4数量层一 2 2 36" xfId="5947" xr:uid="{00000000-0005-0000-0000-0000A3040000}"/>
    <cellStyle name="%L3 子表4数量层一 2 2 4" xfId="5948" xr:uid="{00000000-0005-0000-0000-0000A4040000}"/>
    <cellStyle name="%L3 子表4数量层一 2 2 4 2" xfId="5949" xr:uid="{00000000-0005-0000-0000-0000A5040000}"/>
    <cellStyle name="%L3 子表4数量层一 2 2 4 2 2" xfId="5950" xr:uid="{00000000-0005-0000-0000-0000A6040000}"/>
    <cellStyle name="%L3 子表4数量层一 2 2 4 2 3" xfId="5951" xr:uid="{00000000-0005-0000-0000-0000A7040000}"/>
    <cellStyle name="%L3 子表4数量层一 2 2 4 3" xfId="5952" xr:uid="{00000000-0005-0000-0000-0000A8040000}"/>
    <cellStyle name="%L3 子表4数量层一 2 2 4 3 2" xfId="5953" xr:uid="{00000000-0005-0000-0000-0000A9040000}"/>
    <cellStyle name="%L3 子表4数量层一 2 2 4 3 3" xfId="5954" xr:uid="{00000000-0005-0000-0000-0000AA040000}"/>
    <cellStyle name="%L3 子表4数量层一 2 2 4 4" xfId="5955" xr:uid="{00000000-0005-0000-0000-0000AB040000}"/>
    <cellStyle name="%L3 子表4数量层一 2 2 4 5" xfId="5956" xr:uid="{00000000-0005-0000-0000-0000AC040000}"/>
    <cellStyle name="%L3 子表4数量层一 2 2 5" xfId="5957" xr:uid="{00000000-0005-0000-0000-0000AD040000}"/>
    <cellStyle name="%L3 子表4数量层一 2 2 5 2" xfId="5958" xr:uid="{00000000-0005-0000-0000-0000AE040000}"/>
    <cellStyle name="%L3 子表4数量层一 2 2 5 3" xfId="5959" xr:uid="{00000000-0005-0000-0000-0000AF040000}"/>
    <cellStyle name="%L3 子表4数量层一 2 2 6" xfId="5960" xr:uid="{00000000-0005-0000-0000-0000B0040000}"/>
    <cellStyle name="%L3 子表4数量层一 2 2 7" xfId="5961" xr:uid="{00000000-0005-0000-0000-0000B1040000}"/>
    <cellStyle name="%L3 子表4数量层一 2 2 8" xfId="5962" xr:uid="{00000000-0005-0000-0000-0000B2040000}"/>
    <cellStyle name="%L3 子表4数量层一 2 2 9" xfId="5963" xr:uid="{00000000-0005-0000-0000-0000B3040000}"/>
    <cellStyle name="%L3 子表4数量层一 2 20" xfId="5964" xr:uid="{00000000-0005-0000-0000-0000B4040000}"/>
    <cellStyle name="%L3 子表4数量层一 2 21" xfId="5965" xr:uid="{00000000-0005-0000-0000-0000B5040000}"/>
    <cellStyle name="%L3 子表4数量层一 2 22" xfId="5966" xr:uid="{00000000-0005-0000-0000-0000B6040000}"/>
    <cellStyle name="%L3 子表4数量层一 2 23" xfId="5967" xr:uid="{00000000-0005-0000-0000-0000B7040000}"/>
    <cellStyle name="%L3 子表4数量层一 2 24" xfId="5968" xr:uid="{00000000-0005-0000-0000-0000B8040000}"/>
    <cellStyle name="%L3 子表4数量层一 2 25" xfId="5969" xr:uid="{00000000-0005-0000-0000-0000B9040000}"/>
    <cellStyle name="%L3 子表4数量层一 2 26" xfId="5970" xr:uid="{00000000-0005-0000-0000-0000BA040000}"/>
    <cellStyle name="%L3 子表4数量层一 2 27" xfId="5971" xr:uid="{00000000-0005-0000-0000-0000BB040000}"/>
    <cellStyle name="%L3 子表4数量层一 2 28" xfId="5972" xr:uid="{00000000-0005-0000-0000-0000BC040000}"/>
    <cellStyle name="%L3 子表4数量层一 2 29" xfId="5973" xr:uid="{00000000-0005-0000-0000-0000BD040000}"/>
    <cellStyle name="%L3 子表4数量层一 2 3" xfId="5974" xr:uid="{00000000-0005-0000-0000-0000BE040000}"/>
    <cellStyle name="%L3 子表4数量层一 2 3 10" xfId="5975" xr:uid="{00000000-0005-0000-0000-0000BF040000}"/>
    <cellStyle name="%L3 子表4数量层一 2 3 11" xfId="5976" xr:uid="{00000000-0005-0000-0000-0000C0040000}"/>
    <cellStyle name="%L3 子表4数量层一 2 3 12" xfId="5977" xr:uid="{00000000-0005-0000-0000-0000C1040000}"/>
    <cellStyle name="%L3 子表4数量层一 2 3 13" xfId="5978" xr:uid="{00000000-0005-0000-0000-0000C2040000}"/>
    <cellStyle name="%L3 子表4数量层一 2 3 14" xfId="5979" xr:uid="{00000000-0005-0000-0000-0000C3040000}"/>
    <cellStyle name="%L3 子表4数量层一 2 3 15" xfId="5980" xr:uid="{00000000-0005-0000-0000-0000C4040000}"/>
    <cellStyle name="%L3 子表4数量层一 2 3 16" xfId="5981" xr:uid="{00000000-0005-0000-0000-0000C5040000}"/>
    <cellStyle name="%L3 子表4数量层一 2 3 17" xfId="5982" xr:uid="{00000000-0005-0000-0000-0000C6040000}"/>
    <cellStyle name="%L3 子表4数量层一 2 3 18" xfId="5983" xr:uid="{00000000-0005-0000-0000-0000C7040000}"/>
    <cellStyle name="%L3 子表4数量层一 2 3 19" xfId="5984" xr:uid="{00000000-0005-0000-0000-0000C8040000}"/>
    <cellStyle name="%L3 子表4数量层一 2 3 2" xfId="5985" xr:uid="{00000000-0005-0000-0000-0000C9040000}"/>
    <cellStyle name="%L3 子表4数量层一 2 3 2 2" xfId="5986" xr:uid="{00000000-0005-0000-0000-0000CA040000}"/>
    <cellStyle name="%L3 子表4数量层一 2 3 2 3" xfId="5987" xr:uid="{00000000-0005-0000-0000-0000CB040000}"/>
    <cellStyle name="%L3 子表4数量层一 2 3 20" xfId="5988" xr:uid="{00000000-0005-0000-0000-0000CC040000}"/>
    <cellStyle name="%L3 子表4数量层一 2 3 21" xfId="5989" xr:uid="{00000000-0005-0000-0000-0000CD040000}"/>
    <cellStyle name="%L3 子表4数量层一 2 3 22" xfId="5990" xr:uid="{00000000-0005-0000-0000-0000CE040000}"/>
    <cellStyle name="%L3 子表4数量层一 2 3 23" xfId="5991" xr:uid="{00000000-0005-0000-0000-0000CF040000}"/>
    <cellStyle name="%L3 子表4数量层一 2 3 24" xfId="5992" xr:uid="{00000000-0005-0000-0000-0000D0040000}"/>
    <cellStyle name="%L3 子表4数量层一 2 3 25" xfId="5993" xr:uid="{00000000-0005-0000-0000-0000D1040000}"/>
    <cellStyle name="%L3 子表4数量层一 2 3 3" xfId="5994" xr:uid="{00000000-0005-0000-0000-0000D2040000}"/>
    <cellStyle name="%L3 子表4数量层一 2 3 4" xfId="5995" xr:uid="{00000000-0005-0000-0000-0000D3040000}"/>
    <cellStyle name="%L3 子表4数量层一 2 3 5" xfId="5996" xr:uid="{00000000-0005-0000-0000-0000D4040000}"/>
    <cellStyle name="%L3 子表4数量层一 2 3 6" xfId="5997" xr:uid="{00000000-0005-0000-0000-0000D5040000}"/>
    <cellStyle name="%L3 子表4数量层一 2 3 7" xfId="5998" xr:uid="{00000000-0005-0000-0000-0000D6040000}"/>
    <cellStyle name="%L3 子表4数量层一 2 3 8" xfId="5999" xr:uid="{00000000-0005-0000-0000-0000D7040000}"/>
    <cellStyle name="%L3 子表4数量层一 2 3 9" xfId="6000" xr:uid="{00000000-0005-0000-0000-0000D8040000}"/>
    <cellStyle name="%L3 子表4数量层一 2 30" xfId="6001" xr:uid="{00000000-0005-0000-0000-0000D9040000}"/>
    <cellStyle name="%L3 子表4数量层一 2 31" xfId="6002" xr:uid="{00000000-0005-0000-0000-0000DA040000}"/>
    <cellStyle name="%L3 子表4数量层一 2 32" xfId="6003" xr:uid="{00000000-0005-0000-0000-0000DB040000}"/>
    <cellStyle name="%L3 子表4数量层一 2 33" xfId="6004" xr:uid="{00000000-0005-0000-0000-0000DC040000}"/>
    <cellStyle name="%L3 子表4数量层一 2 34" xfId="6005" xr:uid="{00000000-0005-0000-0000-0000DD040000}"/>
    <cellStyle name="%L3 子表4数量层一 2 35" xfId="6006" xr:uid="{00000000-0005-0000-0000-0000DE040000}"/>
    <cellStyle name="%L3 子表4数量层一 2 36" xfId="6007" xr:uid="{00000000-0005-0000-0000-0000DF040000}"/>
    <cellStyle name="%L3 子表4数量层一 2 37" xfId="6008" xr:uid="{00000000-0005-0000-0000-0000E0040000}"/>
    <cellStyle name="%L3 子表4数量层一 2 4" xfId="6009" xr:uid="{00000000-0005-0000-0000-0000E1040000}"/>
    <cellStyle name="%L3 子表4数量层一 2 4 2" xfId="6010" xr:uid="{00000000-0005-0000-0000-0000E2040000}"/>
    <cellStyle name="%L3 子表4数量层一 2 4 2 2" xfId="6011" xr:uid="{00000000-0005-0000-0000-0000E3040000}"/>
    <cellStyle name="%L3 子表4数量层一 2 4 2 3" xfId="6012" xr:uid="{00000000-0005-0000-0000-0000E4040000}"/>
    <cellStyle name="%L3 子表4数量层一 2 4 3" xfId="6013" xr:uid="{00000000-0005-0000-0000-0000E5040000}"/>
    <cellStyle name="%L3 子表4数量层一 2 4 3 2" xfId="6014" xr:uid="{00000000-0005-0000-0000-0000E6040000}"/>
    <cellStyle name="%L3 子表4数量层一 2 4 3 3" xfId="6015" xr:uid="{00000000-0005-0000-0000-0000E7040000}"/>
    <cellStyle name="%L3 子表4数量层一 2 4 4" xfId="6016" xr:uid="{00000000-0005-0000-0000-0000E8040000}"/>
    <cellStyle name="%L3 子表4数量层一 2 4 5" xfId="6017" xr:uid="{00000000-0005-0000-0000-0000E9040000}"/>
    <cellStyle name="%L3 子表4数量层一 2 5" xfId="6018" xr:uid="{00000000-0005-0000-0000-0000EA040000}"/>
    <cellStyle name="%L3 子表4数量层一 2 5 2" xfId="6019" xr:uid="{00000000-0005-0000-0000-0000EB040000}"/>
    <cellStyle name="%L3 子表4数量层一 2 5 2 2" xfId="6020" xr:uid="{00000000-0005-0000-0000-0000EC040000}"/>
    <cellStyle name="%L3 子表4数量层一 2 5 2 3" xfId="6021" xr:uid="{00000000-0005-0000-0000-0000ED040000}"/>
    <cellStyle name="%L3 子表4数量层一 2 5 3" xfId="6022" xr:uid="{00000000-0005-0000-0000-0000EE040000}"/>
    <cellStyle name="%L3 子表4数量层一 2 5 3 2" xfId="6023" xr:uid="{00000000-0005-0000-0000-0000EF040000}"/>
    <cellStyle name="%L3 子表4数量层一 2 5 3 3" xfId="6024" xr:uid="{00000000-0005-0000-0000-0000F0040000}"/>
    <cellStyle name="%L3 子表4数量层一 2 5 4" xfId="6025" xr:uid="{00000000-0005-0000-0000-0000F1040000}"/>
    <cellStyle name="%L3 子表4数量层一 2 5 5" xfId="6026" xr:uid="{00000000-0005-0000-0000-0000F2040000}"/>
    <cellStyle name="%L3 子表4数量层一 2 6" xfId="6027" xr:uid="{00000000-0005-0000-0000-0000F3040000}"/>
    <cellStyle name="%L3 子表4数量层一 2 6 2" xfId="6028" xr:uid="{00000000-0005-0000-0000-0000F4040000}"/>
    <cellStyle name="%L3 子表4数量层一 2 6 3" xfId="6029" xr:uid="{00000000-0005-0000-0000-0000F5040000}"/>
    <cellStyle name="%L3 子表4数量层一 2 7" xfId="6030" xr:uid="{00000000-0005-0000-0000-0000F6040000}"/>
    <cellStyle name="%L3 子表4数量层一 2 8" xfId="6031" xr:uid="{00000000-0005-0000-0000-0000F7040000}"/>
    <cellStyle name="%L3 子表4数量层一 2 9" xfId="6032" xr:uid="{00000000-0005-0000-0000-0000F8040000}"/>
    <cellStyle name="%L3 子表4数量层一 20" xfId="6033" xr:uid="{00000000-0005-0000-0000-0000F9040000}"/>
    <cellStyle name="%L3 子表4数量层一 21" xfId="6034" xr:uid="{00000000-0005-0000-0000-0000FA040000}"/>
    <cellStyle name="%L3 子表4数量层一 22" xfId="6035" xr:uid="{00000000-0005-0000-0000-0000FB040000}"/>
    <cellStyle name="%L3 子表4数量层一 23" xfId="6036" xr:uid="{00000000-0005-0000-0000-0000FC040000}"/>
    <cellStyle name="%L3 子表4数量层一 24" xfId="6037" xr:uid="{00000000-0005-0000-0000-0000FD040000}"/>
    <cellStyle name="%L3 子表4数量层一 25" xfId="6038" xr:uid="{00000000-0005-0000-0000-0000FE040000}"/>
    <cellStyle name="%L3 子表4数量层一 26" xfId="6039" xr:uid="{00000000-0005-0000-0000-0000FF040000}"/>
    <cellStyle name="%L3 子表4数量层一 27" xfId="6040" xr:uid="{00000000-0005-0000-0000-000000050000}"/>
    <cellStyle name="%L3 子表4数量层一 28" xfId="6041" xr:uid="{00000000-0005-0000-0000-000001050000}"/>
    <cellStyle name="%L3 子表4数量层一 29" xfId="6042" xr:uid="{00000000-0005-0000-0000-000002050000}"/>
    <cellStyle name="%L3 子表4数量层一 3" xfId="6043" xr:uid="{00000000-0005-0000-0000-000003050000}"/>
    <cellStyle name="%L3 子表4数量层一 3 10" xfId="6044" xr:uid="{00000000-0005-0000-0000-000004050000}"/>
    <cellStyle name="%L3 子表4数量层一 3 11" xfId="6045" xr:uid="{00000000-0005-0000-0000-000005050000}"/>
    <cellStyle name="%L3 子表4数量层一 3 12" xfId="6046" xr:uid="{00000000-0005-0000-0000-000006050000}"/>
    <cellStyle name="%L3 子表4数量层一 3 13" xfId="6047" xr:uid="{00000000-0005-0000-0000-000007050000}"/>
    <cellStyle name="%L3 子表4数量层一 3 14" xfId="6048" xr:uid="{00000000-0005-0000-0000-000008050000}"/>
    <cellStyle name="%L3 子表4数量层一 3 15" xfId="6049" xr:uid="{00000000-0005-0000-0000-000009050000}"/>
    <cellStyle name="%L3 子表4数量层一 3 16" xfId="6050" xr:uid="{00000000-0005-0000-0000-00000A050000}"/>
    <cellStyle name="%L3 子表4数量层一 3 17" xfId="6051" xr:uid="{00000000-0005-0000-0000-00000B050000}"/>
    <cellStyle name="%L3 子表4数量层一 3 18" xfId="6052" xr:uid="{00000000-0005-0000-0000-00000C050000}"/>
    <cellStyle name="%L3 子表4数量层一 3 19" xfId="6053" xr:uid="{00000000-0005-0000-0000-00000D050000}"/>
    <cellStyle name="%L3 子表4数量层一 3 2" xfId="6054" xr:uid="{00000000-0005-0000-0000-00000E050000}"/>
    <cellStyle name="%L3 子表4数量层一 3 2 10" xfId="6055" xr:uid="{00000000-0005-0000-0000-00000F050000}"/>
    <cellStyle name="%L3 子表4数量层一 3 2 11" xfId="6056" xr:uid="{00000000-0005-0000-0000-000010050000}"/>
    <cellStyle name="%L3 子表4数量层一 3 2 12" xfId="6057" xr:uid="{00000000-0005-0000-0000-000011050000}"/>
    <cellStyle name="%L3 子表4数量层一 3 2 13" xfId="6058" xr:uid="{00000000-0005-0000-0000-000012050000}"/>
    <cellStyle name="%L3 子表4数量层一 3 2 14" xfId="6059" xr:uid="{00000000-0005-0000-0000-000013050000}"/>
    <cellStyle name="%L3 子表4数量层一 3 2 15" xfId="6060" xr:uid="{00000000-0005-0000-0000-000014050000}"/>
    <cellStyle name="%L3 子表4数量层一 3 2 16" xfId="6061" xr:uid="{00000000-0005-0000-0000-000015050000}"/>
    <cellStyle name="%L3 子表4数量层一 3 2 17" xfId="6062" xr:uid="{00000000-0005-0000-0000-000016050000}"/>
    <cellStyle name="%L3 子表4数量层一 3 2 18" xfId="6063" xr:uid="{00000000-0005-0000-0000-000017050000}"/>
    <cellStyle name="%L3 子表4数量层一 3 2 19" xfId="6064" xr:uid="{00000000-0005-0000-0000-000018050000}"/>
    <cellStyle name="%L3 子表4数量层一 3 2 2" xfId="6065" xr:uid="{00000000-0005-0000-0000-000019050000}"/>
    <cellStyle name="%L3 子表4数量层一 3 2 2 2" xfId="6066" xr:uid="{00000000-0005-0000-0000-00001A050000}"/>
    <cellStyle name="%L3 子表4数量层一 3 2 2 3" xfId="6067" xr:uid="{00000000-0005-0000-0000-00001B050000}"/>
    <cellStyle name="%L3 子表4数量层一 3 2 20" xfId="6068" xr:uid="{00000000-0005-0000-0000-00001C050000}"/>
    <cellStyle name="%L3 子表4数量层一 3 2 21" xfId="6069" xr:uid="{00000000-0005-0000-0000-00001D050000}"/>
    <cellStyle name="%L3 子表4数量层一 3 2 22" xfId="6070" xr:uid="{00000000-0005-0000-0000-00001E050000}"/>
    <cellStyle name="%L3 子表4数量层一 3 2 23" xfId="6071" xr:uid="{00000000-0005-0000-0000-00001F050000}"/>
    <cellStyle name="%L3 子表4数量层一 3 2 24" xfId="6072" xr:uid="{00000000-0005-0000-0000-000020050000}"/>
    <cellStyle name="%L3 子表4数量层一 3 2 25" xfId="6073" xr:uid="{00000000-0005-0000-0000-000021050000}"/>
    <cellStyle name="%L3 子表4数量层一 3 2 3" xfId="6074" xr:uid="{00000000-0005-0000-0000-000022050000}"/>
    <cellStyle name="%L3 子表4数量层一 3 2 4" xfId="6075" xr:uid="{00000000-0005-0000-0000-000023050000}"/>
    <cellStyle name="%L3 子表4数量层一 3 2 5" xfId="6076" xr:uid="{00000000-0005-0000-0000-000024050000}"/>
    <cellStyle name="%L3 子表4数量层一 3 2 6" xfId="6077" xr:uid="{00000000-0005-0000-0000-000025050000}"/>
    <cellStyle name="%L3 子表4数量层一 3 2 7" xfId="6078" xr:uid="{00000000-0005-0000-0000-000026050000}"/>
    <cellStyle name="%L3 子表4数量层一 3 2 8" xfId="6079" xr:uid="{00000000-0005-0000-0000-000027050000}"/>
    <cellStyle name="%L3 子表4数量层一 3 2 9" xfId="6080" xr:uid="{00000000-0005-0000-0000-000028050000}"/>
    <cellStyle name="%L3 子表4数量层一 3 20" xfId="6081" xr:uid="{00000000-0005-0000-0000-000029050000}"/>
    <cellStyle name="%L3 子表4数量层一 3 21" xfId="6082" xr:uid="{00000000-0005-0000-0000-00002A050000}"/>
    <cellStyle name="%L3 子表4数量层一 3 22" xfId="6083" xr:uid="{00000000-0005-0000-0000-00002B050000}"/>
    <cellStyle name="%L3 子表4数量层一 3 23" xfId="6084" xr:uid="{00000000-0005-0000-0000-00002C050000}"/>
    <cellStyle name="%L3 子表4数量层一 3 24" xfId="6085" xr:uid="{00000000-0005-0000-0000-00002D050000}"/>
    <cellStyle name="%L3 子表4数量层一 3 25" xfId="6086" xr:uid="{00000000-0005-0000-0000-00002E050000}"/>
    <cellStyle name="%L3 子表4数量层一 3 26" xfId="6087" xr:uid="{00000000-0005-0000-0000-00002F050000}"/>
    <cellStyle name="%L3 子表4数量层一 3 27" xfId="6088" xr:uid="{00000000-0005-0000-0000-000030050000}"/>
    <cellStyle name="%L3 子表4数量层一 3 28" xfId="6089" xr:uid="{00000000-0005-0000-0000-000031050000}"/>
    <cellStyle name="%L3 子表4数量层一 3 29" xfId="6090" xr:uid="{00000000-0005-0000-0000-000032050000}"/>
    <cellStyle name="%L3 子表4数量层一 3 3" xfId="6091" xr:uid="{00000000-0005-0000-0000-000033050000}"/>
    <cellStyle name="%L3 子表4数量层一 3 3 2" xfId="6092" xr:uid="{00000000-0005-0000-0000-000034050000}"/>
    <cellStyle name="%L3 子表4数量层一 3 3 2 2" xfId="6093" xr:uid="{00000000-0005-0000-0000-000035050000}"/>
    <cellStyle name="%L3 子表4数量层一 3 3 2 3" xfId="6094" xr:uid="{00000000-0005-0000-0000-000036050000}"/>
    <cellStyle name="%L3 子表4数量层一 3 3 3" xfId="6095" xr:uid="{00000000-0005-0000-0000-000037050000}"/>
    <cellStyle name="%L3 子表4数量层一 3 3 3 2" xfId="6096" xr:uid="{00000000-0005-0000-0000-000038050000}"/>
    <cellStyle name="%L3 子表4数量层一 3 3 3 3" xfId="6097" xr:uid="{00000000-0005-0000-0000-000039050000}"/>
    <cellStyle name="%L3 子表4数量层一 3 3 4" xfId="6098" xr:uid="{00000000-0005-0000-0000-00003A050000}"/>
    <cellStyle name="%L3 子表4数量层一 3 3 5" xfId="6099" xr:uid="{00000000-0005-0000-0000-00003B050000}"/>
    <cellStyle name="%L3 子表4数量层一 3 30" xfId="6100" xr:uid="{00000000-0005-0000-0000-00003C050000}"/>
    <cellStyle name="%L3 子表4数量层一 3 31" xfId="6101" xr:uid="{00000000-0005-0000-0000-00003D050000}"/>
    <cellStyle name="%L3 子表4数量层一 3 32" xfId="6102" xr:uid="{00000000-0005-0000-0000-00003E050000}"/>
    <cellStyle name="%L3 子表4数量层一 3 33" xfId="6103" xr:uid="{00000000-0005-0000-0000-00003F050000}"/>
    <cellStyle name="%L3 子表4数量层一 3 34" xfId="6104" xr:uid="{00000000-0005-0000-0000-000040050000}"/>
    <cellStyle name="%L3 子表4数量层一 3 35" xfId="6105" xr:uid="{00000000-0005-0000-0000-000041050000}"/>
    <cellStyle name="%L3 子表4数量层一 3 36" xfId="6106" xr:uid="{00000000-0005-0000-0000-000042050000}"/>
    <cellStyle name="%L3 子表4数量层一 3 4" xfId="6107" xr:uid="{00000000-0005-0000-0000-000043050000}"/>
    <cellStyle name="%L3 子表4数量层一 3 4 2" xfId="6108" xr:uid="{00000000-0005-0000-0000-000044050000}"/>
    <cellStyle name="%L3 子表4数量层一 3 4 2 2" xfId="6109" xr:uid="{00000000-0005-0000-0000-000045050000}"/>
    <cellStyle name="%L3 子表4数量层一 3 4 2 3" xfId="6110" xr:uid="{00000000-0005-0000-0000-000046050000}"/>
    <cellStyle name="%L3 子表4数量层一 3 4 3" xfId="6111" xr:uid="{00000000-0005-0000-0000-000047050000}"/>
    <cellStyle name="%L3 子表4数量层一 3 4 3 2" xfId="6112" xr:uid="{00000000-0005-0000-0000-000048050000}"/>
    <cellStyle name="%L3 子表4数量层一 3 4 3 3" xfId="6113" xr:uid="{00000000-0005-0000-0000-000049050000}"/>
    <cellStyle name="%L3 子表4数量层一 3 4 4" xfId="6114" xr:uid="{00000000-0005-0000-0000-00004A050000}"/>
    <cellStyle name="%L3 子表4数量层一 3 4 5" xfId="6115" xr:uid="{00000000-0005-0000-0000-00004B050000}"/>
    <cellStyle name="%L3 子表4数量层一 3 5" xfId="6116" xr:uid="{00000000-0005-0000-0000-00004C050000}"/>
    <cellStyle name="%L3 子表4数量层一 3 5 2" xfId="6117" xr:uid="{00000000-0005-0000-0000-00004D050000}"/>
    <cellStyle name="%L3 子表4数量层一 3 5 3" xfId="6118" xr:uid="{00000000-0005-0000-0000-00004E050000}"/>
    <cellStyle name="%L3 子表4数量层一 3 6" xfId="6119" xr:uid="{00000000-0005-0000-0000-00004F050000}"/>
    <cellStyle name="%L3 子表4数量层一 3 7" xfId="6120" xr:uid="{00000000-0005-0000-0000-000050050000}"/>
    <cellStyle name="%L3 子表4数量层一 3 8" xfId="6121" xr:uid="{00000000-0005-0000-0000-000051050000}"/>
    <cellStyle name="%L3 子表4数量层一 3 9" xfId="6122" xr:uid="{00000000-0005-0000-0000-000052050000}"/>
    <cellStyle name="%L3 子表4数量层一 30" xfId="6123" xr:uid="{00000000-0005-0000-0000-000053050000}"/>
    <cellStyle name="%L3 子表4数量层一 31" xfId="6124" xr:uid="{00000000-0005-0000-0000-000054050000}"/>
    <cellStyle name="%L3 子表4数量层一 32" xfId="6125" xr:uid="{00000000-0005-0000-0000-000055050000}"/>
    <cellStyle name="%L3 子表4数量层一 33" xfId="6126" xr:uid="{00000000-0005-0000-0000-000056050000}"/>
    <cellStyle name="%L3 子表4数量层一 34" xfId="6127" xr:uid="{00000000-0005-0000-0000-000057050000}"/>
    <cellStyle name="%L3 子表4数量层一 35" xfId="6128" xr:uid="{00000000-0005-0000-0000-000058050000}"/>
    <cellStyle name="%L3 子表4数量层一 36" xfId="6129" xr:uid="{00000000-0005-0000-0000-000059050000}"/>
    <cellStyle name="%L3 子表4数量层一 37" xfId="6130" xr:uid="{00000000-0005-0000-0000-00005A050000}"/>
    <cellStyle name="%L3 子表4数量层一 38" xfId="6131" xr:uid="{00000000-0005-0000-0000-00005B050000}"/>
    <cellStyle name="%L3 子表4数量层一 4" xfId="6132" xr:uid="{00000000-0005-0000-0000-00005C050000}"/>
    <cellStyle name="%L3 子表4数量层一 4 10" xfId="6133" xr:uid="{00000000-0005-0000-0000-00005D050000}"/>
    <cellStyle name="%L3 子表4数量层一 4 11" xfId="6134" xr:uid="{00000000-0005-0000-0000-00005E050000}"/>
    <cellStyle name="%L3 子表4数量层一 4 12" xfId="6135" xr:uid="{00000000-0005-0000-0000-00005F050000}"/>
    <cellStyle name="%L3 子表4数量层一 4 13" xfId="6136" xr:uid="{00000000-0005-0000-0000-000060050000}"/>
    <cellStyle name="%L3 子表4数量层一 4 14" xfId="6137" xr:uid="{00000000-0005-0000-0000-000061050000}"/>
    <cellStyle name="%L3 子表4数量层一 4 15" xfId="6138" xr:uid="{00000000-0005-0000-0000-000062050000}"/>
    <cellStyle name="%L3 子表4数量层一 4 16" xfId="6139" xr:uid="{00000000-0005-0000-0000-000063050000}"/>
    <cellStyle name="%L3 子表4数量层一 4 17" xfId="6140" xr:uid="{00000000-0005-0000-0000-000064050000}"/>
    <cellStyle name="%L3 子表4数量层一 4 18" xfId="6141" xr:uid="{00000000-0005-0000-0000-000065050000}"/>
    <cellStyle name="%L3 子表4数量层一 4 19" xfId="6142" xr:uid="{00000000-0005-0000-0000-000066050000}"/>
    <cellStyle name="%L3 子表4数量层一 4 2" xfId="6143" xr:uid="{00000000-0005-0000-0000-000067050000}"/>
    <cellStyle name="%L3 子表4数量层一 4 2 2" xfId="6144" xr:uid="{00000000-0005-0000-0000-000068050000}"/>
    <cellStyle name="%L3 子表4数量层一 4 2 3" xfId="6145" xr:uid="{00000000-0005-0000-0000-000069050000}"/>
    <cellStyle name="%L3 子表4数量层一 4 20" xfId="6146" xr:uid="{00000000-0005-0000-0000-00006A050000}"/>
    <cellStyle name="%L3 子表4数量层一 4 21" xfId="6147" xr:uid="{00000000-0005-0000-0000-00006B050000}"/>
    <cellStyle name="%L3 子表4数量层一 4 22" xfId="6148" xr:uid="{00000000-0005-0000-0000-00006C050000}"/>
    <cellStyle name="%L3 子表4数量层一 4 23" xfId="6149" xr:uid="{00000000-0005-0000-0000-00006D050000}"/>
    <cellStyle name="%L3 子表4数量层一 4 24" xfId="6150" xr:uid="{00000000-0005-0000-0000-00006E050000}"/>
    <cellStyle name="%L3 子表4数量层一 4 25" xfId="6151" xr:uid="{00000000-0005-0000-0000-00006F050000}"/>
    <cellStyle name="%L3 子表4数量层一 4 3" xfId="6152" xr:uid="{00000000-0005-0000-0000-000070050000}"/>
    <cellStyle name="%L3 子表4数量层一 4 4" xfId="6153" xr:uid="{00000000-0005-0000-0000-000071050000}"/>
    <cellStyle name="%L3 子表4数量层一 4 5" xfId="6154" xr:uid="{00000000-0005-0000-0000-000072050000}"/>
    <cellStyle name="%L3 子表4数量层一 4 6" xfId="6155" xr:uid="{00000000-0005-0000-0000-000073050000}"/>
    <cellStyle name="%L3 子表4数量层一 4 7" xfId="6156" xr:uid="{00000000-0005-0000-0000-000074050000}"/>
    <cellStyle name="%L3 子表4数量层一 4 8" xfId="6157" xr:uid="{00000000-0005-0000-0000-000075050000}"/>
    <cellStyle name="%L3 子表4数量层一 4 9" xfId="6158" xr:uid="{00000000-0005-0000-0000-000076050000}"/>
    <cellStyle name="%L3 子表4数量层一 5" xfId="6159" xr:uid="{00000000-0005-0000-0000-000077050000}"/>
    <cellStyle name="%L3 子表4数量层一 5 2" xfId="6160" xr:uid="{00000000-0005-0000-0000-000078050000}"/>
    <cellStyle name="%L3 子表4数量层一 5 2 2" xfId="6161" xr:uid="{00000000-0005-0000-0000-000079050000}"/>
    <cellStyle name="%L3 子表4数量层一 5 2 3" xfId="6162" xr:uid="{00000000-0005-0000-0000-00007A050000}"/>
    <cellStyle name="%L3 子表4数量层一 5 3" xfId="6163" xr:uid="{00000000-0005-0000-0000-00007B050000}"/>
    <cellStyle name="%L3 子表4数量层一 5 3 2" xfId="6164" xr:uid="{00000000-0005-0000-0000-00007C050000}"/>
    <cellStyle name="%L3 子表4数量层一 5 3 3" xfId="6165" xr:uid="{00000000-0005-0000-0000-00007D050000}"/>
    <cellStyle name="%L3 子表4数量层一 5 4" xfId="6166" xr:uid="{00000000-0005-0000-0000-00007E050000}"/>
    <cellStyle name="%L3 子表4数量层一 5 5" xfId="6167" xr:uid="{00000000-0005-0000-0000-00007F050000}"/>
    <cellStyle name="%L3 子表4数量层一 6" xfId="6168" xr:uid="{00000000-0005-0000-0000-000080050000}"/>
    <cellStyle name="%L3 子表4数量层一 6 2" xfId="6169" xr:uid="{00000000-0005-0000-0000-000081050000}"/>
    <cellStyle name="%L3 子表4数量层一 6 2 2" xfId="6170" xr:uid="{00000000-0005-0000-0000-000082050000}"/>
    <cellStyle name="%L3 子表4数量层一 6 2 3" xfId="6171" xr:uid="{00000000-0005-0000-0000-000083050000}"/>
    <cellStyle name="%L3 子表4数量层一 6 3" xfId="6172" xr:uid="{00000000-0005-0000-0000-000084050000}"/>
    <cellStyle name="%L3 子表4数量层一 6 3 2" xfId="6173" xr:uid="{00000000-0005-0000-0000-000085050000}"/>
    <cellStyle name="%L3 子表4数量层一 6 3 3" xfId="6174" xr:uid="{00000000-0005-0000-0000-000086050000}"/>
    <cellStyle name="%L3 子表4数量层一 6 4" xfId="6175" xr:uid="{00000000-0005-0000-0000-000087050000}"/>
    <cellStyle name="%L3 子表4数量层一 6 5" xfId="6176" xr:uid="{00000000-0005-0000-0000-000088050000}"/>
    <cellStyle name="%L3 子表4数量层一 7" xfId="6177" xr:uid="{00000000-0005-0000-0000-000089050000}"/>
    <cellStyle name="%L3 子表4数量层一 7 2" xfId="6178" xr:uid="{00000000-0005-0000-0000-00008A050000}"/>
    <cellStyle name="%L3 子表4数量层一 7 3" xfId="6179" xr:uid="{00000000-0005-0000-0000-00008B050000}"/>
    <cellStyle name="%L3 子表4数量层一 8" xfId="6180" xr:uid="{00000000-0005-0000-0000-00008C050000}"/>
    <cellStyle name="%L3 子表4数量层一 9" xfId="6181" xr:uid="{00000000-0005-0000-0000-00008D050000}"/>
    <cellStyle name="%L3 子表4数量层二" xfId="6182" xr:uid="{00000000-0005-0000-0000-00008E050000}"/>
    <cellStyle name="%L3 子表4数量层二 10" xfId="6183" xr:uid="{00000000-0005-0000-0000-00008F050000}"/>
    <cellStyle name="%L3 子表4数量层二 11" xfId="6184" xr:uid="{00000000-0005-0000-0000-000090050000}"/>
    <cellStyle name="%L3 子表4数量层二 12" xfId="6185" xr:uid="{00000000-0005-0000-0000-000091050000}"/>
    <cellStyle name="%L3 子表4数量层二 13" xfId="6186" xr:uid="{00000000-0005-0000-0000-000092050000}"/>
    <cellStyle name="%L3 子表4数量层二 14" xfId="6187" xr:uid="{00000000-0005-0000-0000-000093050000}"/>
    <cellStyle name="%L3 子表4数量层二 15" xfId="6188" xr:uid="{00000000-0005-0000-0000-000094050000}"/>
    <cellStyle name="%L3 子表4数量层二 16" xfId="6189" xr:uid="{00000000-0005-0000-0000-000095050000}"/>
    <cellStyle name="%L3 子表4数量层二 17" xfId="6190" xr:uid="{00000000-0005-0000-0000-000096050000}"/>
    <cellStyle name="%L3 子表4数量层二 18" xfId="6191" xr:uid="{00000000-0005-0000-0000-000097050000}"/>
    <cellStyle name="%L3 子表4数量层二 19" xfId="6192" xr:uid="{00000000-0005-0000-0000-000098050000}"/>
    <cellStyle name="%L3 子表4数量层二 2" xfId="6193" xr:uid="{00000000-0005-0000-0000-000099050000}"/>
    <cellStyle name="%L3 子表4数量层二 2 10" xfId="6194" xr:uid="{00000000-0005-0000-0000-00009A050000}"/>
    <cellStyle name="%L3 子表4数量层二 2 11" xfId="6195" xr:uid="{00000000-0005-0000-0000-00009B050000}"/>
    <cellStyle name="%L3 子表4数量层二 2 12" xfId="6196" xr:uid="{00000000-0005-0000-0000-00009C050000}"/>
    <cellStyle name="%L3 子表4数量层二 2 13" xfId="6197" xr:uid="{00000000-0005-0000-0000-00009D050000}"/>
    <cellStyle name="%L3 子表4数量层二 2 14" xfId="6198" xr:uid="{00000000-0005-0000-0000-00009E050000}"/>
    <cellStyle name="%L3 子表4数量层二 2 15" xfId="6199" xr:uid="{00000000-0005-0000-0000-00009F050000}"/>
    <cellStyle name="%L3 子表4数量层二 2 16" xfId="6200" xr:uid="{00000000-0005-0000-0000-0000A0050000}"/>
    <cellStyle name="%L3 子表4数量层二 2 17" xfId="6201" xr:uid="{00000000-0005-0000-0000-0000A1050000}"/>
    <cellStyle name="%L3 子表4数量层二 2 18" xfId="6202" xr:uid="{00000000-0005-0000-0000-0000A2050000}"/>
    <cellStyle name="%L3 子表4数量层二 2 19" xfId="6203" xr:uid="{00000000-0005-0000-0000-0000A3050000}"/>
    <cellStyle name="%L3 子表4数量层二 2 2" xfId="6204" xr:uid="{00000000-0005-0000-0000-0000A4050000}"/>
    <cellStyle name="%L3 子表4数量层二 2 2 10" xfId="6205" xr:uid="{00000000-0005-0000-0000-0000A5050000}"/>
    <cellStyle name="%L3 子表4数量层二 2 2 11" xfId="6206" xr:uid="{00000000-0005-0000-0000-0000A6050000}"/>
    <cellStyle name="%L3 子表4数量层二 2 2 12" xfId="6207" xr:uid="{00000000-0005-0000-0000-0000A7050000}"/>
    <cellStyle name="%L3 子表4数量层二 2 2 13" xfId="6208" xr:uid="{00000000-0005-0000-0000-0000A8050000}"/>
    <cellStyle name="%L3 子表4数量层二 2 2 14" xfId="6209" xr:uid="{00000000-0005-0000-0000-0000A9050000}"/>
    <cellStyle name="%L3 子表4数量层二 2 2 15" xfId="6210" xr:uid="{00000000-0005-0000-0000-0000AA050000}"/>
    <cellStyle name="%L3 子表4数量层二 2 2 16" xfId="6211" xr:uid="{00000000-0005-0000-0000-0000AB050000}"/>
    <cellStyle name="%L3 子表4数量层二 2 2 17" xfId="6212" xr:uid="{00000000-0005-0000-0000-0000AC050000}"/>
    <cellStyle name="%L3 子表4数量层二 2 2 18" xfId="6213" xr:uid="{00000000-0005-0000-0000-0000AD050000}"/>
    <cellStyle name="%L3 子表4数量层二 2 2 19" xfId="6214" xr:uid="{00000000-0005-0000-0000-0000AE050000}"/>
    <cellStyle name="%L3 子表4数量层二 2 2 2" xfId="6215" xr:uid="{00000000-0005-0000-0000-0000AF050000}"/>
    <cellStyle name="%L3 子表4数量层二 2 2 2 10" xfId="6216" xr:uid="{00000000-0005-0000-0000-0000B0050000}"/>
    <cellStyle name="%L3 子表4数量层二 2 2 2 11" xfId="6217" xr:uid="{00000000-0005-0000-0000-0000B1050000}"/>
    <cellStyle name="%L3 子表4数量层二 2 2 2 12" xfId="6218" xr:uid="{00000000-0005-0000-0000-0000B2050000}"/>
    <cellStyle name="%L3 子表4数量层二 2 2 2 13" xfId="6219" xr:uid="{00000000-0005-0000-0000-0000B3050000}"/>
    <cellStyle name="%L3 子表4数量层二 2 2 2 14" xfId="6220" xr:uid="{00000000-0005-0000-0000-0000B4050000}"/>
    <cellStyle name="%L3 子表4数量层二 2 2 2 15" xfId="6221" xr:uid="{00000000-0005-0000-0000-0000B5050000}"/>
    <cellStyle name="%L3 子表4数量层二 2 2 2 16" xfId="6222" xr:uid="{00000000-0005-0000-0000-0000B6050000}"/>
    <cellStyle name="%L3 子表4数量层二 2 2 2 17" xfId="6223" xr:uid="{00000000-0005-0000-0000-0000B7050000}"/>
    <cellStyle name="%L3 子表4数量层二 2 2 2 18" xfId="6224" xr:uid="{00000000-0005-0000-0000-0000B8050000}"/>
    <cellStyle name="%L3 子表4数量层二 2 2 2 19" xfId="6225" xr:uid="{00000000-0005-0000-0000-0000B9050000}"/>
    <cellStyle name="%L3 子表4数量层二 2 2 2 2" xfId="6226" xr:uid="{00000000-0005-0000-0000-0000BA050000}"/>
    <cellStyle name="%L3 子表4数量层二 2 2 2 2 2" xfId="6227" xr:uid="{00000000-0005-0000-0000-0000BB050000}"/>
    <cellStyle name="%L3 子表4数量层二 2 2 2 2 3" xfId="6228" xr:uid="{00000000-0005-0000-0000-0000BC050000}"/>
    <cellStyle name="%L3 子表4数量层二 2 2 2 20" xfId="6229" xr:uid="{00000000-0005-0000-0000-0000BD050000}"/>
    <cellStyle name="%L3 子表4数量层二 2 2 2 21" xfId="6230" xr:uid="{00000000-0005-0000-0000-0000BE050000}"/>
    <cellStyle name="%L3 子表4数量层二 2 2 2 22" xfId="6231" xr:uid="{00000000-0005-0000-0000-0000BF050000}"/>
    <cellStyle name="%L3 子表4数量层二 2 2 2 23" xfId="6232" xr:uid="{00000000-0005-0000-0000-0000C0050000}"/>
    <cellStyle name="%L3 子表4数量层二 2 2 2 24" xfId="6233" xr:uid="{00000000-0005-0000-0000-0000C1050000}"/>
    <cellStyle name="%L3 子表4数量层二 2 2 2 25" xfId="6234" xr:uid="{00000000-0005-0000-0000-0000C2050000}"/>
    <cellStyle name="%L3 子表4数量层二 2 2 2 3" xfId="6235" xr:uid="{00000000-0005-0000-0000-0000C3050000}"/>
    <cellStyle name="%L3 子表4数量层二 2 2 2 4" xfId="6236" xr:uid="{00000000-0005-0000-0000-0000C4050000}"/>
    <cellStyle name="%L3 子表4数量层二 2 2 2 5" xfId="6237" xr:uid="{00000000-0005-0000-0000-0000C5050000}"/>
    <cellStyle name="%L3 子表4数量层二 2 2 2 6" xfId="6238" xr:uid="{00000000-0005-0000-0000-0000C6050000}"/>
    <cellStyle name="%L3 子表4数量层二 2 2 2 7" xfId="6239" xr:uid="{00000000-0005-0000-0000-0000C7050000}"/>
    <cellStyle name="%L3 子表4数量层二 2 2 2 8" xfId="6240" xr:uid="{00000000-0005-0000-0000-0000C8050000}"/>
    <cellStyle name="%L3 子表4数量层二 2 2 2 9" xfId="6241" xr:uid="{00000000-0005-0000-0000-0000C9050000}"/>
    <cellStyle name="%L3 子表4数量层二 2 2 20" xfId="6242" xr:uid="{00000000-0005-0000-0000-0000CA050000}"/>
    <cellStyle name="%L3 子表4数量层二 2 2 21" xfId="6243" xr:uid="{00000000-0005-0000-0000-0000CB050000}"/>
    <cellStyle name="%L3 子表4数量层二 2 2 22" xfId="6244" xr:uid="{00000000-0005-0000-0000-0000CC050000}"/>
    <cellStyle name="%L3 子表4数量层二 2 2 23" xfId="6245" xr:uid="{00000000-0005-0000-0000-0000CD050000}"/>
    <cellStyle name="%L3 子表4数量层二 2 2 24" xfId="6246" xr:uid="{00000000-0005-0000-0000-0000CE050000}"/>
    <cellStyle name="%L3 子表4数量层二 2 2 25" xfId="6247" xr:uid="{00000000-0005-0000-0000-0000CF050000}"/>
    <cellStyle name="%L3 子表4数量层二 2 2 26" xfId="6248" xr:uid="{00000000-0005-0000-0000-0000D0050000}"/>
    <cellStyle name="%L3 子表4数量层二 2 2 27" xfId="6249" xr:uid="{00000000-0005-0000-0000-0000D1050000}"/>
    <cellStyle name="%L3 子表4数量层二 2 2 28" xfId="6250" xr:uid="{00000000-0005-0000-0000-0000D2050000}"/>
    <cellStyle name="%L3 子表4数量层二 2 2 29" xfId="6251" xr:uid="{00000000-0005-0000-0000-0000D3050000}"/>
    <cellStyle name="%L3 子表4数量层二 2 2 3" xfId="6252" xr:uid="{00000000-0005-0000-0000-0000D4050000}"/>
    <cellStyle name="%L3 子表4数量层二 2 2 3 2" xfId="6253" xr:uid="{00000000-0005-0000-0000-0000D5050000}"/>
    <cellStyle name="%L3 子表4数量层二 2 2 3 2 2" xfId="6254" xr:uid="{00000000-0005-0000-0000-0000D6050000}"/>
    <cellStyle name="%L3 子表4数量层二 2 2 3 2 3" xfId="6255" xr:uid="{00000000-0005-0000-0000-0000D7050000}"/>
    <cellStyle name="%L3 子表4数量层二 2 2 3 3" xfId="6256" xr:uid="{00000000-0005-0000-0000-0000D8050000}"/>
    <cellStyle name="%L3 子表4数量层二 2 2 3 3 2" xfId="6257" xr:uid="{00000000-0005-0000-0000-0000D9050000}"/>
    <cellStyle name="%L3 子表4数量层二 2 2 3 3 3" xfId="6258" xr:uid="{00000000-0005-0000-0000-0000DA050000}"/>
    <cellStyle name="%L3 子表4数量层二 2 2 3 4" xfId="6259" xr:uid="{00000000-0005-0000-0000-0000DB050000}"/>
    <cellStyle name="%L3 子表4数量层二 2 2 3 5" xfId="6260" xr:uid="{00000000-0005-0000-0000-0000DC050000}"/>
    <cellStyle name="%L3 子表4数量层二 2 2 30" xfId="6261" xr:uid="{00000000-0005-0000-0000-0000DD050000}"/>
    <cellStyle name="%L3 子表4数量层二 2 2 31" xfId="6262" xr:uid="{00000000-0005-0000-0000-0000DE050000}"/>
    <cellStyle name="%L3 子表4数量层二 2 2 32" xfId="6263" xr:uid="{00000000-0005-0000-0000-0000DF050000}"/>
    <cellStyle name="%L3 子表4数量层二 2 2 33" xfId="6264" xr:uid="{00000000-0005-0000-0000-0000E0050000}"/>
    <cellStyle name="%L3 子表4数量层二 2 2 34" xfId="6265" xr:uid="{00000000-0005-0000-0000-0000E1050000}"/>
    <cellStyle name="%L3 子表4数量层二 2 2 35" xfId="6266" xr:uid="{00000000-0005-0000-0000-0000E2050000}"/>
    <cellStyle name="%L3 子表4数量层二 2 2 36" xfId="6267" xr:uid="{00000000-0005-0000-0000-0000E3050000}"/>
    <cellStyle name="%L3 子表4数量层二 2 2 4" xfId="6268" xr:uid="{00000000-0005-0000-0000-0000E4050000}"/>
    <cellStyle name="%L3 子表4数量层二 2 2 4 2" xfId="6269" xr:uid="{00000000-0005-0000-0000-0000E5050000}"/>
    <cellStyle name="%L3 子表4数量层二 2 2 4 2 2" xfId="6270" xr:uid="{00000000-0005-0000-0000-0000E6050000}"/>
    <cellStyle name="%L3 子表4数量层二 2 2 4 2 3" xfId="6271" xr:uid="{00000000-0005-0000-0000-0000E7050000}"/>
    <cellStyle name="%L3 子表4数量层二 2 2 4 3" xfId="6272" xr:uid="{00000000-0005-0000-0000-0000E8050000}"/>
    <cellStyle name="%L3 子表4数量层二 2 2 4 3 2" xfId="6273" xr:uid="{00000000-0005-0000-0000-0000E9050000}"/>
    <cellStyle name="%L3 子表4数量层二 2 2 4 3 3" xfId="6274" xr:uid="{00000000-0005-0000-0000-0000EA050000}"/>
    <cellStyle name="%L3 子表4数量层二 2 2 4 4" xfId="6275" xr:uid="{00000000-0005-0000-0000-0000EB050000}"/>
    <cellStyle name="%L3 子表4数量层二 2 2 4 5" xfId="6276" xr:uid="{00000000-0005-0000-0000-0000EC050000}"/>
    <cellStyle name="%L3 子表4数量层二 2 2 5" xfId="6277" xr:uid="{00000000-0005-0000-0000-0000ED050000}"/>
    <cellStyle name="%L3 子表4数量层二 2 2 5 2" xfId="6278" xr:uid="{00000000-0005-0000-0000-0000EE050000}"/>
    <cellStyle name="%L3 子表4数量层二 2 2 5 3" xfId="6279" xr:uid="{00000000-0005-0000-0000-0000EF050000}"/>
    <cellStyle name="%L3 子表4数量层二 2 2 6" xfId="6280" xr:uid="{00000000-0005-0000-0000-0000F0050000}"/>
    <cellStyle name="%L3 子表4数量层二 2 2 7" xfId="6281" xr:uid="{00000000-0005-0000-0000-0000F1050000}"/>
    <cellStyle name="%L3 子表4数量层二 2 2 8" xfId="6282" xr:uid="{00000000-0005-0000-0000-0000F2050000}"/>
    <cellStyle name="%L3 子表4数量层二 2 2 9" xfId="6283" xr:uid="{00000000-0005-0000-0000-0000F3050000}"/>
    <cellStyle name="%L3 子表4数量层二 2 20" xfId="6284" xr:uid="{00000000-0005-0000-0000-0000F4050000}"/>
    <cellStyle name="%L3 子表4数量层二 2 21" xfId="6285" xr:uid="{00000000-0005-0000-0000-0000F5050000}"/>
    <cellStyle name="%L3 子表4数量层二 2 22" xfId="6286" xr:uid="{00000000-0005-0000-0000-0000F6050000}"/>
    <cellStyle name="%L3 子表4数量层二 2 23" xfId="6287" xr:uid="{00000000-0005-0000-0000-0000F7050000}"/>
    <cellStyle name="%L3 子表4数量层二 2 24" xfId="6288" xr:uid="{00000000-0005-0000-0000-0000F8050000}"/>
    <cellStyle name="%L3 子表4数量层二 2 25" xfId="6289" xr:uid="{00000000-0005-0000-0000-0000F9050000}"/>
    <cellStyle name="%L3 子表4数量层二 2 26" xfId="6290" xr:uid="{00000000-0005-0000-0000-0000FA050000}"/>
    <cellStyle name="%L3 子表4数量层二 2 27" xfId="6291" xr:uid="{00000000-0005-0000-0000-0000FB050000}"/>
    <cellStyle name="%L3 子表4数量层二 2 28" xfId="6292" xr:uid="{00000000-0005-0000-0000-0000FC050000}"/>
    <cellStyle name="%L3 子表4数量层二 2 29" xfId="6293" xr:uid="{00000000-0005-0000-0000-0000FD050000}"/>
    <cellStyle name="%L3 子表4数量层二 2 3" xfId="6294" xr:uid="{00000000-0005-0000-0000-0000FE050000}"/>
    <cellStyle name="%L3 子表4数量层二 2 3 10" xfId="6295" xr:uid="{00000000-0005-0000-0000-0000FF050000}"/>
    <cellStyle name="%L3 子表4数量层二 2 3 11" xfId="6296" xr:uid="{00000000-0005-0000-0000-000000060000}"/>
    <cellStyle name="%L3 子表4数量层二 2 3 12" xfId="6297" xr:uid="{00000000-0005-0000-0000-000001060000}"/>
    <cellStyle name="%L3 子表4数量层二 2 3 13" xfId="6298" xr:uid="{00000000-0005-0000-0000-000002060000}"/>
    <cellStyle name="%L3 子表4数量层二 2 3 14" xfId="6299" xr:uid="{00000000-0005-0000-0000-000003060000}"/>
    <cellStyle name="%L3 子表4数量层二 2 3 15" xfId="6300" xr:uid="{00000000-0005-0000-0000-000004060000}"/>
    <cellStyle name="%L3 子表4数量层二 2 3 16" xfId="6301" xr:uid="{00000000-0005-0000-0000-000005060000}"/>
    <cellStyle name="%L3 子表4数量层二 2 3 17" xfId="6302" xr:uid="{00000000-0005-0000-0000-000006060000}"/>
    <cellStyle name="%L3 子表4数量层二 2 3 18" xfId="6303" xr:uid="{00000000-0005-0000-0000-000007060000}"/>
    <cellStyle name="%L3 子表4数量层二 2 3 19" xfId="6304" xr:uid="{00000000-0005-0000-0000-000008060000}"/>
    <cellStyle name="%L3 子表4数量层二 2 3 2" xfId="6305" xr:uid="{00000000-0005-0000-0000-000009060000}"/>
    <cellStyle name="%L3 子表4数量层二 2 3 2 2" xfId="6306" xr:uid="{00000000-0005-0000-0000-00000A060000}"/>
    <cellStyle name="%L3 子表4数量层二 2 3 2 3" xfId="6307" xr:uid="{00000000-0005-0000-0000-00000B060000}"/>
    <cellStyle name="%L3 子表4数量层二 2 3 20" xfId="6308" xr:uid="{00000000-0005-0000-0000-00000C060000}"/>
    <cellStyle name="%L3 子表4数量层二 2 3 21" xfId="6309" xr:uid="{00000000-0005-0000-0000-00000D060000}"/>
    <cellStyle name="%L3 子表4数量层二 2 3 22" xfId="6310" xr:uid="{00000000-0005-0000-0000-00000E060000}"/>
    <cellStyle name="%L3 子表4数量层二 2 3 23" xfId="6311" xr:uid="{00000000-0005-0000-0000-00000F060000}"/>
    <cellStyle name="%L3 子表4数量层二 2 3 24" xfId="6312" xr:uid="{00000000-0005-0000-0000-000010060000}"/>
    <cellStyle name="%L3 子表4数量层二 2 3 25" xfId="6313" xr:uid="{00000000-0005-0000-0000-000011060000}"/>
    <cellStyle name="%L3 子表4数量层二 2 3 3" xfId="6314" xr:uid="{00000000-0005-0000-0000-000012060000}"/>
    <cellStyle name="%L3 子表4数量层二 2 3 4" xfId="6315" xr:uid="{00000000-0005-0000-0000-000013060000}"/>
    <cellStyle name="%L3 子表4数量层二 2 3 5" xfId="6316" xr:uid="{00000000-0005-0000-0000-000014060000}"/>
    <cellStyle name="%L3 子表4数量层二 2 3 6" xfId="6317" xr:uid="{00000000-0005-0000-0000-000015060000}"/>
    <cellStyle name="%L3 子表4数量层二 2 3 7" xfId="6318" xr:uid="{00000000-0005-0000-0000-000016060000}"/>
    <cellStyle name="%L3 子表4数量层二 2 3 8" xfId="6319" xr:uid="{00000000-0005-0000-0000-000017060000}"/>
    <cellStyle name="%L3 子表4数量层二 2 3 9" xfId="6320" xr:uid="{00000000-0005-0000-0000-000018060000}"/>
    <cellStyle name="%L3 子表4数量层二 2 30" xfId="6321" xr:uid="{00000000-0005-0000-0000-000019060000}"/>
    <cellStyle name="%L3 子表4数量层二 2 31" xfId="6322" xr:uid="{00000000-0005-0000-0000-00001A060000}"/>
    <cellStyle name="%L3 子表4数量层二 2 32" xfId="6323" xr:uid="{00000000-0005-0000-0000-00001B060000}"/>
    <cellStyle name="%L3 子表4数量层二 2 33" xfId="6324" xr:uid="{00000000-0005-0000-0000-00001C060000}"/>
    <cellStyle name="%L3 子表4数量层二 2 34" xfId="6325" xr:uid="{00000000-0005-0000-0000-00001D060000}"/>
    <cellStyle name="%L3 子表4数量层二 2 35" xfId="6326" xr:uid="{00000000-0005-0000-0000-00001E060000}"/>
    <cellStyle name="%L3 子表4数量层二 2 36" xfId="6327" xr:uid="{00000000-0005-0000-0000-00001F060000}"/>
    <cellStyle name="%L3 子表4数量层二 2 37" xfId="6328" xr:uid="{00000000-0005-0000-0000-000020060000}"/>
    <cellStyle name="%L3 子表4数量层二 2 4" xfId="6329" xr:uid="{00000000-0005-0000-0000-000021060000}"/>
    <cellStyle name="%L3 子表4数量层二 2 4 2" xfId="6330" xr:uid="{00000000-0005-0000-0000-000022060000}"/>
    <cellStyle name="%L3 子表4数量层二 2 4 2 2" xfId="6331" xr:uid="{00000000-0005-0000-0000-000023060000}"/>
    <cellStyle name="%L3 子表4数量层二 2 4 2 3" xfId="6332" xr:uid="{00000000-0005-0000-0000-000024060000}"/>
    <cellStyle name="%L3 子表4数量层二 2 4 3" xfId="6333" xr:uid="{00000000-0005-0000-0000-000025060000}"/>
    <cellStyle name="%L3 子表4数量层二 2 4 3 2" xfId="6334" xr:uid="{00000000-0005-0000-0000-000026060000}"/>
    <cellStyle name="%L3 子表4数量层二 2 4 3 3" xfId="6335" xr:uid="{00000000-0005-0000-0000-000027060000}"/>
    <cellStyle name="%L3 子表4数量层二 2 4 4" xfId="6336" xr:uid="{00000000-0005-0000-0000-000028060000}"/>
    <cellStyle name="%L3 子表4数量层二 2 4 5" xfId="6337" xr:uid="{00000000-0005-0000-0000-000029060000}"/>
    <cellStyle name="%L3 子表4数量层二 2 5" xfId="6338" xr:uid="{00000000-0005-0000-0000-00002A060000}"/>
    <cellStyle name="%L3 子表4数量层二 2 5 2" xfId="6339" xr:uid="{00000000-0005-0000-0000-00002B060000}"/>
    <cellStyle name="%L3 子表4数量层二 2 5 2 2" xfId="6340" xr:uid="{00000000-0005-0000-0000-00002C060000}"/>
    <cellStyle name="%L3 子表4数量层二 2 5 2 3" xfId="6341" xr:uid="{00000000-0005-0000-0000-00002D060000}"/>
    <cellStyle name="%L3 子表4数量层二 2 5 3" xfId="6342" xr:uid="{00000000-0005-0000-0000-00002E060000}"/>
    <cellStyle name="%L3 子表4数量层二 2 5 3 2" xfId="6343" xr:uid="{00000000-0005-0000-0000-00002F060000}"/>
    <cellStyle name="%L3 子表4数量层二 2 5 3 3" xfId="6344" xr:uid="{00000000-0005-0000-0000-000030060000}"/>
    <cellStyle name="%L3 子表4数量层二 2 5 4" xfId="6345" xr:uid="{00000000-0005-0000-0000-000031060000}"/>
    <cellStyle name="%L3 子表4数量层二 2 5 5" xfId="6346" xr:uid="{00000000-0005-0000-0000-000032060000}"/>
    <cellStyle name="%L3 子表4数量层二 2 6" xfId="6347" xr:uid="{00000000-0005-0000-0000-000033060000}"/>
    <cellStyle name="%L3 子表4数量层二 2 6 2" xfId="6348" xr:uid="{00000000-0005-0000-0000-000034060000}"/>
    <cellStyle name="%L3 子表4数量层二 2 6 3" xfId="6349" xr:uid="{00000000-0005-0000-0000-000035060000}"/>
    <cellStyle name="%L3 子表4数量层二 2 7" xfId="6350" xr:uid="{00000000-0005-0000-0000-000036060000}"/>
    <cellStyle name="%L3 子表4数量层二 2 8" xfId="6351" xr:uid="{00000000-0005-0000-0000-000037060000}"/>
    <cellStyle name="%L3 子表4数量层二 2 9" xfId="6352" xr:uid="{00000000-0005-0000-0000-000038060000}"/>
    <cellStyle name="%L3 子表4数量层二 20" xfId="6353" xr:uid="{00000000-0005-0000-0000-000039060000}"/>
    <cellStyle name="%L3 子表4数量层二 21" xfId="6354" xr:uid="{00000000-0005-0000-0000-00003A060000}"/>
    <cellStyle name="%L3 子表4数量层二 22" xfId="6355" xr:uid="{00000000-0005-0000-0000-00003B060000}"/>
    <cellStyle name="%L3 子表4数量层二 23" xfId="6356" xr:uid="{00000000-0005-0000-0000-00003C060000}"/>
    <cellStyle name="%L3 子表4数量层二 24" xfId="6357" xr:uid="{00000000-0005-0000-0000-00003D060000}"/>
    <cellStyle name="%L3 子表4数量层二 25" xfId="6358" xr:uid="{00000000-0005-0000-0000-00003E060000}"/>
    <cellStyle name="%L3 子表4数量层二 26" xfId="6359" xr:uid="{00000000-0005-0000-0000-00003F060000}"/>
    <cellStyle name="%L3 子表4数量层二 27" xfId="6360" xr:uid="{00000000-0005-0000-0000-000040060000}"/>
    <cellStyle name="%L3 子表4数量层二 28" xfId="6361" xr:uid="{00000000-0005-0000-0000-000041060000}"/>
    <cellStyle name="%L3 子表4数量层二 29" xfId="6362" xr:uid="{00000000-0005-0000-0000-000042060000}"/>
    <cellStyle name="%L3 子表4数量层二 3" xfId="6363" xr:uid="{00000000-0005-0000-0000-000043060000}"/>
    <cellStyle name="%L3 子表4数量层二 3 10" xfId="6364" xr:uid="{00000000-0005-0000-0000-000044060000}"/>
    <cellStyle name="%L3 子表4数量层二 3 11" xfId="6365" xr:uid="{00000000-0005-0000-0000-000045060000}"/>
    <cellStyle name="%L3 子表4数量层二 3 12" xfId="6366" xr:uid="{00000000-0005-0000-0000-000046060000}"/>
    <cellStyle name="%L3 子表4数量层二 3 13" xfId="6367" xr:uid="{00000000-0005-0000-0000-000047060000}"/>
    <cellStyle name="%L3 子表4数量层二 3 14" xfId="6368" xr:uid="{00000000-0005-0000-0000-000048060000}"/>
    <cellStyle name="%L3 子表4数量层二 3 15" xfId="6369" xr:uid="{00000000-0005-0000-0000-000049060000}"/>
    <cellStyle name="%L3 子表4数量层二 3 16" xfId="6370" xr:uid="{00000000-0005-0000-0000-00004A060000}"/>
    <cellStyle name="%L3 子表4数量层二 3 17" xfId="6371" xr:uid="{00000000-0005-0000-0000-00004B060000}"/>
    <cellStyle name="%L3 子表4数量层二 3 18" xfId="6372" xr:uid="{00000000-0005-0000-0000-00004C060000}"/>
    <cellStyle name="%L3 子表4数量层二 3 19" xfId="6373" xr:uid="{00000000-0005-0000-0000-00004D060000}"/>
    <cellStyle name="%L3 子表4数量层二 3 2" xfId="6374" xr:uid="{00000000-0005-0000-0000-00004E060000}"/>
    <cellStyle name="%L3 子表4数量层二 3 2 10" xfId="6375" xr:uid="{00000000-0005-0000-0000-00004F060000}"/>
    <cellStyle name="%L3 子表4数量层二 3 2 11" xfId="6376" xr:uid="{00000000-0005-0000-0000-000050060000}"/>
    <cellStyle name="%L3 子表4数量层二 3 2 12" xfId="6377" xr:uid="{00000000-0005-0000-0000-000051060000}"/>
    <cellStyle name="%L3 子表4数量层二 3 2 13" xfId="6378" xr:uid="{00000000-0005-0000-0000-000052060000}"/>
    <cellStyle name="%L3 子表4数量层二 3 2 14" xfId="6379" xr:uid="{00000000-0005-0000-0000-000053060000}"/>
    <cellStyle name="%L3 子表4数量层二 3 2 15" xfId="6380" xr:uid="{00000000-0005-0000-0000-000054060000}"/>
    <cellStyle name="%L3 子表4数量层二 3 2 16" xfId="6381" xr:uid="{00000000-0005-0000-0000-000055060000}"/>
    <cellStyle name="%L3 子表4数量层二 3 2 17" xfId="6382" xr:uid="{00000000-0005-0000-0000-000056060000}"/>
    <cellStyle name="%L3 子表4数量层二 3 2 18" xfId="6383" xr:uid="{00000000-0005-0000-0000-000057060000}"/>
    <cellStyle name="%L3 子表4数量层二 3 2 19" xfId="6384" xr:uid="{00000000-0005-0000-0000-000058060000}"/>
    <cellStyle name="%L3 子表4数量层二 3 2 2" xfId="6385" xr:uid="{00000000-0005-0000-0000-000059060000}"/>
    <cellStyle name="%L3 子表4数量层二 3 2 2 2" xfId="6386" xr:uid="{00000000-0005-0000-0000-00005A060000}"/>
    <cellStyle name="%L3 子表4数量层二 3 2 2 3" xfId="6387" xr:uid="{00000000-0005-0000-0000-00005B060000}"/>
    <cellStyle name="%L3 子表4数量层二 3 2 20" xfId="6388" xr:uid="{00000000-0005-0000-0000-00005C060000}"/>
    <cellStyle name="%L3 子表4数量层二 3 2 21" xfId="6389" xr:uid="{00000000-0005-0000-0000-00005D060000}"/>
    <cellStyle name="%L3 子表4数量层二 3 2 22" xfId="6390" xr:uid="{00000000-0005-0000-0000-00005E060000}"/>
    <cellStyle name="%L3 子表4数量层二 3 2 23" xfId="6391" xr:uid="{00000000-0005-0000-0000-00005F060000}"/>
    <cellStyle name="%L3 子表4数量层二 3 2 24" xfId="6392" xr:uid="{00000000-0005-0000-0000-000060060000}"/>
    <cellStyle name="%L3 子表4数量层二 3 2 25" xfId="6393" xr:uid="{00000000-0005-0000-0000-000061060000}"/>
    <cellStyle name="%L3 子表4数量层二 3 2 3" xfId="6394" xr:uid="{00000000-0005-0000-0000-000062060000}"/>
    <cellStyle name="%L3 子表4数量层二 3 2 4" xfId="6395" xr:uid="{00000000-0005-0000-0000-000063060000}"/>
    <cellStyle name="%L3 子表4数量层二 3 2 5" xfId="6396" xr:uid="{00000000-0005-0000-0000-000064060000}"/>
    <cellStyle name="%L3 子表4数量层二 3 2 6" xfId="6397" xr:uid="{00000000-0005-0000-0000-000065060000}"/>
    <cellStyle name="%L3 子表4数量层二 3 2 7" xfId="6398" xr:uid="{00000000-0005-0000-0000-000066060000}"/>
    <cellStyle name="%L3 子表4数量层二 3 2 8" xfId="6399" xr:uid="{00000000-0005-0000-0000-000067060000}"/>
    <cellStyle name="%L3 子表4数量层二 3 2 9" xfId="6400" xr:uid="{00000000-0005-0000-0000-000068060000}"/>
    <cellStyle name="%L3 子表4数量层二 3 20" xfId="6401" xr:uid="{00000000-0005-0000-0000-000069060000}"/>
    <cellStyle name="%L3 子表4数量层二 3 21" xfId="6402" xr:uid="{00000000-0005-0000-0000-00006A060000}"/>
    <cellStyle name="%L3 子表4数量层二 3 22" xfId="6403" xr:uid="{00000000-0005-0000-0000-00006B060000}"/>
    <cellStyle name="%L3 子表4数量层二 3 23" xfId="6404" xr:uid="{00000000-0005-0000-0000-00006C060000}"/>
    <cellStyle name="%L3 子表4数量层二 3 24" xfId="6405" xr:uid="{00000000-0005-0000-0000-00006D060000}"/>
    <cellStyle name="%L3 子表4数量层二 3 25" xfId="6406" xr:uid="{00000000-0005-0000-0000-00006E060000}"/>
    <cellStyle name="%L3 子表4数量层二 3 26" xfId="6407" xr:uid="{00000000-0005-0000-0000-00006F060000}"/>
    <cellStyle name="%L3 子表4数量层二 3 27" xfId="6408" xr:uid="{00000000-0005-0000-0000-000070060000}"/>
    <cellStyle name="%L3 子表4数量层二 3 28" xfId="6409" xr:uid="{00000000-0005-0000-0000-000071060000}"/>
    <cellStyle name="%L3 子表4数量层二 3 29" xfId="6410" xr:uid="{00000000-0005-0000-0000-000072060000}"/>
    <cellStyle name="%L3 子表4数量层二 3 3" xfId="6411" xr:uid="{00000000-0005-0000-0000-000073060000}"/>
    <cellStyle name="%L3 子表4数量层二 3 3 2" xfId="6412" xr:uid="{00000000-0005-0000-0000-000074060000}"/>
    <cellStyle name="%L3 子表4数量层二 3 3 2 2" xfId="6413" xr:uid="{00000000-0005-0000-0000-000075060000}"/>
    <cellStyle name="%L3 子表4数量层二 3 3 2 3" xfId="6414" xr:uid="{00000000-0005-0000-0000-000076060000}"/>
    <cellStyle name="%L3 子表4数量层二 3 3 3" xfId="6415" xr:uid="{00000000-0005-0000-0000-000077060000}"/>
    <cellStyle name="%L3 子表4数量层二 3 3 3 2" xfId="6416" xr:uid="{00000000-0005-0000-0000-000078060000}"/>
    <cellStyle name="%L3 子表4数量层二 3 3 3 3" xfId="6417" xr:uid="{00000000-0005-0000-0000-000079060000}"/>
    <cellStyle name="%L3 子表4数量层二 3 3 4" xfId="6418" xr:uid="{00000000-0005-0000-0000-00007A060000}"/>
    <cellStyle name="%L3 子表4数量层二 3 3 5" xfId="6419" xr:uid="{00000000-0005-0000-0000-00007B060000}"/>
    <cellStyle name="%L3 子表4数量层二 3 30" xfId="6420" xr:uid="{00000000-0005-0000-0000-00007C060000}"/>
    <cellStyle name="%L3 子表4数量层二 3 31" xfId="6421" xr:uid="{00000000-0005-0000-0000-00007D060000}"/>
    <cellStyle name="%L3 子表4数量层二 3 32" xfId="6422" xr:uid="{00000000-0005-0000-0000-00007E060000}"/>
    <cellStyle name="%L3 子表4数量层二 3 33" xfId="6423" xr:uid="{00000000-0005-0000-0000-00007F060000}"/>
    <cellStyle name="%L3 子表4数量层二 3 34" xfId="6424" xr:uid="{00000000-0005-0000-0000-000080060000}"/>
    <cellStyle name="%L3 子表4数量层二 3 35" xfId="6425" xr:uid="{00000000-0005-0000-0000-000081060000}"/>
    <cellStyle name="%L3 子表4数量层二 3 36" xfId="6426" xr:uid="{00000000-0005-0000-0000-000082060000}"/>
    <cellStyle name="%L3 子表4数量层二 3 4" xfId="6427" xr:uid="{00000000-0005-0000-0000-000083060000}"/>
    <cellStyle name="%L3 子表4数量层二 3 4 2" xfId="6428" xr:uid="{00000000-0005-0000-0000-000084060000}"/>
    <cellStyle name="%L3 子表4数量层二 3 4 2 2" xfId="6429" xr:uid="{00000000-0005-0000-0000-000085060000}"/>
    <cellStyle name="%L3 子表4数量层二 3 4 2 3" xfId="6430" xr:uid="{00000000-0005-0000-0000-000086060000}"/>
    <cellStyle name="%L3 子表4数量层二 3 4 3" xfId="6431" xr:uid="{00000000-0005-0000-0000-000087060000}"/>
    <cellStyle name="%L3 子表4数量层二 3 4 3 2" xfId="6432" xr:uid="{00000000-0005-0000-0000-000088060000}"/>
    <cellStyle name="%L3 子表4数量层二 3 4 3 3" xfId="6433" xr:uid="{00000000-0005-0000-0000-000089060000}"/>
    <cellStyle name="%L3 子表4数量层二 3 4 4" xfId="6434" xr:uid="{00000000-0005-0000-0000-00008A060000}"/>
    <cellStyle name="%L3 子表4数量层二 3 4 5" xfId="6435" xr:uid="{00000000-0005-0000-0000-00008B060000}"/>
    <cellStyle name="%L3 子表4数量层二 3 5" xfId="6436" xr:uid="{00000000-0005-0000-0000-00008C060000}"/>
    <cellStyle name="%L3 子表4数量层二 3 5 2" xfId="6437" xr:uid="{00000000-0005-0000-0000-00008D060000}"/>
    <cellStyle name="%L3 子表4数量层二 3 5 3" xfId="6438" xr:uid="{00000000-0005-0000-0000-00008E060000}"/>
    <cellStyle name="%L3 子表4数量层二 3 6" xfId="6439" xr:uid="{00000000-0005-0000-0000-00008F060000}"/>
    <cellStyle name="%L3 子表4数量层二 3 7" xfId="6440" xr:uid="{00000000-0005-0000-0000-000090060000}"/>
    <cellStyle name="%L3 子表4数量层二 3 8" xfId="6441" xr:uid="{00000000-0005-0000-0000-000091060000}"/>
    <cellStyle name="%L3 子表4数量层二 3 9" xfId="6442" xr:uid="{00000000-0005-0000-0000-000092060000}"/>
    <cellStyle name="%L3 子表4数量层二 30" xfId="6443" xr:uid="{00000000-0005-0000-0000-000093060000}"/>
    <cellStyle name="%L3 子表4数量层二 31" xfId="6444" xr:uid="{00000000-0005-0000-0000-000094060000}"/>
    <cellStyle name="%L3 子表4数量层二 32" xfId="6445" xr:uid="{00000000-0005-0000-0000-000095060000}"/>
    <cellStyle name="%L3 子表4数量层二 33" xfId="6446" xr:uid="{00000000-0005-0000-0000-000096060000}"/>
    <cellStyle name="%L3 子表4数量层二 34" xfId="6447" xr:uid="{00000000-0005-0000-0000-000097060000}"/>
    <cellStyle name="%L3 子表4数量层二 35" xfId="6448" xr:uid="{00000000-0005-0000-0000-000098060000}"/>
    <cellStyle name="%L3 子表4数量层二 36" xfId="6449" xr:uid="{00000000-0005-0000-0000-000099060000}"/>
    <cellStyle name="%L3 子表4数量层二 37" xfId="6450" xr:uid="{00000000-0005-0000-0000-00009A060000}"/>
    <cellStyle name="%L3 子表4数量层二 38" xfId="6451" xr:uid="{00000000-0005-0000-0000-00009B060000}"/>
    <cellStyle name="%L3 子表4数量层二 4" xfId="6452" xr:uid="{00000000-0005-0000-0000-00009C060000}"/>
    <cellStyle name="%L3 子表4数量层二 4 10" xfId="6453" xr:uid="{00000000-0005-0000-0000-00009D060000}"/>
    <cellStyle name="%L3 子表4数量层二 4 11" xfId="6454" xr:uid="{00000000-0005-0000-0000-00009E060000}"/>
    <cellStyle name="%L3 子表4数量层二 4 12" xfId="6455" xr:uid="{00000000-0005-0000-0000-00009F060000}"/>
    <cellStyle name="%L3 子表4数量层二 4 13" xfId="6456" xr:uid="{00000000-0005-0000-0000-0000A0060000}"/>
    <cellStyle name="%L3 子表4数量层二 4 14" xfId="6457" xr:uid="{00000000-0005-0000-0000-0000A1060000}"/>
    <cellStyle name="%L3 子表4数量层二 4 15" xfId="6458" xr:uid="{00000000-0005-0000-0000-0000A2060000}"/>
    <cellStyle name="%L3 子表4数量层二 4 16" xfId="6459" xr:uid="{00000000-0005-0000-0000-0000A3060000}"/>
    <cellStyle name="%L3 子表4数量层二 4 17" xfId="6460" xr:uid="{00000000-0005-0000-0000-0000A4060000}"/>
    <cellStyle name="%L3 子表4数量层二 4 18" xfId="6461" xr:uid="{00000000-0005-0000-0000-0000A5060000}"/>
    <cellStyle name="%L3 子表4数量层二 4 19" xfId="6462" xr:uid="{00000000-0005-0000-0000-0000A6060000}"/>
    <cellStyle name="%L3 子表4数量层二 4 2" xfId="6463" xr:uid="{00000000-0005-0000-0000-0000A7060000}"/>
    <cellStyle name="%L3 子表4数量层二 4 2 2" xfId="6464" xr:uid="{00000000-0005-0000-0000-0000A8060000}"/>
    <cellStyle name="%L3 子表4数量层二 4 2 3" xfId="6465" xr:uid="{00000000-0005-0000-0000-0000A9060000}"/>
    <cellStyle name="%L3 子表4数量层二 4 20" xfId="6466" xr:uid="{00000000-0005-0000-0000-0000AA060000}"/>
    <cellStyle name="%L3 子表4数量层二 4 21" xfId="6467" xr:uid="{00000000-0005-0000-0000-0000AB060000}"/>
    <cellStyle name="%L3 子表4数量层二 4 22" xfId="6468" xr:uid="{00000000-0005-0000-0000-0000AC060000}"/>
    <cellStyle name="%L3 子表4数量层二 4 23" xfId="6469" xr:uid="{00000000-0005-0000-0000-0000AD060000}"/>
    <cellStyle name="%L3 子表4数量层二 4 24" xfId="6470" xr:uid="{00000000-0005-0000-0000-0000AE060000}"/>
    <cellStyle name="%L3 子表4数量层二 4 25" xfId="6471" xr:uid="{00000000-0005-0000-0000-0000AF060000}"/>
    <cellStyle name="%L3 子表4数量层二 4 3" xfId="6472" xr:uid="{00000000-0005-0000-0000-0000B0060000}"/>
    <cellStyle name="%L3 子表4数量层二 4 4" xfId="6473" xr:uid="{00000000-0005-0000-0000-0000B1060000}"/>
    <cellStyle name="%L3 子表4数量层二 4 5" xfId="6474" xr:uid="{00000000-0005-0000-0000-0000B2060000}"/>
    <cellStyle name="%L3 子表4数量层二 4 6" xfId="6475" xr:uid="{00000000-0005-0000-0000-0000B3060000}"/>
    <cellStyle name="%L3 子表4数量层二 4 7" xfId="6476" xr:uid="{00000000-0005-0000-0000-0000B4060000}"/>
    <cellStyle name="%L3 子表4数量层二 4 8" xfId="6477" xr:uid="{00000000-0005-0000-0000-0000B5060000}"/>
    <cellStyle name="%L3 子表4数量层二 4 9" xfId="6478" xr:uid="{00000000-0005-0000-0000-0000B6060000}"/>
    <cellStyle name="%L3 子表4数量层二 5" xfId="6479" xr:uid="{00000000-0005-0000-0000-0000B7060000}"/>
    <cellStyle name="%L3 子表4数量层二 5 2" xfId="6480" xr:uid="{00000000-0005-0000-0000-0000B8060000}"/>
    <cellStyle name="%L3 子表4数量层二 5 2 2" xfId="6481" xr:uid="{00000000-0005-0000-0000-0000B9060000}"/>
    <cellStyle name="%L3 子表4数量层二 5 2 3" xfId="6482" xr:uid="{00000000-0005-0000-0000-0000BA060000}"/>
    <cellStyle name="%L3 子表4数量层二 5 3" xfId="6483" xr:uid="{00000000-0005-0000-0000-0000BB060000}"/>
    <cellStyle name="%L3 子表4数量层二 5 3 2" xfId="6484" xr:uid="{00000000-0005-0000-0000-0000BC060000}"/>
    <cellStyle name="%L3 子表4数量层二 5 3 3" xfId="6485" xr:uid="{00000000-0005-0000-0000-0000BD060000}"/>
    <cellStyle name="%L3 子表4数量层二 5 4" xfId="6486" xr:uid="{00000000-0005-0000-0000-0000BE060000}"/>
    <cellStyle name="%L3 子表4数量层二 5 5" xfId="6487" xr:uid="{00000000-0005-0000-0000-0000BF060000}"/>
    <cellStyle name="%L3 子表4数量层二 6" xfId="6488" xr:uid="{00000000-0005-0000-0000-0000C0060000}"/>
    <cellStyle name="%L3 子表4数量层二 6 2" xfId="6489" xr:uid="{00000000-0005-0000-0000-0000C1060000}"/>
    <cellStyle name="%L3 子表4数量层二 6 2 2" xfId="6490" xr:uid="{00000000-0005-0000-0000-0000C2060000}"/>
    <cellStyle name="%L3 子表4数量层二 6 2 3" xfId="6491" xr:uid="{00000000-0005-0000-0000-0000C3060000}"/>
    <cellStyle name="%L3 子表4数量层二 6 3" xfId="6492" xr:uid="{00000000-0005-0000-0000-0000C4060000}"/>
    <cellStyle name="%L3 子表4数量层二 6 3 2" xfId="6493" xr:uid="{00000000-0005-0000-0000-0000C5060000}"/>
    <cellStyle name="%L3 子表4数量层二 6 3 3" xfId="6494" xr:uid="{00000000-0005-0000-0000-0000C6060000}"/>
    <cellStyle name="%L3 子表4数量层二 6 4" xfId="6495" xr:uid="{00000000-0005-0000-0000-0000C7060000}"/>
    <cellStyle name="%L3 子表4数量层二 6 5" xfId="6496" xr:uid="{00000000-0005-0000-0000-0000C8060000}"/>
    <cellStyle name="%L3 子表4数量层二 7" xfId="6497" xr:uid="{00000000-0005-0000-0000-0000C9060000}"/>
    <cellStyle name="%L3 子表4数量层二 7 2" xfId="6498" xr:uid="{00000000-0005-0000-0000-0000CA060000}"/>
    <cellStyle name="%L3 子表4数量层二 7 3" xfId="6499" xr:uid="{00000000-0005-0000-0000-0000CB060000}"/>
    <cellStyle name="%L3 子表4数量层二 8" xfId="6500" xr:uid="{00000000-0005-0000-0000-0000CC060000}"/>
    <cellStyle name="%L3 子表4数量层二 9" xfId="6501" xr:uid="{00000000-0005-0000-0000-0000CD060000}"/>
    <cellStyle name="%L3 子表5金额层一" xfId="6502" xr:uid="{00000000-0005-0000-0000-0000CE060000}"/>
    <cellStyle name="%L3 子表5金额层一 10" xfId="6503" xr:uid="{00000000-0005-0000-0000-0000CF060000}"/>
    <cellStyle name="%L3 子表5金额层一 11" xfId="6504" xr:uid="{00000000-0005-0000-0000-0000D0060000}"/>
    <cellStyle name="%L3 子表5金额层一 12" xfId="6505" xr:uid="{00000000-0005-0000-0000-0000D1060000}"/>
    <cellStyle name="%L3 子表5金额层一 13" xfId="6506" xr:uid="{00000000-0005-0000-0000-0000D2060000}"/>
    <cellStyle name="%L3 子表5金额层一 14" xfId="6507" xr:uid="{00000000-0005-0000-0000-0000D3060000}"/>
    <cellStyle name="%L3 子表5金额层一 15" xfId="6508" xr:uid="{00000000-0005-0000-0000-0000D4060000}"/>
    <cellStyle name="%L3 子表5金额层一 16" xfId="6509" xr:uid="{00000000-0005-0000-0000-0000D5060000}"/>
    <cellStyle name="%L3 子表5金额层一 17" xfId="6510" xr:uid="{00000000-0005-0000-0000-0000D6060000}"/>
    <cellStyle name="%L3 子表5金额层一 18" xfId="6511" xr:uid="{00000000-0005-0000-0000-0000D7060000}"/>
    <cellStyle name="%L3 子表5金额层一 19" xfId="6512" xr:uid="{00000000-0005-0000-0000-0000D8060000}"/>
    <cellStyle name="%L3 子表5金额层一 2" xfId="6513" xr:uid="{00000000-0005-0000-0000-0000D9060000}"/>
    <cellStyle name="%L3 子表5金额层一 2 10" xfId="6514" xr:uid="{00000000-0005-0000-0000-0000DA060000}"/>
    <cellStyle name="%L3 子表5金额层一 2 11" xfId="6515" xr:uid="{00000000-0005-0000-0000-0000DB060000}"/>
    <cellStyle name="%L3 子表5金额层一 2 12" xfId="6516" xr:uid="{00000000-0005-0000-0000-0000DC060000}"/>
    <cellStyle name="%L3 子表5金额层一 2 13" xfId="6517" xr:uid="{00000000-0005-0000-0000-0000DD060000}"/>
    <cellStyle name="%L3 子表5金额层一 2 14" xfId="6518" xr:uid="{00000000-0005-0000-0000-0000DE060000}"/>
    <cellStyle name="%L3 子表5金额层一 2 15" xfId="6519" xr:uid="{00000000-0005-0000-0000-0000DF060000}"/>
    <cellStyle name="%L3 子表5金额层一 2 16" xfId="6520" xr:uid="{00000000-0005-0000-0000-0000E0060000}"/>
    <cellStyle name="%L3 子表5金额层一 2 17" xfId="6521" xr:uid="{00000000-0005-0000-0000-0000E1060000}"/>
    <cellStyle name="%L3 子表5金额层一 2 18" xfId="6522" xr:uid="{00000000-0005-0000-0000-0000E2060000}"/>
    <cellStyle name="%L3 子表5金额层一 2 19" xfId="6523" xr:uid="{00000000-0005-0000-0000-0000E3060000}"/>
    <cellStyle name="%L3 子表5金额层一 2 2" xfId="6524" xr:uid="{00000000-0005-0000-0000-0000E4060000}"/>
    <cellStyle name="%L3 子表5金额层一 2 2 2" xfId="6525" xr:uid="{00000000-0005-0000-0000-0000E5060000}"/>
    <cellStyle name="%L3 子表5金额层一 2 2 3" xfId="6526" xr:uid="{00000000-0005-0000-0000-0000E6060000}"/>
    <cellStyle name="%L3 子表5金额层一 2 20" xfId="6527" xr:uid="{00000000-0005-0000-0000-0000E7060000}"/>
    <cellStyle name="%L3 子表5金额层一 2 21" xfId="6528" xr:uid="{00000000-0005-0000-0000-0000E8060000}"/>
    <cellStyle name="%L3 子表5金额层一 2 22" xfId="6529" xr:uid="{00000000-0005-0000-0000-0000E9060000}"/>
    <cellStyle name="%L3 子表5金额层一 2 23" xfId="6530" xr:uid="{00000000-0005-0000-0000-0000EA060000}"/>
    <cellStyle name="%L3 子表5金额层一 2 24" xfId="6531" xr:uid="{00000000-0005-0000-0000-0000EB060000}"/>
    <cellStyle name="%L3 子表5金额层一 2 25" xfId="6532" xr:uid="{00000000-0005-0000-0000-0000EC060000}"/>
    <cellStyle name="%L3 子表5金额层一 2 3" xfId="6533" xr:uid="{00000000-0005-0000-0000-0000ED060000}"/>
    <cellStyle name="%L3 子表5金额层一 2 4" xfId="6534" xr:uid="{00000000-0005-0000-0000-0000EE060000}"/>
    <cellStyle name="%L3 子表5金额层一 2 5" xfId="6535" xr:uid="{00000000-0005-0000-0000-0000EF060000}"/>
    <cellStyle name="%L3 子表5金额层一 2 6" xfId="6536" xr:uid="{00000000-0005-0000-0000-0000F0060000}"/>
    <cellStyle name="%L3 子表5金额层一 2 7" xfId="6537" xr:uid="{00000000-0005-0000-0000-0000F1060000}"/>
    <cellStyle name="%L3 子表5金额层一 2 8" xfId="6538" xr:uid="{00000000-0005-0000-0000-0000F2060000}"/>
    <cellStyle name="%L3 子表5金额层一 2 9" xfId="6539" xr:uid="{00000000-0005-0000-0000-0000F3060000}"/>
    <cellStyle name="%L3 子表5金额层一 20" xfId="6540" xr:uid="{00000000-0005-0000-0000-0000F4060000}"/>
    <cellStyle name="%L3 子表5金额层一 21" xfId="6541" xr:uid="{00000000-0005-0000-0000-0000F5060000}"/>
    <cellStyle name="%L3 子表5金额层一 22" xfId="6542" xr:uid="{00000000-0005-0000-0000-0000F6060000}"/>
    <cellStyle name="%L3 子表5金额层一 23" xfId="6543" xr:uid="{00000000-0005-0000-0000-0000F7060000}"/>
    <cellStyle name="%L3 子表5金额层一 24" xfId="6544" xr:uid="{00000000-0005-0000-0000-0000F8060000}"/>
    <cellStyle name="%L3 子表5金额层一 25" xfId="6545" xr:uid="{00000000-0005-0000-0000-0000F9060000}"/>
    <cellStyle name="%L3 子表5金额层一 26" xfId="6546" xr:uid="{00000000-0005-0000-0000-0000FA060000}"/>
    <cellStyle name="%L3 子表5金额层一 27" xfId="6547" xr:uid="{00000000-0005-0000-0000-0000FB060000}"/>
    <cellStyle name="%L3 子表5金额层一 28" xfId="6548" xr:uid="{00000000-0005-0000-0000-0000FC060000}"/>
    <cellStyle name="%L3 子表5金额层一 29" xfId="6549" xr:uid="{00000000-0005-0000-0000-0000FD060000}"/>
    <cellStyle name="%L3 子表5金额层一 3" xfId="6550" xr:uid="{00000000-0005-0000-0000-0000FE060000}"/>
    <cellStyle name="%L3 子表5金额层一 3 2" xfId="6551" xr:uid="{00000000-0005-0000-0000-0000FF060000}"/>
    <cellStyle name="%L3 子表5金额层一 3 2 2" xfId="6552" xr:uid="{00000000-0005-0000-0000-000000070000}"/>
    <cellStyle name="%L3 子表5金额层一 3 2 3" xfId="6553" xr:uid="{00000000-0005-0000-0000-000001070000}"/>
    <cellStyle name="%L3 子表5金额层一 3 3" xfId="6554" xr:uid="{00000000-0005-0000-0000-000002070000}"/>
    <cellStyle name="%L3 子表5金额层一 3 3 2" xfId="6555" xr:uid="{00000000-0005-0000-0000-000003070000}"/>
    <cellStyle name="%L3 子表5金额层一 3 3 3" xfId="6556" xr:uid="{00000000-0005-0000-0000-000004070000}"/>
    <cellStyle name="%L3 子表5金额层一 3 4" xfId="6557" xr:uid="{00000000-0005-0000-0000-000005070000}"/>
    <cellStyle name="%L3 子表5金额层一 3 5" xfId="6558" xr:uid="{00000000-0005-0000-0000-000006070000}"/>
    <cellStyle name="%L3 子表5金额层一 30" xfId="6559" xr:uid="{00000000-0005-0000-0000-000007070000}"/>
    <cellStyle name="%L3 子表5金额层一 31" xfId="6560" xr:uid="{00000000-0005-0000-0000-000008070000}"/>
    <cellStyle name="%L3 子表5金额层一 32" xfId="6561" xr:uid="{00000000-0005-0000-0000-000009070000}"/>
    <cellStyle name="%L3 子表5金额层一 33" xfId="6562" xr:uid="{00000000-0005-0000-0000-00000A070000}"/>
    <cellStyle name="%L3 子表5金额层一 34" xfId="6563" xr:uid="{00000000-0005-0000-0000-00000B070000}"/>
    <cellStyle name="%L3 子表5金额层一 35" xfId="6564" xr:uid="{00000000-0005-0000-0000-00000C070000}"/>
    <cellStyle name="%L3 子表5金额层一 36" xfId="6565" xr:uid="{00000000-0005-0000-0000-00000D070000}"/>
    <cellStyle name="%L3 子表5金额层一 4" xfId="6566" xr:uid="{00000000-0005-0000-0000-00000E070000}"/>
    <cellStyle name="%L3 子表5金额层一 4 2" xfId="6567" xr:uid="{00000000-0005-0000-0000-00000F070000}"/>
    <cellStyle name="%L3 子表5金额层一 4 2 2" xfId="6568" xr:uid="{00000000-0005-0000-0000-000010070000}"/>
    <cellStyle name="%L3 子表5金额层一 4 2 3" xfId="6569" xr:uid="{00000000-0005-0000-0000-000011070000}"/>
    <cellStyle name="%L3 子表5金额层一 4 3" xfId="6570" xr:uid="{00000000-0005-0000-0000-000012070000}"/>
    <cellStyle name="%L3 子表5金额层一 4 3 2" xfId="6571" xr:uid="{00000000-0005-0000-0000-000013070000}"/>
    <cellStyle name="%L3 子表5金额层一 4 3 3" xfId="6572" xr:uid="{00000000-0005-0000-0000-000014070000}"/>
    <cellStyle name="%L3 子表5金额层一 4 4" xfId="6573" xr:uid="{00000000-0005-0000-0000-000015070000}"/>
    <cellStyle name="%L3 子表5金额层一 4 5" xfId="6574" xr:uid="{00000000-0005-0000-0000-000016070000}"/>
    <cellStyle name="%L3 子表5金额层一 5" xfId="6575" xr:uid="{00000000-0005-0000-0000-000017070000}"/>
    <cellStyle name="%L3 子表5金额层一 5 2" xfId="6576" xr:uid="{00000000-0005-0000-0000-000018070000}"/>
    <cellStyle name="%L3 子表5金额层一 5 3" xfId="6577" xr:uid="{00000000-0005-0000-0000-000019070000}"/>
    <cellStyle name="%L3 子表5金额层一 6" xfId="6578" xr:uid="{00000000-0005-0000-0000-00001A070000}"/>
    <cellStyle name="%L3 子表5金额层一 7" xfId="6579" xr:uid="{00000000-0005-0000-0000-00001B070000}"/>
    <cellStyle name="%L3 子表5金额层一 8" xfId="6580" xr:uid="{00000000-0005-0000-0000-00001C070000}"/>
    <cellStyle name="%L3 子表5金额层一 9" xfId="6581" xr:uid="{00000000-0005-0000-0000-00001D070000}"/>
    <cellStyle name="%L3 子表5金额层二" xfId="6582" xr:uid="{00000000-0005-0000-0000-00001E070000}"/>
    <cellStyle name="%L3 子表5金额层二 10" xfId="6583" xr:uid="{00000000-0005-0000-0000-00001F070000}"/>
    <cellStyle name="%L3 子表5金额层二 11" xfId="6584" xr:uid="{00000000-0005-0000-0000-000020070000}"/>
    <cellStyle name="%L3 子表5金额层二 12" xfId="6585" xr:uid="{00000000-0005-0000-0000-000021070000}"/>
    <cellStyle name="%L3 子表5金额层二 13" xfId="6586" xr:uid="{00000000-0005-0000-0000-000022070000}"/>
    <cellStyle name="%L3 子表5金额层二 14" xfId="6587" xr:uid="{00000000-0005-0000-0000-000023070000}"/>
    <cellStyle name="%L3 子表5金额层二 15" xfId="6588" xr:uid="{00000000-0005-0000-0000-000024070000}"/>
    <cellStyle name="%L3 子表5金额层二 16" xfId="6589" xr:uid="{00000000-0005-0000-0000-000025070000}"/>
    <cellStyle name="%L3 子表5金额层二 17" xfId="6590" xr:uid="{00000000-0005-0000-0000-000026070000}"/>
    <cellStyle name="%L3 子表5金额层二 18" xfId="6591" xr:uid="{00000000-0005-0000-0000-000027070000}"/>
    <cellStyle name="%L3 子表5金额层二 19" xfId="6592" xr:uid="{00000000-0005-0000-0000-000028070000}"/>
    <cellStyle name="%L3 子表5金额层二 2" xfId="6593" xr:uid="{00000000-0005-0000-0000-000029070000}"/>
    <cellStyle name="%L3 子表5金额层二 2 10" xfId="6594" xr:uid="{00000000-0005-0000-0000-00002A070000}"/>
    <cellStyle name="%L3 子表5金额层二 2 11" xfId="6595" xr:uid="{00000000-0005-0000-0000-00002B070000}"/>
    <cellStyle name="%L3 子表5金额层二 2 12" xfId="6596" xr:uid="{00000000-0005-0000-0000-00002C070000}"/>
    <cellStyle name="%L3 子表5金额层二 2 13" xfId="6597" xr:uid="{00000000-0005-0000-0000-00002D070000}"/>
    <cellStyle name="%L3 子表5金额层二 2 14" xfId="6598" xr:uid="{00000000-0005-0000-0000-00002E070000}"/>
    <cellStyle name="%L3 子表5金额层二 2 15" xfId="6599" xr:uid="{00000000-0005-0000-0000-00002F070000}"/>
    <cellStyle name="%L3 子表5金额层二 2 16" xfId="6600" xr:uid="{00000000-0005-0000-0000-000030070000}"/>
    <cellStyle name="%L3 子表5金额层二 2 17" xfId="6601" xr:uid="{00000000-0005-0000-0000-000031070000}"/>
    <cellStyle name="%L3 子表5金额层二 2 18" xfId="6602" xr:uid="{00000000-0005-0000-0000-000032070000}"/>
    <cellStyle name="%L3 子表5金额层二 2 19" xfId="6603" xr:uid="{00000000-0005-0000-0000-000033070000}"/>
    <cellStyle name="%L3 子表5金额层二 2 2" xfId="6604" xr:uid="{00000000-0005-0000-0000-000034070000}"/>
    <cellStyle name="%L3 子表5金额层二 2 2 2" xfId="6605" xr:uid="{00000000-0005-0000-0000-000035070000}"/>
    <cellStyle name="%L3 子表5金额层二 2 2 3" xfId="6606" xr:uid="{00000000-0005-0000-0000-000036070000}"/>
    <cellStyle name="%L3 子表5金额层二 2 20" xfId="6607" xr:uid="{00000000-0005-0000-0000-000037070000}"/>
    <cellStyle name="%L3 子表5金额层二 2 21" xfId="6608" xr:uid="{00000000-0005-0000-0000-000038070000}"/>
    <cellStyle name="%L3 子表5金额层二 2 22" xfId="6609" xr:uid="{00000000-0005-0000-0000-000039070000}"/>
    <cellStyle name="%L3 子表5金额层二 2 23" xfId="6610" xr:uid="{00000000-0005-0000-0000-00003A070000}"/>
    <cellStyle name="%L3 子表5金额层二 2 24" xfId="6611" xr:uid="{00000000-0005-0000-0000-00003B070000}"/>
    <cellStyle name="%L3 子表5金额层二 2 25" xfId="6612" xr:uid="{00000000-0005-0000-0000-00003C070000}"/>
    <cellStyle name="%L3 子表5金额层二 2 3" xfId="6613" xr:uid="{00000000-0005-0000-0000-00003D070000}"/>
    <cellStyle name="%L3 子表5金额层二 2 4" xfId="6614" xr:uid="{00000000-0005-0000-0000-00003E070000}"/>
    <cellStyle name="%L3 子表5金额层二 2 5" xfId="6615" xr:uid="{00000000-0005-0000-0000-00003F070000}"/>
    <cellStyle name="%L3 子表5金额层二 2 6" xfId="6616" xr:uid="{00000000-0005-0000-0000-000040070000}"/>
    <cellStyle name="%L3 子表5金额层二 2 7" xfId="6617" xr:uid="{00000000-0005-0000-0000-000041070000}"/>
    <cellStyle name="%L3 子表5金额层二 2 8" xfId="6618" xr:uid="{00000000-0005-0000-0000-000042070000}"/>
    <cellStyle name="%L3 子表5金额层二 2 9" xfId="6619" xr:uid="{00000000-0005-0000-0000-000043070000}"/>
    <cellStyle name="%L3 子表5金额层二 20" xfId="6620" xr:uid="{00000000-0005-0000-0000-000044070000}"/>
    <cellStyle name="%L3 子表5金额层二 21" xfId="6621" xr:uid="{00000000-0005-0000-0000-000045070000}"/>
    <cellStyle name="%L3 子表5金额层二 22" xfId="6622" xr:uid="{00000000-0005-0000-0000-000046070000}"/>
    <cellStyle name="%L3 子表5金额层二 23" xfId="6623" xr:uid="{00000000-0005-0000-0000-000047070000}"/>
    <cellStyle name="%L3 子表5金额层二 24" xfId="6624" xr:uid="{00000000-0005-0000-0000-000048070000}"/>
    <cellStyle name="%L3 子表5金额层二 25" xfId="6625" xr:uid="{00000000-0005-0000-0000-000049070000}"/>
    <cellStyle name="%L3 子表5金额层二 26" xfId="6626" xr:uid="{00000000-0005-0000-0000-00004A070000}"/>
    <cellStyle name="%L3 子表5金额层二 27" xfId="6627" xr:uid="{00000000-0005-0000-0000-00004B070000}"/>
    <cellStyle name="%L3 子表5金额层二 28" xfId="6628" xr:uid="{00000000-0005-0000-0000-00004C070000}"/>
    <cellStyle name="%L3 子表5金额层二 29" xfId="6629" xr:uid="{00000000-0005-0000-0000-00004D070000}"/>
    <cellStyle name="%L3 子表5金额层二 3" xfId="6630" xr:uid="{00000000-0005-0000-0000-00004E070000}"/>
    <cellStyle name="%L3 子表5金额层二 3 2" xfId="6631" xr:uid="{00000000-0005-0000-0000-00004F070000}"/>
    <cellStyle name="%L3 子表5金额层二 3 2 2" xfId="6632" xr:uid="{00000000-0005-0000-0000-000050070000}"/>
    <cellStyle name="%L3 子表5金额层二 3 2 3" xfId="6633" xr:uid="{00000000-0005-0000-0000-000051070000}"/>
    <cellStyle name="%L3 子表5金额层二 3 3" xfId="6634" xr:uid="{00000000-0005-0000-0000-000052070000}"/>
    <cellStyle name="%L3 子表5金额层二 3 3 2" xfId="6635" xr:uid="{00000000-0005-0000-0000-000053070000}"/>
    <cellStyle name="%L3 子表5金额层二 3 3 3" xfId="6636" xr:uid="{00000000-0005-0000-0000-000054070000}"/>
    <cellStyle name="%L3 子表5金额层二 3 4" xfId="6637" xr:uid="{00000000-0005-0000-0000-000055070000}"/>
    <cellStyle name="%L3 子表5金额层二 3 5" xfId="6638" xr:uid="{00000000-0005-0000-0000-000056070000}"/>
    <cellStyle name="%L3 子表5金额层二 30" xfId="6639" xr:uid="{00000000-0005-0000-0000-000057070000}"/>
    <cellStyle name="%L3 子表5金额层二 31" xfId="6640" xr:uid="{00000000-0005-0000-0000-000058070000}"/>
    <cellStyle name="%L3 子表5金额层二 32" xfId="6641" xr:uid="{00000000-0005-0000-0000-000059070000}"/>
    <cellStyle name="%L3 子表5金额层二 33" xfId="6642" xr:uid="{00000000-0005-0000-0000-00005A070000}"/>
    <cellStyle name="%L3 子表5金额层二 34" xfId="6643" xr:uid="{00000000-0005-0000-0000-00005B070000}"/>
    <cellStyle name="%L3 子表5金额层二 35" xfId="6644" xr:uid="{00000000-0005-0000-0000-00005C070000}"/>
    <cellStyle name="%L3 子表5金额层二 36" xfId="6645" xr:uid="{00000000-0005-0000-0000-00005D070000}"/>
    <cellStyle name="%L3 子表5金额层二 4" xfId="6646" xr:uid="{00000000-0005-0000-0000-00005E070000}"/>
    <cellStyle name="%L3 子表5金额层二 4 2" xfId="6647" xr:uid="{00000000-0005-0000-0000-00005F070000}"/>
    <cellStyle name="%L3 子表5金额层二 4 2 2" xfId="6648" xr:uid="{00000000-0005-0000-0000-000060070000}"/>
    <cellStyle name="%L3 子表5金额层二 4 2 3" xfId="6649" xr:uid="{00000000-0005-0000-0000-000061070000}"/>
    <cellStyle name="%L3 子表5金额层二 4 3" xfId="6650" xr:uid="{00000000-0005-0000-0000-000062070000}"/>
    <cellStyle name="%L3 子表5金额层二 4 3 2" xfId="6651" xr:uid="{00000000-0005-0000-0000-000063070000}"/>
    <cellStyle name="%L3 子表5金额层二 4 3 3" xfId="6652" xr:uid="{00000000-0005-0000-0000-000064070000}"/>
    <cellStyle name="%L3 子表5金额层二 4 4" xfId="6653" xr:uid="{00000000-0005-0000-0000-000065070000}"/>
    <cellStyle name="%L3 子表5金额层二 4 5" xfId="6654" xr:uid="{00000000-0005-0000-0000-000066070000}"/>
    <cellStyle name="%L3 子表5金额层二 5" xfId="6655" xr:uid="{00000000-0005-0000-0000-000067070000}"/>
    <cellStyle name="%L3 子表5金额层二 5 2" xfId="6656" xr:uid="{00000000-0005-0000-0000-000068070000}"/>
    <cellStyle name="%L3 子表5金额层二 5 3" xfId="6657" xr:uid="{00000000-0005-0000-0000-000069070000}"/>
    <cellStyle name="%L3 子表5金额层二 6" xfId="6658" xr:uid="{00000000-0005-0000-0000-00006A070000}"/>
    <cellStyle name="%L3 子表5金额层二 7" xfId="6659" xr:uid="{00000000-0005-0000-0000-00006B070000}"/>
    <cellStyle name="%L3 子表5金额层二 8" xfId="6660" xr:uid="{00000000-0005-0000-0000-00006C070000}"/>
    <cellStyle name="%L3 子表5金额层二 9" xfId="6661" xr:uid="{00000000-0005-0000-0000-00006D070000}"/>
    <cellStyle name="%L3 子表6汇总金额" xfId="6662" xr:uid="{00000000-0005-0000-0000-00006E070000}"/>
    <cellStyle name="%L3 子表6汇总金额 10" xfId="6663" xr:uid="{00000000-0005-0000-0000-00006F070000}"/>
    <cellStyle name="%L3 子表6汇总金额 11" xfId="6664" xr:uid="{00000000-0005-0000-0000-000070070000}"/>
    <cellStyle name="%L3 子表6汇总金额 12" xfId="6665" xr:uid="{00000000-0005-0000-0000-000071070000}"/>
    <cellStyle name="%L3 子表6汇总金额 13" xfId="6666" xr:uid="{00000000-0005-0000-0000-000072070000}"/>
    <cellStyle name="%L3 子表6汇总金额 14" xfId="6667" xr:uid="{00000000-0005-0000-0000-000073070000}"/>
    <cellStyle name="%L3 子表6汇总金额 15" xfId="6668" xr:uid="{00000000-0005-0000-0000-000074070000}"/>
    <cellStyle name="%L3 子表6汇总金额 16" xfId="6669" xr:uid="{00000000-0005-0000-0000-000075070000}"/>
    <cellStyle name="%L3 子表6汇总金额 17" xfId="6670" xr:uid="{00000000-0005-0000-0000-000076070000}"/>
    <cellStyle name="%L3 子表6汇总金额 18" xfId="6671" xr:uid="{00000000-0005-0000-0000-000077070000}"/>
    <cellStyle name="%L3 子表6汇总金额 19" xfId="6672" xr:uid="{00000000-0005-0000-0000-000078070000}"/>
    <cellStyle name="%L3 子表6汇总金额 2" xfId="6673" xr:uid="{00000000-0005-0000-0000-000079070000}"/>
    <cellStyle name="%L3 子表6汇总金额 2 10" xfId="6674" xr:uid="{00000000-0005-0000-0000-00007A070000}"/>
    <cellStyle name="%L3 子表6汇总金额 2 11" xfId="6675" xr:uid="{00000000-0005-0000-0000-00007B070000}"/>
    <cellStyle name="%L3 子表6汇总金额 2 12" xfId="6676" xr:uid="{00000000-0005-0000-0000-00007C070000}"/>
    <cellStyle name="%L3 子表6汇总金额 2 13" xfId="6677" xr:uid="{00000000-0005-0000-0000-00007D070000}"/>
    <cellStyle name="%L3 子表6汇总金额 2 14" xfId="6678" xr:uid="{00000000-0005-0000-0000-00007E070000}"/>
    <cellStyle name="%L3 子表6汇总金额 2 15" xfId="6679" xr:uid="{00000000-0005-0000-0000-00007F070000}"/>
    <cellStyle name="%L3 子表6汇总金额 2 16" xfId="6680" xr:uid="{00000000-0005-0000-0000-000080070000}"/>
    <cellStyle name="%L3 子表6汇总金额 2 17" xfId="6681" xr:uid="{00000000-0005-0000-0000-000081070000}"/>
    <cellStyle name="%L3 子表6汇总金额 2 18" xfId="6682" xr:uid="{00000000-0005-0000-0000-000082070000}"/>
    <cellStyle name="%L3 子表6汇总金额 2 19" xfId="6683" xr:uid="{00000000-0005-0000-0000-000083070000}"/>
    <cellStyle name="%L3 子表6汇总金额 2 2" xfId="6684" xr:uid="{00000000-0005-0000-0000-000084070000}"/>
    <cellStyle name="%L3 子表6汇总金额 2 2 2" xfId="6685" xr:uid="{00000000-0005-0000-0000-000085070000}"/>
    <cellStyle name="%L3 子表6汇总金额 2 2 3" xfId="6686" xr:uid="{00000000-0005-0000-0000-000086070000}"/>
    <cellStyle name="%L3 子表6汇总金额 2 20" xfId="6687" xr:uid="{00000000-0005-0000-0000-000087070000}"/>
    <cellStyle name="%L3 子表6汇总金额 2 21" xfId="6688" xr:uid="{00000000-0005-0000-0000-000088070000}"/>
    <cellStyle name="%L3 子表6汇总金额 2 22" xfId="6689" xr:uid="{00000000-0005-0000-0000-000089070000}"/>
    <cellStyle name="%L3 子表6汇总金额 2 23" xfId="6690" xr:uid="{00000000-0005-0000-0000-00008A070000}"/>
    <cellStyle name="%L3 子表6汇总金额 2 24" xfId="6691" xr:uid="{00000000-0005-0000-0000-00008B070000}"/>
    <cellStyle name="%L3 子表6汇总金额 2 25" xfId="6692" xr:uid="{00000000-0005-0000-0000-00008C070000}"/>
    <cellStyle name="%L3 子表6汇总金额 2 3" xfId="6693" xr:uid="{00000000-0005-0000-0000-00008D070000}"/>
    <cellStyle name="%L3 子表6汇总金额 2 4" xfId="6694" xr:uid="{00000000-0005-0000-0000-00008E070000}"/>
    <cellStyle name="%L3 子表6汇总金额 2 5" xfId="6695" xr:uid="{00000000-0005-0000-0000-00008F070000}"/>
    <cellStyle name="%L3 子表6汇总金额 2 6" xfId="6696" xr:uid="{00000000-0005-0000-0000-000090070000}"/>
    <cellStyle name="%L3 子表6汇总金额 2 7" xfId="6697" xr:uid="{00000000-0005-0000-0000-000091070000}"/>
    <cellStyle name="%L3 子表6汇总金额 2 8" xfId="6698" xr:uid="{00000000-0005-0000-0000-000092070000}"/>
    <cellStyle name="%L3 子表6汇总金额 2 9" xfId="6699" xr:uid="{00000000-0005-0000-0000-000093070000}"/>
    <cellStyle name="%L3 子表6汇总金额 20" xfId="6700" xr:uid="{00000000-0005-0000-0000-000094070000}"/>
    <cellStyle name="%L3 子表6汇总金额 21" xfId="6701" xr:uid="{00000000-0005-0000-0000-000095070000}"/>
    <cellStyle name="%L3 子表6汇总金额 22" xfId="6702" xr:uid="{00000000-0005-0000-0000-000096070000}"/>
    <cellStyle name="%L3 子表6汇总金额 23" xfId="6703" xr:uid="{00000000-0005-0000-0000-000097070000}"/>
    <cellStyle name="%L3 子表6汇总金额 24" xfId="6704" xr:uid="{00000000-0005-0000-0000-000098070000}"/>
    <cellStyle name="%L3 子表6汇总金额 25" xfId="6705" xr:uid="{00000000-0005-0000-0000-000099070000}"/>
    <cellStyle name="%L3 子表6汇总金额 26" xfId="6706" xr:uid="{00000000-0005-0000-0000-00009A070000}"/>
    <cellStyle name="%L3 子表6汇总金额 27" xfId="6707" xr:uid="{00000000-0005-0000-0000-00009B070000}"/>
    <cellStyle name="%L3 子表6汇总金额 28" xfId="6708" xr:uid="{00000000-0005-0000-0000-00009C070000}"/>
    <cellStyle name="%L3 子表6汇总金额 29" xfId="6709" xr:uid="{00000000-0005-0000-0000-00009D070000}"/>
    <cellStyle name="%L3 子表6汇总金额 3" xfId="6710" xr:uid="{00000000-0005-0000-0000-00009E070000}"/>
    <cellStyle name="%L3 子表6汇总金额 3 2" xfId="6711" xr:uid="{00000000-0005-0000-0000-00009F070000}"/>
    <cellStyle name="%L3 子表6汇总金额 3 2 2" xfId="6712" xr:uid="{00000000-0005-0000-0000-0000A0070000}"/>
    <cellStyle name="%L3 子表6汇总金额 3 2 3" xfId="6713" xr:uid="{00000000-0005-0000-0000-0000A1070000}"/>
    <cellStyle name="%L3 子表6汇总金额 3 3" xfId="6714" xr:uid="{00000000-0005-0000-0000-0000A2070000}"/>
    <cellStyle name="%L3 子表6汇总金额 3 3 2" xfId="6715" xr:uid="{00000000-0005-0000-0000-0000A3070000}"/>
    <cellStyle name="%L3 子表6汇总金额 3 3 3" xfId="6716" xr:uid="{00000000-0005-0000-0000-0000A4070000}"/>
    <cellStyle name="%L3 子表6汇总金额 3 4" xfId="6717" xr:uid="{00000000-0005-0000-0000-0000A5070000}"/>
    <cellStyle name="%L3 子表6汇总金额 3 5" xfId="6718" xr:uid="{00000000-0005-0000-0000-0000A6070000}"/>
    <cellStyle name="%L3 子表6汇总金额 30" xfId="6719" xr:uid="{00000000-0005-0000-0000-0000A7070000}"/>
    <cellStyle name="%L3 子表6汇总金额 31" xfId="6720" xr:uid="{00000000-0005-0000-0000-0000A8070000}"/>
    <cellStyle name="%L3 子表6汇总金额 32" xfId="6721" xr:uid="{00000000-0005-0000-0000-0000A9070000}"/>
    <cellStyle name="%L3 子表6汇总金额 33" xfId="6722" xr:uid="{00000000-0005-0000-0000-0000AA070000}"/>
    <cellStyle name="%L3 子表6汇总金额 34" xfId="6723" xr:uid="{00000000-0005-0000-0000-0000AB070000}"/>
    <cellStyle name="%L3 子表6汇总金额 35" xfId="6724" xr:uid="{00000000-0005-0000-0000-0000AC070000}"/>
    <cellStyle name="%L3 子表6汇总金额 36" xfId="6725" xr:uid="{00000000-0005-0000-0000-0000AD070000}"/>
    <cellStyle name="%L3 子表6汇总金额 4" xfId="6726" xr:uid="{00000000-0005-0000-0000-0000AE070000}"/>
    <cellStyle name="%L3 子表6汇总金额 4 2" xfId="6727" xr:uid="{00000000-0005-0000-0000-0000AF070000}"/>
    <cellStyle name="%L3 子表6汇总金额 4 2 2" xfId="6728" xr:uid="{00000000-0005-0000-0000-0000B0070000}"/>
    <cellStyle name="%L3 子表6汇总金额 4 2 3" xfId="6729" xr:uid="{00000000-0005-0000-0000-0000B1070000}"/>
    <cellStyle name="%L3 子表6汇总金额 4 3" xfId="6730" xr:uid="{00000000-0005-0000-0000-0000B2070000}"/>
    <cellStyle name="%L3 子表6汇总金额 4 3 2" xfId="6731" xr:uid="{00000000-0005-0000-0000-0000B3070000}"/>
    <cellStyle name="%L3 子表6汇总金额 4 3 3" xfId="6732" xr:uid="{00000000-0005-0000-0000-0000B4070000}"/>
    <cellStyle name="%L3 子表6汇总金额 4 4" xfId="6733" xr:uid="{00000000-0005-0000-0000-0000B5070000}"/>
    <cellStyle name="%L3 子表6汇总金额 4 5" xfId="6734" xr:uid="{00000000-0005-0000-0000-0000B6070000}"/>
    <cellStyle name="%L3 子表6汇总金额 5" xfId="6735" xr:uid="{00000000-0005-0000-0000-0000B7070000}"/>
    <cellStyle name="%L3 子表6汇总金额 5 2" xfId="6736" xr:uid="{00000000-0005-0000-0000-0000B8070000}"/>
    <cellStyle name="%L3 子表6汇总金额 5 3" xfId="6737" xr:uid="{00000000-0005-0000-0000-0000B9070000}"/>
    <cellStyle name="%L3 子表6汇总金额 6" xfId="6738" xr:uid="{00000000-0005-0000-0000-0000BA070000}"/>
    <cellStyle name="%L3 子表6汇总金额 7" xfId="6739" xr:uid="{00000000-0005-0000-0000-0000BB070000}"/>
    <cellStyle name="%L3 子表6汇总金额 8" xfId="6740" xr:uid="{00000000-0005-0000-0000-0000BC070000}"/>
    <cellStyle name="%L3 子表6汇总金额 9" xfId="6741" xr:uid="{00000000-0005-0000-0000-0000BD070000}"/>
    <cellStyle name=",000" xfId="4671" xr:uid="{00000000-0005-0000-0000-0000BE070000}"/>
    <cellStyle name="?_x0001__x0001_ ?§?Ð_x0002_????g_x0017_??f_x0006__x0010_?????ÿÿÿÿÿÿÿÿÿÿÿÿÿÿÿ" xfId="4672" xr:uid="{00000000-0005-0000-0000-0000BF070000}"/>
    <cellStyle name="? 2" xfId="4673" xr:uid="{00000000-0005-0000-0000-0000C0070000}"/>
    <cellStyle name="? 3" xfId="4674" xr:uid="{00000000-0005-0000-0000-0000C1070000}"/>
    <cellStyle name="? 4" xfId="4675" xr:uid="{00000000-0005-0000-0000-0000C2070000}"/>
    <cellStyle name="? 5" xfId="4676" xr:uid="{00000000-0005-0000-0000-0000C3070000}"/>
    <cellStyle name="?? 1" xfId="4683" xr:uid="{00000000-0005-0000-0000-0000C4070000}"/>
    <cellStyle name="?? 1 2" xfId="4684" xr:uid="{00000000-0005-0000-0000-0000C5070000}"/>
    <cellStyle name="?? 1 3" xfId="4685" xr:uid="{00000000-0005-0000-0000-0000C6070000}"/>
    <cellStyle name="?? 1 4" xfId="4686" xr:uid="{00000000-0005-0000-0000-0000C7070000}"/>
    <cellStyle name="?? 1 5" xfId="4687" xr:uid="{00000000-0005-0000-0000-0000C8070000}"/>
    <cellStyle name="?? 1_Discounts(Ran)" xfId="4688" xr:uid="{00000000-0005-0000-0000-0000C9070000}"/>
    <cellStyle name="?? 10" xfId="4689" xr:uid="{00000000-0005-0000-0000-0000CA070000}"/>
    <cellStyle name="?? 11" xfId="4690" xr:uid="{00000000-0005-0000-0000-0000CB070000}"/>
    <cellStyle name="?? 12" xfId="4691" xr:uid="{00000000-0005-0000-0000-0000CC070000}"/>
    <cellStyle name="?? 2" xfId="4692" xr:uid="{00000000-0005-0000-0000-0000CD070000}"/>
    <cellStyle name="?? 2 2" xfId="4693" xr:uid="{00000000-0005-0000-0000-0000CE070000}"/>
    <cellStyle name="?? 2 3" xfId="4694" xr:uid="{00000000-0005-0000-0000-0000CF070000}"/>
    <cellStyle name="?? 2 4" xfId="4695" xr:uid="{00000000-0005-0000-0000-0000D0070000}"/>
    <cellStyle name="?? 2 5" xfId="4696" xr:uid="{00000000-0005-0000-0000-0000D1070000}"/>
    <cellStyle name="?? 2_Discounts(Ran)" xfId="4697" xr:uid="{00000000-0005-0000-0000-0000D2070000}"/>
    <cellStyle name="?? 3" xfId="4698" xr:uid="{00000000-0005-0000-0000-0000D3070000}"/>
    <cellStyle name="?? 3 2" xfId="4699" xr:uid="{00000000-0005-0000-0000-0000D4070000}"/>
    <cellStyle name="?? 3 3" xfId="4700" xr:uid="{00000000-0005-0000-0000-0000D5070000}"/>
    <cellStyle name="?? 3 4" xfId="4701" xr:uid="{00000000-0005-0000-0000-0000D6070000}"/>
    <cellStyle name="?? 3 5" xfId="4702" xr:uid="{00000000-0005-0000-0000-0000D7070000}"/>
    <cellStyle name="?? 3_Discounts(Core)" xfId="4703" xr:uid="{00000000-0005-0000-0000-0000D8070000}"/>
    <cellStyle name="?? 4" xfId="4704" xr:uid="{00000000-0005-0000-0000-0000D9070000}"/>
    <cellStyle name="?? 4 2" xfId="4705" xr:uid="{00000000-0005-0000-0000-0000DA070000}"/>
    <cellStyle name="?? 4 3" xfId="4706" xr:uid="{00000000-0005-0000-0000-0000DB070000}"/>
    <cellStyle name="?? 4 4" xfId="4707" xr:uid="{00000000-0005-0000-0000-0000DC070000}"/>
    <cellStyle name="?? 4 5" xfId="4708" xr:uid="{00000000-0005-0000-0000-0000DD070000}"/>
    <cellStyle name="?? 5" xfId="4709" xr:uid="{00000000-0005-0000-0000-0000DE070000}"/>
    <cellStyle name="?? 6" xfId="4710" xr:uid="{00000000-0005-0000-0000-0000DF070000}"/>
    <cellStyle name="?? 7" xfId="4711" xr:uid="{00000000-0005-0000-0000-0000E0070000}"/>
    <cellStyle name="?? 8" xfId="4712" xr:uid="{00000000-0005-0000-0000-0000E1070000}"/>
    <cellStyle name="?? 9" xfId="4713" xr:uid="{00000000-0005-0000-0000-0000E2070000}"/>
    <cellStyle name="??&amp;O?&amp;H?_x0008__x000f__x0007_?_x0007__x0001__x0001_" xfId="4768" xr:uid="{00000000-0005-0000-0000-0000E3070000}"/>
    <cellStyle name="??&amp;O?&amp;H?_x0008__x000f__x0007_?_x0007__x0001__x0001_ 2" xfId="4769" xr:uid="{00000000-0005-0000-0000-0000E4070000}"/>
    <cellStyle name="??&amp;O?&amp;H?_x0008__x000f__x0007_?_x0007__x0001__x0001_ 2 2" xfId="4770" xr:uid="{00000000-0005-0000-0000-0000E5070000}"/>
    <cellStyle name="??&amp;O?&amp;H?_x0008__x000f__x0007_?_x0007__x0001__x0001_ 3" xfId="4771" xr:uid="{00000000-0005-0000-0000-0000E6070000}"/>
    <cellStyle name="??&amp;O?&amp;H?_x0008_??_x0007__x0001__x0001_" xfId="4772" xr:uid="{00000000-0005-0000-0000-0000E7070000}"/>
    <cellStyle name="??&amp;O?&amp;H?_x0008_??_x0007__x0001__x0001_ 2" xfId="4773" xr:uid="{00000000-0005-0000-0000-0000E8070000}"/>
    <cellStyle name="??&amp;O?&amp;H?_x0008_??_x0007__x0001__x0001_ 2 2" xfId="4774" xr:uid="{00000000-0005-0000-0000-0000E9070000}"/>
    <cellStyle name="??&amp;O?&amp;H?_x0008_??_x0007__x0001__x0001_ 3" xfId="4775" xr:uid="{00000000-0005-0000-0000-0000EA070000}"/>
    <cellStyle name="??? 2" xfId="4715" xr:uid="{00000000-0005-0000-0000-0000EB070000}"/>
    <cellStyle name="??? 2 2" xfId="4716" xr:uid="{00000000-0005-0000-0000-0000EC070000}"/>
    <cellStyle name="??? 3" xfId="4717" xr:uid="{00000000-0005-0000-0000-0000ED070000}"/>
    <cellStyle name="????" xfId="4719" xr:uid="{00000000-0005-0000-0000-0000EE070000}"/>
    <cellStyle name="???? 2" xfId="4720" xr:uid="{00000000-0005-0000-0000-0000EF070000}"/>
    <cellStyle name="???? 2 2" xfId="4721" xr:uid="{00000000-0005-0000-0000-0000F0070000}"/>
    <cellStyle name="???? 2 2 2" xfId="4722" xr:uid="{00000000-0005-0000-0000-0000F1070000}"/>
    <cellStyle name="???? 2 2 3" xfId="4723" xr:uid="{00000000-0005-0000-0000-0000F2070000}"/>
    <cellStyle name="???? 2 2 4" xfId="4724" xr:uid="{00000000-0005-0000-0000-0000F3070000}"/>
    <cellStyle name="???? 2 3" xfId="4725" xr:uid="{00000000-0005-0000-0000-0000F4070000}"/>
    <cellStyle name="???? 2 4" xfId="4726" xr:uid="{00000000-0005-0000-0000-0000F5070000}"/>
    <cellStyle name="???? 3" xfId="4727" xr:uid="{00000000-0005-0000-0000-0000F6070000}"/>
    <cellStyle name="???? 3 2" xfId="4728" xr:uid="{00000000-0005-0000-0000-0000F7070000}"/>
    <cellStyle name="???? 3 3" xfId="4729" xr:uid="{00000000-0005-0000-0000-0000F8070000}"/>
    <cellStyle name="???? 4" xfId="4730" xr:uid="{00000000-0005-0000-0000-0000F9070000}"/>
    <cellStyle name="???? 5" xfId="4731" xr:uid="{00000000-0005-0000-0000-0000FA070000}"/>
    <cellStyle name="????? 2" xfId="4733" xr:uid="{00000000-0005-0000-0000-0000FB070000}"/>
    <cellStyle name="????? 3" xfId="4734" xr:uid="{00000000-0005-0000-0000-0000FC070000}"/>
    <cellStyle name="????? 4" xfId="4735" xr:uid="{00000000-0005-0000-0000-0000FD070000}"/>
    <cellStyle name="????? 5" xfId="4736" xr:uid="{00000000-0005-0000-0000-0000FE070000}"/>
    <cellStyle name="?????? 1 2" xfId="4737" xr:uid="{00000000-0005-0000-0000-0000FF070000}"/>
    <cellStyle name="?????? 1 3" xfId="4738" xr:uid="{00000000-0005-0000-0000-000000080000}"/>
    <cellStyle name="?????? 1 4" xfId="4739" xr:uid="{00000000-0005-0000-0000-000001080000}"/>
    <cellStyle name="?????? 1 5" xfId="4740" xr:uid="{00000000-0005-0000-0000-000002080000}"/>
    <cellStyle name="?????? 2 2" xfId="4741" xr:uid="{00000000-0005-0000-0000-000003080000}"/>
    <cellStyle name="?????? 2 3" xfId="4742" xr:uid="{00000000-0005-0000-0000-000004080000}"/>
    <cellStyle name="?????? 2 4" xfId="4743" xr:uid="{00000000-0005-0000-0000-000005080000}"/>
    <cellStyle name="?????? 2 5" xfId="4744" xr:uid="{00000000-0005-0000-0000-000006080000}"/>
    <cellStyle name="?????? 3 2" xfId="4745" xr:uid="{00000000-0005-0000-0000-000007080000}"/>
    <cellStyle name="?????? 3 3" xfId="4746" xr:uid="{00000000-0005-0000-0000-000008080000}"/>
    <cellStyle name="?????? 3 4" xfId="4747" xr:uid="{00000000-0005-0000-0000-000009080000}"/>
    <cellStyle name="?????? 3 5" xfId="4748" xr:uid="{00000000-0005-0000-0000-00000A080000}"/>
    <cellStyle name="?????? 4 2" xfId="4749" xr:uid="{00000000-0005-0000-0000-00000B080000}"/>
    <cellStyle name="?????? 4 3" xfId="4750" xr:uid="{00000000-0005-0000-0000-00000C080000}"/>
    <cellStyle name="?????? 4 4" xfId="4751" xr:uid="{00000000-0005-0000-0000-00000D080000}"/>
    <cellStyle name="?????? 4 5" xfId="4752" xr:uid="{00000000-0005-0000-0000-00000E080000}"/>
    <cellStyle name="?????? 5 2" xfId="4753" xr:uid="{00000000-0005-0000-0000-00000F080000}"/>
    <cellStyle name="?????? 5 3" xfId="4754" xr:uid="{00000000-0005-0000-0000-000010080000}"/>
    <cellStyle name="?????? 5 4" xfId="4755" xr:uid="{00000000-0005-0000-0000-000011080000}"/>
    <cellStyle name="?????? 5 5" xfId="4756" xr:uid="{00000000-0005-0000-0000-000012080000}"/>
    <cellStyle name="?????? 6 2" xfId="4757" xr:uid="{00000000-0005-0000-0000-000013080000}"/>
    <cellStyle name="?????? 6 3" xfId="4758" xr:uid="{00000000-0005-0000-0000-000014080000}"/>
    <cellStyle name="?????? 6 4" xfId="4759" xr:uid="{00000000-0005-0000-0000-000015080000}"/>
    <cellStyle name="?????? 6 5" xfId="4760" xr:uid="{00000000-0005-0000-0000-000016080000}"/>
    <cellStyle name="???????_Hardware Unit Price - ???? ???????-2.07.2008" xfId="4762" xr:uid="{00000000-0005-0000-0000-000017080000}"/>
    <cellStyle name="??????_~0055202" xfId="4761" xr:uid="{00000000-0005-0000-0000-000018080000}"/>
    <cellStyle name="????[0] 2" xfId="4763" xr:uid="{00000000-0005-0000-0000-000019080000}"/>
    <cellStyle name="????[0] 3" xfId="4764" xr:uid="{00000000-0005-0000-0000-00001A080000}"/>
    <cellStyle name="????[0] 4" xfId="4765" xr:uid="{00000000-0005-0000-0000-00001B080000}"/>
    <cellStyle name="????_~0055202" xfId="4732" xr:uid="{00000000-0005-0000-0000-00001C080000}"/>
    <cellStyle name="???[0]_laroux" xfId="4766" xr:uid="{00000000-0005-0000-0000-00001D080000}"/>
    <cellStyle name="???_laroux" xfId="4718" xr:uid="{00000000-0005-0000-0000-00001E080000}"/>
    <cellStyle name="??[0]_laroux" xfId="4767" xr:uid="{00000000-0005-0000-0000-00001F080000}"/>
    <cellStyle name="??_030331MM_JB_030424MM_1mileswitch_config_06092005_FINNET" xfId="4714" xr:uid="{00000000-0005-0000-0000-000020080000}"/>
    <cellStyle name="?_????" xfId="4677" xr:uid="{00000000-0005-0000-0000-000021080000}"/>
    <cellStyle name="?_Annex 27 Part 2 Prices-2010.09.17-V1.0" xfId="4678" xr:uid="{00000000-0005-0000-0000-000022080000}"/>
    <cellStyle name="?_BoQ-Bill of Quantity" xfId="4679" xr:uid="{00000000-0005-0000-0000-000023080000}"/>
    <cellStyle name="?_Optical" xfId="4680" xr:uid="{00000000-0005-0000-0000-000024080000}"/>
    <cellStyle name="?_Sheet3" xfId="4681" xr:uid="{00000000-0005-0000-0000-000025080000}"/>
    <cellStyle name="?_VAS ?????" xfId="4682" xr:uid="{00000000-0005-0000-0000-000026080000}"/>
    <cellStyle name="_??" xfId="34" xr:uid="{00000000-0005-0000-0000-000027080000}"/>
    <cellStyle name="_???" xfId="35" xr:uid="{00000000-0005-0000-0000-000028080000}"/>
    <cellStyle name="_????" xfId="36" xr:uid="{00000000-0005-0000-0000-000029080000}"/>
    <cellStyle name="_????????-???-??V1" xfId="37" xr:uid="{00000000-0005-0000-0000-00002A080000}"/>
    <cellStyle name="_????????????051020" xfId="38" xr:uid="{00000000-0005-0000-0000-00002B080000}"/>
    <cellStyle name="_??????????051020" xfId="39" xr:uid="{00000000-0005-0000-0000-00002C080000}"/>
    <cellStyle name="_????????N610-22?????????V1.0 051101" xfId="40" xr:uid="{00000000-0005-0000-0000-00002D080000}"/>
    <cellStyle name="_???????050508" xfId="41" xr:uid="{00000000-0005-0000-0000-00002E080000}"/>
    <cellStyle name="_??BSS???????" xfId="43" xr:uid="{00000000-0005-0000-0000-00002F080000}"/>
    <cellStyle name="_??BSS2???????" xfId="44" xr:uid="{00000000-0005-0000-0000-000030080000}"/>
    <cellStyle name="_??BSS-900M" xfId="42" xr:uid="{00000000-0005-0000-0000-000031080000}"/>
    <cellStyle name="_??CDMA???L2?L3-BTS" xfId="45" xr:uid="{00000000-0005-0000-0000-000032080000}"/>
    <cellStyle name="_??ICD????V3.0?B??20050301,HP?" xfId="46" xr:uid="{00000000-0005-0000-0000-000033080000}"/>
    <cellStyle name="__________BK" xfId="16" xr:uid="{00000000-0005-0000-0000-000034080000}"/>
    <cellStyle name="__________BK 2" xfId="17" xr:uid="{00000000-0005-0000-0000-000035080000}"/>
    <cellStyle name="__________BK 2 2" xfId="18" xr:uid="{00000000-0005-0000-0000-000036080000}"/>
    <cellStyle name="__________BK 2 2 2" xfId="19" xr:uid="{00000000-0005-0000-0000-000037080000}"/>
    <cellStyle name="__________BK 2 3" xfId="20" xr:uid="{00000000-0005-0000-0000-000038080000}"/>
    <cellStyle name="__________BK 3" xfId="21" xr:uid="{00000000-0005-0000-0000-000039080000}"/>
    <cellStyle name="__________BK 3 2" xfId="22" xr:uid="{00000000-0005-0000-0000-00003A080000}"/>
    <cellStyle name="__________BK 4" xfId="23" xr:uid="{00000000-0005-0000-0000-00003B080000}"/>
    <cellStyle name="__________BK 4 2" xfId="24" xr:uid="{00000000-0005-0000-0000-00003C080000}"/>
    <cellStyle name="__________BK 5" xfId="25" xr:uid="{00000000-0005-0000-0000-00003D080000}"/>
    <cellStyle name="__________BK 5 2" xfId="26" xr:uid="{00000000-0005-0000-0000-00003E080000}"/>
    <cellStyle name="__________BK 6" xfId="27" xr:uid="{00000000-0005-0000-0000-00003F080000}"/>
    <cellStyle name="__________BK 6 2" xfId="28" xr:uid="{00000000-0005-0000-0000-000040080000}"/>
    <cellStyle name="__________BK 7" xfId="29" xr:uid="{00000000-0005-0000-0000-000041080000}"/>
    <cellStyle name="__________BK 7 2" xfId="30" xr:uid="{00000000-0005-0000-0000-000042080000}"/>
    <cellStyle name="__________BK 8" xfId="31" xr:uid="{00000000-0005-0000-0000-000043080000}"/>
    <cellStyle name="__Overview JUNIPER hardware services" xfId="32" xr:uid="{00000000-0005-0000-0000-000044080000}"/>
    <cellStyle name="__Overview JUNIPER hardware services_Discounts(Ran)" xfId="33" xr:uid="{00000000-0005-0000-0000-000045080000}"/>
    <cellStyle name="_~8656258" xfId="47" xr:uid="{00000000-0005-0000-0000-000046080000}"/>
    <cellStyle name="_061114 SICC-Local SI 2007-FTE" xfId="48" xr:uid="{00000000-0005-0000-0000-000047080000}"/>
    <cellStyle name="_07 Jun" xfId="49" xr:uid="{00000000-0005-0000-0000-000048080000}"/>
    <cellStyle name="_07 Jun 2" xfId="50" xr:uid="{00000000-0005-0000-0000-000049080000}"/>
    <cellStyle name="_07 Jun 2 2" xfId="51" xr:uid="{00000000-0005-0000-0000-00004A080000}"/>
    <cellStyle name="_07 Jun 3" xfId="52" xr:uid="{00000000-0005-0000-0000-00004B080000}"/>
    <cellStyle name="_08?????????????(??)0106" xfId="53" xr:uid="{00000000-0005-0000-0000-00004C080000}"/>
    <cellStyle name="_08年集采无线设备目录价汇总表(华为)0106" xfId="54" xr:uid="{00000000-0005-0000-0000-00004D080000}"/>
    <cellStyle name="_090820 Annex 27 part 2a Prices RAN Ericsson 2G All incl" xfId="55" xr:uid="{00000000-0005-0000-0000-00004E080000}"/>
    <cellStyle name="_090820 Annex 27 part 2a Prices RAN Ericsson 2G All incl 2" xfId="56" xr:uid="{00000000-0005-0000-0000-00004F080000}"/>
    <cellStyle name="_090820 Annex 27 part 2a Prices RAN Ericsson 2G All incl 2 2" xfId="57" xr:uid="{00000000-0005-0000-0000-000050080000}"/>
    <cellStyle name="_090820 Annex 27 part 2a Prices RAN Ericsson 2G All incl 3" xfId="58" xr:uid="{00000000-0005-0000-0000-000051080000}"/>
    <cellStyle name="_090820 Annex 27 part 2a Prices RAN Ericsson 2G All incl_?????100912_??" xfId="59" xr:uid="{00000000-0005-0000-0000-000052080000}"/>
    <cellStyle name="_090820 Annex 27 part 2a Prices RAN Ericsson 2G All incl_091028 HUA Annex 27 RAN Submission 7_correct_service" xfId="60" xr:uid="{00000000-0005-0000-0000-000053080000}"/>
    <cellStyle name="_090820 Annex 27 part 2a Prices RAN Ericsson 2G All incl_20100406 Annex 27 RAN summary tables Excel 2003" xfId="61" xr:uid="{00000000-0005-0000-0000-000054080000}"/>
    <cellStyle name="_090820 Annex 27 part 2a Prices RAN Ericsson 2G All incl_A27_Part 2_Price v2.1 20101007 with CS linking" xfId="62" xr:uid="{00000000-0005-0000-0000-000055080000}"/>
    <cellStyle name="_090820 Annex 27 part 2a Prices RAN Ericsson 2G All incl_A27_Part 2_Price v2.1 20101007 with CS linking 2" xfId="63" xr:uid="{00000000-0005-0000-0000-000056080000}"/>
    <cellStyle name="_090820 Annex 27 part 2a Prices RAN Ericsson 2G All incl_Annex 27 Part 2 Prices 01092010 linking CS" xfId="64" xr:uid="{00000000-0005-0000-0000-000057080000}"/>
    <cellStyle name="_090820 Annex 27 part 2a Prices RAN Ericsson 2G All incl_Annex 27 Part 2 Prices 01092010 linking CS 2" xfId="65" xr:uid="{00000000-0005-0000-0000-000058080000}"/>
    <cellStyle name="_090820 Annex 27 part 2a Prices RAN Ericsson 2G All incl_Annex 27 Part 2 Prices 01092010 VAS" xfId="66" xr:uid="{00000000-0005-0000-0000-000059080000}"/>
    <cellStyle name="_090820 Annex 27 part 2a Prices RAN Ericsson 2G All incl_Annex 27 Part 2 Prices 0913" xfId="67" xr:uid="{00000000-0005-0000-0000-00005A080000}"/>
    <cellStyle name="_090820 Annex 27 part 2a Prices RAN Ericsson 2G All incl_Annex 27 Part 2 Prices 0914" xfId="68" xr:uid="{00000000-0005-0000-0000-00005B080000}"/>
    <cellStyle name="_090820 Annex 27 part 2a Prices RAN Ericsson 2G All incl_Annex 27 Part 2 Prices-0919-10" xfId="69" xr:uid="{00000000-0005-0000-0000-00005C080000}"/>
    <cellStyle name="_090820 Annex 27 part 2a Prices RAN Ericsson 2G All incl_Annex 27 Part 2 Prices-2010.09.17-V1.0" xfId="70" xr:uid="{00000000-0005-0000-0000-00005D080000}"/>
    <cellStyle name="_090820 Annex 27 part 2a Prices RAN Ericsson 2G All incl_Discounts(Ran)" xfId="71" xr:uid="{00000000-0005-0000-0000-00005E080000}"/>
    <cellStyle name="_090820 Annex 27 part 2a Prices RAN Ericsson 2G All incl_无线侧数量100912_崔静" xfId="72" xr:uid="{00000000-0005-0000-0000-00005F080000}"/>
    <cellStyle name="_090925 Annex 27 part 2a rev 1 Prices RAN v72_NSN_final_customer (corrected 1)_v2 SS v2" xfId="73" xr:uid="{00000000-0005-0000-0000-000060080000}"/>
    <cellStyle name="_090925 Annex 27 part 2a rev 1 Prices RAN v72_NSN_final_customer (corrected 1)_v2 SS v2 2" xfId="74" xr:uid="{00000000-0005-0000-0000-000061080000}"/>
    <cellStyle name="_090925 Annex 27 part 2a rev 1 Prices RAN v72_NSN_final_customer (corrected 1)_v2 SS v2 2 2" xfId="75" xr:uid="{00000000-0005-0000-0000-000062080000}"/>
    <cellStyle name="_090925 Annex 27 part 2a rev 1 Prices RAN v72_NSN_final_customer (corrected 1)_v2 SS v2 3" xfId="76" xr:uid="{00000000-0005-0000-0000-000063080000}"/>
    <cellStyle name="_090925 Annex 27 part 2a rev 1 Prices RAN v72_NSN_final_customer (corrected 1)_v2 SS v2_?????100912_??" xfId="77" xr:uid="{00000000-0005-0000-0000-000064080000}"/>
    <cellStyle name="_090925 Annex 27 part 2a rev 1 Prices RAN v72_NSN_final_customer (corrected 1)_v2 SS v2_091028 HUA Annex 27 RAN Submission 7_correct_service" xfId="78" xr:uid="{00000000-0005-0000-0000-000065080000}"/>
    <cellStyle name="_090925 Annex 27 part 2a rev 1 Prices RAN v72_NSN_final_customer (corrected 1)_v2 SS v2_20100406 Annex 27 RAN summary tables Excel 2003" xfId="79" xr:uid="{00000000-0005-0000-0000-000066080000}"/>
    <cellStyle name="_090925 Annex 27 part 2a rev 1 Prices RAN v72_NSN_final_customer (corrected 1)_v2 SS v2_A27_Part 2_Price v2.1 20101007 with CS linking" xfId="80" xr:uid="{00000000-0005-0000-0000-000067080000}"/>
    <cellStyle name="_090925 Annex 27 part 2a rev 1 Prices RAN v72_NSN_final_customer (corrected 1)_v2 SS v2_A27_Part 2_Price v2.1 20101007 with CS linking 2" xfId="81" xr:uid="{00000000-0005-0000-0000-000068080000}"/>
    <cellStyle name="_090925 Annex 27 part 2a rev 1 Prices RAN v72_NSN_final_customer (corrected 1)_v2 SS v2_Annex 27 Part 2 Prices 01092010 linking CS" xfId="82" xr:uid="{00000000-0005-0000-0000-000069080000}"/>
    <cellStyle name="_090925 Annex 27 part 2a rev 1 Prices RAN v72_NSN_final_customer (corrected 1)_v2 SS v2_Annex 27 Part 2 Prices 01092010 linking CS 2" xfId="83" xr:uid="{00000000-0005-0000-0000-00006A080000}"/>
    <cellStyle name="_090925 Annex 27 part 2a rev 1 Prices RAN v72_NSN_final_customer (corrected 1)_v2 SS v2_Annex 27 Part 2 Prices 01092010 VAS" xfId="84" xr:uid="{00000000-0005-0000-0000-00006B080000}"/>
    <cellStyle name="_090925 Annex 27 part 2a rev 1 Prices RAN v72_NSN_final_customer (corrected 1)_v2 SS v2_Annex 27 Part 2 Prices 0913" xfId="85" xr:uid="{00000000-0005-0000-0000-00006C080000}"/>
    <cellStyle name="_090925 Annex 27 part 2a rev 1 Prices RAN v72_NSN_final_customer (corrected 1)_v2 SS v2_Annex 27 Part 2 Prices 0914" xfId="86" xr:uid="{00000000-0005-0000-0000-00006D080000}"/>
    <cellStyle name="_090925 Annex 27 part 2a rev 1 Prices RAN v72_NSN_final_customer (corrected 1)_v2 SS v2_Annex 27 Part 2 Prices-0919-10" xfId="87" xr:uid="{00000000-0005-0000-0000-00006E080000}"/>
    <cellStyle name="_090925 Annex 27 part 2a rev 1 Prices RAN v72_NSN_final_customer (corrected 1)_v2 SS v2_Annex 27 Part 2 Prices-2010.09.17-V1.0" xfId="88" xr:uid="{00000000-0005-0000-0000-00006F080000}"/>
    <cellStyle name="_090925 Annex 27 part 2a rev 1 Prices RAN v72_NSN_final_customer (corrected 1)_v2 SS v2_Discounts(Ran)" xfId="89" xr:uid="{00000000-0005-0000-0000-000070080000}"/>
    <cellStyle name="_090925 Annex 27 part 2a rev 1 Prices RAN v72_NSN_final_customer (corrected 1)_v2 SS v2_无线侧数量100912_崔静" xfId="90" xr:uid="{00000000-0005-0000-0000-000071080000}"/>
    <cellStyle name="_090928 Annex 27 part 2a rev 1 Prices RAN_Huawei SS v2" xfId="91" xr:uid="{00000000-0005-0000-0000-000072080000}"/>
    <cellStyle name="_090928 Annex 27 part 2a rev 1 Prices RAN_Huawei SS v2 2" xfId="92" xr:uid="{00000000-0005-0000-0000-000073080000}"/>
    <cellStyle name="_090928 Annex 27 part 2a rev 1 Prices RAN_Huawei SS v2 2 2" xfId="93" xr:uid="{00000000-0005-0000-0000-000074080000}"/>
    <cellStyle name="_090928 Annex 27 part 2a rev 1 Prices RAN_Huawei SS v2 3" xfId="94" xr:uid="{00000000-0005-0000-0000-000075080000}"/>
    <cellStyle name="_090928 Annex 27 part 2a rev 1 Prices RAN_Huawei SS v2_?????100912_??" xfId="95" xr:uid="{00000000-0005-0000-0000-000076080000}"/>
    <cellStyle name="_090928 Annex 27 part 2a rev 1 Prices RAN_Huawei SS v2_20100406 Annex 27 RAN summary tables Excel 2003" xfId="96" xr:uid="{00000000-0005-0000-0000-000077080000}"/>
    <cellStyle name="_090928 Annex 27 part 2a rev 1 Prices RAN_Huawei SS v2_A27_Part 2_Price v2.1 20101007 with CS linking" xfId="97" xr:uid="{00000000-0005-0000-0000-000078080000}"/>
    <cellStyle name="_090928 Annex 27 part 2a rev 1 Prices RAN_Huawei SS v2_A27_Part 2_Price v2.1 20101007 with CS linking 2" xfId="98" xr:uid="{00000000-0005-0000-0000-000079080000}"/>
    <cellStyle name="_090928 Annex 27 part 2a rev 1 Prices RAN_Huawei SS v2_Annex 27 Part 2 Prices 01092010 linking CS" xfId="99" xr:uid="{00000000-0005-0000-0000-00007A080000}"/>
    <cellStyle name="_090928 Annex 27 part 2a rev 1 Prices RAN_Huawei SS v2_Annex 27 Part 2 Prices 01092010 linking CS 2" xfId="100" xr:uid="{00000000-0005-0000-0000-00007B080000}"/>
    <cellStyle name="_090928 Annex 27 part 2a rev 1 Prices RAN_Huawei SS v2_Annex 27 Part 2 Prices 01092010 VAS" xfId="101" xr:uid="{00000000-0005-0000-0000-00007C080000}"/>
    <cellStyle name="_090928 Annex 27 part 2a rev 1 Prices RAN_Huawei SS v2_Annex 27 Part 2 Prices 0913" xfId="102" xr:uid="{00000000-0005-0000-0000-00007D080000}"/>
    <cellStyle name="_090928 Annex 27 part 2a rev 1 Prices RAN_Huawei SS v2_Annex 27 Part 2 Prices 0914" xfId="103" xr:uid="{00000000-0005-0000-0000-00007E080000}"/>
    <cellStyle name="_090928 Annex 27 part 2a rev 1 Prices RAN_Huawei SS v2_Annex 27 Part 2 Prices-0919-10" xfId="104" xr:uid="{00000000-0005-0000-0000-00007F080000}"/>
    <cellStyle name="_090928 Annex 27 part 2a rev 1 Prices RAN_Huawei SS v2_Annex 27 Part 2 Prices-2010.09.17-V1.0" xfId="105" xr:uid="{00000000-0005-0000-0000-000080080000}"/>
    <cellStyle name="_090928 Annex 27 part 2a rev 1 Prices RAN_Huawei SS v2_Discounts(Ran)" xfId="106" xr:uid="{00000000-0005-0000-0000-000081080000}"/>
    <cellStyle name="_090928 Annex 27 part 2a rev 1 Prices RAN_Huawei SS v2_无线侧数量100912_崔静" xfId="107" xr:uid="{00000000-0005-0000-0000-000082080000}"/>
    <cellStyle name="_1 Terminal+NMS " xfId="108" xr:uid="{00000000-0005-0000-0000-000083080000}"/>
    <cellStyle name="_1 Terminal+NMS _100306_Prices Appendix1 Annex10 v3.0_Huawei" xfId="109" xr:uid="{00000000-0005-0000-0000-000084080000}"/>
    <cellStyle name="_1 Terminal+NMS _100419_Prices Appendix1 Annex10 v3.0_Huawei (Service Update)" xfId="110" xr:uid="{00000000-0005-0000-0000-000085080000}"/>
    <cellStyle name="_1 Terminal+NMS _100420_Prices Appendix1 Annex10 v3 0_Huawei (Service Update)" xfId="111" xr:uid="{00000000-0005-0000-0000-000086080000}"/>
    <cellStyle name="_1 Terminal+NMS _100420_Prices Appendix1 Annex10 v3 0_Huawei (Service Update)_New" xfId="112" xr:uid="{00000000-0005-0000-0000-000087080000}"/>
    <cellStyle name="_1 Terminal+NMS _100421_Prices Appendix1 Annex10 v3.0_Huawei (Service Update)" xfId="113" xr:uid="{00000000-0005-0000-0000-000088080000}"/>
    <cellStyle name="_1 Terminal+NMS _100421_Prices Appendix1 Annex10 v3.0_Huawei (Service Update)_New" xfId="114" xr:uid="{00000000-0005-0000-0000-000089080000}"/>
    <cellStyle name="_1 Terminal+NMS _100421_Prices Appendix1 Annex10 v3.0_Huawei (Service Update)_New_2.0" xfId="115" xr:uid="{00000000-0005-0000-0000-00008A080000}"/>
    <cellStyle name="_1 Terminal+NMS _Prices Appendix1 Annex10 LOW" xfId="116" xr:uid="{00000000-0005-0000-0000-00008B080000}"/>
    <cellStyle name="_1 Terminal+NMS _Prices Appendix1 Annex10 LOW_100306_Prices Appendix1 Annex10 v3.0_Huawei" xfId="117" xr:uid="{00000000-0005-0000-0000-00008C080000}"/>
    <cellStyle name="_1 Terminal+NMS _Prices Appendix1 Annex10 LOW_100419_Prices Appendix1 Annex10 v3.0_Huawei (Service Update)" xfId="118" xr:uid="{00000000-0005-0000-0000-00008D080000}"/>
    <cellStyle name="_1 Terminal+NMS _Prices Appendix1 Annex10 LOW_100420_Prices Appendix1 Annex10 v3 0_Huawei (Service Update)" xfId="119" xr:uid="{00000000-0005-0000-0000-00008E080000}"/>
    <cellStyle name="_1 Terminal+NMS _Prices Appendix1 Annex10 LOW_100420_Prices Appendix1 Annex10 v3 0_Huawei (Service Update)_New" xfId="120" xr:uid="{00000000-0005-0000-0000-00008F080000}"/>
    <cellStyle name="_1 Terminal+NMS _Prices Appendix1 Annex10 LOW_100421_Prices Appendix1 Annex10 v3.0_Huawei (Service Update)" xfId="121" xr:uid="{00000000-0005-0000-0000-000090080000}"/>
    <cellStyle name="_1 Terminal+NMS _Prices Appendix1 Annex10 LOW_100421_Prices Appendix1 Annex10 v3.0_Huawei (Service Update)_New" xfId="122" xr:uid="{00000000-0005-0000-0000-000091080000}"/>
    <cellStyle name="_1 Terminal+NMS _Prices Appendix1 Annex10 LOW_100421_Prices Appendix1 Annex10 v3.0_Huawei (Service Update)_New_2.0" xfId="123" xr:uid="{00000000-0005-0000-0000-000092080000}"/>
    <cellStyle name="_1900M电源配置计算模板（含英文版）" xfId="124" xr:uid="{00000000-0005-0000-0000-000093080000}"/>
    <cellStyle name="_2007 Training Quotation Template" xfId="125" xr:uid="{00000000-0005-0000-0000-000094080000}"/>
    <cellStyle name="_2007 Training Quotation Template open class (Optical Network) New Price for GP DWDM Project" xfId="126" xr:uid="{00000000-0005-0000-0000-000095080000}"/>
    <cellStyle name="_2007 Training Quotation Template open class (Optical Network) New Price for GP DWDM Project 2" xfId="127" xr:uid="{00000000-0005-0000-0000-000096080000}"/>
    <cellStyle name="_2007 Training Quotation Template open class (Optical Network) New Price for GP DWDM Project 2 2" xfId="128" xr:uid="{00000000-0005-0000-0000-000097080000}"/>
    <cellStyle name="_2007 Training Quotation Template open class (Optical Network) New Price for GP DWDM Project 3" xfId="129" xr:uid="{00000000-0005-0000-0000-000098080000}"/>
    <cellStyle name="_2008" xfId="130" xr:uid="{00000000-0005-0000-0000-000099080000}"/>
    <cellStyle name="_2008 2" xfId="131" xr:uid="{00000000-0005-0000-0000-00009A080000}"/>
    <cellStyle name="_2008 2 2" xfId="132" xr:uid="{00000000-0005-0000-0000-00009B080000}"/>
    <cellStyle name="_2008 3" xfId="133" xr:uid="{00000000-0005-0000-0000-00009C080000}"/>
    <cellStyle name="_2009" xfId="134" xr:uid="{00000000-0005-0000-0000-00009D080000}"/>
    <cellStyle name="_2009 2" xfId="135" xr:uid="{00000000-0005-0000-0000-00009E080000}"/>
    <cellStyle name="_2009 2 2" xfId="136" xr:uid="{00000000-0005-0000-0000-00009F080000}"/>
    <cellStyle name="_2009 3" xfId="137" xr:uid="{00000000-0005-0000-0000-0000A0080000}"/>
    <cellStyle name="_2009 Details" xfId="138" xr:uid="{00000000-0005-0000-0000-0000A1080000}"/>
    <cellStyle name="_2009 Details 2" xfId="139" xr:uid="{00000000-0005-0000-0000-0000A2080000}"/>
    <cellStyle name="_2009 Details 2 2" xfId="140" xr:uid="{00000000-0005-0000-0000-0000A3080000}"/>
    <cellStyle name="_2009 Details 3" xfId="141" xr:uid="{00000000-0005-0000-0000-0000A4080000}"/>
    <cellStyle name="_2009 Details Actual" xfId="142" xr:uid="{00000000-0005-0000-0000-0000A5080000}"/>
    <cellStyle name="_2009 Details Actual 2" xfId="143" xr:uid="{00000000-0005-0000-0000-0000A6080000}"/>
    <cellStyle name="_2009 Details Actual 2 2" xfId="144" xr:uid="{00000000-0005-0000-0000-0000A7080000}"/>
    <cellStyle name="_2009 Details Actual 3" xfId="145" xr:uid="{00000000-0005-0000-0000-0000A8080000}"/>
    <cellStyle name="_2009 Details Plan" xfId="146" xr:uid="{00000000-0005-0000-0000-0000A9080000}"/>
    <cellStyle name="_2009 Details Plan 2" xfId="147" xr:uid="{00000000-0005-0000-0000-0000AA080000}"/>
    <cellStyle name="_2009 Details Plan 2 2" xfId="148" xr:uid="{00000000-0005-0000-0000-0000AB080000}"/>
    <cellStyle name="_2009 Details Plan 3" xfId="149" xr:uid="{00000000-0005-0000-0000-0000AC080000}"/>
    <cellStyle name="_2009 implementation Budget_010409" xfId="150" xr:uid="{00000000-0005-0000-0000-0000AD080000}"/>
    <cellStyle name="_2009 implementation Budget_010409 2" xfId="151" xr:uid="{00000000-0005-0000-0000-0000AE080000}"/>
    <cellStyle name="_2009 implementation Budget_010409 2 2" xfId="152" xr:uid="{00000000-0005-0000-0000-0000AF080000}"/>
    <cellStyle name="_2009 implementation Budget_010409 3" xfId="153" xr:uid="{00000000-0005-0000-0000-0000B0080000}"/>
    <cellStyle name="_2010" xfId="154" xr:uid="{00000000-0005-0000-0000-0000B1080000}"/>
    <cellStyle name="_2010 2" xfId="155" xr:uid="{00000000-0005-0000-0000-0000B2080000}"/>
    <cellStyle name="_2010 2 2" xfId="156" xr:uid="{00000000-0005-0000-0000-0000B3080000}"/>
    <cellStyle name="_2010 3" xfId="157" xr:uid="{00000000-0005-0000-0000-0000B4080000}"/>
    <cellStyle name="_2010 Budget with options 300609_V3" xfId="158" xr:uid="{00000000-0005-0000-0000-0000B5080000}"/>
    <cellStyle name="_2010 Budget with options 300609_V3 2" xfId="159" xr:uid="{00000000-0005-0000-0000-0000B6080000}"/>
    <cellStyle name="_2010 Budget with options 300609_V3 2 2" xfId="160" xr:uid="{00000000-0005-0000-0000-0000B7080000}"/>
    <cellStyle name="_2010 Budget with options 300609_V3 3" xfId="161" xr:uid="{00000000-0005-0000-0000-0000B8080000}"/>
    <cellStyle name="_2011" xfId="162" xr:uid="{00000000-0005-0000-0000-0000B9080000}"/>
    <cellStyle name="_2011 2" xfId="163" xr:uid="{00000000-0005-0000-0000-0000BA080000}"/>
    <cellStyle name="_2011 2 2" xfId="164" xr:uid="{00000000-0005-0000-0000-0000BB080000}"/>
    <cellStyle name="_2011 3" xfId="165" xr:uid="{00000000-0005-0000-0000-0000BC080000}"/>
    <cellStyle name="_2012" xfId="166" xr:uid="{00000000-0005-0000-0000-0000BD080000}"/>
    <cellStyle name="_2012 2" xfId="167" xr:uid="{00000000-0005-0000-0000-0000BE080000}"/>
    <cellStyle name="_2012 2 2" xfId="168" xr:uid="{00000000-0005-0000-0000-0000BF080000}"/>
    <cellStyle name="_2012 3" xfId="169" xr:uid="{00000000-0005-0000-0000-0000C0080000}"/>
    <cellStyle name="_3 DDP Markup " xfId="170" xr:uid="{00000000-0005-0000-0000-0000C1080000}"/>
    <cellStyle name="_3 DDP Markup _100306_Prices Appendix1 Annex10 v3.0_Huawei" xfId="171" xr:uid="{00000000-0005-0000-0000-0000C2080000}"/>
    <cellStyle name="_3 DDP Markup _100419_Prices Appendix1 Annex10 v3.0_Huawei (Service Update)" xfId="172" xr:uid="{00000000-0005-0000-0000-0000C3080000}"/>
    <cellStyle name="_3 DDP Markup _100420_Prices Appendix1 Annex10 v3 0_Huawei (Service Update)" xfId="173" xr:uid="{00000000-0005-0000-0000-0000C4080000}"/>
    <cellStyle name="_3 DDP Markup _100420_Prices Appendix1 Annex10 v3 0_Huawei (Service Update)_New" xfId="174" xr:uid="{00000000-0005-0000-0000-0000C5080000}"/>
    <cellStyle name="_3 DDP Markup _100421_Prices Appendix1 Annex10 v3.0_Huawei (Service Update)" xfId="175" xr:uid="{00000000-0005-0000-0000-0000C6080000}"/>
    <cellStyle name="_3 DDP Markup _100421_Prices Appendix1 Annex10 v3.0_Huawei (Service Update)_New" xfId="176" xr:uid="{00000000-0005-0000-0000-0000C7080000}"/>
    <cellStyle name="_3 DDP Markup _100421_Prices Appendix1 Annex10 v3.0_Huawei (Service Update)_New_2.0" xfId="177" xr:uid="{00000000-0005-0000-0000-0000C8080000}"/>
    <cellStyle name="_3 DDP Markup _Prices Appendix1 Annex10 LOW" xfId="178" xr:uid="{00000000-0005-0000-0000-0000C9080000}"/>
    <cellStyle name="_3 DDP Markup _Prices Appendix1 Annex10 LOW_100306_Prices Appendix1 Annex10 v3.0_Huawei" xfId="179" xr:uid="{00000000-0005-0000-0000-0000CA080000}"/>
    <cellStyle name="_3 DDP Markup _Prices Appendix1 Annex10 LOW_100419_Prices Appendix1 Annex10 v3.0_Huawei (Service Update)" xfId="180" xr:uid="{00000000-0005-0000-0000-0000CB080000}"/>
    <cellStyle name="_3 DDP Markup _Prices Appendix1 Annex10 LOW_100420_Prices Appendix1 Annex10 v3 0_Huawei (Service Update)" xfId="181" xr:uid="{00000000-0005-0000-0000-0000CC080000}"/>
    <cellStyle name="_3 DDP Markup _Prices Appendix1 Annex10 LOW_100420_Prices Appendix1 Annex10 v3 0_Huawei (Service Update)_New" xfId="182" xr:uid="{00000000-0005-0000-0000-0000CD080000}"/>
    <cellStyle name="_3 DDP Markup _Prices Appendix1 Annex10 LOW_100421_Prices Appendix1 Annex10 v3.0_Huawei (Service Update)" xfId="183" xr:uid="{00000000-0005-0000-0000-0000CE080000}"/>
    <cellStyle name="_3 DDP Markup _Prices Appendix1 Annex10 LOW_100421_Prices Appendix1 Annex10 v3.0_Huawei (Service Update)_New" xfId="184" xr:uid="{00000000-0005-0000-0000-0000CF080000}"/>
    <cellStyle name="_3 DDP Markup _Prices Appendix1 Annex10 LOW_100421_Prices Appendix1 Annex10 v3.0_Huawei (Service Update)_New_2.0" xfId="185" xr:uid="{00000000-0005-0000-0000-0000D0080000}"/>
    <cellStyle name="_3900????????20080705" xfId="186" xr:uid="{00000000-0005-0000-0000-0000D1080000}"/>
    <cellStyle name="_3900系列基站配置模型20080705" xfId="187" xr:uid="{00000000-0005-0000-0000-0000D2080000}"/>
    <cellStyle name="_3934920051228011DObjs" xfId="188" xr:uid="{00000000-0005-0000-0000-0000D3080000}"/>
    <cellStyle name="_3rd submission Node B and eNode B cost v1 3 SS v2" xfId="189" xr:uid="{00000000-0005-0000-0000-0000D4080000}"/>
    <cellStyle name="_3rd submission Node B and eNode B cost v1 3 SS v2 2" xfId="190" xr:uid="{00000000-0005-0000-0000-0000D5080000}"/>
    <cellStyle name="_3rd submission Node B and eNode B cost v1 3 SS v2 2 2" xfId="191" xr:uid="{00000000-0005-0000-0000-0000D6080000}"/>
    <cellStyle name="_3rd submission Node B and eNode B cost v1 3 SS v2 3" xfId="192" xr:uid="{00000000-0005-0000-0000-0000D7080000}"/>
    <cellStyle name="_3rd submission Node B and eNode B cost v1 3 SS v2_?????100912_??" xfId="193" xr:uid="{00000000-0005-0000-0000-0000D8080000}"/>
    <cellStyle name="_3rd submission Node B and eNode B cost v1 3 SS v2_091028 HUA Annex 27 RAN Submission 7_correct_service" xfId="194" xr:uid="{00000000-0005-0000-0000-0000D9080000}"/>
    <cellStyle name="_3rd submission Node B and eNode B cost v1 3 SS v2_20100406 Annex 27 RAN summary tables Excel 2003" xfId="195" xr:uid="{00000000-0005-0000-0000-0000DA080000}"/>
    <cellStyle name="_3rd submission Node B and eNode B cost v1 3 SS v2_A27_Part 2_Price v2.1 20101007 with CS linking" xfId="196" xr:uid="{00000000-0005-0000-0000-0000DB080000}"/>
    <cellStyle name="_3rd submission Node B and eNode B cost v1 3 SS v2_A27_Part 2_Price v2.1 20101007 with CS linking 2" xfId="197" xr:uid="{00000000-0005-0000-0000-0000DC080000}"/>
    <cellStyle name="_3rd submission Node B and eNode B cost v1 3 SS v2_Annex 27 Part 2 Prices 01092010 linking CS" xfId="198" xr:uid="{00000000-0005-0000-0000-0000DD080000}"/>
    <cellStyle name="_3rd submission Node B and eNode B cost v1 3 SS v2_Annex 27 Part 2 Prices 01092010 linking CS 2" xfId="199" xr:uid="{00000000-0005-0000-0000-0000DE080000}"/>
    <cellStyle name="_3rd submission Node B and eNode B cost v1 3 SS v2_Annex 27 Part 2 Prices 01092010 VAS" xfId="200" xr:uid="{00000000-0005-0000-0000-0000DF080000}"/>
    <cellStyle name="_3rd submission Node B and eNode B cost v1 3 SS v2_Annex 27 Part 2 Prices 0913" xfId="201" xr:uid="{00000000-0005-0000-0000-0000E0080000}"/>
    <cellStyle name="_3rd submission Node B and eNode B cost v1 3 SS v2_Annex 27 Part 2 Prices 0914" xfId="202" xr:uid="{00000000-0005-0000-0000-0000E1080000}"/>
    <cellStyle name="_3rd submission Node B and eNode B cost v1 3 SS v2_Annex 27 Part 2 Prices-0919-10" xfId="203" xr:uid="{00000000-0005-0000-0000-0000E2080000}"/>
    <cellStyle name="_3rd submission Node B and eNode B cost v1 3 SS v2_Annex 27 Part 2 Prices-2010.09.17-V1.0" xfId="204" xr:uid="{00000000-0005-0000-0000-0000E3080000}"/>
    <cellStyle name="_3rd submission Node B and eNode B cost v1 3 SS v2_Discounts(Ran)" xfId="205" xr:uid="{00000000-0005-0000-0000-0000E4080000}"/>
    <cellStyle name="_3rd submission Node B and eNode B cost v1 3 SS v2_无线侧数量100912_崔静" xfId="206" xr:uid="{00000000-0005-0000-0000-0000E5080000}"/>
    <cellStyle name="_450M电源配置计算模板（含英文版）" xfId="207" xr:uid="{00000000-0005-0000-0000-0000E6080000}"/>
    <cellStyle name="_A27 Prices Pakistan HUAWEI 061003(孙麟)" xfId="208" xr:uid="{00000000-0005-0000-0000-0000E7080000}"/>
    <cellStyle name="_A27 Prices Pakistan HUAWEI 061003(孙麟) 2" xfId="209" xr:uid="{00000000-0005-0000-0000-0000E8080000}"/>
    <cellStyle name="_A27 Prices Pakistan HUAWEI 061003(孙麟) 2 2" xfId="210" xr:uid="{00000000-0005-0000-0000-0000E9080000}"/>
    <cellStyle name="_A27 Prices Pakistan HUAWEI 061003(孙麟) 3" xfId="211" xr:uid="{00000000-0005-0000-0000-0000EA080000}"/>
    <cellStyle name="_AAPer Forecast per PA 2010" xfId="212" xr:uid="{00000000-0005-0000-0000-0000EB080000}"/>
    <cellStyle name="_All Assumptions by Mkt" xfId="213" xr:uid="{00000000-0005-0000-0000-0000EC080000}"/>
    <cellStyle name="_All Assumptions by Mkt 2" xfId="214" xr:uid="{00000000-0005-0000-0000-0000ED080000}"/>
    <cellStyle name="_All Assumptions by Mkt 2 2" xfId="215" xr:uid="{00000000-0005-0000-0000-0000EE080000}"/>
    <cellStyle name="_All Assumptions by Mkt 3" xfId="216" xr:uid="{00000000-0005-0000-0000-0000EF080000}"/>
    <cellStyle name="_all data" xfId="217" xr:uid="{00000000-0005-0000-0000-0000F0080000}"/>
    <cellStyle name="_all data 2" xfId="218" xr:uid="{00000000-0005-0000-0000-0000F1080000}"/>
    <cellStyle name="_all data 2 2" xfId="219" xr:uid="{00000000-0005-0000-0000-0000F2080000}"/>
    <cellStyle name="_all data 2 2 2" xfId="220" xr:uid="{00000000-0005-0000-0000-0000F3080000}"/>
    <cellStyle name="_all data 2 3" xfId="221" xr:uid="{00000000-0005-0000-0000-0000F4080000}"/>
    <cellStyle name="_all data 3" xfId="222" xr:uid="{00000000-0005-0000-0000-0000F5080000}"/>
    <cellStyle name="_all data 3 2" xfId="223" xr:uid="{00000000-0005-0000-0000-0000F6080000}"/>
    <cellStyle name="_all data 3 2 2" xfId="224" xr:uid="{00000000-0005-0000-0000-0000F7080000}"/>
    <cellStyle name="_all data 3 3" xfId="225" xr:uid="{00000000-0005-0000-0000-0000F8080000}"/>
    <cellStyle name="_all data 4" xfId="226" xr:uid="{00000000-0005-0000-0000-0000F9080000}"/>
    <cellStyle name="_all data 4 2" xfId="227" xr:uid="{00000000-0005-0000-0000-0000FA080000}"/>
    <cellStyle name="_all data 5" xfId="228" xr:uid="{00000000-0005-0000-0000-0000FB080000}"/>
    <cellStyle name="_All Mkt. Assumptions " xfId="229" xr:uid="{00000000-0005-0000-0000-0000FC080000}"/>
    <cellStyle name="_All Mkt. Assumptions  2" xfId="230" xr:uid="{00000000-0005-0000-0000-0000FD080000}"/>
    <cellStyle name="_All Mkt. Assumptions  2 2" xfId="231" xr:uid="{00000000-0005-0000-0000-0000FE080000}"/>
    <cellStyle name="_All Mkt. Assumptions  3" xfId="232" xr:uid="{00000000-0005-0000-0000-0000FF080000}"/>
    <cellStyle name="_Annex 10 Prices v3.0 " xfId="233" xr:uid="{00000000-0005-0000-0000-000000090000}"/>
    <cellStyle name="_Annex 22 P01 Price-2G (Training)" xfId="234" xr:uid="{00000000-0005-0000-0000-000001090000}"/>
    <cellStyle name="_Annex 22 P01 Price-2G (Training) 2" xfId="235" xr:uid="{00000000-0005-0000-0000-000002090000}"/>
    <cellStyle name="_Annex 22 P01 Price-2G (Training) 2 2" xfId="236" xr:uid="{00000000-0005-0000-0000-000003090000}"/>
    <cellStyle name="_Annex 22 P01 Price-2G (Training) 3" xfId="237" xr:uid="{00000000-0005-0000-0000-000004090000}"/>
    <cellStyle name="_Annex 30 Appendix 1 Model Network_v0 90" xfId="238" xr:uid="{00000000-0005-0000-0000-000005090000}"/>
    <cellStyle name="_Annex G - Bill of Quantity Template_Magdy_09Oct05_" xfId="239" xr:uid="{00000000-0005-0000-0000-000006090000}"/>
    <cellStyle name="_answer_template_rnc_bsc_greensheets" xfId="240" xr:uid="{00000000-0005-0000-0000-000007090000}"/>
    <cellStyle name="_answer_template_rnc_bsc_greensheets 2" xfId="241" xr:uid="{00000000-0005-0000-0000-000008090000}"/>
    <cellStyle name="_APPENDIX_A_Price_information_Sc1_Services v01" xfId="242" xr:uid="{00000000-0005-0000-0000-000009090000}"/>
    <cellStyle name="_APPENDIX_A_Price_information_Sc1_Services v01_Discounts(Ran)" xfId="243" xr:uid="{00000000-0005-0000-0000-00000A090000}"/>
    <cellStyle name="_Base Data" xfId="244" xr:uid="{00000000-0005-0000-0000-00000B090000}"/>
    <cellStyle name="_Base Data 2" xfId="245" xr:uid="{00000000-0005-0000-0000-00000C090000}"/>
    <cellStyle name="_Base Data 2 2" xfId="246" xr:uid="{00000000-0005-0000-0000-00000D090000}"/>
    <cellStyle name="_Base Data 2 2 2" xfId="247" xr:uid="{00000000-0005-0000-0000-00000E090000}"/>
    <cellStyle name="_Base Data 2 3" xfId="248" xr:uid="{00000000-0005-0000-0000-00000F090000}"/>
    <cellStyle name="_Base Data 3" xfId="249" xr:uid="{00000000-0005-0000-0000-000010090000}"/>
    <cellStyle name="_Base Data 3 2" xfId="250" xr:uid="{00000000-0005-0000-0000-000011090000}"/>
    <cellStyle name="_Base Data 3 2 2" xfId="251" xr:uid="{00000000-0005-0000-0000-000012090000}"/>
    <cellStyle name="_Base Data 3 3" xfId="252" xr:uid="{00000000-0005-0000-0000-000013090000}"/>
    <cellStyle name="_Base Data 4" xfId="253" xr:uid="{00000000-0005-0000-0000-000014090000}"/>
    <cellStyle name="_Base Data 4 2" xfId="254" xr:uid="{00000000-0005-0000-0000-000015090000}"/>
    <cellStyle name="_Base Data 5" xfId="255" xr:uid="{00000000-0005-0000-0000-000016090000}"/>
    <cellStyle name="_Base Traffic, VLR Subs &amp; Zone" xfId="256" xr:uid="{00000000-0005-0000-0000-000017090000}"/>
    <cellStyle name="_Base Traffic, VLR Subs &amp; Zone 2" xfId="257" xr:uid="{00000000-0005-0000-0000-000018090000}"/>
    <cellStyle name="_Base Traffic, VLR Subs &amp; Zone 2 2" xfId="258" xr:uid="{00000000-0005-0000-0000-000019090000}"/>
    <cellStyle name="_Base Traffic, VLR Subs &amp; Zone 2 2 2" xfId="259" xr:uid="{00000000-0005-0000-0000-00001A090000}"/>
    <cellStyle name="_Base Traffic, VLR Subs &amp; Zone 2 3" xfId="260" xr:uid="{00000000-0005-0000-0000-00001B090000}"/>
    <cellStyle name="_Base Traffic, VLR Subs &amp; Zone 3" xfId="261" xr:uid="{00000000-0005-0000-0000-00001C090000}"/>
    <cellStyle name="_Base Traffic, VLR Subs &amp; Zone 3 2" xfId="262" xr:uid="{00000000-0005-0000-0000-00001D090000}"/>
    <cellStyle name="_Base Traffic, VLR Subs &amp; Zone 3 2 2" xfId="263" xr:uid="{00000000-0005-0000-0000-00001E090000}"/>
    <cellStyle name="_Base Traffic, VLR Subs &amp; Zone 3 3" xfId="264" xr:uid="{00000000-0005-0000-0000-00001F090000}"/>
    <cellStyle name="_Base Traffic, VLR Subs &amp; Zone 4" xfId="265" xr:uid="{00000000-0005-0000-0000-000020090000}"/>
    <cellStyle name="_Base Traffic, VLR Subs &amp; Zone 4 2" xfId="266" xr:uid="{00000000-0005-0000-0000-000021090000}"/>
    <cellStyle name="_Base Traffic, VLR Subs &amp; Zone 5" xfId="267" xr:uid="{00000000-0005-0000-0000-000022090000}"/>
    <cellStyle name="_Basic Traff, Subs &amp; Zones" xfId="268" xr:uid="{00000000-0005-0000-0000-000023090000}"/>
    <cellStyle name="_Basic Traff, Subs &amp; Zones 2" xfId="269" xr:uid="{00000000-0005-0000-0000-000024090000}"/>
    <cellStyle name="_Basic Traff, Subs &amp; Zones 2 2" xfId="270" xr:uid="{00000000-0005-0000-0000-000025090000}"/>
    <cellStyle name="_Basic Traff, Subs &amp; Zones 3" xfId="271" xr:uid="{00000000-0005-0000-0000-000026090000}"/>
    <cellStyle name="_BH Calc FC2'08 &amp; GF " xfId="272" xr:uid="{00000000-0005-0000-0000-000027090000}"/>
    <cellStyle name="_BH Calc FC2'08 &amp; GF  2" xfId="273" xr:uid="{00000000-0005-0000-0000-000028090000}"/>
    <cellStyle name="_BH Calc FC2'08 &amp; GF  2 2" xfId="274" xr:uid="{00000000-0005-0000-0000-000029090000}"/>
    <cellStyle name="_BH Calc FC2'08 &amp; GF  2 2 2" xfId="275" xr:uid="{00000000-0005-0000-0000-00002A090000}"/>
    <cellStyle name="_BH Calc FC2'08 &amp; GF  2 3" xfId="276" xr:uid="{00000000-0005-0000-0000-00002B090000}"/>
    <cellStyle name="_BH Calc FC2'08 &amp; GF  3" xfId="277" xr:uid="{00000000-0005-0000-0000-00002C090000}"/>
    <cellStyle name="_BH Calc FC2'08 &amp; GF  3 2" xfId="278" xr:uid="{00000000-0005-0000-0000-00002D090000}"/>
    <cellStyle name="_BH Calc FC2'08 &amp; GF  3 2 2" xfId="279" xr:uid="{00000000-0005-0000-0000-00002E090000}"/>
    <cellStyle name="_BH Calc FC2'08 &amp; GF  3 3" xfId="280" xr:uid="{00000000-0005-0000-0000-00002F090000}"/>
    <cellStyle name="_BH Calc FC2'08 &amp; GF  4" xfId="281" xr:uid="{00000000-0005-0000-0000-000030090000}"/>
    <cellStyle name="_BH Calc FC2'08 &amp; GF  4 2" xfId="282" xr:uid="{00000000-0005-0000-0000-000031090000}"/>
    <cellStyle name="_BH Calc FC2'08 &amp; GF  5" xfId="283" xr:uid="{00000000-0005-0000-0000-000032090000}"/>
    <cellStyle name="_Board Package - Reforecast 2006 - Oct 9th 2006" xfId="284" xr:uid="{00000000-0005-0000-0000-000033090000}"/>
    <cellStyle name="_Bogra" xfId="285" xr:uid="{00000000-0005-0000-0000-000034090000}"/>
    <cellStyle name="_Book1 (3)" xfId="286" xr:uid="{00000000-0005-0000-0000-000035090000}"/>
    <cellStyle name="_Book4" xfId="287" xr:uid="{00000000-0005-0000-0000-000036090000}"/>
    <cellStyle name="_BOQ " xfId="288" xr:uid="{00000000-0005-0000-0000-000037090000}"/>
    <cellStyle name="_BOQ  2" xfId="289" xr:uid="{00000000-0005-0000-0000-000038090000}"/>
    <cellStyle name="_BOQ  2 2" xfId="290" xr:uid="{00000000-0005-0000-0000-000039090000}"/>
    <cellStyle name="_BOQ  3" xfId="291" xr:uid="{00000000-0005-0000-0000-00003A090000}"/>
    <cellStyle name="_BOQ for test equipment20080303" xfId="292" xr:uid="{00000000-0005-0000-0000-00003B090000}"/>
    <cellStyle name="_BOQ for test equipment20080303 2" xfId="293" xr:uid="{00000000-0005-0000-0000-00003C090000}"/>
    <cellStyle name="_BOQ for test equipment20080303 2 2" xfId="294" xr:uid="{00000000-0005-0000-0000-00003D090000}"/>
    <cellStyle name="_BOQ for test equipment20080303 3" xfId="295" xr:uid="{00000000-0005-0000-0000-00003E090000}"/>
    <cellStyle name="_BOQ of MOH Project六折" xfId="296" xr:uid="{00000000-0005-0000-0000-00003F090000}"/>
    <cellStyle name="_BOQ of Power Supply" xfId="297" xr:uid="{00000000-0005-0000-0000-000040090000}"/>
    <cellStyle name="_BOQ-NEW SCENARIO(MW)" xfId="298" xr:uid="{00000000-0005-0000-0000-000041090000}"/>
    <cellStyle name="_BOQ-NEW SCENARIO(MW) 2" xfId="299" xr:uid="{00000000-0005-0000-0000-000042090000}"/>
    <cellStyle name="_BOQ-NEW SCENARIO(MW) 2 2" xfId="300" xr:uid="{00000000-0005-0000-0000-000043090000}"/>
    <cellStyle name="_BOQ-NEW SCENARIO(MW) 3" xfId="301" xr:uid="{00000000-0005-0000-0000-000044090000}"/>
    <cellStyle name="_BP 2 - Best for scenarios" xfId="302" xr:uid="{00000000-0005-0000-0000-000045090000}"/>
    <cellStyle name="_BP 2 - Best for scenarios_BellTel MS RFP Annex 7 Pricing Template 081312" xfId="303" xr:uid="{00000000-0005-0000-0000-000046090000}"/>
    <cellStyle name="_Breakdown" xfId="304" xr:uid="{00000000-0005-0000-0000-000047090000}"/>
    <cellStyle name="_Breakdown 2" xfId="305" xr:uid="{00000000-0005-0000-0000-000048090000}"/>
    <cellStyle name="_Breakdown 2 2" xfId="306" xr:uid="{00000000-0005-0000-0000-000049090000}"/>
    <cellStyle name="_Breakdown 2 2 2" xfId="307" xr:uid="{00000000-0005-0000-0000-00004A090000}"/>
    <cellStyle name="_Breakdown 2 3" xfId="308" xr:uid="{00000000-0005-0000-0000-00004B090000}"/>
    <cellStyle name="_Breakdown 3" xfId="309" xr:uid="{00000000-0005-0000-0000-00004C090000}"/>
    <cellStyle name="_Breakdown 3 2" xfId="310" xr:uid="{00000000-0005-0000-0000-00004D090000}"/>
    <cellStyle name="_Breakdown 4" xfId="311" xr:uid="{00000000-0005-0000-0000-00004E090000}"/>
    <cellStyle name="_Breakdown 4 2" xfId="312" xr:uid="{00000000-0005-0000-0000-00004F090000}"/>
    <cellStyle name="_Breakdown 5" xfId="313" xr:uid="{00000000-0005-0000-0000-000050090000}"/>
    <cellStyle name="_Breakdown 5 2" xfId="314" xr:uid="{00000000-0005-0000-0000-000051090000}"/>
    <cellStyle name="_Breakdown 6" xfId="315" xr:uid="{00000000-0005-0000-0000-000052090000}"/>
    <cellStyle name="_Breakdown 6 2" xfId="316" xr:uid="{00000000-0005-0000-0000-000053090000}"/>
    <cellStyle name="_Breakdown 7" xfId="317" xr:uid="{00000000-0005-0000-0000-000054090000}"/>
    <cellStyle name="_Breakdown 7 2" xfId="318" xr:uid="{00000000-0005-0000-0000-000055090000}"/>
    <cellStyle name="_Breakdown 8" xfId="319" xr:uid="{00000000-0005-0000-0000-000056090000}"/>
    <cellStyle name="_Broadcasting - Sama CAPEX 2006 - v 1 0" xfId="320" xr:uid="{00000000-0005-0000-0000-000057090000}"/>
    <cellStyle name="_Broadcasting - Sama CAPEX 2006 - v 1 0_BellTel MS RFP Annex 7 Pricing Template 081312" xfId="321" xr:uid="{00000000-0005-0000-0000-000058090000}"/>
    <cellStyle name="_BS Analysis opening balances" xfId="322" xr:uid="{00000000-0005-0000-0000-000059090000}"/>
    <cellStyle name="_BSC6600????20060319001" xfId="323" xr:uid="{00000000-0005-0000-0000-00005A090000}"/>
    <cellStyle name="_BSC6600报价模板20060319001" xfId="324" xr:uid="{00000000-0005-0000-0000-00005B090000}"/>
    <cellStyle name="_BSC6680????????????" xfId="325" xr:uid="{00000000-0005-0000-0000-00005C090000}"/>
    <cellStyle name="_BSC6680报价模型（对比四川搬迁）" xfId="326" xr:uid="{00000000-0005-0000-0000-00005D090000}"/>
    <cellStyle name="_Budget MS@ericsson Hutch with PO data April 19" xfId="327" xr:uid="{00000000-0005-0000-0000-00005E090000}"/>
    <cellStyle name="_Budget MS@ericsson Hutch with PO data April 23" xfId="328" xr:uid="{00000000-0005-0000-0000-00005F090000}"/>
    <cellStyle name="_Budget Q2 analysis-Emdad 240207 V02" xfId="329" xr:uid="{00000000-0005-0000-0000-000060090000}"/>
    <cellStyle name="_Budget Q2 analysis-Emdad 240207 V02 2" xfId="330" xr:uid="{00000000-0005-0000-0000-000061090000}"/>
    <cellStyle name="_BUGS Target 2009 (4rd cut) (5)" xfId="331" xr:uid="{00000000-0005-0000-0000-000062090000}"/>
    <cellStyle name="_BUGS Target 2009 (4rd cut) (5)_GTT-Cost-Telin-PA01" xfId="332" xr:uid="{00000000-0005-0000-0000-000063090000}"/>
    <cellStyle name="_Calling Minutes  Subscriber Growth (Week1 to 15)-Tech" xfId="333" xr:uid="{00000000-0005-0000-0000-000064090000}"/>
    <cellStyle name="_Calling Minutes  Subscriber Growth (Week1 to 15)-Tech 2" xfId="334" xr:uid="{00000000-0005-0000-0000-000065090000}"/>
    <cellStyle name="_Capacity" xfId="335" xr:uid="{00000000-0005-0000-0000-000066090000}"/>
    <cellStyle name="_Capacity 2" xfId="336" xr:uid="{00000000-0005-0000-0000-000067090000}"/>
    <cellStyle name="_Capacity 2 2" xfId="337" xr:uid="{00000000-0005-0000-0000-000068090000}"/>
    <cellStyle name="_Capacity 2 2 2" xfId="338" xr:uid="{00000000-0005-0000-0000-000069090000}"/>
    <cellStyle name="_Capacity 2 3" xfId="339" xr:uid="{00000000-0005-0000-0000-00006A090000}"/>
    <cellStyle name="_Capacity 3" xfId="340" xr:uid="{00000000-0005-0000-0000-00006B090000}"/>
    <cellStyle name="_Capacity 3 2" xfId="341" xr:uid="{00000000-0005-0000-0000-00006C090000}"/>
    <cellStyle name="_Capacity 3 2 2" xfId="342" xr:uid="{00000000-0005-0000-0000-00006D090000}"/>
    <cellStyle name="_Capacity 3 3" xfId="343" xr:uid="{00000000-0005-0000-0000-00006E090000}"/>
    <cellStyle name="_Capacity 4" xfId="344" xr:uid="{00000000-0005-0000-0000-00006F090000}"/>
    <cellStyle name="_Capacity 4 2" xfId="345" xr:uid="{00000000-0005-0000-0000-000070090000}"/>
    <cellStyle name="_Capacity 5" xfId="346" xr:uid="{00000000-0005-0000-0000-000071090000}"/>
    <cellStyle name="_Capacity graph and others" xfId="347" xr:uid="{00000000-0005-0000-0000-000072090000}"/>
    <cellStyle name="_Capacity graph and others 2" xfId="348" xr:uid="{00000000-0005-0000-0000-000073090000}"/>
    <cellStyle name="_Capex and revenue v2" xfId="349" xr:uid="{00000000-0005-0000-0000-000074090000}"/>
    <cellStyle name="_Capex and revenue v2 2" xfId="350" xr:uid="{00000000-0005-0000-0000-000075090000}"/>
    <cellStyle name="_Capex Template Technology (31.07.06)" xfId="351" xr:uid="{00000000-0005-0000-0000-000076090000}"/>
    <cellStyle name="_CAT Revised BP_Base Case_v6.8" xfId="352" xr:uid="{00000000-0005-0000-0000-000077090000}"/>
    <cellStyle name="_CBS TT PA1 220131" xfId="353" xr:uid="{00000000-0005-0000-0000-000078090000}"/>
    <cellStyle name="_CC &amp; Billing Forecast 2006 (07.08.06)" xfId="354" xr:uid="{00000000-0005-0000-0000-000079090000}"/>
    <cellStyle name="_CEO's Reforecast Submission (07.08.06)" xfId="355" xr:uid="{00000000-0005-0000-0000-00007A090000}"/>
    <cellStyle name="_CNW Capacity" xfId="356" xr:uid="{00000000-0005-0000-0000-00007B090000}"/>
    <cellStyle name="_CNW Capacity 2" xfId="357" xr:uid="{00000000-0005-0000-0000-00007C090000}"/>
    <cellStyle name="_CNW Capacity 2 2" xfId="358" xr:uid="{00000000-0005-0000-0000-00007D090000}"/>
    <cellStyle name="_CNW Capacity 2 2 2" xfId="359" xr:uid="{00000000-0005-0000-0000-00007E090000}"/>
    <cellStyle name="_CNW Capacity 2 3" xfId="360" xr:uid="{00000000-0005-0000-0000-00007F090000}"/>
    <cellStyle name="_CNW Capacity 3" xfId="361" xr:uid="{00000000-0005-0000-0000-000080090000}"/>
    <cellStyle name="_CNW Capacity 3 2" xfId="362" xr:uid="{00000000-0005-0000-0000-000081090000}"/>
    <cellStyle name="_CNW Capacity 3 2 2" xfId="363" xr:uid="{00000000-0005-0000-0000-000082090000}"/>
    <cellStyle name="_CNW Capacity 3 3" xfId="364" xr:uid="{00000000-0005-0000-0000-000083090000}"/>
    <cellStyle name="_CNW Capacity 4" xfId="365" xr:uid="{00000000-0005-0000-0000-000084090000}"/>
    <cellStyle name="_CNW Capacity 4 2" xfId="366" xr:uid="{00000000-0005-0000-0000-000085090000}"/>
    <cellStyle name="_CNW Capacity 5" xfId="367" xr:uid="{00000000-0005-0000-0000-000086090000}"/>
    <cellStyle name="_Comparison" xfId="368" xr:uid="{00000000-0005-0000-0000-000087090000}"/>
    <cellStyle name="_Comparison 2" xfId="369" xr:uid="{00000000-0005-0000-0000-000088090000}"/>
    <cellStyle name="_Comparison 2 2" xfId="370" xr:uid="{00000000-0005-0000-0000-000089090000}"/>
    <cellStyle name="_Comparison 3" xfId="371" xr:uid="{00000000-0005-0000-0000-00008A090000}"/>
    <cellStyle name="_Configurations" xfId="372" xr:uid="{00000000-0005-0000-0000-00008B090000}"/>
    <cellStyle name="_Configurations 2" xfId="373" xr:uid="{00000000-0005-0000-0000-00008C090000}"/>
    <cellStyle name="_Configurations 2_Discounts(Ran)" xfId="374" xr:uid="{00000000-0005-0000-0000-00008D090000}"/>
    <cellStyle name="_Configurations 3" xfId="375" xr:uid="{00000000-0005-0000-0000-00008E090000}"/>
    <cellStyle name="_Configurations 4" xfId="376" xr:uid="{00000000-0005-0000-0000-00008F090000}"/>
    <cellStyle name="_Configurations_?????100912_??" xfId="377" xr:uid="{00000000-0005-0000-0000-000090090000}"/>
    <cellStyle name="_Configurations_091028 HUA Annex 27 RAN Submission 7_correct_service" xfId="378" xr:uid="{00000000-0005-0000-0000-000091090000}"/>
    <cellStyle name="_Configurations_20100406 Annex 27 RAN summary tables Excel 2003" xfId="379" xr:uid="{00000000-0005-0000-0000-000092090000}"/>
    <cellStyle name="_Configurations_A27_Part 2_Price v2.1 20101007 with CS linking" xfId="380" xr:uid="{00000000-0005-0000-0000-000093090000}"/>
    <cellStyle name="_Configurations_Annex 27 Part 2 Prices 01092010 linking CS" xfId="381" xr:uid="{00000000-0005-0000-0000-000094090000}"/>
    <cellStyle name="_Configurations_Annex 27 Part 2 Prices 01092010 VAS" xfId="382" xr:uid="{00000000-0005-0000-0000-000095090000}"/>
    <cellStyle name="_Configurations_Annex 27 Part 2 Prices 0913" xfId="383" xr:uid="{00000000-0005-0000-0000-000096090000}"/>
    <cellStyle name="_Configurations_Annex 27 Part 2 Prices 0914" xfId="384" xr:uid="{00000000-0005-0000-0000-000097090000}"/>
    <cellStyle name="_Configurations_Annex 27 Part 2 Prices-0919-10" xfId="385" xr:uid="{00000000-0005-0000-0000-000098090000}"/>
    <cellStyle name="_Configurations_Annex 27 Part 2 Prices-2010.09.17-V1.0" xfId="386" xr:uid="{00000000-0005-0000-0000-000099090000}"/>
    <cellStyle name="_Configurations_BoQ-Bill of Quantity" xfId="387" xr:uid="{00000000-0005-0000-0000-00009A090000}"/>
    <cellStyle name="_Configurations_Discounts(Ran)" xfId="388" xr:uid="{00000000-0005-0000-0000-00009B090000}"/>
    <cellStyle name="_Configurations_Optical" xfId="389" xr:uid="{00000000-0005-0000-0000-00009C090000}"/>
    <cellStyle name="_Configurations_无线侧数量100912_崔静" xfId="390" xr:uid="{00000000-0005-0000-0000-00009D090000}"/>
    <cellStyle name="_Consolidated--2006Budget-V1" xfId="391" xr:uid="{00000000-0005-0000-0000-00009E090000}"/>
    <cellStyle name="_Consolidated--2006Budget-V1 (07.05.06)" xfId="392" xr:uid="{00000000-0005-0000-0000-00009F090000}"/>
    <cellStyle name="_Consolidated--2006Budget-V1 (07.05.06)vinz working file" xfId="393" xr:uid="{00000000-0005-0000-0000-0000A0090000}"/>
    <cellStyle name="_Consolidated--2006Budget-V1 (09.04.06)" xfId="394" xr:uid="{00000000-0005-0000-0000-0000A1090000}"/>
    <cellStyle name="_Consolidated--2006Budget-V1 (Raj)" xfId="395" xr:uid="{00000000-0005-0000-0000-0000A2090000}"/>
    <cellStyle name="_Consolidated--2006Budget-V1 (Raj)_BellTel MS RFP Annex 7 Pricing Template 081312" xfId="396" xr:uid="{00000000-0005-0000-0000-0000A3090000}"/>
    <cellStyle name="_Consumer Budget Aug" xfId="397" xr:uid="{00000000-0005-0000-0000-0000A4090000}"/>
    <cellStyle name="_Consumer_Sales_Re-Forecast-(07.08.07)-MC_updated from mats" xfId="398" xr:uid="{00000000-0005-0000-0000-0000A5090000}"/>
    <cellStyle name="_Copy of Latest hrly rate per sites" xfId="399" xr:uid="{00000000-0005-0000-0000-0000A6090000}"/>
    <cellStyle name="_Copy of Mobile Capex Template - Reforecast 2006 bh (2)" xfId="400" xr:uid="{00000000-0005-0000-0000-0000A7090000}"/>
    <cellStyle name="_Copy of Q3 Budget data- Network- Final2" xfId="401" xr:uid="{00000000-0005-0000-0000-0000A8090000}"/>
    <cellStyle name="_Copy of Q3 Budget data- Network- Final2 2" xfId="402" xr:uid="{00000000-0005-0000-0000-0000A9090000}"/>
    <cellStyle name="_Copy of Region wise core resources" xfId="403" xr:uid="{00000000-0005-0000-0000-0000AA090000}"/>
    <cellStyle name="_Copy of Region wise core resources 2" xfId="404" xr:uid="{00000000-0005-0000-0000-0000AB090000}"/>
    <cellStyle name="_Core &amp;Sub base" xfId="405" xr:uid="{00000000-0005-0000-0000-0000AC090000}"/>
    <cellStyle name="_Core &amp;Sub base 2" xfId="406" xr:uid="{00000000-0005-0000-0000-0000AD090000}"/>
    <cellStyle name="_core budget forecast 2007" xfId="407" xr:uid="{00000000-0005-0000-0000-0000AE090000}"/>
    <cellStyle name="_Corp Affa - Ref Submission (07.08.06))" xfId="408" xr:uid="{00000000-0005-0000-0000-0000AF090000}"/>
    <cellStyle name="_Corporate Comms Reforecast Submission (06.08.06)" xfId="409" xr:uid="{00000000-0005-0000-0000-0000B0090000}"/>
    <cellStyle name="_Cost - Part E - Unit Costs for Civil Work v1.0 6-NOV" xfId="410" xr:uid="{00000000-0005-0000-0000-0000B1090000}"/>
    <cellStyle name="_Cost Sheet - LG-CDMA NEPAL" xfId="411" xr:uid="{00000000-0005-0000-0000-0000B2090000}"/>
    <cellStyle name="_Cost Sheet - LG-CDMA NEPAL 2" xfId="412" xr:uid="{00000000-0005-0000-0000-0000B3090000}"/>
    <cellStyle name="_Cost Sheet - LG-CDMA NEPAL 2 2" xfId="413" xr:uid="{00000000-0005-0000-0000-0000B4090000}"/>
    <cellStyle name="_Cost Sheet - LG-CDMA NEPAL 3" xfId="414" xr:uid="{00000000-0005-0000-0000-0000B5090000}"/>
    <cellStyle name="_Cost Sheet - LG-CDMA NEPAL 3 2" xfId="415" xr:uid="{00000000-0005-0000-0000-0000B6090000}"/>
    <cellStyle name="_Cost Sheet - LG-CDMA NEPAL 4" xfId="416" xr:uid="{00000000-0005-0000-0000-0000B7090000}"/>
    <cellStyle name="_Cost Sheet - LG-CDMA NEPAL_NE -PL-29.09.03-rev" xfId="417" xr:uid="{00000000-0005-0000-0000-0000B8090000}"/>
    <cellStyle name="_Cost Sheet - LG-CDMA NEPAL_NE -PL-29.09.03-rev 2" xfId="418" xr:uid="{00000000-0005-0000-0000-0000B9090000}"/>
    <cellStyle name="_Cost Sheet - LG-CDMA NEPAL_NE -PL-29.09.03-rev 2 2" xfId="419" xr:uid="{00000000-0005-0000-0000-0000BA090000}"/>
    <cellStyle name="_Cost Sheet - LG-CDMA NEPAL_NE -PL-29.09.03-rev 3" xfId="420" xr:uid="{00000000-0005-0000-0000-0000BB090000}"/>
    <cellStyle name="_Cost Sheet - LG-CDMA NEPAL_NE -PL-29.09.03-rev 3 2" xfId="421" xr:uid="{00000000-0005-0000-0000-0000BC090000}"/>
    <cellStyle name="_Cost Sheet - LG-CDMA NEPAL_NE -PL-29.09.03-rev 4" xfId="422" xr:uid="{00000000-0005-0000-0000-0000BD090000}"/>
    <cellStyle name="_Cost Sheet - LG-CDMA NEPAL_P  L - BTS Installation in Nepal-Rev D" xfId="423" xr:uid="{00000000-0005-0000-0000-0000BE090000}"/>
    <cellStyle name="_Cost Sheet - LG-CDMA NEPAL_P  L - BTS Installation in Nepal-Rev D 2" xfId="424" xr:uid="{00000000-0005-0000-0000-0000BF090000}"/>
    <cellStyle name="_Cost Sheet - LG-CDMA NEPAL_P  L - BTS Installation in Nepal-Rev D 2 2" xfId="425" xr:uid="{00000000-0005-0000-0000-0000C0090000}"/>
    <cellStyle name="_Cost Sheet - LG-CDMA NEPAL_P  L - BTS Installation in Nepal-Rev D 3" xfId="426" xr:uid="{00000000-0005-0000-0000-0000C1090000}"/>
    <cellStyle name="_Cost Sheet - LG-CDMA NEPAL_P  L - BTS Installation in Nepal-Rev D 3 2" xfId="427" xr:uid="{00000000-0005-0000-0000-0000C2090000}"/>
    <cellStyle name="_Cost Sheet - LG-CDMA NEPAL_P  L - BTS Installation in Nepal-Rev D 4" xfId="428" xr:uid="{00000000-0005-0000-0000-0000C3090000}"/>
    <cellStyle name="_Cost Sheet - LG-CDMA NEPAL_P&amp;L-PHASE2-LG-NEPAL(REV)" xfId="429" xr:uid="{00000000-0005-0000-0000-0000C4090000}"/>
    <cellStyle name="_Cost Sheet - LG-CDMA NEPAL_P&amp;L-PHASE2-LG-NEPAL(REV) 2" xfId="430" xr:uid="{00000000-0005-0000-0000-0000C5090000}"/>
    <cellStyle name="_Cost Sheet - LG-CDMA NEPAL_P&amp;L-PHASE2-LG-NEPAL(REV) 2 2" xfId="431" xr:uid="{00000000-0005-0000-0000-0000C6090000}"/>
    <cellStyle name="_Cost Sheet - LG-CDMA NEPAL_P&amp;L-PHASE2-LG-NEPAL(REV) 3" xfId="432" xr:uid="{00000000-0005-0000-0000-0000C7090000}"/>
    <cellStyle name="_Cost Sheet - LG-CDMA NEPAL_P&amp;L-PHASE2-LG-NEPAL(REV) 3 2" xfId="433" xr:uid="{00000000-0005-0000-0000-0000C8090000}"/>
    <cellStyle name="_Cost Sheet - LG-CDMA NEPAL_P&amp;L-PHASE2-LG-NEPAL(REV) 4" xfId="434" xr:uid="{00000000-0005-0000-0000-0000C9090000}"/>
    <cellStyle name="_Cover" xfId="435" xr:uid="{00000000-0005-0000-0000-0000CA090000}"/>
    <cellStyle name="_Cover 2" xfId="436" xr:uid="{00000000-0005-0000-0000-0000CB090000}"/>
    <cellStyle name="_Cover 2 2" xfId="437" xr:uid="{00000000-0005-0000-0000-0000CC090000}"/>
    <cellStyle name="_Cover 3" xfId="438" xr:uid="{00000000-0005-0000-0000-0000CD090000}"/>
    <cellStyle name="_Data" xfId="439" xr:uid="{00000000-0005-0000-0000-0000CE090000}"/>
    <cellStyle name="_Data 2" xfId="440" xr:uid="{00000000-0005-0000-0000-0000CF090000}"/>
    <cellStyle name="_Data 2 2" xfId="441" xr:uid="{00000000-0005-0000-0000-0000D0090000}"/>
    <cellStyle name="_Data 2 2 2" xfId="442" xr:uid="{00000000-0005-0000-0000-0000D1090000}"/>
    <cellStyle name="_Data 2 3" xfId="443" xr:uid="{00000000-0005-0000-0000-0000D2090000}"/>
    <cellStyle name="_Data 3" xfId="444" xr:uid="{00000000-0005-0000-0000-0000D3090000}"/>
    <cellStyle name="_Data 3 2" xfId="445" xr:uid="{00000000-0005-0000-0000-0000D4090000}"/>
    <cellStyle name="_Data 3 2 2" xfId="446" xr:uid="{00000000-0005-0000-0000-0000D5090000}"/>
    <cellStyle name="_Data 3 3" xfId="447" xr:uid="{00000000-0005-0000-0000-0000D6090000}"/>
    <cellStyle name="_Data 4" xfId="448" xr:uid="{00000000-0005-0000-0000-0000D7090000}"/>
    <cellStyle name="_Data 4 2" xfId="449" xr:uid="{00000000-0005-0000-0000-0000D8090000}"/>
    <cellStyle name="_Data 5" xfId="450" xr:uid="{00000000-0005-0000-0000-0000D9090000}"/>
    <cellStyle name="_Database" xfId="451" xr:uid="{00000000-0005-0000-0000-0000DA090000}"/>
    <cellStyle name="_Database 2" xfId="452" xr:uid="{00000000-0005-0000-0000-0000DB090000}"/>
    <cellStyle name="_Database 2 2" xfId="453" xr:uid="{00000000-0005-0000-0000-0000DC090000}"/>
    <cellStyle name="_Database 3" xfId="454" xr:uid="{00000000-0005-0000-0000-0000DD090000}"/>
    <cellStyle name="_Dec'07_W49" xfId="455" xr:uid="{00000000-0005-0000-0000-0000DE090000}"/>
    <cellStyle name="_Dec'07_W49 2" xfId="456" xr:uid="{00000000-0005-0000-0000-0000DF090000}"/>
    <cellStyle name="_Dec'07_W49 2 2" xfId="457" xr:uid="{00000000-0005-0000-0000-0000E0090000}"/>
    <cellStyle name="_Dec'07_W49 2 2 2" xfId="458" xr:uid="{00000000-0005-0000-0000-0000E1090000}"/>
    <cellStyle name="_Dec'07_W49 2 3" xfId="459" xr:uid="{00000000-0005-0000-0000-0000E2090000}"/>
    <cellStyle name="_Dec'07_W49 3" xfId="460" xr:uid="{00000000-0005-0000-0000-0000E3090000}"/>
    <cellStyle name="_Dec'07_W49 3 2" xfId="461" xr:uid="{00000000-0005-0000-0000-0000E4090000}"/>
    <cellStyle name="_Dec'07_W49 3 2 2" xfId="462" xr:uid="{00000000-0005-0000-0000-0000E5090000}"/>
    <cellStyle name="_Dec'07_W49 3 3" xfId="463" xr:uid="{00000000-0005-0000-0000-0000E6090000}"/>
    <cellStyle name="_Dec'07_W49 4" xfId="464" xr:uid="{00000000-0005-0000-0000-0000E7090000}"/>
    <cellStyle name="_Dec'07_W49 4 2" xfId="465" xr:uid="{00000000-0005-0000-0000-0000E8090000}"/>
    <cellStyle name="_Dec'07_W49 5" xfId="466" xr:uid="{00000000-0005-0000-0000-0000E9090000}"/>
    <cellStyle name="_Dec'07_W51" xfId="467" xr:uid="{00000000-0005-0000-0000-0000EA090000}"/>
    <cellStyle name="_Dec'07_W51 2" xfId="468" xr:uid="{00000000-0005-0000-0000-0000EB090000}"/>
    <cellStyle name="_Dec'07_W51 2 2" xfId="469" xr:uid="{00000000-0005-0000-0000-0000EC090000}"/>
    <cellStyle name="_Dec'07_W51 2 2 2" xfId="470" xr:uid="{00000000-0005-0000-0000-0000ED090000}"/>
    <cellStyle name="_Dec'07_W51 2 3" xfId="471" xr:uid="{00000000-0005-0000-0000-0000EE090000}"/>
    <cellStyle name="_Dec'07_W51 3" xfId="472" xr:uid="{00000000-0005-0000-0000-0000EF090000}"/>
    <cellStyle name="_Dec'07_W51 3 2" xfId="473" xr:uid="{00000000-0005-0000-0000-0000F0090000}"/>
    <cellStyle name="_Dec'07_W51 3 2 2" xfId="474" xr:uid="{00000000-0005-0000-0000-0000F1090000}"/>
    <cellStyle name="_Dec'07_W51 3 3" xfId="475" xr:uid="{00000000-0005-0000-0000-0000F2090000}"/>
    <cellStyle name="_Dec'07_W51 4" xfId="476" xr:uid="{00000000-0005-0000-0000-0000F3090000}"/>
    <cellStyle name="_Dec'07_W51 4 2" xfId="477" xr:uid="{00000000-0005-0000-0000-0000F4090000}"/>
    <cellStyle name="_Dec'07_W51 5" xfId="478" xr:uid="{00000000-0005-0000-0000-0000F5090000}"/>
    <cellStyle name="_Dec07'_W52" xfId="479" xr:uid="{00000000-0005-0000-0000-0000F6090000}"/>
    <cellStyle name="_Dec07'_W52 2" xfId="480" xr:uid="{00000000-0005-0000-0000-0000F7090000}"/>
    <cellStyle name="_Dec07'_W52 2 2" xfId="481" xr:uid="{00000000-0005-0000-0000-0000F8090000}"/>
    <cellStyle name="_Dec07'_W52 2 2 2" xfId="482" xr:uid="{00000000-0005-0000-0000-0000F9090000}"/>
    <cellStyle name="_Dec07'_W52 2 3" xfId="483" xr:uid="{00000000-0005-0000-0000-0000FA090000}"/>
    <cellStyle name="_Dec07'_W52 3" xfId="484" xr:uid="{00000000-0005-0000-0000-0000FB090000}"/>
    <cellStyle name="_Dec07'_W52 3 2" xfId="485" xr:uid="{00000000-0005-0000-0000-0000FC090000}"/>
    <cellStyle name="_Dec07'_W52 3 2 2" xfId="486" xr:uid="{00000000-0005-0000-0000-0000FD090000}"/>
    <cellStyle name="_Dec07'_W52 3 3" xfId="487" xr:uid="{00000000-0005-0000-0000-0000FE090000}"/>
    <cellStyle name="_Dec07'_W52 4" xfId="488" xr:uid="{00000000-0005-0000-0000-0000FF090000}"/>
    <cellStyle name="_Dec07'_W52 4 2" xfId="489" xr:uid="{00000000-0005-0000-0000-0000000A0000}"/>
    <cellStyle name="_Dec07'_W52 5" xfId="490" xr:uid="{00000000-0005-0000-0000-0000010A0000}"/>
    <cellStyle name="_Details" xfId="491" xr:uid="{00000000-0005-0000-0000-0000020A0000}"/>
    <cellStyle name="_Details 2" xfId="492" xr:uid="{00000000-0005-0000-0000-0000030A0000}"/>
    <cellStyle name="_Details 2 2" xfId="493" xr:uid="{00000000-0005-0000-0000-0000040A0000}"/>
    <cellStyle name="_Details 2 2 2" xfId="494" xr:uid="{00000000-0005-0000-0000-0000050A0000}"/>
    <cellStyle name="_Details 2 3" xfId="495" xr:uid="{00000000-0005-0000-0000-0000060A0000}"/>
    <cellStyle name="_Details 3" xfId="496" xr:uid="{00000000-0005-0000-0000-0000070A0000}"/>
    <cellStyle name="_Details 4" xfId="497" xr:uid="{00000000-0005-0000-0000-0000080A0000}"/>
    <cellStyle name="_Details_1" xfId="498" xr:uid="{00000000-0005-0000-0000-0000090A0000}"/>
    <cellStyle name="_Details_1 2" xfId="499" xr:uid="{00000000-0005-0000-0000-00000A0A0000}"/>
    <cellStyle name="_Details_1 2 2" xfId="500" xr:uid="{00000000-0005-0000-0000-00000B0A0000}"/>
    <cellStyle name="_Details_1 3" xfId="501" xr:uid="{00000000-0005-0000-0000-00000C0A0000}"/>
    <cellStyle name="_Details_Investment" xfId="502" xr:uid="{00000000-0005-0000-0000-00000D0A0000}"/>
    <cellStyle name="_Details_Investment 2" xfId="503" xr:uid="{00000000-0005-0000-0000-00000E0A0000}"/>
    <cellStyle name="_Details_Investment 2 2" xfId="504" xr:uid="{00000000-0005-0000-0000-00000F0A0000}"/>
    <cellStyle name="_Details_Investment 2 2 2" xfId="505" xr:uid="{00000000-0005-0000-0000-0000100A0000}"/>
    <cellStyle name="_Details_Investment 2 3" xfId="506" xr:uid="{00000000-0005-0000-0000-0000110A0000}"/>
    <cellStyle name="_Details_Investment 3" xfId="507" xr:uid="{00000000-0005-0000-0000-0000120A0000}"/>
    <cellStyle name="_Details_Investment 4" xfId="508" xr:uid="{00000000-0005-0000-0000-0000130A0000}"/>
    <cellStyle name="_Details_Sheet3" xfId="509" xr:uid="{00000000-0005-0000-0000-0000140A0000}"/>
    <cellStyle name="_Details_Sheet3 2" xfId="510" xr:uid="{00000000-0005-0000-0000-0000150A0000}"/>
    <cellStyle name="_Details_Sheet3 2 2" xfId="511" xr:uid="{00000000-0005-0000-0000-0000160A0000}"/>
    <cellStyle name="_Details_Sheet3 3" xfId="512" xr:uid="{00000000-0005-0000-0000-0000170A0000}"/>
    <cellStyle name="_Details_Summary" xfId="513" xr:uid="{00000000-0005-0000-0000-0000180A0000}"/>
    <cellStyle name="_Details_Summary 2" xfId="514" xr:uid="{00000000-0005-0000-0000-0000190A0000}"/>
    <cellStyle name="_Details_Summary 2 2" xfId="515" xr:uid="{00000000-0005-0000-0000-00001A0A0000}"/>
    <cellStyle name="_Details_Summary 2 2 2" xfId="516" xr:uid="{00000000-0005-0000-0000-00001B0A0000}"/>
    <cellStyle name="_Details_Summary 2 3" xfId="517" xr:uid="{00000000-0005-0000-0000-00001C0A0000}"/>
    <cellStyle name="_Details_Summary 3" xfId="518" xr:uid="{00000000-0005-0000-0000-00001D0A0000}"/>
    <cellStyle name="_Details_Summary 4" xfId="519" xr:uid="{00000000-0005-0000-0000-00001E0A0000}"/>
    <cellStyle name="_District wise GF" xfId="520" xr:uid="{00000000-0005-0000-0000-00001F0A0000}"/>
    <cellStyle name="_District wise GF 2" xfId="521" xr:uid="{00000000-0005-0000-0000-0000200A0000}"/>
    <cellStyle name="_District wise GF 2 2" xfId="522" xr:uid="{00000000-0005-0000-0000-0000210A0000}"/>
    <cellStyle name="_District wise GF 2 2 2" xfId="523" xr:uid="{00000000-0005-0000-0000-0000220A0000}"/>
    <cellStyle name="_District wise GF 2 3" xfId="524" xr:uid="{00000000-0005-0000-0000-0000230A0000}"/>
    <cellStyle name="_District wise GF 3" xfId="525" xr:uid="{00000000-0005-0000-0000-0000240A0000}"/>
    <cellStyle name="_District wise GF 3 2" xfId="526" xr:uid="{00000000-0005-0000-0000-0000250A0000}"/>
    <cellStyle name="_District wise GF 3 2 2" xfId="527" xr:uid="{00000000-0005-0000-0000-0000260A0000}"/>
    <cellStyle name="_District wise GF 3 3" xfId="528" xr:uid="{00000000-0005-0000-0000-0000270A0000}"/>
    <cellStyle name="_District wise GF 4" xfId="529" xr:uid="{00000000-0005-0000-0000-0000280A0000}"/>
    <cellStyle name="_Divisional PL Dec'07 - IT (2)" xfId="530" xr:uid="{00000000-0005-0000-0000-0000290A0000}"/>
    <cellStyle name="_Document Structure for eA Full MS_pa3" xfId="531" xr:uid="{00000000-0005-0000-0000-00002A0A0000}"/>
    <cellStyle name="_Duty" xfId="532" xr:uid="{00000000-0005-0000-0000-00002B0A0000}"/>
    <cellStyle name="_Duty 2" xfId="533" xr:uid="{00000000-0005-0000-0000-00002C0A0000}"/>
    <cellStyle name="_Duty 2 2" xfId="534" xr:uid="{00000000-0005-0000-0000-00002D0A0000}"/>
    <cellStyle name="_Duty 3" xfId="535" xr:uid="{00000000-0005-0000-0000-00002E0A0000}"/>
    <cellStyle name="_Dynamic" xfId="536" xr:uid="{00000000-0005-0000-0000-00002F0A0000}"/>
    <cellStyle name="_Dynamic 2" xfId="537" xr:uid="{00000000-0005-0000-0000-0000300A0000}"/>
    <cellStyle name="_Dynamic 2 2" xfId="538" xr:uid="{00000000-0005-0000-0000-0000310A0000}"/>
    <cellStyle name="_Dynamic 2 2 2" xfId="539" xr:uid="{00000000-0005-0000-0000-0000320A0000}"/>
    <cellStyle name="_Dynamic 2 3" xfId="540" xr:uid="{00000000-0005-0000-0000-0000330A0000}"/>
    <cellStyle name="_Dynamic 3" xfId="541" xr:uid="{00000000-0005-0000-0000-0000340A0000}"/>
    <cellStyle name="_Dynamic 3 2" xfId="542" xr:uid="{00000000-0005-0000-0000-0000350A0000}"/>
    <cellStyle name="_Dynamic 4" xfId="543" xr:uid="{00000000-0005-0000-0000-0000360A0000}"/>
    <cellStyle name="_Dynamic 4 2" xfId="544" xr:uid="{00000000-0005-0000-0000-0000370A0000}"/>
    <cellStyle name="_Dynamic 5" xfId="545" xr:uid="{00000000-0005-0000-0000-0000380A0000}"/>
    <cellStyle name="_Dynamic 5 2" xfId="546" xr:uid="{00000000-0005-0000-0000-0000390A0000}"/>
    <cellStyle name="_Dynamic 6" xfId="547" xr:uid="{00000000-0005-0000-0000-00003A0A0000}"/>
    <cellStyle name="_Dynamic 6 2" xfId="548" xr:uid="{00000000-0005-0000-0000-00003B0A0000}"/>
    <cellStyle name="_Dynamic 7" xfId="549" xr:uid="{00000000-0005-0000-0000-00003C0A0000}"/>
    <cellStyle name="_Dynamic 7 2" xfId="550" xr:uid="{00000000-0005-0000-0000-00003D0A0000}"/>
    <cellStyle name="_Dynamic 8" xfId="551" xr:uid="{00000000-0005-0000-0000-00003E0A0000}"/>
    <cellStyle name="_eAccess Full MS HC KT" xfId="552" xr:uid="{00000000-0005-0000-0000-00003F0A0000}"/>
    <cellStyle name="_EACCESS NOC BC - WCDMA PA12" xfId="553" xr:uid="{00000000-0005-0000-0000-0000400A0000}"/>
    <cellStyle name="_Employee Cost" xfId="554" xr:uid="{00000000-0005-0000-0000-0000410A0000}"/>
    <cellStyle name="_Endorsement" xfId="555" xr:uid="{00000000-0005-0000-0000-0000420A0000}"/>
    <cellStyle name="_Endorsement 2" xfId="556" xr:uid="{00000000-0005-0000-0000-0000430A0000}"/>
    <cellStyle name="_Endorsement 2 2" xfId="557" xr:uid="{00000000-0005-0000-0000-0000440A0000}"/>
    <cellStyle name="_Endorsement 3" xfId="558" xr:uid="{00000000-0005-0000-0000-0000450A0000}"/>
    <cellStyle name="_Engineering Service Quotation for NTC 001250412008100608" xfId="559" xr:uid="{00000000-0005-0000-0000-0000460A0000}"/>
    <cellStyle name="_Engineering_Service_for_PTCL_BTS_Reinstallation_001250412009021901" xfId="560" xr:uid="{00000000-0005-0000-0000-0000470A0000}"/>
    <cellStyle name="_Enterprise-Major Account Sales-2006Budget-V2 9feb" xfId="561" xr:uid="{00000000-0005-0000-0000-0000480A0000}"/>
    <cellStyle name="_Enterprise-Major Account Sales-2006Budget-V2 9feb_Project Star - Business Plan v16" xfId="562" xr:uid="{00000000-0005-0000-0000-0000490A0000}"/>
    <cellStyle name="_Enterprise-Major Account Sales-2006Budget-V2 9feb_Project Star - Business Plan v6" xfId="563" xr:uid="{00000000-0005-0000-0000-00004A0A0000}"/>
    <cellStyle name="_Enterprise-Major Account Sales-2006Budget-V2 9feb_VASC Business Plan - April 17th 2009" xfId="564" xr:uid="{00000000-0005-0000-0000-00004B0A0000}"/>
    <cellStyle name="_Enterprise-SME Sales-2006Budget-V2 9feb" xfId="565" xr:uid="{00000000-0005-0000-0000-00004C0A0000}"/>
    <cellStyle name="_Enterprise-SME Sales-2006Budget-V2 9feb_Project Star - Business Plan v16" xfId="566" xr:uid="{00000000-0005-0000-0000-00004D0A0000}"/>
    <cellStyle name="_Enterprise-SME Sales-2006Budget-V2 9feb_Project Star - Business Plan v6" xfId="567" xr:uid="{00000000-0005-0000-0000-00004E0A0000}"/>
    <cellStyle name="_Enterprise-SME Sales-2006Budget-V2 9feb_VASC Business Plan - April 17th 2009" xfId="568" xr:uid="{00000000-0005-0000-0000-00004F0A0000}"/>
    <cellStyle name="_EVP Consumer Forecast 2006 (07.08.06)" xfId="569" xr:uid="{00000000-0005-0000-0000-0000500A0000}"/>
    <cellStyle name="_Executive Summary" xfId="570" xr:uid="{00000000-0005-0000-0000-0000510A0000}"/>
    <cellStyle name="_Executive Summary 2" xfId="571" xr:uid="{00000000-0005-0000-0000-0000520A0000}"/>
    <cellStyle name="_Executive Summary 2 2" xfId="572" xr:uid="{00000000-0005-0000-0000-0000530A0000}"/>
    <cellStyle name="_Executive Summary 3" xfId="573" xr:uid="{00000000-0005-0000-0000-0000540A0000}"/>
    <cellStyle name="_Fahmawai_Annex G - Bill of Quantity Template - priced v1" xfId="574" xr:uid="{00000000-0005-0000-0000-0000550A0000}"/>
    <cellStyle name="_Fahmawai_Annex G - Bill of Quantity Template - priced v1_BellTel MS RFP Annex 7 Pricing Template 081312" xfId="575" xr:uid="{00000000-0005-0000-0000-0000560A0000}"/>
    <cellStyle name="_FC03'-9 Option 1" xfId="576" xr:uid="{00000000-0005-0000-0000-0000570A0000}"/>
    <cellStyle name="_FC03'-9 Option 1 2" xfId="577" xr:uid="{00000000-0005-0000-0000-0000580A0000}"/>
    <cellStyle name="_FC03'-9 Option 1 2 2" xfId="578" xr:uid="{00000000-0005-0000-0000-0000590A0000}"/>
    <cellStyle name="_FC03'-9 Option 1 2 2 2" xfId="579" xr:uid="{00000000-0005-0000-0000-00005A0A0000}"/>
    <cellStyle name="_FC03'-9 Option 1 2 3" xfId="580" xr:uid="{00000000-0005-0000-0000-00005B0A0000}"/>
    <cellStyle name="_FC03'-9 Option 1 3" xfId="581" xr:uid="{00000000-0005-0000-0000-00005C0A0000}"/>
    <cellStyle name="_FC03'-9 Option 1 3 2" xfId="582" xr:uid="{00000000-0005-0000-0000-00005D0A0000}"/>
    <cellStyle name="_FC03'-9 Option 1 3 2 2" xfId="583" xr:uid="{00000000-0005-0000-0000-00005E0A0000}"/>
    <cellStyle name="_FC03'-9 Option 1 3 3" xfId="584" xr:uid="{00000000-0005-0000-0000-00005F0A0000}"/>
    <cellStyle name="_FC03'-9 Option 1 4" xfId="585" xr:uid="{00000000-0005-0000-0000-0000600A0000}"/>
    <cellStyle name="_FC03'-9 Option 1 4 2" xfId="586" xr:uid="{00000000-0005-0000-0000-0000610A0000}"/>
    <cellStyle name="_FC03'-9 Option 1 5" xfId="587" xr:uid="{00000000-0005-0000-0000-0000620A0000}"/>
    <cellStyle name="_FC2 Rev" xfId="588" xr:uid="{00000000-0005-0000-0000-0000630A0000}"/>
    <cellStyle name="_FC2 Rev 2" xfId="589" xr:uid="{00000000-0005-0000-0000-0000640A0000}"/>
    <cellStyle name="_FC2 Rev 2 2" xfId="590" xr:uid="{00000000-0005-0000-0000-0000650A0000}"/>
    <cellStyle name="_FC2 Rev 2 2 2" xfId="591" xr:uid="{00000000-0005-0000-0000-0000660A0000}"/>
    <cellStyle name="_FC2 Rev 2 3" xfId="592" xr:uid="{00000000-0005-0000-0000-0000670A0000}"/>
    <cellStyle name="_FC2 Rev 3" xfId="593" xr:uid="{00000000-0005-0000-0000-0000680A0000}"/>
    <cellStyle name="_FC2 Rev 3 2" xfId="594" xr:uid="{00000000-0005-0000-0000-0000690A0000}"/>
    <cellStyle name="_FC2 Rev 3 2 2" xfId="595" xr:uid="{00000000-0005-0000-0000-00006A0A0000}"/>
    <cellStyle name="_FC2 Rev 3 3" xfId="596" xr:uid="{00000000-0005-0000-0000-00006B0A0000}"/>
    <cellStyle name="_FC2 Rev 4" xfId="597" xr:uid="{00000000-0005-0000-0000-00006C0A0000}"/>
    <cellStyle name="_FC2 Rev 4 2" xfId="598" xr:uid="{00000000-0005-0000-0000-00006D0A0000}"/>
    <cellStyle name="_FC2 Rev 5" xfId="599" xr:uid="{00000000-0005-0000-0000-00006E0A0000}"/>
    <cellStyle name="_FC2'08 Evening Peak" xfId="600" xr:uid="{00000000-0005-0000-0000-00006F0A0000}"/>
    <cellStyle name="_FC2'08 Evening Peak 2" xfId="601" xr:uid="{00000000-0005-0000-0000-0000700A0000}"/>
    <cellStyle name="_FC2'08 Evening Peak 2 2" xfId="602" xr:uid="{00000000-0005-0000-0000-0000710A0000}"/>
    <cellStyle name="_FC2'08 Evening Peak 2 2 2" xfId="603" xr:uid="{00000000-0005-0000-0000-0000720A0000}"/>
    <cellStyle name="_FC2'08 Evening Peak 2 3" xfId="604" xr:uid="{00000000-0005-0000-0000-0000730A0000}"/>
    <cellStyle name="_FC2'08 Evening Peak 3" xfId="605" xr:uid="{00000000-0005-0000-0000-0000740A0000}"/>
    <cellStyle name="_FC2'08 Evening Peak 3 2" xfId="606" xr:uid="{00000000-0005-0000-0000-0000750A0000}"/>
    <cellStyle name="_FC2'08 Evening Peak 3 2 2" xfId="607" xr:uid="{00000000-0005-0000-0000-0000760A0000}"/>
    <cellStyle name="_FC2'08 Evening Peak 3 3" xfId="608" xr:uid="{00000000-0005-0000-0000-0000770A0000}"/>
    <cellStyle name="_FC2'08 Evening Peak 4" xfId="609" xr:uid="{00000000-0005-0000-0000-0000780A0000}"/>
    <cellStyle name="_FC2'08 Evening Peak 4 2" xfId="610" xr:uid="{00000000-0005-0000-0000-0000790A0000}"/>
    <cellStyle name="_FC2'08 Evening Peak 5" xfId="611" xr:uid="{00000000-0005-0000-0000-00007A0A0000}"/>
    <cellStyle name="_FF including ITP PA3" xfId="612" xr:uid="{00000000-0005-0000-0000-00007B0A0000}"/>
    <cellStyle name="_Finance Reforecast 2006" xfId="613" xr:uid="{00000000-0005-0000-0000-00007C0A0000}"/>
    <cellStyle name="_Flashcards" xfId="614" xr:uid="{00000000-0005-0000-0000-00007D0A0000}"/>
    <cellStyle name="_for presentation" xfId="615" xr:uid="{00000000-0005-0000-0000-00007E0A0000}"/>
    <cellStyle name="_for presentation 2" xfId="616" xr:uid="{00000000-0005-0000-0000-00007F0A0000}"/>
    <cellStyle name="_for presentation 2 2" xfId="617" xr:uid="{00000000-0005-0000-0000-0000800A0000}"/>
    <cellStyle name="_for presentation 2 2 2" xfId="618" xr:uid="{00000000-0005-0000-0000-0000810A0000}"/>
    <cellStyle name="_for presentation 2 3" xfId="619" xr:uid="{00000000-0005-0000-0000-0000820A0000}"/>
    <cellStyle name="_for presentation 3" xfId="620" xr:uid="{00000000-0005-0000-0000-0000830A0000}"/>
    <cellStyle name="_for presentation 3 2" xfId="621" xr:uid="{00000000-0005-0000-0000-0000840A0000}"/>
    <cellStyle name="_for presentation 4" xfId="622" xr:uid="{00000000-0005-0000-0000-0000850A0000}"/>
    <cellStyle name="_for presentation 4 2" xfId="623" xr:uid="{00000000-0005-0000-0000-0000860A0000}"/>
    <cellStyle name="_for presentation 5" xfId="624" xr:uid="{00000000-0005-0000-0000-0000870A0000}"/>
    <cellStyle name="_for presentation 5 2" xfId="625" xr:uid="{00000000-0005-0000-0000-0000880A0000}"/>
    <cellStyle name="_for presentation 6" xfId="626" xr:uid="{00000000-0005-0000-0000-0000890A0000}"/>
    <cellStyle name="_for presentation 6 2" xfId="627" xr:uid="{00000000-0005-0000-0000-00008A0A0000}"/>
    <cellStyle name="_for presentation 7" xfId="628" xr:uid="{00000000-0005-0000-0000-00008B0A0000}"/>
    <cellStyle name="_for presentation 7 2" xfId="629" xr:uid="{00000000-0005-0000-0000-00008C0A0000}"/>
    <cellStyle name="_for presentation 8" xfId="630" xr:uid="{00000000-0005-0000-0000-00008D0A0000}"/>
    <cellStyle name="_Forecast" xfId="631" xr:uid="{00000000-0005-0000-0000-00008E0A0000}"/>
    <cellStyle name="_Forecast 2" xfId="632" xr:uid="{00000000-0005-0000-0000-00008F0A0000}"/>
    <cellStyle name="_Forecast 2 2" xfId="633" xr:uid="{00000000-0005-0000-0000-0000900A0000}"/>
    <cellStyle name="_Forecast 3" xfId="634" xr:uid="{00000000-0005-0000-0000-0000910A0000}"/>
    <cellStyle name="_Forecast Analysis" xfId="635" xr:uid="{00000000-0005-0000-0000-0000920A0000}"/>
    <cellStyle name="_Forecast Analysis 2" xfId="636" xr:uid="{00000000-0005-0000-0000-0000930A0000}"/>
    <cellStyle name="_Forecast Analysis 2 2" xfId="637" xr:uid="{00000000-0005-0000-0000-0000940A0000}"/>
    <cellStyle name="_Forecast Analysis 3" xfId="638" xr:uid="{00000000-0005-0000-0000-0000950A0000}"/>
    <cellStyle name="_Forecast vs. Actual BH Erl" xfId="639" xr:uid="{00000000-0005-0000-0000-0000960A0000}"/>
    <cellStyle name="_Forecast vs. Actual BH Erl 2" xfId="640" xr:uid="{00000000-0005-0000-0000-0000970A0000}"/>
    <cellStyle name="_Forecast vs. Actual BH Erl 2 2" xfId="641" xr:uid="{00000000-0005-0000-0000-0000980A0000}"/>
    <cellStyle name="_Forecast vs. Actual BH Erl 2 2 2" xfId="642" xr:uid="{00000000-0005-0000-0000-0000990A0000}"/>
    <cellStyle name="_Forecast vs. Actual BH Erl 2 3" xfId="643" xr:uid="{00000000-0005-0000-0000-00009A0A0000}"/>
    <cellStyle name="_Forecast vs. Actual BH Erl 3" xfId="644" xr:uid="{00000000-0005-0000-0000-00009B0A0000}"/>
    <cellStyle name="_Forecast vs. Actual BH Erl 3 2" xfId="645" xr:uid="{00000000-0005-0000-0000-00009C0A0000}"/>
    <cellStyle name="_Forecast vs. Actual BH Erl 3 2 2" xfId="646" xr:uid="{00000000-0005-0000-0000-00009D0A0000}"/>
    <cellStyle name="_Forecast vs. Actual BH Erl 3 3" xfId="647" xr:uid="{00000000-0005-0000-0000-00009E0A0000}"/>
    <cellStyle name="_Forecast vs. Actual BH Erl 4" xfId="648" xr:uid="{00000000-0005-0000-0000-00009F0A0000}"/>
    <cellStyle name="_Forecast vs. Actual BH Erl 4 2" xfId="649" xr:uid="{00000000-0005-0000-0000-0000A00A0000}"/>
    <cellStyle name="_Forecast vs. Actual BH Erl 5" xfId="650" xr:uid="{00000000-0005-0000-0000-0000A10A0000}"/>
    <cellStyle name="_Forecat vs. Actual Sub" xfId="651" xr:uid="{00000000-0005-0000-0000-0000A20A0000}"/>
    <cellStyle name="_Forecat vs. Actual Sub 2" xfId="652" xr:uid="{00000000-0005-0000-0000-0000A30A0000}"/>
    <cellStyle name="_Forecat vs. Actual Sub 2 2" xfId="653" xr:uid="{00000000-0005-0000-0000-0000A40A0000}"/>
    <cellStyle name="_Forecat vs. Actual Sub 2 2 2" xfId="654" xr:uid="{00000000-0005-0000-0000-0000A50A0000}"/>
    <cellStyle name="_Forecat vs. Actual Sub 2 3" xfId="655" xr:uid="{00000000-0005-0000-0000-0000A60A0000}"/>
    <cellStyle name="_Forecat vs. Actual Sub 3" xfId="656" xr:uid="{00000000-0005-0000-0000-0000A70A0000}"/>
    <cellStyle name="_Forecat vs. Actual Sub 3 2" xfId="657" xr:uid="{00000000-0005-0000-0000-0000A80A0000}"/>
    <cellStyle name="_Forecat vs. Actual Sub 3 2 2" xfId="658" xr:uid="{00000000-0005-0000-0000-0000A90A0000}"/>
    <cellStyle name="_Forecat vs. Actual Sub 3 3" xfId="659" xr:uid="{00000000-0005-0000-0000-0000AA0A0000}"/>
    <cellStyle name="_Forecat vs. Actual Sub 4" xfId="660" xr:uid="{00000000-0005-0000-0000-0000AB0A0000}"/>
    <cellStyle name="_Forecat vs. Actual Sub 4 2" xfId="661" xr:uid="{00000000-0005-0000-0000-0000AC0A0000}"/>
    <cellStyle name="_Forecat vs. Actual Sub 5" xfId="662" xr:uid="{00000000-0005-0000-0000-0000AD0A0000}"/>
    <cellStyle name="_General Ser. Submission Reforecast 2006" xfId="663" xr:uid="{00000000-0005-0000-0000-0000AE0A0000}"/>
    <cellStyle name="_GENERATOR ALL" xfId="664" xr:uid="{00000000-0005-0000-0000-0000AF0A0000}"/>
    <cellStyle name="_Global_Revenue_Capex_Forecast_final published" xfId="665" xr:uid="{00000000-0005-0000-0000-0000B00A0000}"/>
    <cellStyle name="_Global_Revenue_Capex_Forecast_final published 2" xfId="666" xr:uid="{00000000-0005-0000-0000-0000B10A0000}"/>
    <cellStyle name="_GPON BOQ_Without Price" xfId="667" xr:uid="{00000000-0005-0000-0000-0000B20A0000}"/>
    <cellStyle name="_Graphs" xfId="668" xr:uid="{00000000-0005-0000-0000-0000B30A0000}"/>
    <cellStyle name="_Graphs 2" xfId="669" xr:uid="{00000000-0005-0000-0000-0000B40A0000}"/>
    <cellStyle name="_Graphs 2 2" xfId="670" xr:uid="{00000000-0005-0000-0000-0000B50A0000}"/>
    <cellStyle name="_Graphs 3" xfId="671" xr:uid="{00000000-0005-0000-0000-0000B60A0000}"/>
    <cellStyle name="_GSM G9 Quotation Template 20050221" xfId="672" xr:uid="{00000000-0005-0000-0000-0000B70A0000}"/>
    <cellStyle name="_GSM G9 Quotation Template 20050221 2" xfId="673" xr:uid="{00000000-0005-0000-0000-0000B80A0000}"/>
    <cellStyle name="_GSM G9 Quotation Template 20050221 2 2" xfId="674" xr:uid="{00000000-0005-0000-0000-0000B90A0000}"/>
    <cellStyle name="_GSM G9 Quotation Template 20050221 3" xfId="675" xr:uid="{00000000-0005-0000-0000-0000BA0A0000}"/>
    <cellStyle name="_GSM-T Quotation Template 20050324NEW" xfId="676" xr:uid="{00000000-0005-0000-0000-0000BB0A0000}"/>
    <cellStyle name="_GSM-T Quotation Template 20050324NEW 2" xfId="677" xr:uid="{00000000-0005-0000-0000-0000BC0A0000}"/>
    <cellStyle name="_GSM-T Quotation Template 20050324NEW 2 2" xfId="678" xr:uid="{00000000-0005-0000-0000-0000BD0A0000}"/>
    <cellStyle name="_GSM-T Quotation Template 20050324NEW 3" xfId="679" xr:uid="{00000000-0005-0000-0000-0000BE0A0000}"/>
    <cellStyle name="_HC Changes" xfId="680" xr:uid="{00000000-0005-0000-0000-0000BF0A0000}"/>
    <cellStyle name="_HR Submission (07.08.06)" xfId="681" xr:uid="{00000000-0005-0000-0000-0000C00A0000}"/>
    <cellStyle name="_hr wise compiled" xfId="682" xr:uid="{00000000-0005-0000-0000-0000C10A0000}"/>
    <cellStyle name="_hr wise compiled 2" xfId="683" xr:uid="{00000000-0005-0000-0000-0000C20A0000}"/>
    <cellStyle name="_hr wise compiled 2 2" xfId="684" xr:uid="{00000000-0005-0000-0000-0000C30A0000}"/>
    <cellStyle name="_hr wise compiled 3" xfId="685" xr:uid="{00000000-0005-0000-0000-0000C40A0000}"/>
    <cellStyle name="_Huawei_Bengal_Quot_20070919(new)" xfId="686" xr:uid="{00000000-0005-0000-0000-0000C50A0000}"/>
    <cellStyle name="_Huawei_Bengal_Quot_20070919(new) 2" xfId="687" xr:uid="{00000000-0005-0000-0000-0000C60A0000}"/>
    <cellStyle name="_Huawei_Bengal_Quot_20070919(new) 2 2" xfId="688" xr:uid="{00000000-0005-0000-0000-0000C70A0000}"/>
    <cellStyle name="_Huawei_Bengal_Quot_20070919(new) 3" xfId="689" xr:uid="{00000000-0005-0000-0000-0000C80A0000}"/>
    <cellStyle name="_HWS sparestock TN MBH" xfId="690" xr:uid="{00000000-0005-0000-0000-0000C90A0000}"/>
    <cellStyle name="_HWS sparestock TN MBH 2" xfId="691" xr:uid="{00000000-0005-0000-0000-0000CA0A0000}"/>
    <cellStyle name="_HWS sparestock TN MBH 2 2" xfId="692" xr:uid="{00000000-0005-0000-0000-0000CB0A0000}"/>
    <cellStyle name="_HWS sparestock TN MBH 3" xfId="693" xr:uid="{00000000-0005-0000-0000-0000CC0A0000}"/>
    <cellStyle name="_HWS sparestock TN MBH_?????100912_??" xfId="694" xr:uid="{00000000-0005-0000-0000-0000CD0A0000}"/>
    <cellStyle name="_HWS sparestock TN MBH_091028 HUA Annex 27 RAN Submission 7_correct_service" xfId="695" xr:uid="{00000000-0005-0000-0000-0000CE0A0000}"/>
    <cellStyle name="_HWS sparestock TN MBH_20100406 Annex 27 RAN summary tables Excel 2003" xfId="696" xr:uid="{00000000-0005-0000-0000-0000CF0A0000}"/>
    <cellStyle name="_HWS sparestock TN MBH_A27_Part 2_Price v2.1 20101007 with CS linking" xfId="697" xr:uid="{00000000-0005-0000-0000-0000D00A0000}"/>
    <cellStyle name="_HWS sparestock TN MBH_A27_Part 2_Price v2.1 20101007 with CS linking 2" xfId="698" xr:uid="{00000000-0005-0000-0000-0000D10A0000}"/>
    <cellStyle name="_HWS sparestock TN MBH_Annex 27 Part 2 Prices 01092010 linking CS" xfId="699" xr:uid="{00000000-0005-0000-0000-0000D20A0000}"/>
    <cellStyle name="_HWS sparestock TN MBH_Annex 27 Part 2 Prices 01092010 linking CS 2" xfId="700" xr:uid="{00000000-0005-0000-0000-0000D30A0000}"/>
    <cellStyle name="_HWS sparestock TN MBH_Annex 27 Part 2 Prices 01092010 VAS" xfId="701" xr:uid="{00000000-0005-0000-0000-0000D40A0000}"/>
    <cellStyle name="_HWS sparestock TN MBH_Annex 27 Part 2 Prices 0913" xfId="702" xr:uid="{00000000-0005-0000-0000-0000D50A0000}"/>
    <cellStyle name="_HWS sparestock TN MBH_Annex 27 Part 2 Prices 0914" xfId="703" xr:uid="{00000000-0005-0000-0000-0000D60A0000}"/>
    <cellStyle name="_HWS sparestock TN MBH_Annex 27 Part 2 Prices-0919-10" xfId="704" xr:uid="{00000000-0005-0000-0000-0000D70A0000}"/>
    <cellStyle name="_HWS sparestock TN MBH_Annex 27 Part 2 Prices-2010.09.17-V1.0" xfId="705" xr:uid="{00000000-0005-0000-0000-0000D80A0000}"/>
    <cellStyle name="_HWS sparestock TN MBH_Discounts(Ran)" xfId="706" xr:uid="{00000000-0005-0000-0000-0000D90A0000}"/>
    <cellStyle name="_HWS sparestock TN MBH_无线侧数量100912_崔静" xfId="707" xr:uid="{00000000-0005-0000-0000-0000DA0A0000}"/>
    <cellStyle name="_HWS-1417 GTS LoM" xfId="708" xr:uid="{00000000-0005-0000-0000-0000DB0A0000}"/>
    <cellStyle name="_HWS-1417 GTS LoM 2" xfId="709" xr:uid="{00000000-0005-0000-0000-0000DC0A0000}"/>
    <cellStyle name="_HWS-1417 GTS LoM 2 2" xfId="710" xr:uid="{00000000-0005-0000-0000-0000DD0A0000}"/>
    <cellStyle name="_HWS-1417 GTS LoM 3" xfId="711" xr:uid="{00000000-0005-0000-0000-0000DE0A0000}"/>
    <cellStyle name="_HWS-1417 GTS LoM_?????100912_??" xfId="712" xr:uid="{00000000-0005-0000-0000-0000DF0A0000}"/>
    <cellStyle name="_HWS-1417 GTS LoM_091028 HUA Annex 27 RAN Submission 7_correct_service" xfId="713" xr:uid="{00000000-0005-0000-0000-0000E00A0000}"/>
    <cellStyle name="_HWS-1417 GTS LoM_20100406 Annex 27 RAN summary tables Excel 2003" xfId="714" xr:uid="{00000000-0005-0000-0000-0000E10A0000}"/>
    <cellStyle name="_HWS-1417 GTS LoM_A27_Part 2_Price v2.1 20101007 with CS linking" xfId="715" xr:uid="{00000000-0005-0000-0000-0000E20A0000}"/>
    <cellStyle name="_HWS-1417 GTS LoM_A27_Part 2_Price v2.1 20101007 with CS linking 2" xfId="716" xr:uid="{00000000-0005-0000-0000-0000E30A0000}"/>
    <cellStyle name="_HWS-1417 GTS LoM_Annex 27 Part 2 Prices 01092010 linking CS" xfId="717" xr:uid="{00000000-0005-0000-0000-0000E40A0000}"/>
    <cellStyle name="_HWS-1417 GTS LoM_Annex 27 Part 2 Prices 01092010 linking CS 2" xfId="718" xr:uid="{00000000-0005-0000-0000-0000E50A0000}"/>
    <cellStyle name="_HWS-1417 GTS LoM_Annex 27 Part 2 Prices 01092010 VAS" xfId="719" xr:uid="{00000000-0005-0000-0000-0000E60A0000}"/>
    <cellStyle name="_HWS-1417 GTS LoM_Annex 27 Part 2 Prices 0913" xfId="720" xr:uid="{00000000-0005-0000-0000-0000E70A0000}"/>
    <cellStyle name="_HWS-1417 GTS LoM_Annex 27 Part 2 Prices 0914" xfId="721" xr:uid="{00000000-0005-0000-0000-0000E80A0000}"/>
    <cellStyle name="_HWS-1417 GTS LoM_Annex 27 Part 2 Prices-0919-10" xfId="722" xr:uid="{00000000-0005-0000-0000-0000E90A0000}"/>
    <cellStyle name="_HWS-1417 GTS LoM_Annex 27 Part 2 Prices-2010.09.17-V1.0" xfId="723" xr:uid="{00000000-0005-0000-0000-0000EA0A0000}"/>
    <cellStyle name="_HWS-1417 GTS LoM_Discounts(Ran)" xfId="724" xr:uid="{00000000-0005-0000-0000-0000EB0A0000}"/>
    <cellStyle name="_HWS-1417 GTS LoM_无线侧数量100912_崔静" xfId="725" xr:uid="{00000000-0005-0000-0000-0000EC0A0000}"/>
    <cellStyle name="_I-C 0WX111202009020405 V1.0 ( PTCL 5-9 STM4 &amp; STM16 nodes)" xfId="726" xr:uid="{00000000-0005-0000-0000-0000ED0A0000}"/>
    <cellStyle name="_Implementation" xfId="727" xr:uid="{00000000-0005-0000-0000-0000EE0A0000}"/>
    <cellStyle name="_Implementation 2" xfId="728" xr:uid="{00000000-0005-0000-0000-0000EF0A0000}"/>
    <cellStyle name="_Implementation 2 2" xfId="729" xr:uid="{00000000-0005-0000-0000-0000F00A0000}"/>
    <cellStyle name="_Implementation 3" xfId="730" xr:uid="{00000000-0005-0000-0000-0000F10A0000}"/>
    <cellStyle name="_info" xfId="731" xr:uid="{00000000-0005-0000-0000-0000F20A0000}"/>
    <cellStyle name="_info 2" xfId="732" xr:uid="{00000000-0005-0000-0000-0000F30A0000}"/>
    <cellStyle name="_info 2 2" xfId="733" xr:uid="{00000000-0005-0000-0000-0000F40A0000}"/>
    <cellStyle name="_info 3" xfId="734" xr:uid="{00000000-0005-0000-0000-0000F50A0000}"/>
    <cellStyle name="_infoX-WISG V200R002&amp;V200R003 calculate-oversea" xfId="735" xr:uid="{00000000-0005-0000-0000-0000F60A0000}"/>
    <cellStyle name="_input from Mkt." xfId="736" xr:uid="{00000000-0005-0000-0000-0000F70A0000}"/>
    <cellStyle name="_input from Mkt. 2" xfId="737" xr:uid="{00000000-0005-0000-0000-0000F80A0000}"/>
    <cellStyle name="_input from Mkt. 2 2" xfId="738" xr:uid="{00000000-0005-0000-0000-0000F90A0000}"/>
    <cellStyle name="_input from Mkt. 3" xfId="739" xr:uid="{00000000-0005-0000-0000-0000FA0A0000}"/>
    <cellStyle name="_Integrated NewTel Strategic Model 01032006revisedforMark with increased HC and Revenues (2)" xfId="740" xr:uid="{00000000-0005-0000-0000-0000FB0A0000}"/>
    <cellStyle name="_Integrated NewTel Strategic Model 01032006revisedforMark with increased HC and Revenues (2)_BellTel MS RFP Annex 7 Pricing Template 081312" xfId="741" xr:uid="{00000000-0005-0000-0000-0000FC0A0000}"/>
    <cellStyle name="_Investment" xfId="742" xr:uid="{00000000-0005-0000-0000-0000FD0A0000}"/>
    <cellStyle name="_Investment 2" xfId="743" xr:uid="{00000000-0005-0000-0000-0000FE0A0000}"/>
    <cellStyle name="_Investment 2 2" xfId="744" xr:uid="{00000000-0005-0000-0000-0000FF0A0000}"/>
    <cellStyle name="_Investment 3" xfId="745" xr:uid="{00000000-0005-0000-0000-0000000B0000}"/>
    <cellStyle name="_IT" xfId="746" xr:uid="{00000000-0005-0000-0000-0000010B0000}"/>
    <cellStyle name="_IT 2" xfId="747" xr:uid="{00000000-0005-0000-0000-0000020B0000}"/>
    <cellStyle name="_IT Capex" xfId="748" xr:uid="{00000000-0005-0000-0000-0000030B0000}"/>
    <cellStyle name="_IT Capex 2" xfId="749" xr:uid="{00000000-0005-0000-0000-0000040B0000}"/>
    <cellStyle name="_IT Opex new Template 030806draft to finance (3)" xfId="750" xr:uid="{00000000-0005-0000-0000-0000050B0000}"/>
    <cellStyle name="_IT workings" xfId="751" xr:uid="{00000000-0005-0000-0000-0000060B0000}"/>
    <cellStyle name="_IT workings 2" xfId="752" xr:uid="{00000000-0005-0000-0000-0000070B0000}"/>
    <cellStyle name="_IT_infra_080729" xfId="753" xr:uid="{00000000-0005-0000-0000-0000080B0000}"/>
    <cellStyle name="_Jan_Feb" xfId="754" xr:uid="{00000000-0005-0000-0000-0000090B0000}"/>
    <cellStyle name="_Jan_Feb 2" xfId="755" xr:uid="{00000000-0005-0000-0000-00000A0B0000}"/>
    <cellStyle name="_Jan_Feb 2 2" xfId="756" xr:uid="{00000000-0005-0000-0000-00000B0B0000}"/>
    <cellStyle name="_Jan_Feb 2 2 2" xfId="757" xr:uid="{00000000-0005-0000-0000-00000C0B0000}"/>
    <cellStyle name="_Jan_Feb 2 3" xfId="758" xr:uid="{00000000-0005-0000-0000-00000D0B0000}"/>
    <cellStyle name="_Jan_Feb 3" xfId="759" xr:uid="{00000000-0005-0000-0000-00000E0B0000}"/>
    <cellStyle name="_Jan_Feb 3 2" xfId="760" xr:uid="{00000000-0005-0000-0000-00000F0B0000}"/>
    <cellStyle name="_Jan_Feb 3 2 2" xfId="761" xr:uid="{00000000-0005-0000-0000-0000100B0000}"/>
    <cellStyle name="_Jan_Feb 3 3" xfId="762" xr:uid="{00000000-0005-0000-0000-0000110B0000}"/>
    <cellStyle name="_Jan_Feb 4" xfId="763" xr:uid="{00000000-0005-0000-0000-0000120B0000}"/>
    <cellStyle name="_Jan_Feb 4 2" xfId="764" xr:uid="{00000000-0005-0000-0000-0000130B0000}"/>
    <cellStyle name="_Jan_Feb 5" xfId="765" xr:uid="{00000000-0005-0000-0000-0000140B0000}"/>
    <cellStyle name="_L2-GF Tower 32m" xfId="766" xr:uid="{00000000-0005-0000-0000-0000150B0000}"/>
    <cellStyle name="_L2-GF Tower 32m 2" xfId="767" xr:uid="{00000000-0005-0000-0000-0000160B0000}"/>
    <cellStyle name="_L2-GF Tower 32m 2 2" xfId="768" xr:uid="{00000000-0005-0000-0000-0000170B0000}"/>
    <cellStyle name="_L2-GF Tower 32m 3" xfId="769" xr:uid="{00000000-0005-0000-0000-0000180B0000}"/>
    <cellStyle name="_L2-GF Tower 32m 3 2" xfId="770" xr:uid="{00000000-0005-0000-0000-0000190B0000}"/>
    <cellStyle name="_L2-GF Tower 32m 4" xfId="771" xr:uid="{00000000-0005-0000-0000-00001A0B0000}"/>
    <cellStyle name="_L2-GF Tower 52m" xfId="772" xr:uid="{00000000-0005-0000-0000-00001B0B0000}"/>
    <cellStyle name="_L2-GF Tower 52m 2" xfId="773" xr:uid="{00000000-0005-0000-0000-00001C0B0000}"/>
    <cellStyle name="_L2-GF Tower 52m 2 2" xfId="774" xr:uid="{00000000-0005-0000-0000-00001D0B0000}"/>
    <cellStyle name="_L2-GF Tower 52m 3" xfId="775" xr:uid="{00000000-0005-0000-0000-00001E0B0000}"/>
    <cellStyle name="_L2-GF Tower 52m 3 2" xfId="776" xr:uid="{00000000-0005-0000-0000-00001F0B0000}"/>
    <cellStyle name="_L2-GF Tower 52m 4" xfId="777" xr:uid="{00000000-0005-0000-0000-0000200B0000}"/>
    <cellStyle name="_L2-GF Tower 60m" xfId="778" xr:uid="{00000000-0005-0000-0000-0000210B0000}"/>
    <cellStyle name="_L2-GF Tower 60m 2" xfId="779" xr:uid="{00000000-0005-0000-0000-0000220B0000}"/>
    <cellStyle name="_L2-GF Tower 60m 2 2" xfId="780" xr:uid="{00000000-0005-0000-0000-0000230B0000}"/>
    <cellStyle name="_L2-GF Tower 60m 3" xfId="781" xr:uid="{00000000-0005-0000-0000-0000240B0000}"/>
    <cellStyle name="_L2-GF Tower 60m 3 2" xfId="782" xr:uid="{00000000-0005-0000-0000-0000250B0000}"/>
    <cellStyle name="_L2-GF Tower 60m 4" xfId="783" xr:uid="{00000000-0005-0000-0000-0000260B0000}"/>
    <cellStyle name="_L2-GF Tower 70m" xfId="784" xr:uid="{00000000-0005-0000-0000-0000270B0000}"/>
    <cellStyle name="_L2-GF Tower 70m 2" xfId="785" xr:uid="{00000000-0005-0000-0000-0000280B0000}"/>
    <cellStyle name="_L2-GF Tower 70m 2 2" xfId="786" xr:uid="{00000000-0005-0000-0000-0000290B0000}"/>
    <cellStyle name="_L2-GF Tower 70m 3" xfId="787" xr:uid="{00000000-0005-0000-0000-00002A0B0000}"/>
    <cellStyle name="_L2-GF Tower 70m 3 2" xfId="788" xr:uid="{00000000-0005-0000-0000-00002B0B0000}"/>
    <cellStyle name="_L2-GF Tower 70m 4" xfId="789" xr:uid="{00000000-0005-0000-0000-00002C0B0000}"/>
    <cellStyle name="_L2-Summary by Element" xfId="790" xr:uid="{00000000-0005-0000-0000-00002D0B0000}"/>
    <cellStyle name="_L2-Summary by Element 2" xfId="791" xr:uid="{00000000-0005-0000-0000-00002E0B0000}"/>
    <cellStyle name="_L2-Summary by Element 2 2" xfId="792" xr:uid="{00000000-0005-0000-0000-00002F0B0000}"/>
    <cellStyle name="_L2-Summary by Element 3" xfId="793" xr:uid="{00000000-0005-0000-0000-0000300B0000}"/>
    <cellStyle name="_L3_L3-CDMAnew" xfId="794" xr:uid="{00000000-0005-0000-0000-0000310B0000}"/>
    <cellStyle name="_L3_L3-CDMAnew 2" xfId="795" xr:uid="{00000000-0005-0000-0000-0000320B0000}"/>
    <cellStyle name="_L3_L3-CDMAnew 2 2" xfId="796" xr:uid="{00000000-0005-0000-0000-0000330B0000}"/>
    <cellStyle name="_L3_L3-CDMAnew 3" xfId="797" xr:uid="{00000000-0005-0000-0000-0000340B0000}"/>
    <cellStyle name="_L3-BSC6680  070806" xfId="798" xr:uid="{00000000-0005-0000-0000-0000350B0000}"/>
    <cellStyle name="_L3-CG" xfId="799" xr:uid="{00000000-0005-0000-0000-0000360B0000}"/>
    <cellStyle name="_L3-CG 2" xfId="800" xr:uid="{00000000-0005-0000-0000-0000370B0000}"/>
    <cellStyle name="_L3-CG 2 2" xfId="801" xr:uid="{00000000-0005-0000-0000-0000380B0000}"/>
    <cellStyle name="_L3-CG 3" xfId="802" xr:uid="{00000000-0005-0000-0000-0000390B0000}"/>
    <cellStyle name="_L3-COMMHUB-USP2.1" xfId="803" xr:uid="{00000000-0005-0000-0000-00003A0B0000}"/>
    <cellStyle name="_L3-COMMHUB-USP2.1 2" xfId="804" xr:uid="{00000000-0005-0000-0000-00003B0B0000}"/>
    <cellStyle name="_L3-COMMHUB-USP2.1 2 2" xfId="805" xr:uid="{00000000-0005-0000-0000-00003C0B0000}"/>
    <cellStyle name="_L3-COMMHUB-USP2.1 3" xfId="806" xr:uid="{00000000-0005-0000-0000-00003D0B0000}"/>
    <cellStyle name="_L3-GGSN-USP3.0" xfId="807" xr:uid="{00000000-0005-0000-0000-00003E0B0000}"/>
    <cellStyle name="_L3-GGSN-USP3.0 2" xfId="808" xr:uid="{00000000-0005-0000-0000-00003F0B0000}"/>
    <cellStyle name="_L3-GGSN-USP3.0 2 2" xfId="809" xr:uid="{00000000-0005-0000-0000-0000400B0000}"/>
    <cellStyle name="_L3-GGSN-USP3.0 3" xfId="810" xr:uid="{00000000-0005-0000-0000-0000410B0000}"/>
    <cellStyle name="_L3-PCU6000" xfId="811" xr:uid="{00000000-0005-0000-0000-0000420B0000}"/>
    <cellStyle name="_L3-PCU6000 2" xfId="812" xr:uid="{00000000-0005-0000-0000-0000430B0000}"/>
    <cellStyle name="_L3-PCU6000 2 2" xfId="813" xr:uid="{00000000-0005-0000-0000-0000440B0000}"/>
    <cellStyle name="_L3-PCU6000 3" xfId="814" xr:uid="{00000000-0005-0000-0000-0000450B0000}"/>
    <cellStyle name="_L3-PCU6000 3 2" xfId="815" xr:uid="{00000000-0005-0000-0000-0000460B0000}"/>
    <cellStyle name="_L3-PCU6000 4" xfId="816" xr:uid="{00000000-0005-0000-0000-0000470B0000}"/>
    <cellStyle name="_L3-PCU6000_2G BSS BoQ" xfId="817" xr:uid="{00000000-0005-0000-0000-0000480B0000}"/>
    <cellStyle name="_L3-PCU6000_2G BSS BoQ 2" xfId="818" xr:uid="{00000000-0005-0000-0000-0000490B0000}"/>
    <cellStyle name="_L3-PCU6000_2G BSS BoQ 2 2" xfId="819" xr:uid="{00000000-0005-0000-0000-00004A0B0000}"/>
    <cellStyle name="_L3-PCU6000_2G BSS BoQ 3" xfId="820" xr:uid="{00000000-0005-0000-0000-00004B0B0000}"/>
    <cellStyle name="_L3-PCU6000_2G BSS BoQ 3 2" xfId="821" xr:uid="{00000000-0005-0000-0000-00004C0B0000}"/>
    <cellStyle name="_L3-PCU6000_2G BSS BoQ 4" xfId="822" xr:uid="{00000000-0005-0000-0000-00004D0B0000}"/>
    <cellStyle name="_L3-PCU6000_2G BSS BoQ_2G BSS BoQ" xfId="823" xr:uid="{00000000-0005-0000-0000-00004E0B0000}"/>
    <cellStyle name="_L3-PCU6000_2G BSS BoQ_2G BSS BoQ 2" xfId="824" xr:uid="{00000000-0005-0000-0000-00004F0B0000}"/>
    <cellStyle name="_L3-PCU6000_2G BSS BoQ_2G BSS BoQ 2 2" xfId="825" xr:uid="{00000000-0005-0000-0000-0000500B0000}"/>
    <cellStyle name="_L3-PCU6000_2G BSS BoQ_2G BSS BoQ 3" xfId="826" xr:uid="{00000000-0005-0000-0000-0000510B0000}"/>
    <cellStyle name="_L3-PCU6000_2G BSS BoQ_2G BSS BoQ 3 2" xfId="827" xr:uid="{00000000-0005-0000-0000-0000520B0000}"/>
    <cellStyle name="_L3-PCU6000_2G BSS BoQ_2G BSS BoQ 4" xfId="828" xr:uid="{00000000-0005-0000-0000-0000530B0000}"/>
    <cellStyle name="_L3-PCU6000_2G BSS BoQ_2G service V5" xfId="829" xr:uid="{00000000-0005-0000-0000-0000540B0000}"/>
    <cellStyle name="_L3-PCU6000_2G BSS BoQ_2G service V5 2" xfId="830" xr:uid="{00000000-0005-0000-0000-0000550B0000}"/>
    <cellStyle name="_L3-PCU6000_2G BSS BoQ_2G service V5 2 2" xfId="831" xr:uid="{00000000-0005-0000-0000-0000560B0000}"/>
    <cellStyle name="_L3-PCU6000_2G BSS BoQ_2G service V5 3" xfId="832" xr:uid="{00000000-0005-0000-0000-0000570B0000}"/>
    <cellStyle name="_L3-PCU6000_2G BSS BoQ_2G service V5 3 2" xfId="833" xr:uid="{00000000-0005-0000-0000-0000580B0000}"/>
    <cellStyle name="_L3-PCU6000_2G BSS BoQ_2G service V5 4" xfId="834" xr:uid="{00000000-0005-0000-0000-0000590B0000}"/>
    <cellStyle name="_L3-PCU6000_2G BSS BoQ_2G Service(20071104)benchmark" xfId="835" xr:uid="{00000000-0005-0000-0000-00005A0B0000}"/>
    <cellStyle name="_L3-PCU6000_2G BSS BoQ_2G Service(20071104)benchmark 2" xfId="836" xr:uid="{00000000-0005-0000-0000-00005B0B0000}"/>
    <cellStyle name="_L3-PCU6000_2G BSS BoQ_2G Service(20071104)benchmark 2 2" xfId="837" xr:uid="{00000000-0005-0000-0000-00005C0B0000}"/>
    <cellStyle name="_L3-PCU6000_2G BSS BoQ_2G Service(20071104)benchmark 3" xfId="838" xr:uid="{00000000-0005-0000-0000-00005D0B0000}"/>
    <cellStyle name="_L3-PCU6000_2G BSS BoQ_2G Service(20071104)benchmark 3 2" xfId="839" xr:uid="{00000000-0005-0000-0000-00005E0B0000}"/>
    <cellStyle name="_L3-PCU6000_2G BSS BoQ_2G Service(20071104)benchmark 4" xfId="840" xr:uid="{00000000-0005-0000-0000-00005F0B0000}"/>
    <cellStyle name="_L3-PCU6000_2G BSS BoQ_2G_BoQ" xfId="841" xr:uid="{00000000-0005-0000-0000-0000600B0000}"/>
    <cellStyle name="_L3-PCU6000_2G BSS BoQ_2G_BoQ 2" xfId="842" xr:uid="{00000000-0005-0000-0000-0000610B0000}"/>
    <cellStyle name="_L3-PCU6000_2G BSS BoQ_2G_BoQ 2 2" xfId="843" xr:uid="{00000000-0005-0000-0000-0000620B0000}"/>
    <cellStyle name="_L3-PCU6000_2G BSS BoQ_2G_BoQ 3" xfId="844" xr:uid="{00000000-0005-0000-0000-0000630B0000}"/>
    <cellStyle name="_L3-PCU6000_2G BSS BoQ_2G_BoQ 3 2" xfId="845" xr:uid="{00000000-0005-0000-0000-0000640B0000}"/>
    <cellStyle name="_L3-PCU6000_2G BSS BoQ_2G_BoQ 4" xfId="846" xr:uid="{00000000-0005-0000-0000-0000650B0000}"/>
    <cellStyle name="_L3-PCU6000_2G BSS BoQ_2G_BoQ Apple2" xfId="847" xr:uid="{00000000-0005-0000-0000-0000660B0000}"/>
    <cellStyle name="_L3-PCU6000_2G BSS BoQ_2G_BoQ Apple2 2" xfId="848" xr:uid="{00000000-0005-0000-0000-0000670B0000}"/>
    <cellStyle name="_L3-PCU6000_2G BSS BoQ_2G_BoQ Apple2 2 2" xfId="849" xr:uid="{00000000-0005-0000-0000-0000680B0000}"/>
    <cellStyle name="_L3-PCU6000_2G BSS BoQ_2G_BoQ Apple2 3" xfId="850" xr:uid="{00000000-0005-0000-0000-0000690B0000}"/>
    <cellStyle name="_L3-PCU6000_2G BSS BoQ_2G_BoQ Apple2 3 2" xfId="851" xr:uid="{00000000-0005-0000-0000-00006A0B0000}"/>
    <cellStyle name="_L3-PCU6000_2G BSS BoQ_2G_BoQ Apple2 4" xfId="852" xr:uid="{00000000-0005-0000-0000-00006B0B0000}"/>
    <cellStyle name="_L3-PCU6000_2G BSS BoQ_2G_BoQ Model" xfId="853" xr:uid="{00000000-0005-0000-0000-00006C0B0000}"/>
    <cellStyle name="_L3-PCU6000_2G BSS BoQ_2G_BoQ Model 2" xfId="854" xr:uid="{00000000-0005-0000-0000-00006D0B0000}"/>
    <cellStyle name="_L3-PCU6000_2G BSS BoQ_2G_BoQ Model 2 2" xfId="855" xr:uid="{00000000-0005-0000-0000-00006E0B0000}"/>
    <cellStyle name="_L3-PCU6000_2G BSS BoQ_2G_BoQ Model 3" xfId="856" xr:uid="{00000000-0005-0000-0000-00006F0B0000}"/>
    <cellStyle name="_L3-PCU6000_2G BSS BoQ_2G_BoQ Model 3 2" xfId="857" xr:uid="{00000000-0005-0000-0000-0000700B0000}"/>
    <cellStyle name="_L3-PCU6000_2G BSS BoQ_2G_BoQ Model 4" xfId="858" xr:uid="{00000000-0005-0000-0000-0000710B0000}"/>
    <cellStyle name="_L3-PCU6000_2G BSS BoQ_2G_BoQ P03 Model" xfId="859" xr:uid="{00000000-0005-0000-0000-0000720B0000}"/>
    <cellStyle name="_L3-PCU6000_2G BSS BoQ_2G_BoQ P03 Model 2" xfId="860" xr:uid="{00000000-0005-0000-0000-0000730B0000}"/>
    <cellStyle name="_L3-PCU6000_2G BSS BoQ_2G_BoQ P03 Model 2 2" xfId="861" xr:uid="{00000000-0005-0000-0000-0000740B0000}"/>
    <cellStyle name="_L3-PCU6000_2G BSS BoQ_2G_BoQ P03 Model 3" xfId="862" xr:uid="{00000000-0005-0000-0000-0000750B0000}"/>
    <cellStyle name="_L3-PCU6000_2G BSS BoQ_2G_BoQ P03 Model 3 2" xfId="863" xr:uid="{00000000-0005-0000-0000-0000760B0000}"/>
    <cellStyle name="_L3-PCU6000_2G BSS BoQ_2G_BoQ P03 Model 4" xfId="864" xr:uid="{00000000-0005-0000-0000-0000770B0000}"/>
    <cellStyle name="_L3-PCU6000_2G BSS BoQ_2G_BoQ v2" xfId="865" xr:uid="{00000000-0005-0000-0000-0000780B0000}"/>
    <cellStyle name="_L3-PCU6000_2G BSS BoQ_2G_BoQ v2 2" xfId="866" xr:uid="{00000000-0005-0000-0000-0000790B0000}"/>
    <cellStyle name="_L3-PCU6000_2G BSS BoQ_2G_BoQ v2 2 2" xfId="867" xr:uid="{00000000-0005-0000-0000-00007A0B0000}"/>
    <cellStyle name="_L3-PCU6000_2G BSS BoQ_2G_BoQ v2 3" xfId="868" xr:uid="{00000000-0005-0000-0000-00007B0B0000}"/>
    <cellStyle name="_L3-PCU6000_2G BSS BoQ_2G_BoQ v2 3 2" xfId="869" xr:uid="{00000000-0005-0000-0000-00007C0B0000}"/>
    <cellStyle name="_L3-PCU6000_2G BSS BoQ_2G_BoQ v2 4" xfId="870" xr:uid="{00000000-0005-0000-0000-00007D0B0000}"/>
    <cellStyle name="_L3-PCU6000_2G BSS BoQ_2G_BoQ_v2" xfId="871" xr:uid="{00000000-0005-0000-0000-00007E0B0000}"/>
    <cellStyle name="_L3-PCU6000_2G BSS BoQ_2G_BoQ_v2 2" xfId="872" xr:uid="{00000000-0005-0000-0000-00007F0B0000}"/>
    <cellStyle name="_L3-PCU6000_2G BSS BoQ_2G_BoQ_v2 2 2" xfId="873" xr:uid="{00000000-0005-0000-0000-0000800B0000}"/>
    <cellStyle name="_L3-PCU6000_2G BSS BoQ_2G_BoQ_v2 3" xfId="874" xr:uid="{00000000-0005-0000-0000-0000810B0000}"/>
    <cellStyle name="_L3-PCU6000_2G BSS BoQ_2G_BoQ_v2 3 2" xfId="875" xr:uid="{00000000-0005-0000-0000-0000820B0000}"/>
    <cellStyle name="_L3-PCU6000_2G BSS BoQ_2G_BoQ_v2 4" xfId="876" xr:uid="{00000000-0005-0000-0000-0000830B0000}"/>
    <cellStyle name="_L3-PCU6000_2G BSS BoQ_Book2" xfId="877" xr:uid="{00000000-0005-0000-0000-0000840B0000}"/>
    <cellStyle name="_L3-PCU6000_2G BSS BoQ_Book2 2" xfId="878" xr:uid="{00000000-0005-0000-0000-0000850B0000}"/>
    <cellStyle name="_L3-PCU6000_2G BSS BoQ_Book2 2 2" xfId="879" xr:uid="{00000000-0005-0000-0000-0000860B0000}"/>
    <cellStyle name="_L3-PCU6000_2G BSS BoQ_Book2 3" xfId="880" xr:uid="{00000000-0005-0000-0000-0000870B0000}"/>
    <cellStyle name="_L3-PCU6000_2G BSS BoQ_Book2 3 2" xfId="881" xr:uid="{00000000-0005-0000-0000-0000880B0000}"/>
    <cellStyle name="_L3-PCU6000_2G BSS BoQ_Book2 4" xfId="882" xr:uid="{00000000-0005-0000-0000-0000890B0000}"/>
    <cellStyle name="_L3-PCU6000_2G BSS BoQ_Revised 2G_BoQ" xfId="883" xr:uid="{00000000-0005-0000-0000-00008A0B0000}"/>
    <cellStyle name="_L3-PCU6000_2G BSS BoQ_Revised 2G_BoQ 2" xfId="884" xr:uid="{00000000-0005-0000-0000-00008B0B0000}"/>
    <cellStyle name="_L3-PCU6000_2G BSS BoQ_Revised 2G_BoQ 2 2" xfId="885" xr:uid="{00000000-0005-0000-0000-00008C0B0000}"/>
    <cellStyle name="_L3-PCU6000_2G BSS BoQ_Revised 2G_BoQ 3" xfId="886" xr:uid="{00000000-0005-0000-0000-00008D0B0000}"/>
    <cellStyle name="_L3-PCU6000_2G BSS BoQ_Revised 2G_BoQ 3 2" xfId="887" xr:uid="{00000000-0005-0000-0000-00008E0B0000}"/>
    <cellStyle name="_L3-PCU6000_2G BSS BoQ_Revised 2G_BoQ 4" xfId="888" xr:uid="{00000000-0005-0000-0000-00008F0B0000}"/>
    <cellStyle name="_L3-PCU6000_2G BSS BoQ_Revised 2G_BoQ P03 Model" xfId="889" xr:uid="{00000000-0005-0000-0000-0000900B0000}"/>
    <cellStyle name="_L3-PCU6000_2G BSS BoQ_Revised 2G_BoQ P03 Model 2" xfId="890" xr:uid="{00000000-0005-0000-0000-0000910B0000}"/>
    <cellStyle name="_L3-PCU6000_2G BSS BoQ_Revised 2G_BoQ P03 Model 2 2" xfId="891" xr:uid="{00000000-0005-0000-0000-0000920B0000}"/>
    <cellStyle name="_L3-PCU6000_2G BSS BoQ_Revised 2G_BoQ P03 Model 3" xfId="892" xr:uid="{00000000-0005-0000-0000-0000930B0000}"/>
    <cellStyle name="_L3-PCU6000_2G BSS BoQ_Revised 2G_BoQ P03 Model 3 2" xfId="893" xr:uid="{00000000-0005-0000-0000-0000940B0000}"/>
    <cellStyle name="_L3-PCU6000_2G BSS BoQ_Revised 2G_BoQ P03 Model 4" xfId="894" xr:uid="{00000000-0005-0000-0000-0000950B0000}"/>
    <cellStyle name="_L3-PCU6000_2G BSS BoQ_服务文件Benchmark V13(for Customer)" xfId="895" xr:uid="{00000000-0005-0000-0000-0000960B0000}"/>
    <cellStyle name="_L3-PCU6000_2G BSS BoQ_服务文件Benchmark V13(for Customer) 2" xfId="896" xr:uid="{00000000-0005-0000-0000-0000970B0000}"/>
    <cellStyle name="_L3-PCU6000_2G BSS BoQ_服务文件Benchmark V13(for Customer) 2 2" xfId="897" xr:uid="{00000000-0005-0000-0000-0000980B0000}"/>
    <cellStyle name="_L3-PCU6000_2G BSS BoQ_服务文件Benchmark V13(for Customer) 3" xfId="898" xr:uid="{00000000-0005-0000-0000-0000990B0000}"/>
    <cellStyle name="_L3-PCU6000_2G BSS BoQ_服务文件Benchmark V13(for Customer) 3 2" xfId="899" xr:uid="{00000000-0005-0000-0000-00009A0B0000}"/>
    <cellStyle name="_L3-PCU6000_2G BSS BoQ_服务文件Benchmark V13(for Customer) 4" xfId="900" xr:uid="{00000000-0005-0000-0000-00009B0B0000}"/>
    <cellStyle name="_L3-PCU6000_2G BSS BoQ_服务文件Benchmark V5" xfId="901" xr:uid="{00000000-0005-0000-0000-00009C0B0000}"/>
    <cellStyle name="_L3-PCU6000_2G BSS BoQ_服务文件Benchmark V5 2" xfId="902" xr:uid="{00000000-0005-0000-0000-00009D0B0000}"/>
    <cellStyle name="_L3-PCU6000_2G BSS BoQ_服务文件Benchmark V5 2 2" xfId="903" xr:uid="{00000000-0005-0000-0000-00009E0B0000}"/>
    <cellStyle name="_L3-PCU6000_2G BSS BoQ_服务文件Benchmark V5 3" xfId="904" xr:uid="{00000000-0005-0000-0000-00009F0B0000}"/>
    <cellStyle name="_L3-PCU6000_2G BSS BoQ_服务文件Benchmark V5 3 2" xfId="905" xr:uid="{00000000-0005-0000-0000-0000A00B0000}"/>
    <cellStyle name="_L3-PCU6000_2G BSS BoQ_服务文件Benchmark V5 4" xfId="906" xr:uid="{00000000-0005-0000-0000-0000A10B0000}"/>
    <cellStyle name="_L3-PCU6000_2G Core BoQ" xfId="907" xr:uid="{00000000-0005-0000-0000-0000A20B0000}"/>
    <cellStyle name="_L3-PCU6000_2G Core BoQ 2" xfId="908" xr:uid="{00000000-0005-0000-0000-0000A30B0000}"/>
    <cellStyle name="_L3-PCU6000_2G Core BoQ 2 2" xfId="909" xr:uid="{00000000-0005-0000-0000-0000A40B0000}"/>
    <cellStyle name="_L3-PCU6000_2G Core BoQ 3" xfId="910" xr:uid="{00000000-0005-0000-0000-0000A50B0000}"/>
    <cellStyle name="_L3-PCU6000_2G Core BoQ 3 2" xfId="911" xr:uid="{00000000-0005-0000-0000-0000A60B0000}"/>
    <cellStyle name="_L3-PCU6000_2G Core BoQ 4" xfId="912" xr:uid="{00000000-0005-0000-0000-0000A70B0000}"/>
    <cellStyle name="_L3-PCU6000_2G Core BoQ_2G service V5" xfId="913" xr:uid="{00000000-0005-0000-0000-0000A80B0000}"/>
    <cellStyle name="_L3-PCU6000_2G Core BoQ_2G service V5 2" xfId="914" xr:uid="{00000000-0005-0000-0000-0000A90B0000}"/>
    <cellStyle name="_L3-PCU6000_2G Core BoQ_2G service V5 2 2" xfId="915" xr:uid="{00000000-0005-0000-0000-0000AA0B0000}"/>
    <cellStyle name="_L3-PCU6000_2G Core BoQ_2G service V5 3" xfId="916" xr:uid="{00000000-0005-0000-0000-0000AB0B0000}"/>
    <cellStyle name="_L3-PCU6000_2G Core BoQ_2G service V5 3 2" xfId="917" xr:uid="{00000000-0005-0000-0000-0000AC0B0000}"/>
    <cellStyle name="_L3-PCU6000_2G Core BoQ_2G service V5 4" xfId="918" xr:uid="{00000000-0005-0000-0000-0000AD0B0000}"/>
    <cellStyle name="_L3-PCU6000_2G Core BoQ_2G Service(20071104)benchmark" xfId="919" xr:uid="{00000000-0005-0000-0000-0000AE0B0000}"/>
    <cellStyle name="_L3-PCU6000_2G Core BoQ_2G Service(20071104)benchmark 2" xfId="920" xr:uid="{00000000-0005-0000-0000-0000AF0B0000}"/>
    <cellStyle name="_L3-PCU6000_2G Core BoQ_2G Service(20071104)benchmark 2 2" xfId="921" xr:uid="{00000000-0005-0000-0000-0000B00B0000}"/>
    <cellStyle name="_L3-PCU6000_2G Core BoQ_2G Service(20071104)benchmark 3" xfId="922" xr:uid="{00000000-0005-0000-0000-0000B10B0000}"/>
    <cellStyle name="_L3-PCU6000_2G Core BoQ_2G Service(20071104)benchmark 3 2" xfId="923" xr:uid="{00000000-0005-0000-0000-0000B20B0000}"/>
    <cellStyle name="_L3-PCU6000_2G Core BoQ_2G Service(20071104)benchmark 4" xfId="924" xr:uid="{00000000-0005-0000-0000-0000B30B0000}"/>
    <cellStyle name="_L3-PCU6000_2G Core BoQ_2G_BoQ" xfId="925" xr:uid="{00000000-0005-0000-0000-0000B40B0000}"/>
    <cellStyle name="_L3-PCU6000_2G Core BoQ_2G_BoQ 2" xfId="926" xr:uid="{00000000-0005-0000-0000-0000B50B0000}"/>
    <cellStyle name="_L3-PCU6000_2G Core BoQ_2G_BoQ 2 2" xfId="927" xr:uid="{00000000-0005-0000-0000-0000B60B0000}"/>
    <cellStyle name="_L3-PCU6000_2G Core BoQ_2G_BoQ 3" xfId="928" xr:uid="{00000000-0005-0000-0000-0000B70B0000}"/>
    <cellStyle name="_L3-PCU6000_2G Core BoQ_2G_BoQ 3 2" xfId="929" xr:uid="{00000000-0005-0000-0000-0000B80B0000}"/>
    <cellStyle name="_L3-PCU6000_2G Core BoQ_2G_BoQ 4" xfId="930" xr:uid="{00000000-0005-0000-0000-0000B90B0000}"/>
    <cellStyle name="_L3-PCU6000_2G Core BoQ_2G_BoQ Apple2" xfId="931" xr:uid="{00000000-0005-0000-0000-0000BA0B0000}"/>
    <cellStyle name="_L3-PCU6000_2G Core BoQ_2G_BoQ Apple2 2" xfId="932" xr:uid="{00000000-0005-0000-0000-0000BB0B0000}"/>
    <cellStyle name="_L3-PCU6000_2G Core BoQ_2G_BoQ Apple2 2 2" xfId="933" xr:uid="{00000000-0005-0000-0000-0000BC0B0000}"/>
    <cellStyle name="_L3-PCU6000_2G Core BoQ_2G_BoQ Apple2 3" xfId="934" xr:uid="{00000000-0005-0000-0000-0000BD0B0000}"/>
    <cellStyle name="_L3-PCU6000_2G Core BoQ_2G_BoQ Apple2 3 2" xfId="935" xr:uid="{00000000-0005-0000-0000-0000BE0B0000}"/>
    <cellStyle name="_L3-PCU6000_2G Core BoQ_2G_BoQ Apple2 4" xfId="936" xr:uid="{00000000-0005-0000-0000-0000BF0B0000}"/>
    <cellStyle name="_L3-PCU6000_2G Core BoQ_2G_BoQ Model" xfId="937" xr:uid="{00000000-0005-0000-0000-0000C00B0000}"/>
    <cellStyle name="_L3-PCU6000_2G Core BoQ_2G_BoQ Model 2" xfId="938" xr:uid="{00000000-0005-0000-0000-0000C10B0000}"/>
    <cellStyle name="_L3-PCU6000_2G Core BoQ_2G_BoQ Model 2 2" xfId="939" xr:uid="{00000000-0005-0000-0000-0000C20B0000}"/>
    <cellStyle name="_L3-PCU6000_2G Core BoQ_2G_BoQ Model 3" xfId="940" xr:uid="{00000000-0005-0000-0000-0000C30B0000}"/>
    <cellStyle name="_L3-PCU6000_2G Core BoQ_2G_BoQ Model 3 2" xfId="941" xr:uid="{00000000-0005-0000-0000-0000C40B0000}"/>
    <cellStyle name="_L3-PCU6000_2G Core BoQ_2G_BoQ Model 4" xfId="942" xr:uid="{00000000-0005-0000-0000-0000C50B0000}"/>
    <cellStyle name="_L3-PCU6000_2G Core BoQ_2G_BoQ P03 Model" xfId="943" xr:uid="{00000000-0005-0000-0000-0000C60B0000}"/>
    <cellStyle name="_L3-PCU6000_2G Core BoQ_2G_BoQ P03 Model 2" xfId="944" xr:uid="{00000000-0005-0000-0000-0000C70B0000}"/>
    <cellStyle name="_L3-PCU6000_2G Core BoQ_2G_BoQ P03 Model 2 2" xfId="945" xr:uid="{00000000-0005-0000-0000-0000C80B0000}"/>
    <cellStyle name="_L3-PCU6000_2G Core BoQ_2G_BoQ P03 Model 3" xfId="946" xr:uid="{00000000-0005-0000-0000-0000C90B0000}"/>
    <cellStyle name="_L3-PCU6000_2G Core BoQ_2G_BoQ P03 Model 3 2" xfId="947" xr:uid="{00000000-0005-0000-0000-0000CA0B0000}"/>
    <cellStyle name="_L3-PCU6000_2G Core BoQ_2G_BoQ P03 Model 4" xfId="948" xr:uid="{00000000-0005-0000-0000-0000CB0B0000}"/>
    <cellStyle name="_L3-PCU6000_2G Core BoQ_2G_BoQ v2" xfId="949" xr:uid="{00000000-0005-0000-0000-0000CC0B0000}"/>
    <cellStyle name="_L3-PCU6000_2G Core BoQ_2G_BoQ v2 2" xfId="950" xr:uid="{00000000-0005-0000-0000-0000CD0B0000}"/>
    <cellStyle name="_L3-PCU6000_2G Core BoQ_2G_BoQ v2 2 2" xfId="951" xr:uid="{00000000-0005-0000-0000-0000CE0B0000}"/>
    <cellStyle name="_L3-PCU6000_2G Core BoQ_2G_BoQ v2 3" xfId="952" xr:uid="{00000000-0005-0000-0000-0000CF0B0000}"/>
    <cellStyle name="_L3-PCU6000_2G Core BoQ_2G_BoQ v2 3 2" xfId="953" xr:uid="{00000000-0005-0000-0000-0000D00B0000}"/>
    <cellStyle name="_L3-PCU6000_2G Core BoQ_2G_BoQ v2 4" xfId="954" xr:uid="{00000000-0005-0000-0000-0000D10B0000}"/>
    <cellStyle name="_L3-PCU6000_2G Core BoQ_2G_BoQ_v2" xfId="955" xr:uid="{00000000-0005-0000-0000-0000D20B0000}"/>
    <cellStyle name="_L3-PCU6000_2G Core BoQ_2G_BoQ_v2 2" xfId="956" xr:uid="{00000000-0005-0000-0000-0000D30B0000}"/>
    <cellStyle name="_L3-PCU6000_2G Core BoQ_2G_BoQ_v2 2 2" xfId="957" xr:uid="{00000000-0005-0000-0000-0000D40B0000}"/>
    <cellStyle name="_L3-PCU6000_2G Core BoQ_2G_BoQ_v2 3" xfId="958" xr:uid="{00000000-0005-0000-0000-0000D50B0000}"/>
    <cellStyle name="_L3-PCU6000_2G Core BoQ_2G_BoQ_v2 3 2" xfId="959" xr:uid="{00000000-0005-0000-0000-0000D60B0000}"/>
    <cellStyle name="_L3-PCU6000_2G Core BoQ_2G_BoQ_v2 4" xfId="960" xr:uid="{00000000-0005-0000-0000-0000D70B0000}"/>
    <cellStyle name="_L3-PCU6000_2G Core BoQ_Book2" xfId="961" xr:uid="{00000000-0005-0000-0000-0000D80B0000}"/>
    <cellStyle name="_L3-PCU6000_2G Core BoQ_Book2 2" xfId="962" xr:uid="{00000000-0005-0000-0000-0000D90B0000}"/>
    <cellStyle name="_L3-PCU6000_2G Core BoQ_Book2 2 2" xfId="963" xr:uid="{00000000-0005-0000-0000-0000DA0B0000}"/>
    <cellStyle name="_L3-PCU6000_2G Core BoQ_Book2 3" xfId="964" xr:uid="{00000000-0005-0000-0000-0000DB0B0000}"/>
    <cellStyle name="_L3-PCU6000_2G Core BoQ_Book2 3 2" xfId="965" xr:uid="{00000000-0005-0000-0000-0000DC0B0000}"/>
    <cellStyle name="_L3-PCU6000_2G Core BoQ_Book2 4" xfId="966" xr:uid="{00000000-0005-0000-0000-0000DD0B0000}"/>
    <cellStyle name="_L3-PCU6000_2G Core BoQ_Revised 2G_BoQ" xfId="967" xr:uid="{00000000-0005-0000-0000-0000DE0B0000}"/>
    <cellStyle name="_L3-PCU6000_2G Core BoQ_Revised 2G_BoQ 2" xfId="968" xr:uid="{00000000-0005-0000-0000-0000DF0B0000}"/>
    <cellStyle name="_L3-PCU6000_2G Core BoQ_Revised 2G_BoQ 2 2" xfId="969" xr:uid="{00000000-0005-0000-0000-0000E00B0000}"/>
    <cellStyle name="_L3-PCU6000_2G Core BoQ_Revised 2G_BoQ 3" xfId="970" xr:uid="{00000000-0005-0000-0000-0000E10B0000}"/>
    <cellStyle name="_L3-PCU6000_2G Core BoQ_Revised 2G_BoQ 3 2" xfId="971" xr:uid="{00000000-0005-0000-0000-0000E20B0000}"/>
    <cellStyle name="_L3-PCU6000_2G Core BoQ_Revised 2G_BoQ 4" xfId="972" xr:uid="{00000000-0005-0000-0000-0000E30B0000}"/>
    <cellStyle name="_L3-PCU6000_2G Core BoQ_Revised 2G_BoQ P03 Model" xfId="973" xr:uid="{00000000-0005-0000-0000-0000E40B0000}"/>
    <cellStyle name="_L3-PCU6000_2G Core BoQ_Revised 2G_BoQ P03 Model 2" xfId="974" xr:uid="{00000000-0005-0000-0000-0000E50B0000}"/>
    <cellStyle name="_L3-PCU6000_2G Core BoQ_Revised 2G_BoQ P03 Model 2 2" xfId="975" xr:uid="{00000000-0005-0000-0000-0000E60B0000}"/>
    <cellStyle name="_L3-PCU6000_2G Core BoQ_Revised 2G_BoQ P03 Model 3" xfId="976" xr:uid="{00000000-0005-0000-0000-0000E70B0000}"/>
    <cellStyle name="_L3-PCU6000_2G Core BoQ_Revised 2G_BoQ P03 Model 3 2" xfId="977" xr:uid="{00000000-0005-0000-0000-0000E80B0000}"/>
    <cellStyle name="_L3-PCU6000_2G Core BoQ_Revised 2G_BoQ P03 Model 4" xfId="978" xr:uid="{00000000-0005-0000-0000-0000E90B0000}"/>
    <cellStyle name="_L3-PCU6000_2G Core BoQ_服务文件Benchmark V13(for Customer)" xfId="979" xr:uid="{00000000-0005-0000-0000-0000EA0B0000}"/>
    <cellStyle name="_L3-PCU6000_2G Core BoQ_服务文件Benchmark V13(for Customer) 2" xfId="980" xr:uid="{00000000-0005-0000-0000-0000EB0B0000}"/>
    <cellStyle name="_L3-PCU6000_2G Core BoQ_服务文件Benchmark V13(for Customer) 2 2" xfId="981" xr:uid="{00000000-0005-0000-0000-0000EC0B0000}"/>
    <cellStyle name="_L3-PCU6000_2G Core BoQ_服务文件Benchmark V13(for Customer) 3" xfId="982" xr:uid="{00000000-0005-0000-0000-0000ED0B0000}"/>
    <cellStyle name="_L3-PCU6000_2G Core BoQ_服务文件Benchmark V13(for Customer) 3 2" xfId="983" xr:uid="{00000000-0005-0000-0000-0000EE0B0000}"/>
    <cellStyle name="_L3-PCU6000_2G Core BoQ_服务文件Benchmark V13(for Customer) 4" xfId="984" xr:uid="{00000000-0005-0000-0000-0000EF0B0000}"/>
    <cellStyle name="_L3-PCU6000_2G Core BoQ_服务文件Benchmark V5" xfId="985" xr:uid="{00000000-0005-0000-0000-0000F00B0000}"/>
    <cellStyle name="_L3-PCU6000_2G Core BoQ_服务文件Benchmark V5 2" xfId="986" xr:uid="{00000000-0005-0000-0000-0000F10B0000}"/>
    <cellStyle name="_L3-PCU6000_2G Core BoQ_服务文件Benchmark V5 2 2" xfId="987" xr:uid="{00000000-0005-0000-0000-0000F20B0000}"/>
    <cellStyle name="_L3-PCU6000_2G Core BoQ_服务文件Benchmark V5 3" xfId="988" xr:uid="{00000000-0005-0000-0000-0000F30B0000}"/>
    <cellStyle name="_L3-PCU6000_2G Core BoQ_服务文件Benchmark V5 3 2" xfId="989" xr:uid="{00000000-0005-0000-0000-0000F40B0000}"/>
    <cellStyle name="_L3-PCU6000_2G Core BoQ_服务文件Benchmark V5 4" xfId="990" xr:uid="{00000000-0005-0000-0000-0000F50B0000}"/>
    <cellStyle name="_L3-PCU6000_2G Core BoQ1" xfId="991" xr:uid="{00000000-0005-0000-0000-0000F60B0000}"/>
    <cellStyle name="_L3-PCU6000_2G Core BoQ1 2" xfId="992" xr:uid="{00000000-0005-0000-0000-0000F70B0000}"/>
    <cellStyle name="_L3-PCU6000_2G Core BoQ1 2 2" xfId="993" xr:uid="{00000000-0005-0000-0000-0000F80B0000}"/>
    <cellStyle name="_L3-PCU6000_2G Core BoQ1 3" xfId="994" xr:uid="{00000000-0005-0000-0000-0000F90B0000}"/>
    <cellStyle name="_L3-PCU6000_2G Core BoQ1 3 2" xfId="995" xr:uid="{00000000-0005-0000-0000-0000FA0B0000}"/>
    <cellStyle name="_L3-PCU6000_2G Core BoQ1 4" xfId="996" xr:uid="{00000000-0005-0000-0000-0000FB0B0000}"/>
    <cellStyle name="_L3-PCU6000_2G Core BoQ1_2G service V5" xfId="997" xr:uid="{00000000-0005-0000-0000-0000FC0B0000}"/>
    <cellStyle name="_L3-PCU6000_2G Core BoQ1_2G service V5 2" xfId="998" xr:uid="{00000000-0005-0000-0000-0000FD0B0000}"/>
    <cellStyle name="_L3-PCU6000_2G Core BoQ1_2G service V5 2 2" xfId="999" xr:uid="{00000000-0005-0000-0000-0000FE0B0000}"/>
    <cellStyle name="_L3-PCU6000_2G Core BoQ1_2G service V5 3" xfId="1000" xr:uid="{00000000-0005-0000-0000-0000FF0B0000}"/>
    <cellStyle name="_L3-PCU6000_2G Core BoQ1_2G service V5 3 2" xfId="1001" xr:uid="{00000000-0005-0000-0000-0000000C0000}"/>
    <cellStyle name="_L3-PCU6000_2G Core BoQ1_2G service V5 4" xfId="1002" xr:uid="{00000000-0005-0000-0000-0000010C0000}"/>
    <cellStyle name="_L3-PCU6000_2G Core BoQ1_2G Service(20071104)benchmark" xfId="1003" xr:uid="{00000000-0005-0000-0000-0000020C0000}"/>
    <cellStyle name="_L3-PCU6000_2G Core BoQ1_2G Service(20071104)benchmark 2" xfId="1004" xr:uid="{00000000-0005-0000-0000-0000030C0000}"/>
    <cellStyle name="_L3-PCU6000_2G Core BoQ1_2G Service(20071104)benchmark 2 2" xfId="1005" xr:uid="{00000000-0005-0000-0000-0000040C0000}"/>
    <cellStyle name="_L3-PCU6000_2G Core BoQ1_2G Service(20071104)benchmark 3" xfId="1006" xr:uid="{00000000-0005-0000-0000-0000050C0000}"/>
    <cellStyle name="_L3-PCU6000_2G Core BoQ1_2G Service(20071104)benchmark 3 2" xfId="1007" xr:uid="{00000000-0005-0000-0000-0000060C0000}"/>
    <cellStyle name="_L3-PCU6000_2G Core BoQ1_2G Service(20071104)benchmark 4" xfId="1008" xr:uid="{00000000-0005-0000-0000-0000070C0000}"/>
    <cellStyle name="_L3-PCU6000_2G Core BoQ1_2G_BoQ" xfId="1009" xr:uid="{00000000-0005-0000-0000-0000080C0000}"/>
    <cellStyle name="_L3-PCU6000_2G Core BoQ1_2G_BoQ 2" xfId="1010" xr:uid="{00000000-0005-0000-0000-0000090C0000}"/>
    <cellStyle name="_L3-PCU6000_2G Core BoQ1_2G_BoQ 2 2" xfId="1011" xr:uid="{00000000-0005-0000-0000-00000A0C0000}"/>
    <cellStyle name="_L3-PCU6000_2G Core BoQ1_2G_BoQ 3" xfId="1012" xr:uid="{00000000-0005-0000-0000-00000B0C0000}"/>
    <cellStyle name="_L3-PCU6000_2G Core BoQ1_2G_BoQ 3 2" xfId="1013" xr:uid="{00000000-0005-0000-0000-00000C0C0000}"/>
    <cellStyle name="_L3-PCU6000_2G Core BoQ1_2G_BoQ 4" xfId="1014" xr:uid="{00000000-0005-0000-0000-00000D0C0000}"/>
    <cellStyle name="_L3-PCU6000_2G Core BoQ1_2G_BoQ Apple2" xfId="1015" xr:uid="{00000000-0005-0000-0000-00000E0C0000}"/>
    <cellStyle name="_L3-PCU6000_2G Core BoQ1_2G_BoQ Apple2 2" xfId="1016" xr:uid="{00000000-0005-0000-0000-00000F0C0000}"/>
    <cellStyle name="_L3-PCU6000_2G Core BoQ1_2G_BoQ Apple2 2 2" xfId="1017" xr:uid="{00000000-0005-0000-0000-0000100C0000}"/>
    <cellStyle name="_L3-PCU6000_2G Core BoQ1_2G_BoQ Apple2 3" xfId="1018" xr:uid="{00000000-0005-0000-0000-0000110C0000}"/>
    <cellStyle name="_L3-PCU6000_2G Core BoQ1_2G_BoQ Apple2 3 2" xfId="1019" xr:uid="{00000000-0005-0000-0000-0000120C0000}"/>
    <cellStyle name="_L3-PCU6000_2G Core BoQ1_2G_BoQ Apple2 4" xfId="1020" xr:uid="{00000000-0005-0000-0000-0000130C0000}"/>
    <cellStyle name="_L3-PCU6000_2G Core BoQ1_2G_BoQ Model" xfId="1021" xr:uid="{00000000-0005-0000-0000-0000140C0000}"/>
    <cellStyle name="_L3-PCU6000_2G Core BoQ1_2G_BoQ Model 2" xfId="1022" xr:uid="{00000000-0005-0000-0000-0000150C0000}"/>
    <cellStyle name="_L3-PCU6000_2G Core BoQ1_2G_BoQ Model 2 2" xfId="1023" xr:uid="{00000000-0005-0000-0000-0000160C0000}"/>
    <cellStyle name="_L3-PCU6000_2G Core BoQ1_2G_BoQ Model 3" xfId="1024" xr:uid="{00000000-0005-0000-0000-0000170C0000}"/>
    <cellStyle name="_L3-PCU6000_2G Core BoQ1_2G_BoQ Model 3 2" xfId="1025" xr:uid="{00000000-0005-0000-0000-0000180C0000}"/>
    <cellStyle name="_L3-PCU6000_2G Core BoQ1_2G_BoQ Model 4" xfId="1026" xr:uid="{00000000-0005-0000-0000-0000190C0000}"/>
    <cellStyle name="_L3-PCU6000_2G Core BoQ1_2G_BoQ P03 Model" xfId="1027" xr:uid="{00000000-0005-0000-0000-00001A0C0000}"/>
    <cellStyle name="_L3-PCU6000_2G Core BoQ1_2G_BoQ P03 Model 2" xfId="1028" xr:uid="{00000000-0005-0000-0000-00001B0C0000}"/>
    <cellStyle name="_L3-PCU6000_2G Core BoQ1_2G_BoQ P03 Model 2 2" xfId="1029" xr:uid="{00000000-0005-0000-0000-00001C0C0000}"/>
    <cellStyle name="_L3-PCU6000_2G Core BoQ1_2G_BoQ P03 Model 3" xfId="1030" xr:uid="{00000000-0005-0000-0000-00001D0C0000}"/>
    <cellStyle name="_L3-PCU6000_2G Core BoQ1_2G_BoQ P03 Model 3 2" xfId="1031" xr:uid="{00000000-0005-0000-0000-00001E0C0000}"/>
    <cellStyle name="_L3-PCU6000_2G Core BoQ1_2G_BoQ P03 Model 4" xfId="1032" xr:uid="{00000000-0005-0000-0000-00001F0C0000}"/>
    <cellStyle name="_L3-PCU6000_2G Core BoQ1_2G_BoQ v2" xfId="1033" xr:uid="{00000000-0005-0000-0000-0000200C0000}"/>
    <cellStyle name="_L3-PCU6000_2G Core BoQ1_2G_BoQ v2 2" xfId="1034" xr:uid="{00000000-0005-0000-0000-0000210C0000}"/>
    <cellStyle name="_L3-PCU6000_2G Core BoQ1_2G_BoQ v2 2 2" xfId="1035" xr:uid="{00000000-0005-0000-0000-0000220C0000}"/>
    <cellStyle name="_L3-PCU6000_2G Core BoQ1_2G_BoQ v2 3" xfId="1036" xr:uid="{00000000-0005-0000-0000-0000230C0000}"/>
    <cellStyle name="_L3-PCU6000_2G Core BoQ1_2G_BoQ v2 3 2" xfId="1037" xr:uid="{00000000-0005-0000-0000-0000240C0000}"/>
    <cellStyle name="_L3-PCU6000_2G Core BoQ1_2G_BoQ v2 4" xfId="1038" xr:uid="{00000000-0005-0000-0000-0000250C0000}"/>
    <cellStyle name="_L3-PCU6000_2G Core BoQ1_2G_BoQ_v2" xfId="1039" xr:uid="{00000000-0005-0000-0000-0000260C0000}"/>
    <cellStyle name="_L3-PCU6000_2G Core BoQ1_2G_BoQ_v2 2" xfId="1040" xr:uid="{00000000-0005-0000-0000-0000270C0000}"/>
    <cellStyle name="_L3-PCU6000_2G Core BoQ1_2G_BoQ_v2 2 2" xfId="1041" xr:uid="{00000000-0005-0000-0000-0000280C0000}"/>
    <cellStyle name="_L3-PCU6000_2G Core BoQ1_2G_BoQ_v2 3" xfId="1042" xr:uid="{00000000-0005-0000-0000-0000290C0000}"/>
    <cellStyle name="_L3-PCU6000_2G Core BoQ1_2G_BoQ_v2 3 2" xfId="1043" xr:uid="{00000000-0005-0000-0000-00002A0C0000}"/>
    <cellStyle name="_L3-PCU6000_2G Core BoQ1_2G_BoQ_v2 4" xfId="1044" xr:uid="{00000000-0005-0000-0000-00002B0C0000}"/>
    <cellStyle name="_L3-PCU6000_2G Core BoQ1_Book2" xfId="1045" xr:uid="{00000000-0005-0000-0000-00002C0C0000}"/>
    <cellStyle name="_L3-PCU6000_2G Core BoQ1_Book2 2" xfId="1046" xr:uid="{00000000-0005-0000-0000-00002D0C0000}"/>
    <cellStyle name="_L3-PCU6000_2G Core BoQ1_Book2 2 2" xfId="1047" xr:uid="{00000000-0005-0000-0000-00002E0C0000}"/>
    <cellStyle name="_L3-PCU6000_2G Core BoQ1_Book2 3" xfId="1048" xr:uid="{00000000-0005-0000-0000-00002F0C0000}"/>
    <cellStyle name="_L3-PCU6000_2G Core BoQ1_Book2 3 2" xfId="1049" xr:uid="{00000000-0005-0000-0000-0000300C0000}"/>
    <cellStyle name="_L3-PCU6000_2G Core BoQ1_Book2 4" xfId="1050" xr:uid="{00000000-0005-0000-0000-0000310C0000}"/>
    <cellStyle name="_L3-PCU6000_2G Core BoQ1_Revised 2G_BoQ" xfId="1051" xr:uid="{00000000-0005-0000-0000-0000320C0000}"/>
    <cellStyle name="_L3-PCU6000_2G Core BoQ1_Revised 2G_BoQ 2" xfId="1052" xr:uid="{00000000-0005-0000-0000-0000330C0000}"/>
    <cellStyle name="_L3-PCU6000_2G Core BoQ1_Revised 2G_BoQ 2 2" xfId="1053" xr:uid="{00000000-0005-0000-0000-0000340C0000}"/>
    <cellStyle name="_L3-PCU6000_2G Core BoQ1_Revised 2G_BoQ 3" xfId="1054" xr:uid="{00000000-0005-0000-0000-0000350C0000}"/>
    <cellStyle name="_L3-PCU6000_2G Core BoQ1_Revised 2G_BoQ 3 2" xfId="1055" xr:uid="{00000000-0005-0000-0000-0000360C0000}"/>
    <cellStyle name="_L3-PCU6000_2G Core BoQ1_Revised 2G_BoQ 4" xfId="1056" xr:uid="{00000000-0005-0000-0000-0000370C0000}"/>
    <cellStyle name="_L3-PCU6000_2G Core BoQ1_Revised 2G_BoQ P03 Model" xfId="1057" xr:uid="{00000000-0005-0000-0000-0000380C0000}"/>
    <cellStyle name="_L3-PCU6000_2G Core BoQ1_Revised 2G_BoQ P03 Model 2" xfId="1058" xr:uid="{00000000-0005-0000-0000-0000390C0000}"/>
    <cellStyle name="_L3-PCU6000_2G Core BoQ1_Revised 2G_BoQ P03 Model 2 2" xfId="1059" xr:uid="{00000000-0005-0000-0000-00003A0C0000}"/>
    <cellStyle name="_L3-PCU6000_2G Core BoQ1_Revised 2G_BoQ P03 Model 3" xfId="1060" xr:uid="{00000000-0005-0000-0000-00003B0C0000}"/>
    <cellStyle name="_L3-PCU6000_2G Core BoQ1_Revised 2G_BoQ P03 Model 3 2" xfId="1061" xr:uid="{00000000-0005-0000-0000-00003C0C0000}"/>
    <cellStyle name="_L3-PCU6000_2G Core BoQ1_Revised 2G_BoQ P03 Model 4" xfId="1062" xr:uid="{00000000-0005-0000-0000-00003D0C0000}"/>
    <cellStyle name="_L3-PCU6000_2G Core BoQ1_服务文件Benchmark V13(for Customer)" xfId="1063" xr:uid="{00000000-0005-0000-0000-00003E0C0000}"/>
    <cellStyle name="_L3-PCU6000_2G Core BoQ1_服务文件Benchmark V13(for Customer) 2" xfId="1064" xr:uid="{00000000-0005-0000-0000-00003F0C0000}"/>
    <cellStyle name="_L3-PCU6000_2G Core BoQ1_服务文件Benchmark V13(for Customer) 2 2" xfId="1065" xr:uid="{00000000-0005-0000-0000-0000400C0000}"/>
    <cellStyle name="_L3-PCU6000_2G Core BoQ1_服务文件Benchmark V13(for Customer) 3" xfId="1066" xr:uid="{00000000-0005-0000-0000-0000410C0000}"/>
    <cellStyle name="_L3-PCU6000_2G Core BoQ1_服务文件Benchmark V13(for Customer) 3 2" xfId="1067" xr:uid="{00000000-0005-0000-0000-0000420C0000}"/>
    <cellStyle name="_L3-PCU6000_2G Core BoQ1_服务文件Benchmark V13(for Customer) 4" xfId="1068" xr:uid="{00000000-0005-0000-0000-0000430C0000}"/>
    <cellStyle name="_L3-PCU6000_2G Core BoQ1_服务文件Benchmark V5" xfId="1069" xr:uid="{00000000-0005-0000-0000-0000440C0000}"/>
    <cellStyle name="_L3-PCU6000_2G Core BoQ1_服务文件Benchmark V5 2" xfId="1070" xr:uid="{00000000-0005-0000-0000-0000450C0000}"/>
    <cellStyle name="_L3-PCU6000_2G Core BoQ1_服务文件Benchmark V5 2 2" xfId="1071" xr:uid="{00000000-0005-0000-0000-0000460C0000}"/>
    <cellStyle name="_L3-PCU6000_2G Core BoQ1_服务文件Benchmark V5 3" xfId="1072" xr:uid="{00000000-0005-0000-0000-0000470C0000}"/>
    <cellStyle name="_L3-PCU6000_2G Core BoQ1_服务文件Benchmark V5 3 2" xfId="1073" xr:uid="{00000000-0005-0000-0000-0000480C0000}"/>
    <cellStyle name="_L3-PCU6000_2G Core BoQ1_服务文件Benchmark V5 4" xfId="1074" xr:uid="{00000000-0005-0000-0000-0000490C0000}"/>
    <cellStyle name="_L3-PCU6000_2G Service BoQ" xfId="1075" xr:uid="{00000000-0005-0000-0000-00004A0C0000}"/>
    <cellStyle name="_L3-PCU6000_2G Service BoQ 2" xfId="1076" xr:uid="{00000000-0005-0000-0000-00004B0C0000}"/>
    <cellStyle name="_L3-PCU6000_2G Service BoQ 2 2" xfId="1077" xr:uid="{00000000-0005-0000-0000-00004C0C0000}"/>
    <cellStyle name="_L3-PCU6000_2G Service BoQ 3" xfId="1078" xr:uid="{00000000-0005-0000-0000-00004D0C0000}"/>
    <cellStyle name="_L3-PCU6000_2G Service BoQ 3 2" xfId="1079" xr:uid="{00000000-0005-0000-0000-00004E0C0000}"/>
    <cellStyle name="_L3-PCU6000_2G Service BoQ 4" xfId="1080" xr:uid="{00000000-0005-0000-0000-00004F0C0000}"/>
    <cellStyle name="_L3-PCU6000_2G Service BoQ_2G service V5" xfId="1081" xr:uid="{00000000-0005-0000-0000-0000500C0000}"/>
    <cellStyle name="_L3-PCU6000_2G Service BoQ_2G service V5 2" xfId="1082" xr:uid="{00000000-0005-0000-0000-0000510C0000}"/>
    <cellStyle name="_L3-PCU6000_2G Service BoQ_2G service V5 2 2" xfId="1083" xr:uid="{00000000-0005-0000-0000-0000520C0000}"/>
    <cellStyle name="_L3-PCU6000_2G Service BoQ_2G service V5 3" xfId="1084" xr:uid="{00000000-0005-0000-0000-0000530C0000}"/>
    <cellStyle name="_L3-PCU6000_2G Service BoQ_2G service V5 3 2" xfId="1085" xr:uid="{00000000-0005-0000-0000-0000540C0000}"/>
    <cellStyle name="_L3-PCU6000_2G Service BoQ_2G service V5 4" xfId="1086" xr:uid="{00000000-0005-0000-0000-0000550C0000}"/>
    <cellStyle name="_L3-PCU6000_2G Service BoQ_2G Service(20071104)benchmark" xfId="1087" xr:uid="{00000000-0005-0000-0000-0000560C0000}"/>
    <cellStyle name="_L3-PCU6000_2G Service BoQ_2G Service(20071104)benchmark 2" xfId="1088" xr:uid="{00000000-0005-0000-0000-0000570C0000}"/>
    <cellStyle name="_L3-PCU6000_2G Service BoQ_2G Service(20071104)benchmark 2 2" xfId="1089" xr:uid="{00000000-0005-0000-0000-0000580C0000}"/>
    <cellStyle name="_L3-PCU6000_2G Service BoQ_2G Service(20071104)benchmark 3" xfId="1090" xr:uid="{00000000-0005-0000-0000-0000590C0000}"/>
    <cellStyle name="_L3-PCU6000_2G Service BoQ_2G Service(20071104)benchmark 3 2" xfId="1091" xr:uid="{00000000-0005-0000-0000-00005A0C0000}"/>
    <cellStyle name="_L3-PCU6000_2G Service BoQ_2G Service(20071104)benchmark 4" xfId="1092" xr:uid="{00000000-0005-0000-0000-00005B0C0000}"/>
    <cellStyle name="_L3-PCU6000_2G Service BoQ_2G_BoQ" xfId="1093" xr:uid="{00000000-0005-0000-0000-00005C0C0000}"/>
    <cellStyle name="_L3-PCU6000_2G Service BoQ_2G_BoQ 2" xfId="1094" xr:uid="{00000000-0005-0000-0000-00005D0C0000}"/>
    <cellStyle name="_L3-PCU6000_2G Service BoQ_2G_BoQ 2 2" xfId="1095" xr:uid="{00000000-0005-0000-0000-00005E0C0000}"/>
    <cellStyle name="_L3-PCU6000_2G Service BoQ_2G_BoQ 3" xfId="1096" xr:uid="{00000000-0005-0000-0000-00005F0C0000}"/>
    <cellStyle name="_L3-PCU6000_2G Service BoQ_2G_BoQ 3 2" xfId="1097" xr:uid="{00000000-0005-0000-0000-0000600C0000}"/>
    <cellStyle name="_L3-PCU6000_2G Service BoQ_2G_BoQ 4" xfId="1098" xr:uid="{00000000-0005-0000-0000-0000610C0000}"/>
    <cellStyle name="_L3-PCU6000_2G Service BoQ_2G_BoQ Apple2" xfId="1099" xr:uid="{00000000-0005-0000-0000-0000620C0000}"/>
    <cellStyle name="_L3-PCU6000_2G Service BoQ_2G_BoQ Apple2 2" xfId="1100" xr:uid="{00000000-0005-0000-0000-0000630C0000}"/>
    <cellStyle name="_L3-PCU6000_2G Service BoQ_2G_BoQ Apple2 2 2" xfId="1101" xr:uid="{00000000-0005-0000-0000-0000640C0000}"/>
    <cellStyle name="_L3-PCU6000_2G Service BoQ_2G_BoQ Apple2 3" xfId="1102" xr:uid="{00000000-0005-0000-0000-0000650C0000}"/>
    <cellStyle name="_L3-PCU6000_2G Service BoQ_2G_BoQ Apple2 3 2" xfId="1103" xr:uid="{00000000-0005-0000-0000-0000660C0000}"/>
    <cellStyle name="_L3-PCU6000_2G Service BoQ_2G_BoQ Apple2 4" xfId="1104" xr:uid="{00000000-0005-0000-0000-0000670C0000}"/>
    <cellStyle name="_L3-PCU6000_2G Service BoQ_2G_BoQ Model" xfId="1105" xr:uid="{00000000-0005-0000-0000-0000680C0000}"/>
    <cellStyle name="_L3-PCU6000_2G Service BoQ_2G_BoQ Model 2" xfId="1106" xr:uid="{00000000-0005-0000-0000-0000690C0000}"/>
    <cellStyle name="_L3-PCU6000_2G Service BoQ_2G_BoQ Model 2 2" xfId="1107" xr:uid="{00000000-0005-0000-0000-00006A0C0000}"/>
    <cellStyle name="_L3-PCU6000_2G Service BoQ_2G_BoQ Model 3" xfId="1108" xr:uid="{00000000-0005-0000-0000-00006B0C0000}"/>
    <cellStyle name="_L3-PCU6000_2G Service BoQ_2G_BoQ Model 3 2" xfId="1109" xr:uid="{00000000-0005-0000-0000-00006C0C0000}"/>
    <cellStyle name="_L3-PCU6000_2G Service BoQ_2G_BoQ Model 4" xfId="1110" xr:uid="{00000000-0005-0000-0000-00006D0C0000}"/>
    <cellStyle name="_L3-PCU6000_2G Service BoQ_2G_BoQ P03 Model" xfId="1111" xr:uid="{00000000-0005-0000-0000-00006E0C0000}"/>
    <cellStyle name="_L3-PCU6000_2G Service BoQ_2G_BoQ P03 Model 2" xfId="1112" xr:uid="{00000000-0005-0000-0000-00006F0C0000}"/>
    <cellStyle name="_L3-PCU6000_2G Service BoQ_2G_BoQ P03 Model 2 2" xfId="1113" xr:uid="{00000000-0005-0000-0000-0000700C0000}"/>
    <cellStyle name="_L3-PCU6000_2G Service BoQ_2G_BoQ P03 Model 3" xfId="1114" xr:uid="{00000000-0005-0000-0000-0000710C0000}"/>
    <cellStyle name="_L3-PCU6000_2G Service BoQ_2G_BoQ P03 Model 3 2" xfId="1115" xr:uid="{00000000-0005-0000-0000-0000720C0000}"/>
    <cellStyle name="_L3-PCU6000_2G Service BoQ_2G_BoQ P03 Model 4" xfId="1116" xr:uid="{00000000-0005-0000-0000-0000730C0000}"/>
    <cellStyle name="_L3-PCU6000_2G Service BoQ_2G_BoQ v2" xfId="1117" xr:uid="{00000000-0005-0000-0000-0000740C0000}"/>
    <cellStyle name="_L3-PCU6000_2G Service BoQ_2G_BoQ v2 2" xfId="1118" xr:uid="{00000000-0005-0000-0000-0000750C0000}"/>
    <cellStyle name="_L3-PCU6000_2G Service BoQ_2G_BoQ v2 2 2" xfId="1119" xr:uid="{00000000-0005-0000-0000-0000760C0000}"/>
    <cellStyle name="_L3-PCU6000_2G Service BoQ_2G_BoQ v2 3" xfId="1120" xr:uid="{00000000-0005-0000-0000-0000770C0000}"/>
    <cellStyle name="_L3-PCU6000_2G Service BoQ_2G_BoQ v2 3 2" xfId="1121" xr:uid="{00000000-0005-0000-0000-0000780C0000}"/>
    <cellStyle name="_L3-PCU6000_2G Service BoQ_2G_BoQ v2 4" xfId="1122" xr:uid="{00000000-0005-0000-0000-0000790C0000}"/>
    <cellStyle name="_L3-PCU6000_2G Service BoQ_2G_BoQ_v2" xfId="1123" xr:uid="{00000000-0005-0000-0000-00007A0C0000}"/>
    <cellStyle name="_L3-PCU6000_2G Service BoQ_2G_BoQ_v2 2" xfId="1124" xr:uid="{00000000-0005-0000-0000-00007B0C0000}"/>
    <cellStyle name="_L3-PCU6000_2G Service BoQ_2G_BoQ_v2 2 2" xfId="1125" xr:uid="{00000000-0005-0000-0000-00007C0C0000}"/>
    <cellStyle name="_L3-PCU6000_2G Service BoQ_2G_BoQ_v2 3" xfId="1126" xr:uid="{00000000-0005-0000-0000-00007D0C0000}"/>
    <cellStyle name="_L3-PCU6000_2G Service BoQ_2G_BoQ_v2 3 2" xfId="1127" xr:uid="{00000000-0005-0000-0000-00007E0C0000}"/>
    <cellStyle name="_L3-PCU6000_2G Service BoQ_2G_BoQ_v2 4" xfId="1128" xr:uid="{00000000-0005-0000-0000-00007F0C0000}"/>
    <cellStyle name="_L3-PCU6000_2G Service BoQ_Book2" xfId="1129" xr:uid="{00000000-0005-0000-0000-0000800C0000}"/>
    <cellStyle name="_L3-PCU6000_2G Service BoQ_Book2 2" xfId="1130" xr:uid="{00000000-0005-0000-0000-0000810C0000}"/>
    <cellStyle name="_L3-PCU6000_2G Service BoQ_Book2 2 2" xfId="1131" xr:uid="{00000000-0005-0000-0000-0000820C0000}"/>
    <cellStyle name="_L3-PCU6000_2G Service BoQ_Book2 3" xfId="1132" xr:uid="{00000000-0005-0000-0000-0000830C0000}"/>
    <cellStyle name="_L3-PCU6000_2G Service BoQ_Book2 3 2" xfId="1133" xr:uid="{00000000-0005-0000-0000-0000840C0000}"/>
    <cellStyle name="_L3-PCU6000_2G Service BoQ_Book2 4" xfId="1134" xr:uid="{00000000-0005-0000-0000-0000850C0000}"/>
    <cellStyle name="_L3-PCU6000_2G Service BoQ_Revised 2G_BoQ" xfId="1135" xr:uid="{00000000-0005-0000-0000-0000860C0000}"/>
    <cellStyle name="_L3-PCU6000_2G Service BoQ_Revised 2G_BoQ 2" xfId="1136" xr:uid="{00000000-0005-0000-0000-0000870C0000}"/>
    <cellStyle name="_L3-PCU6000_2G Service BoQ_Revised 2G_BoQ 2 2" xfId="1137" xr:uid="{00000000-0005-0000-0000-0000880C0000}"/>
    <cellStyle name="_L3-PCU6000_2G Service BoQ_Revised 2G_BoQ 3" xfId="1138" xr:uid="{00000000-0005-0000-0000-0000890C0000}"/>
    <cellStyle name="_L3-PCU6000_2G Service BoQ_Revised 2G_BoQ 3 2" xfId="1139" xr:uid="{00000000-0005-0000-0000-00008A0C0000}"/>
    <cellStyle name="_L3-PCU6000_2G Service BoQ_Revised 2G_BoQ 4" xfId="1140" xr:uid="{00000000-0005-0000-0000-00008B0C0000}"/>
    <cellStyle name="_L3-PCU6000_2G Service BoQ_Revised 2G_BoQ P03 Model" xfId="1141" xr:uid="{00000000-0005-0000-0000-00008C0C0000}"/>
    <cellStyle name="_L3-PCU6000_2G Service BoQ_Revised 2G_BoQ P03 Model 2" xfId="1142" xr:uid="{00000000-0005-0000-0000-00008D0C0000}"/>
    <cellStyle name="_L3-PCU6000_2G Service BoQ_Revised 2G_BoQ P03 Model 2 2" xfId="1143" xr:uid="{00000000-0005-0000-0000-00008E0C0000}"/>
    <cellStyle name="_L3-PCU6000_2G Service BoQ_Revised 2G_BoQ P03 Model 3" xfId="1144" xr:uid="{00000000-0005-0000-0000-00008F0C0000}"/>
    <cellStyle name="_L3-PCU6000_2G Service BoQ_Revised 2G_BoQ P03 Model 3 2" xfId="1145" xr:uid="{00000000-0005-0000-0000-0000900C0000}"/>
    <cellStyle name="_L3-PCU6000_2G Service BoQ_Revised 2G_BoQ P03 Model 4" xfId="1146" xr:uid="{00000000-0005-0000-0000-0000910C0000}"/>
    <cellStyle name="_L3-PCU6000_2G Service BoQ_服务文件Benchmark V13(for Customer)" xfId="1147" xr:uid="{00000000-0005-0000-0000-0000920C0000}"/>
    <cellStyle name="_L3-PCU6000_2G Service BoQ_服务文件Benchmark V13(for Customer) 2" xfId="1148" xr:uid="{00000000-0005-0000-0000-0000930C0000}"/>
    <cellStyle name="_L3-PCU6000_2G Service BoQ_服务文件Benchmark V13(for Customer) 2 2" xfId="1149" xr:uid="{00000000-0005-0000-0000-0000940C0000}"/>
    <cellStyle name="_L3-PCU6000_2G Service BoQ_服务文件Benchmark V13(for Customer) 3" xfId="1150" xr:uid="{00000000-0005-0000-0000-0000950C0000}"/>
    <cellStyle name="_L3-PCU6000_2G Service BoQ_服务文件Benchmark V13(for Customer) 3 2" xfId="1151" xr:uid="{00000000-0005-0000-0000-0000960C0000}"/>
    <cellStyle name="_L3-PCU6000_2G Service BoQ_服务文件Benchmark V13(for Customer) 4" xfId="1152" xr:uid="{00000000-0005-0000-0000-0000970C0000}"/>
    <cellStyle name="_L3-PCU6000_2G Service BoQ_服务文件Benchmark V5" xfId="1153" xr:uid="{00000000-0005-0000-0000-0000980C0000}"/>
    <cellStyle name="_L3-PCU6000_2G Service BoQ_服务文件Benchmark V5 2" xfId="1154" xr:uid="{00000000-0005-0000-0000-0000990C0000}"/>
    <cellStyle name="_L3-PCU6000_2G Service BoQ_服务文件Benchmark V5 2 2" xfId="1155" xr:uid="{00000000-0005-0000-0000-00009A0C0000}"/>
    <cellStyle name="_L3-PCU6000_2G Service BoQ_服务文件Benchmark V5 3" xfId="1156" xr:uid="{00000000-0005-0000-0000-00009B0C0000}"/>
    <cellStyle name="_L3-PCU6000_2G Service BoQ_服务文件Benchmark V5 3 2" xfId="1157" xr:uid="{00000000-0005-0000-0000-00009C0C0000}"/>
    <cellStyle name="_L3-PCU6000_2G Service BoQ_服务文件Benchmark V5 4" xfId="1158" xr:uid="{00000000-0005-0000-0000-00009D0C0000}"/>
    <cellStyle name="_L3-PCU6000_2G_BoQ" xfId="1159" xr:uid="{00000000-0005-0000-0000-00009E0C0000}"/>
    <cellStyle name="_L3-PCU6000_2G_BoQ 2" xfId="1160" xr:uid="{00000000-0005-0000-0000-00009F0C0000}"/>
    <cellStyle name="_L3-PCU6000_2G_BoQ 2 2" xfId="1161" xr:uid="{00000000-0005-0000-0000-0000A00C0000}"/>
    <cellStyle name="_L3-PCU6000_2G_BoQ 3" xfId="1162" xr:uid="{00000000-0005-0000-0000-0000A10C0000}"/>
    <cellStyle name="_L3-PCU6000_2G_BoQ 3 2" xfId="1163" xr:uid="{00000000-0005-0000-0000-0000A20C0000}"/>
    <cellStyle name="_L3-PCU6000_2G_BoQ 4" xfId="1164" xr:uid="{00000000-0005-0000-0000-0000A30C0000}"/>
    <cellStyle name="_L3-PCU6000_2G_BoQ_2G service V5" xfId="1165" xr:uid="{00000000-0005-0000-0000-0000A40C0000}"/>
    <cellStyle name="_L3-PCU6000_2G_BoQ_2G service V5 2" xfId="1166" xr:uid="{00000000-0005-0000-0000-0000A50C0000}"/>
    <cellStyle name="_L3-PCU6000_2G_BoQ_2G service V5 2 2" xfId="1167" xr:uid="{00000000-0005-0000-0000-0000A60C0000}"/>
    <cellStyle name="_L3-PCU6000_2G_BoQ_2G service V5 3" xfId="1168" xr:uid="{00000000-0005-0000-0000-0000A70C0000}"/>
    <cellStyle name="_L3-PCU6000_2G_BoQ_2G service V5 3 2" xfId="1169" xr:uid="{00000000-0005-0000-0000-0000A80C0000}"/>
    <cellStyle name="_L3-PCU6000_2G_BoQ_2G service V5 4" xfId="1170" xr:uid="{00000000-0005-0000-0000-0000A90C0000}"/>
    <cellStyle name="_L3-PCU6000_2G_BoQ_2G Service(20071104)benchmark" xfId="1171" xr:uid="{00000000-0005-0000-0000-0000AA0C0000}"/>
    <cellStyle name="_L3-PCU6000_2G_BoQ_2G Service(20071104)benchmark 2" xfId="1172" xr:uid="{00000000-0005-0000-0000-0000AB0C0000}"/>
    <cellStyle name="_L3-PCU6000_2G_BoQ_2G Service(20071104)benchmark 2 2" xfId="1173" xr:uid="{00000000-0005-0000-0000-0000AC0C0000}"/>
    <cellStyle name="_L3-PCU6000_2G_BoQ_2G Service(20071104)benchmark 3" xfId="1174" xr:uid="{00000000-0005-0000-0000-0000AD0C0000}"/>
    <cellStyle name="_L3-PCU6000_2G_BoQ_2G Service(20071104)benchmark 3 2" xfId="1175" xr:uid="{00000000-0005-0000-0000-0000AE0C0000}"/>
    <cellStyle name="_L3-PCU6000_2G_BoQ_2G Service(20071104)benchmark 4" xfId="1176" xr:uid="{00000000-0005-0000-0000-0000AF0C0000}"/>
    <cellStyle name="_L3-PCU6000_2G_BoQ_2G_BoQ" xfId="1177" xr:uid="{00000000-0005-0000-0000-0000B00C0000}"/>
    <cellStyle name="_L3-PCU6000_2G_BoQ_2G_BoQ 2" xfId="1178" xr:uid="{00000000-0005-0000-0000-0000B10C0000}"/>
    <cellStyle name="_L3-PCU6000_2G_BoQ_2G_BoQ 2 2" xfId="1179" xr:uid="{00000000-0005-0000-0000-0000B20C0000}"/>
    <cellStyle name="_L3-PCU6000_2G_BoQ_2G_BoQ 3" xfId="1180" xr:uid="{00000000-0005-0000-0000-0000B30C0000}"/>
    <cellStyle name="_L3-PCU6000_2G_BoQ_2G_BoQ 3 2" xfId="1181" xr:uid="{00000000-0005-0000-0000-0000B40C0000}"/>
    <cellStyle name="_L3-PCU6000_2G_BoQ_2G_BoQ 4" xfId="1182" xr:uid="{00000000-0005-0000-0000-0000B50C0000}"/>
    <cellStyle name="_L3-PCU6000_2G_BoQ_2G_BoQ Apple2" xfId="1183" xr:uid="{00000000-0005-0000-0000-0000B60C0000}"/>
    <cellStyle name="_L3-PCU6000_2G_BoQ_2G_BoQ Apple2 2" xfId="1184" xr:uid="{00000000-0005-0000-0000-0000B70C0000}"/>
    <cellStyle name="_L3-PCU6000_2G_BoQ_2G_BoQ Apple2 2 2" xfId="1185" xr:uid="{00000000-0005-0000-0000-0000B80C0000}"/>
    <cellStyle name="_L3-PCU6000_2G_BoQ_2G_BoQ Apple2 3" xfId="1186" xr:uid="{00000000-0005-0000-0000-0000B90C0000}"/>
    <cellStyle name="_L3-PCU6000_2G_BoQ_2G_BoQ Apple2 3 2" xfId="1187" xr:uid="{00000000-0005-0000-0000-0000BA0C0000}"/>
    <cellStyle name="_L3-PCU6000_2G_BoQ_2G_BoQ Apple2 4" xfId="1188" xr:uid="{00000000-0005-0000-0000-0000BB0C0000}"/>
    <cellStyle name="_L3-PCU6000_2G_BoQ_2G_BoQ Model" xfId="1189" xr:uid="{00000000-0005-0000-0000-0000BC0C0000}"/>
    <cellStyle name="_L3-PCU6000_2G_BoQ_2G_BoQ Model 2" xfId="1190" xr:uid="{00000000-0005-0000-0000-0000BD0C0000}"/>
    <cellStyle name="_L3-PCU6000_2G_BoQ_2G_BoQ Model 2 2" xfId="1191" xr:uid="{00000000-0005-0000-0000-0000BE0C0000}"/>
    <cellStyle name="_L3-PCU6000_2G_BoQ_2G_BoQ Model 3" xfId="1192" xr:uid="{00000000-0005-0000-0000-0000BF0C0000}"/>
    <cellStyle name="_L3-PCU6000_2G_BoQ_2G_BoQ Model 3 2" xfId="1193" xr:uid="{00000000-0005-0000-0000-0000C00C0000}"/>
    <cellStyle name="_L3-PCU6000_2G_BoQ_2G_BoQ Model 4" xfId="1194" xr:uid="{00000000-0005-0000-0000-0000C10C0000}"/>
    <cellStyle name="_L3-PCU6000_2G_BoQ_2G_BoQ P03 Model" xfId="1195" xr:uid="{00000000-0005-0000-0000-0000C20C0000}"/>
    <cellStyle name="_L3-PCU6000_2G_BoQ_2G_BoQ P03 Model 2" xfId="1196" xr:uid="{00000000-0005-0000-0000-0000C30C0000}"/>
    <cellStyle name="_L3-PCU6000_2G_BoQ_2G_BoQ P03 Model 2 2" xfId="1197" xr:uid="{00000000-0005-0000-0000-0000C40C0000}"/>
    <cellStyle name="_L3-PCU6000_2G_BoQ_2G_BoQ P03 Model 3" xfId="1198" xr:uid="{00000000-0005-0000-0000-0000C50C0000}"/>
    <cellStyle name="_L3-PCU6000_2G_BoQ_2G_BoQ P03 Model 3 2" xfId="1199" xr:uid="{00000000-0005-0000-0000-0000C60C0000}"/>
    <cellStyle name="_L3-PCU6000_2G_BoQ_2G_BoQ P03 Model 4" xfId="1200" xr:uid="{00000000-0005-0000-0000-0000C70C0000}"/>
    <cellStyle name="_L3-PCU6000_2G_BoQ_2G_BoQ v2" xfId="1201" xr:uid="{00000000-0005-0000-0000-0000C80C0000}"/>
    <cellStyle name="_L3-PCU6000_2G_BoQ_2G_BoQ v2 2" xfId="1202" xr:uid="{00000000-0005-0000-0000-0000C90C0000}"/>
    <cellStyle name="_L3-PCU6000_2G_BoQ_2G_BoQ v2 2 2" xfId="1203" xr:uid="{00000000-0005-0000-0000-0000CA0C0000}"/>
    <cellStyle name="_L3-PCU6000_2G_BoQ_2G_BoQ v2 3" xfId="1204" xr:uid="{00000000-0005-0000-0000-0000CB0C0000}"/>
    <cellStyle name="_L3-PCU6000_2G_BoQ_2G_BoQ v2 3 2" xfId="1205" xr:uid="{00000000-0005-0000-0000-0000CC0C0000}"/>
    <cellStyle name="_L3-PCU6000_2G_BoQ_2G_BoQ v2 4" xfId="1206" xr:uid="{00000000-0005-0000-0000-0000CD0C0000}"/>
    <cellStyle name="_L3-PCU6000_2G_BoQ_2G_BoQ_v2" xfId="1207" xr:uid="{00000000-0005-0000-0000-0000CE0C0000}"/>
    <cellStyle name="_L3-PCU6000_2G_BoQ_2G_BoQ_v2 2" xfId="1208" xr:uid="{00000000-0005-0000-0000-0000CF0C0000}"/>
    <cellStyle name="_L3-PCU6000_2G_BoQ_2G_BoQ_v2 2 2" xfId="1209" xr:uid="{00000000-0005-0000-0000-0000D00C0000}"/>
    <cellStyle name="_L3-PCU6000_2G_BoQ_2G_BoQ_v2 3" xfId="1210" xr:uid="{00000000-0005-0000-0000-0000D10C0000}"/>
    <cellStyle name="_L3-PCU6000_2G_BoQ_2G_BoQ_v2 3 2" xfId="1211" xr:uid="{00000000-0005-0000-0000-0000D20C0000}"/>
    <cellStyle name="_L3-PCU6000_2G_BoQ_2G_BoQ_v2 4" xfId="1212" xr:uid="{00000000-0005-0000-0000-0000D30C0000}"/>
    <cellStyle name="_L3-PCU6000_2G_BoQ_Book2" xfId="1213" xr:uid="{00000000-0005-0000-0000-0000D40C0000}"/>
    <cellStyle name="_L3-PCU6000_2G_BoQ_Book2 2" xfId="1214" xr:uid="{00000000-0005-0000-0000-0000D50C0000}"/>
    <cellStyle name="_L3-PCU6000_2G_BoQ_Book2 2 2" xfId="1215" xr:uid="{00000000-0005-0000-0000-0000D60C0000}"/>
    <cellStyle name="_L3-PCU6000_2G_BoQ_Book2 3" xfId="1216" xr:uid="{00000000-0005-0000-0000-0000D70C0000}"/>
    <cellStyle name="_L3-PCU6000_2G_BoQ_Book2 3 2" xfId="1217" xr:uid="{00000000-0005-0000-0000-0000D80C0000}"/>
    <cellStyle name="_L3-PCU6000_2G_BoQ_Book2 4" xfId="1218" xr:uid="{00000000-0005-0000-0000-0000D90C0000}"/>
    <cellStyle name="_L3-PCU6000_2G_BoQ_Revised 2G_BoQ" xfId="1219" xr:uid="{00000000-0005-0000-0000-0000DA0C0000}"/>
    <cellStyle name="_L3-PCU6000_2G_BoQ_Revised 2G_BoQ 2" xfId="1220" xr:uid="{00000000-0005-0000-0000-0000DB0C0000}"/>
    <cellStyle name="_L3-PCU6000_2G_BoQ_Revised 2G_BoQ 2 2" xfId="1221" xr:uid="{00000000-0005-0000-0000-0000DC0C0000}"/>
    <cellStyle name="_L3-PCU6000_2G_BoQ_Revised 2G_BoQ 3" xfId="1222" xr:uid="{00000000-0005-0000-0000-0000DD0C0000}"/>
    <cellStyle name="_L3-PCU6000_2G_BoQ_Revised 2G_BoQ 3 2" xfId="1223" xr:uid="{00000000-0005-0000-0000-0000DE0C0000}"/>
    <cellStyle name="_L3-PCU6000_2G_BoQ_Revised 2G_BoQ 4" xfId="1224" xr:uid="{00000000-0005-0000-0000-0000DF0C0000}"/>
    <cellStyle name="_L3-PCU6000_2G_BoQ_Revised 2G_BoQ P03 Model" xfId="1225" xr:uid="{00000000-0005-0000-0000-0000E00C0000}"/>
    <cellStyle name="_L3-PCU6000_2G_BoQ_Revised 2G_BoQ P03 Model 2" xfId="1226" xr:uid="{00000000-0005-0000-0000-0000E10C0000}"/>
    <cellStyle name="_L3-PCU6000_2G_BoQ_Revised 2G_BoQ P03 Model 2 2" xfId="1227" xr:uid="{00000000-0005-0000-0000-0000E20C0000}"/>
    <cellStyle name="_L3-PCU6000_2G_BoQ_Revised 2G_BoQ P03 Model 3" xfId="1228" xr:uid="{00000000-0005-0000-0000-0000E30C0000}"/>
    <cellStyle name="_L3-PCU6000_2G_BoQ_Revised 2G_BoQ P03 Model 3 2" xfId="1229" xr:uid="{00000000-0005-0000-0000-0000E40C0000}"/>
    <cellStyle name="_L3-PCU6000_2G_BoQ_Revised 2G_BoQ P03 Model 4" xfId="1230" xr:uid="{00000000-0005-0000-0000-0000E50C0000}"/>
    <cellStyle name="_L3-PCU6000_2G_BoQ_服务文件Benchmark V13(for Customer)" xfId="1231" xr:uid="{00000000-0005-0000-0000-0000E60C0000}"/>
    <cellStyle name="_L3-PCU6000_2G_BoQ_服务文件Benchmark V13(for Customer) 2" xfId="1232" xr:uid="{00000000-0005-0000-0000-0000E70C0000}"/>
    <cellStyle name="_L3-PCU6000_2G_BoQ_服务文件Benchmark V13(for Customer) 2 2" xfId="1233" xr:uid="{00000000-0005-0000-0000-0000E80C0000}"/>
    <cellStyle name="_L3-PCU6000_2G_BoQ_服务文件Benchmark V13(for Customer) 3" xfId="1234" xr:uid="{00000000-0005-0000-0000-0000E90C0000}"/>
    <cellStyle name="_L3-PCU6000_2G_BoQ_服务文件Benchmark V13(for Customer) 3 2" xfId="1235" xr:uid="{00000000-0005-0000-0000-0000EA0C0000}"/>
    <cellStyle name="_L3-PCU6000_2G_BoQ_服务文件Benchmark V13(for Customer) 4" xfId="1236" xr:uid="{00000000-0005-0000-0000-0000EB0C0000}"/>
    <cellStyle name="_L3-PCU6000_2G_BoQ_服务文件Benchmark V5" xfId="1237" xr:uid="{00000000-0005-0000-0000-0000EC0C0000}"/>
    <cellStyle name="_L3-PCU6000_2G_BoQ_服务文件Benchmark V5 2" xfId="1238" xr:uid="{00000000-0005-0000-0000-0000ED0C0000}"/>
    <cellStyle name="_L3-PCU6000_2G_BoQ_服务文件Benchmark V5 2 2" xfId="1239" xr:uid="{00000000-0005-0000-0000-0000EE0C0000}"/>
    <cellStyle name="_L3-PCU6000_2G_BoQ_服务文件Benchmark V5 3" xfId="1240" xr:uid="{00000000-0005-0000-0000-0000EF0C0000}"/>
    <cellStyle name="_L3-PCU6000_2G_BoQ_服务文件Benchmark V5 3 2" xfId="1241" xr:uid="{00000000-0005-0000-0000-0000F00C0000}"/>
    <cellStyle name="_L3-PCU6000_2G_BoQ_服务文件Benchmark V5 4" xfId="1242" xr:uid="{00000000-0005-0000-0000-0000F10C0000}"/>
    <cellStyle name="_L3-PCU6000_Annual Software Upgrade Fee" xfId="1243" xr:uid="{00000000-0005-0000-0000-0000F20C0000}"/>
    <cellStyle name="_L3-PCU6000_Annual Software Upgrade Fee 2" xfId="1244" xr:uid="{00000000-0005-0000-0000-0000F30C0000}"/>
    <cellStyle name="_L3-PCU6000_Annual Software Upgrade Fee 2 2" xfId="1245" xr:uid="{00000000-0005-0000-0000-0000F40C0000}"/>
    <cellStyle name="_L3-PCU6000_Annual Software Upgrade Fee 3" xfId="1246" xr:uid="{00000000-0005-0000-0000-0000F50C0000}"/>
    <cellStyle name="_L3-PCU6000_Annual Software Upgrade Fee 3 2" xfId="1247" xr:uid="{00000000-0005-0000-0000-0000F60C0000}"/>
    <cellStyle name="_L3-PCU6000_Annual Software Upgrade Fee 4" xfId="1248" xr:uid="{00000000-0005-0000-0000-0000F70C0000}"/>
    <cellStyle name="_L3-PCU6000_Annual Software Upgrade Fee for Service" xfId="1249" xr:uid="{00000000-0005-0000-0000-0000F80C0000}"/>
    <cellStyle name="_L3-PCU6000_Annual Software Upgrade Fee for Service 2" xfId="1250" xr:uid="{00000000-0005-0000-0000-0000F90C0000}"/>
    <cellStyle name="_L3-PCU6000_Annual Software Upgrade Fee for Service 2 2" xfId="1251" xr:uid="{00000000-0005-0000-0000-0000FA0C0000}"/>
    <cellStyle name="_L3-PCU6000_Annual Software Upgrade Fee for Service 3" xfId="1252" xr:uid="{00000000-0005-0000-0000-0000FB0C0000}"/>
    <cellStyle name="_L3-PCU6000_Annual Software Upgrade Fee for Service 3 2" xfId="1253" xr:uid="{00000000-0005-0000-0000-0000FC0C0000}"/>
    <cellStyle name="_L3-PCU6000_Annual Software Upgrade Fee for Service 4" xfId="1254" xr:uid="{00000000-0005-0000-0000-0000FD0C0000}"/>
    <cellStyle name="_L3-PCU6000_Annual Software Upgrade Fee for Service_2G service V5" xfId="1255" xr:uid="{00000000-0005-0000-0000-0000FE0C0000}"/>
    <cellStyle name="_L3-PCU6000_Annual Software Upgrade Fee for Service_2G service V5 2" xfId="1256" xr:uid="{00000000-0005-0000-0000-0000FF0C0000}"/>
    <cellStyle name="_L3-PCU6000_Annual Software Upgrade Fee for Service_2G service V5 2 2" xfId="1257" xr:uid="{00000000-0005-0000-0000-0000000D0000}"/>
    <cellStyle name="_L3-PCU6000_Annual Software Upgrade Fee for Service_2G service V5 3" xfId="1258" xr:uid="{00000000-0005-0000-0000-0000010D0000}"/>
    <cellStyle name="_L3-PCU6000_Annual Software Upgrade Fee for Service_2G service V5 3 2" xfId="1259" xr:uid="{00000000-0005-0000-0000-0000020D0000}"/>
    <cellStyle name="_L3-PCU6000_Annual Software Upgrade Fee for Service_2G service V5 4" xfId="1260" xr:uid="{00000000-0005-0000-0000-0000030D0000}"/>
    <cellStyle name="_L3-PCU6000_Annual Software Upgrade Fee for Service_2G Service(20071104)benchmark" xfId="1261" xr:uid="{00000000-0005-0000-0000-0000040D0000}"/>
    <cellStyle name="_L3-PCU6000_Annual Software Upgrade Fee for Service_2G Service(20071104)benchmark 2" xfId="1262" xr:uid="{00000000-0005-0000-0000-0000050D0000}"/>
    <cellStyle name="_L3-PCU6000_Annual Software Upgrade Fee for Service_2G Service(20071104)benchmark 2 2" xfId="1263" xr:uid="{00000000-0005-0000-0000-0000060D0000}"/>
    <cellStyle name="_L3-PCU6000_Annual Software Upgrade Fee for Service_2G Service(20071104)benchmark 3" xfId="1264" xr:uid="{00000000-0005-0000-0000-0000070D0000}"/>
    <cellStyle name="_L3-PCU6000_Annual Software Upgrade Fee for Service_2G Service(20071104)benchmark 3 2" xfId="1265" xr:uid="{00000000-0005-0000-0000-0000080D0000}"/>
    <cellStyle name="_L3-PCU6000_Annual Software Upgrade Fee for Service_2G Service(20071104)benchmark 4" xfId="1266" xr:uid="{00000000-0005-0000-0000-0000090D0000}"/>
    <cellStyle name="_L3-PCU6000_Annual Software Upgrade Fee for Service_2G_BoQ" xfId="1267" xr:uid="{00000000-0005-0000-0000-00000A0D0000}"/>
    <cellStyle name="_L3-PCU6000_Annual Software Upgrade Fee for Service_2G_BoQ 2" xfId="1268" xr:uid="{00000000-0005-0000-0000-00000B0D0000}"/>
    <cellStyle name="_L3-PCU6000_Annual Software Upgrade Fee for Service_2G_BoQ 2 2" xfId="1269" xr:uid="{00000000-0005-0000-0000-00000C0D0000}"/>
    <cellStyle name="_L3-PCU6000_Annual Software Upgrade Fee for Service_2G_BoQ 3" xfId="1270" xr:uid="{00000000-0005-0000-0000-00000D0D0000}"/>
    <cellStyle name="_L3-PCU6000_Annual Software Upgrade Fee for Service_2G_BoQ 3 2" xfId="1271" xr:uid="{00000000-0005-0000-0000-00000E0D0000}"/>
    <cellStyle name="_L3-PCU6000_Annual Software Upgrade Fee for Service_2G_BoQ 4" xfId="1272" xr:uid="{00000000-0005-0000-0000-00000F0D0000}"/>
    <cellStyle name="_L3-PCU6000_Annual Software Upgrade Fee for Service_2G_BoQ Apple2" xfId="1273" xr:uid="{00000000-0005-0000-0000-0000100D0000}"/>
    <cellStyle name="_L3-PCU6000_Annual Software Upgrade Fee for Service_2G_BoQ Apple2 2" xfId="1274" xr:uid="{00000000-0005-0000-0000-0000110D0000}"/>
    <cellStyle name="_L3-PCU6000_Annual Software Upgrade Fee for Service_2G_BoQ Apple2 2 2" xfId="1275" xr:uid="{00000000-0005-0000-0000-0000120D0000}"/>
    <cellStyle name="_L3-PCU6000_Annual Software Upgrade Fee for Service_2G_BoQ Apple2 3" xfId="1276" xr:uid="{00000000-0005-0000-0000-0000130D0000}"/>
    <cellStyle name="_L3-PCU6000_Annual Software Upgrade Fee for Service_2G_BoQ Apple2 3 2" xfId="1277" xr:uid="{00000000-0005-0000-0000-0000140D0000}"/>
    <cellStyle name="_L3-PCU6000_Annual Software Upgrade Fee for Service_2G_BoQ Apple2 4" xfId="1278" xr:uid="{00000000-0005-0000-0000-0000150D0000}"/>
    <cellStyle name="_L3-PCU6000_Annual Software Upgrade Fee for Service_2G_BoQ Model" xfId="1279" xr:uid="{00000000-0005-0000-0000-0000160D0000}"/>
    <cellStyle name="_L3-PCU6000_Annual Software Upgrade Fee for Service_2G_BoQ Model 2" xfId="1280" xr:uid="{00000000-0005-0000-0000-0000170D0000}"/>
    <cellStyle name="_L3-PCU6000_Annual Software Upgrade Fee for Service_2G_BoQ Model 2 2" xfId="1281" xr:uid="{00000000-0005-0000-0000-0000180D0000}"/>
    <cellStyle name="_L3-PCU6000_Annual Software Upgrade Fee for Service_2G_BoQ Model 3" xfId="1282" xr:uid="{00000000-0005-0000-0000-0000190D0000}"/>
    <cellStyle name="_L3-PCU6000_Annual Software Upgrade Fee for Service_2G_BoQ Model 3 2" xfId="1283" xr:uid="{00000000-0005-0000-0000-00001A0D0000}"/>
    <cellStyle name="_L3-PCU6000_Annual Software Upgrade Fee for Service_2G_BoQ Model 4" xfId="1284" xr:uid="{00000000-0005-0000-0000-00001B0D0000}"/>
    <cellStyle name="_L3-PCU6000_Annual Software Upgrade Fee for Service_2G_BoQ P03 Model" xfId="1285" xr:uid="{00000000-0005-0000-0000-00001C0D0000}"/>
    <cellStyle name="_L3-PCU6000_Annual Software Upgrade Fee for Service_2G_BoQ P03 Model 2" xfId="1286" xr:uid="{00000000-0005-0000-0000-00001D0D0000}"/>
    <cellStyle name="_L3-PCU6000_Annual Software Upgrade Fee for Service_2G_BoQ P03 Model 2 2" xfId="1287" xr:uid="{00000000-0005-0000-0000-00001E0D0000}"/>
    <cellStyle name="_L3-PCU6000_Annual Software Upgrade Fee for Service_2G_BoQ P03 Model 3" xfId="1288" xr:uid="{00000000-0005-0000-0000-00001F0D0000}"/>
    <cellStyle name="_L3-PCU6000_Annual Software Upgrade Fee for Service_2G_BoQ P03 Model 3 2" xfId="1289" xr:uid="{00000000-0005-0000-0000-0000200D0000}"/>
    <cellStyle name="_L3-PCU6000_Annual Software Upgrade Fee for Service_2G_BoQ P03 Model 4" xfId="1290" xr:uid="{00000000-0005-0000-0000-0000210D0000}"/>
    <cellStyle name="_L3-PCU6000_Annual Software Upgrade Fee for Service_2G_BoQ v2" xfId="1291" xr:uid="{00000000-0005-0000-0000-0000220D0000}"/>
    <cellStyle name="_L3-PCU6000_Annual Software Upgrade Fee for Service_2G_BoQ v2 2" xfId="1292" xr:uid="{00000000-0005-0000-0000-0000230D0000}"/>
    <cellStyle name="_L3-PCU6000_Annual Software Upgrade Fee for Service_2G_BoQ v2 2 2" xfId="1293" xr:uid="{00000000-0005-0000-0000-0000240D0000}"/>
    <cellStyle name="_L3-PCU6000_Annual Software Upgrade Fee for Service_2G_BoQ v2 3" xfId="1294" xr:uid="{00000000-0005-0000-0000-0000250D0000}"/>
    <cellStyle name="_L3-PCU6000_Annual Software Upgrade Fee for Service_2G_BoQ v2 3 2" xfId="1295" xr:uid="{00000000-0005-0000-0000-0000260D0000}"/>
    <cellStyle name="_L3-PCU6000_Annual Software Upgrade Fee for Service_2G_BoQ v2 4" xfId="1296" xr:uid="{00000000-0005-0000-0000-0000270D0000}"/>
    <cellStyle name="_L3-PCU6000_Annual Software Upgrade Fee for Service_2G_BoQ_v2" xfId="1297" xr:uid="{00000000-0005-0000-0000-0000280D0000}"/>
    <cellStyle name="_L3-PCU6000_Annual Software Upgrade Fee for Service_2G_BoQ_v2 2" xfId="1298" xr:uid="{00000000-0005-0000-0000-0000290D0000}"/>
    <cellStyle name="_L3-PCU6000_Annual Software Upgrade Fee for Service_2G_BoQ_v2 2 2" xfId="1299" xr:uid="{00000000-0005-0000-0000-00002A0D0000}"/>
    <cellStyle name="_L3-PCU6000_Annual Software Upgrade Fee for Service_2G_BoQ_v2 3" xfId="1300" xr:uid="{00000000-0005-0000-0000-00002B0D0000}"/>
    <cellStyle name="_L3-PCU6000_Annual Software Upgrade Fee for Service_2G_BoQ_v2 3 2" xfId="1301" xr:uid="{00000000-0005-0000-0000-00002C0D0000}"/>
    <cellStyle name="_L3-PCU6000_Annual Software Upgrade Fee for Service_2G_BoQ_v2 4" xfId="1302" xr:uid="{00000000-0005-0000-0000-00002D0D0000}"/>
    <cellStyle name="_L3-PCU6000_Annual Software Upgrade Fee for Service_Book2" xfId="1303" xr:uid="{00000000-0005-0000-0000-00002E0D0000}"/>
    <cellStyle name="_L3-PCU6000_Annual Software Upgrade Fee for Service_Book2 2" xfId="1304" xr:uid="{00000000-0005-0000-0000-00002F0D0000}"/>
    <cellStyle name="_L3-PCU6000_Annual Software Upgrade Fee for Service_Book2 2 2" xfId="1305" xr:uid="{00000000-0005-0000-0000-0000300D0000}"/>
    <cellStyle name="_L3-PCU6000_Annual Software Upgrade Fee for Service_Book2 3" xfId="1306" xr:uid="{00000000-0005-0000-0000-0000310D0000}"/>
    <cellStyle name="_L3-PCU6000_Annual Software Upgrade Fee for Service_Book2 3 2" xfId="1307" xr:uid="{00000000-0005-0000-0000-0000320D0000}"/>
    <cellStyle name="_L3-PCU6000_Annual Software Upgrade Fee for Service_Book2 4" xfId="1308" xr:uid="{00000000-0005-0000-0000-0000330D0000}"/>
    <cellStyle name="_L3-PCU6000_Annual Software Upgrade Fee for Service_Revised 2G_BoQ" xfId="1309" xr:uid="{00000000-0005-0000-0000-0000340D0000}"/>
    <cellStyle name="_L3-PCU6000_Annual Software Upgrade Fee for Service_Revised 2G_BoQ 2" xfId="1310" xr:uid="{00000000-0005-0000-0000-0000350D0000}"/>
    <cellStyle name="_L3-PCU6000_Annual Software Upgrade Fee for Service_Revised 2G_BoQ 2 2" xfId="1311" xr:uid="{00000000-0005-0000-0000-0000360D0000}"/>
    <cellStyle name="_L3-PCU6000_Annual Software Upgrade Fee for Service_Revised 2G_BoQ 3" xfId="1312" xr:uid="{00000000-0005-0000-0000-0000370D0000}"/>
    <cellStyle name="_L3-PCU6000_Annual Software Upgrade Fee for Service_Revised 2G_BoQ 3 2" xfId="1313" xr:uid="{00000000-0005-0000-0000-0000380D0000}"/>
    <cellStyle name="_L3-PCU6000_Annual Software Upgrade Fee for Service_Revised 2G_BoQ 4" xfId="1314" xr:uid="{00000000-0005-0000-0000-0000390D0000}"/>
    <cellStyle name="_L3-PCU6000_Annual Software Upgrade Fee for Service_Revised 2G_BoQ P03 Model" xfId="1315" xr:uid="{00000000-0005-0000-0000-00003A0D0000}"/>
    <cellStyle name="_L3-PCU6000_Annual Software Upgrade Fee for Service_Revised 2G_BoQ P03 Model 2" xfId="1316" xr:uid="{00000000-0005-0000-0000-00003B0D0000}"/>
    <cellStyle name="_L3-PCU6000_Annual Software Upgrade Fee for Service_Revised 2G_BoQ P03 Model 2 2" xfId="1317" xr:uid="{00000000-0005-0000-0000-00003C0D0000}"/>
    <cellStyle name="_L3-PCU6000_Annual Software Upgrade Fee for Service_Revised 2G_BoQ P03 Model 3" xfId="1318" xr:uid="{00000000-0005-0000-0000-00003D0D0000}"/>
    <cellStyle name="_L3-PCU6000_Annual Software Upgrade Fee for Service_Revised 2G_BoQ P03 Model 3 2" xfId="1319" xr:uid="{00000000-0005-0000-0000-00003E0D0000}"/>
    <cellStyle name="_L3-PCU6000_Annual Software Upgrade Fee for Service_Revised 2G_BoQ P03 Model 4" xfId="1320" xr:uid="{00000000-0005-0000-0000-00003F0D0000}"/>
    <cellStyle name="_L3-PCU6000_Annual Software Upgrade Fee for Service_服务文件Benchmark V13(for Customer)" xfId="1321" xr:uid="{00000000-0005-0000-0000-0000400D0000}"/>
    <cellStyle name="_L3-PCU6000_Annual Software Upgrade Fee for Service_服务文件Benchmark V13(for Customer) 2" xfId="1322" xr:uid="{00000000-0005-0000-0000-0000410D0000}"/>
    <cellStyle name="_L3-PCU6000_Annual Software Upgrade Fee for Service_服务文件Benchmark V13(for Customer) 2 2" xfId="1323" xr:uid="{00000000-0005-0000-0000-0000420D0000}"/>
    <cellStyle name="_L3-PCU6000_Annual Software Upgrade Fee for Service_服务文件Benchmark V13(for Customer) 3" xfId="1324" xr:uid="{00000000-0005-0000-0000-0000430D0000}"/>
    <cellStyle name="_L3-PCU6000_Annual Software Upgrade Fee for Service_服务文件Benchmark V13(for Customer) 3 2" xfId="1325" xr:uid="{00000000-0005-0000-0000-0000440D0000}"/>
    <cellStyle name="_L3-PCU6000_Annual Software Upgrade Fee for Service_服务文件Benchmark V13(for Customer) 4" xfId="1326" xr:uid="{00000000-0005-0000-0000-0000450D0000}"/>
    <cellStyle name="_L3-PCU6000_Annual Software Upgrade Fee for Service_服务文件Benchmark V5" xfId="1327" xr:uid="{00000000-0005-0000-0000-0000460D0000}"/>
    <cellStyle name="_L3-PCU6000_Annual Software Upgrade Fee for Service_服务文件Benchmark V5 2" xfId="1328" xr:uid="{00000000-0005-0000-0000-0000470D0000}"/>
    <cellStyle name="_L3-PCU6000_Annual Software Upgrade Fee for Service_服务文件Benchmark V5 2 2" xfId="1329" xr:uid="{00000000-0005-0000-0000-0000480D0000}"/>
    <cellStyle name="_L3-PCU6000_Annual Software Upgrade Fee for Service_服务文件Benchmark V5 3" xfId="1330" xr:uid="{00000000-0005-0000-0000-0000490D0000}"/>
    <cellStyle name="_L3-PCU6000_Annual Software Upgrade Fee for Service_服务文件Benchmark V5 3 2" xfId="1331" xr:uid="{00000000-0005-0000-0000-00004A0D0000}"/>
    <cellStyle name="_L3-PCU6000_Annual Software Upgrade Fee for Service_服务文件Benchmark V5 4" xfId="1332" xr:uid="{00000000-0005-0000-0000-00004B0D0000}"/>
    <cellStyle name="_L3-PCU6000_Annual Software Upgrade Fee_2G service V5" xfId="1333" xr:uid="{00000000-0005-0000-0000-00004C0D0000}"/>
    <cellStyle name="_L3-PCU6000_Annual Software Upgrade Fee_2G service V5 2" xfId="1334" xr:uid="{00000000-0005-0000-0000-00004D0D0000}"/>
    <cellStyle name="_L3-PCU6000_Annual Software Upgrade Fee_2G service V5 2 2" xfId="1335" xr:uid="{00000000-0005-0000-0000-00004E0D0000}"/>
    <cellStyle name="_L3-PCU6000_Annual Software Upgrade Fee_2G service V5 3" xfId="1336" xr:uid="{00000000-0005-0000-0000-00004F0D0000}"/>
    <cellStyle name="_L3-PCU6000_Annual Software Upgrade Fee_2G service V5 3 2" xfId="1337" xr:uid="{00000000-0005-0000-0000-0000500D0000}"/>
    <cellStyle name="_L3-PCU6000_Annual Software Upgrade Fee_2G service V5 4" xfId="1338" xr:uid="{00000000-0005-0000-0000-0000510D0000}"/>
    <cellStyle name="_L3-PCU6000_Annual Software Upgrade Fee_2G Service(20071104)benchmark" xfId="1339" xr:uid="{00000000-0005-0000-0000-0000520D0000}"/>
    <cellStyle name="_L3-PCU6000_Annual Software Upgrade Fee_2G Service(20071104)benchmark 2" xfId="1340" xr:uid="{00000000-0005-0000-0000-0000530D0000}"/>
    <cellStyle name="_L3-PCU6000_Annual Software Upgrade Fee_2G Service(20071104)benchmark 2 2" xfId="1341" xr:uid="{00000000-0005-0000-0000-0000540D0000}"/>
    <cellStyle name="_L3-PCU6000_Annual Software Upgrade Fee_2G Service(20071104)benchmark 3" xfId="1342" xr:uid="{00000000-0005-0000-0000-0000550D0000}"/>
    <cellStyle name="_L3-PCU6000_Annual Software Upgrade Fee_2G Service(20071104)benchmark 3 2" xfId="1343" xr:uid="{00000000-0005-0000-0000-0000560D0000}"/>
    <cellStyle name="_L3-PCU6000_Annual Software Upgrade Fee_2G Service(20071104)benchmark 4" xfId="1344" xr:uid="{00000000-0005-0000-0000-0000570D0000}"/>
    <cellStyle name="_L3-PCU6000_Annual Software Upgrade Fee_2G_BoQ" xfId="1345" xr:uid="{00000000-0005-0000-0000-0000580D0000}"/>
    <cellStyle name="_L3-PCU6000_Annual Software Upgrade Fee_2G_BoQ 2" xfId="1346" xr:uid="{00000000-0005-0000-0000-0000590D0000}"/>
    <cellStyle name="_L3-PCU6000_Annual Software Upgrade Fee_2G_BoQ 2 2" xfId="1347" xr:uid="{00000000-0005-0000-0000-00005A0D0000}"/>
    <cellStyle name="_L3-PCU6000_Annual Software Upgrade Fee_2G_BoQ 3" xfId="1348" xr:uid="{00000000-0005-0000-0000-00005B0D0000}"/>
    <cellStyle name="_L3-PCU6000_Annual Software Upgrade Fee_2G_BoQ 3 2" xfId="1349" xr:uid="{00000000-0005-0000-0000-00005C0D0000}"/>
    <cellStyle name="_L3-PCU6000_Annual Software Upgrade Fee_2G_BoQ 4" xfId="1350" xr:uid="{00000000-0005-0000-0000-00005D0D0000}"/>
    <cellStyle name="_L3-PCU6000_Annual Software Upgrade Fee_2G_BoQ Apple2" xfId="1351" xr:uid="{00000000-0005-0000-0000-00005E0D0000}"/>
    <cellStyle name="_L3-PCU6000_Annual Software Upgrade Fee_2G_BoQ Apple2 2" xfId="1352" xr:uid="{00000000-0005-0000-0000-00005F0D0000}"/>
    <cellStyle name="_L3-PCU6000_Annual Software Upgrade Fee_2G_BoQ Apple2 2 2" xfId="1353" xr:uid="{00000000-0005-0000-0000-0000600D0000}"/>
    <cellStyle name="_L3-PCU6000_Annual Software Upgrade Fee_2G_BoQ Apple2 3" xfId="1354" xr:uid="{00000000-0005-0000-0000-0000610D0000}"/>
    <cellStyle name="_L3-PCU6000_Annual Software Upgrade Fee_2G_BoQ Apple2 3 2" xfId="1355" xr:uid="{00000000-0005-0000-0000-0000620D0000}"/>
    <cellStyle name="_L3-PCU6000_Annual Software Upgrade Fee_2G_BoQ Apple2 4" xfId="1356" xr:uid="{00000000-0005-0000-0000-0000630D0000}"/>
    <cellStyle name="_L3-PCU6000_Annual Software Upgrade Fee_2G_BoQ Model" xfId="1357" xr:uid="{00000000-0005-0000-0000-0000640D0000}"/>
    <cellStyle name="_L3-PCU6000_Annual Software Upgrade Fee_2G_BoQ Model 2" xfId="1358" xr:uid="{00000000-0005-0000-0000-0000650D0000}"/>
    <cellStyle name="_L3-PCU6000_Annual Software Upgrade Fee_2G_BoQ Model 2 2" xfId="1359" xr:uid="{00000000-0005-0000-0000-0000660D0000}"/>
    <cellStyle name="_L3-PCU6000_Annual Software Upgrade Fee_2G_BoQ Model 3" xfId="1360" xr:uid="{00000000-0005-0000-0000-0000670D0000}"/>
    <cellStyle name="_L3-PCU6000_Annual Software Upgrade Fee_2G_BoQ Model 3 2" xfId="1361" xr:uid="{00000000-0005-0000-0000-0000680D0000}"/>
    <cellStyle name="_L3-PCU6000_Annual Software Upgrade Fee_2G_BoQ Model 4" xfId="1362" xr:uid="{00000000-0005-0000-0000-0000690D0000}"/>
    <cellStyle name="_L3-PCU6000_Annual Software Upgrade Fee_2G_BoQ P03 Model" xfId="1363" xr:uid="{00000000-0005-0000-0000-00006A0D0000}"/>
    <cellStyle name="_L3-PCU6000_Annual Software Upgrade Fee_2G_BoQ P03 Model 2" xfId="1364" xr:uid="{00000000-0005-0000-0000-00006B0D0000}"/>
    <cellStyle name="_L3-PCU6000_Annual Software Upgrade Fee_2G_BoQ P03 Model 2 2" xfId="1365" xr:uid="{00000000-0005-0000-0000-00006C0D0000}"/>
    <cellStyle name="_L3-PCU6000_Annual Software Upgrade Fee_2G_BoQ P03 Model 3" xfId="1366" xr:uid="{00000000-0005-0000-0000-00006D0D0000}"/>
    <cellStyle name="_L3-PCU6000_Annual Software Upgrade Fee_2G_BoQ P03 Model 3 2" xfId="1367" xr:uid="{00000000-0005-0000-0000-00006E0D0000}"/>
    <cellStyle name="_L3-PCU6000_Annual Software Upgrade Fee_2G_BoQ P03 Model 4" xfId="1368" xr:uid="{00000000-0005-0000-0000-00006F0D0000}"/>
    <cellStyle name="_L3-PCU6000_Annual Software Upgrade Fee_2G_BoQ v2" xfId="1369" xr:uid="{00000000-0005-0000-0000-0000700D0000}"/>
    <cellStyle name="_L3-PCU6000_Annual Software Upgrade Fee_2G_BoQ v2 2" xfId="1370" xr:uid="{00000000-0005-0000-0000-0000710D0000}"/>
    <cellStyle name="_L3-PCU6000_Annual Software Upgrade Fee_2G_BoQ v2 2 2" xfId="1371" xr:uid="{00000000-0005-0000-0000-0000720D0000}"/>
    <cellStyle name="_L3-PCU6000_Annual Software Upgrade Fee_2G_BoQ v2 3" xfId="1372" xr:uid="{00000000-0005-0000-0000-0000730D0000}"/>
    <cellStyle name="_L3-PCU6000_Annual Software Upgrade Fee_2G_BoQ v2 3 2" xfId="1373" xr:uid="{00000000-0005-0000-0000-0000740D0000}"/>
    <cellStyle name="_L3-PCU6000_Annual Software Upgrade Fee_2G_BoQ v2 4" xfId="1374" xr:uid="{00000000-0005-0000-0000-0000750D0000}"/>
    <cellStyle name="_L3-PCU6000_Annual Software Upgrade Fee_2G_BoQ_v2" xfId="1375" xr:uid="{00000000-0005-0000-0000-0000760D0000}"/>
    <cellStyle name="_L3-PCU6000_Annual Software Upgrade Fee_2G_BoQ_v2 2" xfId="1376" xr:uid="{00000000-0005-0000-0000-0000770D0000}"/>
    <cellStyle name="_L3-PCU6000_Annual Software Upgrade Fee_2G_BoQ_v2 2 2" xfId="1377" xr:uid="{00000000-0005-0000-0000-0000780D0000}"/>
    <cellStyle name="_L3-PCU6000_Annual Software Upgrade Fee_2G_BoQ_v2 3" xfId="1378" xr:uid="{00000000-0005-0000-0000-0000790D0000}"/>
    <cellStyle name="_L3-PCU6000_Annual Software Upgrade Fee_2G_BoQ_v2 3 2" xfId="1379" xr:uid="{00000000-0005-0000-0000-00007A0D0000}"/>
    <cellStyle name="_L3-PCU6000_Annual Software Upgrade Fee_2G_BoQ_v2 4" xfId="1380" xr:uid="{00000000-0005-0000-0000-00007B0D0000}"/>
    <cellStyle name="_L3-PCU6000_Annual Software Upgrade Fee_Book2" xfId="1381" xr:uid="{00000000-0005-0000-0000-00007C0D0000}"/>
    <cellStyle name="_L3-PCU6000_Annual Software Upgrade Fee_Book2 2" xfId="1382" xr:uid="{00000000-0005-0000-0000-00007D0D0000}"/>
    <cellStyle name="_L3-PCU6000_Annual Software Upgrade Fee_Book2 2 2" xfId="1383" xr:uid="{00000000-0005-0000-0000-00007E0D0000}"/>
    <cellStyle name="_L3-PCU6000_Annual Software Upgrade Fee_Book2 3" xfId="1384" xr:uid="{00000000-0005-0000-0000-00007F0D0000}"/>
    <cellStyle name="_L3-PCU6000_Annual Software Upgrade Fee_Book2 3 2" xfId="1385" xr:uid="{00000000-0005-0000-0000-0000800D0000}"/>
    <cellStyle name="_L3-PCU6000_Annual Software Upgrade Fee_Book2 4" xfId="1386" xr:uid="{00000000-0005-0000-0000-0000810D0000}"/>
    <cellStyle name="_L3-PCU6000_Annual Software Upgrade Fee_Revised 2G_BoQ" xfId="1387" xr:uid="{00000000-0005-0000-0000-0000820D0000}"/>
    <cellStyle name="_L3-PCU6000_Annual Software Upgrade Fee_Revised 2G_BoQ 2" xfId="1388" xr:uid="{00000000-0005-0000-0000-0000830D0000}"/>
    <cellStyle name="_L3-PCU6000_Annual Software Upgrade Fee_Revised 2G_BoQ 2 2" xfId="1389" xr:uid="{00000000-0005-0000-0000-0000840D0000}"/>
    <cellStyle name="_L3-PCU6000_Annual Software Upgrade Fee_Revised 2G_BoQ 3" xfId="1390" xr:uid="{00000000-0005-0000-0000-0000850D0000}"/>
    <cellStyle name="_L3-PCU6000_Annual Software Upgrade Fee_Revised 2G_BoQ 3 2" xfId="1391" xr:uid="{00000000-0005-0000-0000-0000860D0000}"/>
    <cellStyle name="_L3-PCU6000_Annual Software Upgrade Fee_Revised 2G_BoQ 4" xfId="1392" xr:uid="{00000000-0005-0000-0000-0000870D0000}"/>
    <cellStyle name="_L3-PCU6000_Annual Software Upgrade Fee_Revised 2G_BoQ P03 Model" xfId="1393" xr:uid="{00000000-0005-0000-0000-0000880D0000}"/>
    <cellStyle name="_L3-PCU6000_Annual Software Upgrade Fee_Revised 2G_BoQ P03 Model 2" xfId="1394" xr:uid="{00000000-0005-0000-0000-0000890D0000}"/>
    <cellStyle name="_L3-PCU6000_Annual Software Upgrade Fee_Revised 2G_BoQ P03 Model 2 2" xfId="1395" xr:uid="{00000000-0005-0000-0000-00008A0D0000}"/>
    <cellStyle name="_L3-PCU6000_Annual Software Upgrade Fee_Revised 2G_BoQ P03 Model 3" xfId="1396" xr:uid="{00000000-0005-0000-0000-00008B0D0000}"/>
    <cellStyle name="_L3-PCU6000_Annual Software Upgrade Fee_Revised 2G_BoQ P03 Model 3 2" xfId="1397" xr:uid="{00000000-0005-0000-0000-00008C0D0000}"/>
    <cellStyle name="_L3-PCU6000_Annual Software Upgrade Fee_Revised 2G_BoQ P03 Model 4" xfId="1398" xr:uid="{00000000-0005-0000-0000-00008D0D0000}"/>
    <cellStyle name="_L3-PCU6000_Annual Software Upgrade Fee_服务文件Benchmark V13(for Customer)" xfId="1399" xr:uid="{00000000-0005-0000-0000-00008E0D0000}"/>
    <cellStyle name="_L3-PCU6000_Annual Software Upgrade Fee_服务文件Benchmark V13(for Customer) 2" xfId="1400" xr:uid="{00000000-0005-0000-0000-00008F0D0000}"/>
    <cellStyle name="_L3-PCU6000_Annual Software Upgrade Fee_服务文件Benchmark V13(for Customer) 2 2" xfId="1401" xr:uid="{00000000-0005-0000-0000-0000900D0000}"/>
    <cellStyle name="_L3-PCU6000_Annual Software Upgrade Fee_服务文件Benchmark V13(for Customer) 3" xfId="1402" xr:uid="{00000000-0005-0000-0000-0000910D0000}"/>
    <cellStyle name="_L3-PCU6000_Annual Software Upgrade Fee_服务文件Benchmark V13(for Customer) 3 2" xfId="1403" xr:uid="{00000000-0005-0000-0000-0000920D0000}"/>
    <cellStyle name="_L3-PCU6000_Annual Software Upgrade Fee_服务文件Benchmark V13(for Customer) 4" xfId="1404" xr:uid="{00000000-0005-0000-0000-0000930D0000}"/>
    <cellStyle name="_L3-PCU6000_Annual Software Upgrade Fee_服务文件Benchmark V5" xfId="1405" xr:uid="{00000000-0005-0000-0000-0000940D0000}"/>
    <cellStyle name="_L3-PCU6000_Annual Software Upgrade Fee_服务文件Benchmark V5 2" xfId="1406" xr:uid="{00000000-0005-0000-0000-0000950D0000}"/>
    <cellStyle name="_L3-PCU6000_Annual Software Upgrade Fee_服务文件Benchmark V5 2 2" xfId="1407" xr:uid="{00000000-0005-0000-0000-0000960D0000}"/>
    <cellStyle name="_L3-PCU6000_Annual Software Upgrade Fee_服务文件Benchmark V5 3" xfId="1408" xr:uid="{00000000-0005-0000-0000-0000970D0000}"/>
    <cellStyle name="_L3-PCU6000_Annual Software Upgrade Fee_服务文件Benchmark V5 3 2" xfId="1409" xr:uid="{00000000-0005-0000-0000-0000980D0000}"/>
    <cellStyle name="_L3-PCU6000_Annual Software Upgrade Fee_服务文件Benchmark V5 4" xfId="1410" xr:uid="{00000000-0005-0000-0000-0000990D0000}"/>
    <cellStyle name="_L3-PCU6000_MW" xfId="1411" xr:uid="{00000000-0005-0000-0000-00009A0D0000}"/>
    <cellStyle name="_L3-PCU6000_MW 2" xfId="1412" xr:uid="{00000000-0005-0000-0000-00009B0D0000}"/>
    <cellStyle name="_L3-PCU6000_MW 2 2" xfId="1413" xr:uid="{00000000-0005-0000-0000-00009C0D0000}"/>
    <cellStyle name="_L3-PCU6000_MW 3" xfId="1414" xr:uid="{00000000-0005-0000-0000-00009D0D0000}"/>
    <cellStyle name="_L3-PCU6000_MW 3 2" xfId="1415" xr:uid="{00000000-0005-0000-0000-00009E0D0000}"/>
    <cellStyle name="_L3-PCU6000_MW 4" xfId="1416" xr:uid="{00000000-0005-0000-0000-00009F0D0000}"/>
    <cellStyle name="_L3-PCU6000_MW_2G service V5" xfId="1417" xr:uid="{00000000-0005-0000-0000-0000A00D0000}"/>
    <cellStyle name="_L3-PCU6000_MW_2G service V5 2" xfId="1418" xr:uid="{00000000-0005-0000-0000-0000A10D0000}"/>
    <cellStyle name="_L3-PCU6000_MW_2G service V5 2 2" xfId="1419" xr:uid="{00000000-0005-0000-0000-0000A20D0000}"/>
    <cellStyle name="_L3-PCU6000_MW_2G service V5 3" xfId="1420" xr:uid="{00000000-0005-0000-0000-0000A30D0000}"/>
    <cellStyle name="_L3-PCU6000_MW_2G service V5 3 2" xfId="1421" xr:uid="{00000000-0005-0000-0000-0000A40D0000}"/>
    <cellStyle name="_L3-PCU6000_MW_2G service V5 4" xfId="1422" xr:uid="{00000000-0005-0000-0000-0000A50D0000}"/>
    <cellStyle name="_L3-PCU6000_MW_2G Service(20071104)benchmark" xfId="1423" xr:uid="{00000000-0005-0000-0000-0000A60D0000}"/>
    <cellStyle name="_L3-PCU6000_MW_2G Service(20071104)benchmark 2" xfId="1424" xr:uid="{00000000-0005-0000-0000-0000A70D0000}"/>
    <cellStyle name="_L3-PCU6000_MW_2G Service(20071104)benchmark 2 2" xfId="1425" xr:uid="{00000000-0005-0000-0000-0000A80D0000}"/>
    <cellStyle name="_L3-PCU6000_MW_2G Service(20071104)benchmark 3" xfId="1426" xr:uid="{00000000-0005-0000-0000-0000A90D0000}"/>
    <cellStyle name="_L3-PCU6000_MW_2G Service(20071104)benchmark 3 2" xfId="1427" xr:uid="{00000000-0005-0000-0000-0000AA0D0000}"/>
    <cellStyle name="_L3-PCU6000_MW_2G Service(20071104)benchmark 4" xfId="1428" xr:uid="{00000000-0005-0000-0000-0000AB0D0000}"/>
    <cellStyle name="_L3-PCU6000_MW_2G_BoQ" xfId="1429" xr:uid="{00000000-0005-0000-0000-0000AC0D0000}"/>
    <cellStyle name="_L3-PCU6000_MW_2G_BoQ 2" xfId="1430" xr:uid="{00000000-0005-0000-0000-0000AD0D0000}"/>
    <cellStyle name="_L3-PCU6000_MW_2G_BoQ 2 2" xfId="1431" xr:uid="{00000000-0005-0000-0000-0000AE0D0000}"/>
    <cellStyle name="_L3-PCU6000_MW_2G_BoQ 3" xfId="1432" xr:uid="{00000000-0005-0000-0000-0000AF0D0000}"/>
    <cellStyle name="_L3-PCU6000_MW_2G_BoQ 3 2" xfId="1433" xr:uid="{00000000-0005-0000-0000-0000B00D0000}"/>
    <cellStyle name="_L3-PCU6000_MW_2G_BoQ 4" xfId="1434" xr:uid="{00000000-0005-0000-0000-0000B10D0000}"/>
    <cellStyle name="_L3-PCU6000_MW_2G_BoQ Apple2" xfId="1435" xr:uid="{00000000-0005-0000-0000-0000B20D0000}"/>
    <cellStyle name="_L3-PCU6000_MW_2G_BoQ Apple2 2" xfId="1436" xr:uid="{00000000-0005-0000-0000-0000B30D0000}"/>
    <cellStyle name="_L3-PCU6000_MW_2G_BoQ Apple2 2 2" xfId="1437" xr:uid="{00000000-0005-0000-0000-0000B40D0000}"/>
    <cellStyle name="_L3-PCU6000_MW_2G_BoQ Apple2 3" xfId="1438" xr:uid="{00000000-0005-0000-0000-0000B50D0000}"/>
    <cellStyle name="_L3-PCU6000_MW_2G_BoQ Apple2 3 2" xfId="1439" xr:uid="{00000000-0005-0000-0000-0000B60D0000}"/>
    <cellStyle name="_L3-PCU6000_MW_2G_BoQ Apple2 4" xfId="1440" xr:uid="{00000000-0005-0000-0000-0000B70D0000}"/>
    <cellStyle name="_L3-PCU6000_MW_2G_BoQ Model" xfId="1441" xr:uid="{00000000-0005-0000-0000-0000B80D0000}"/>
    <cellStyle name="_L3-PCU6000_MW_2G_BoQ Model 2" xfId="1442" xr:uid="{00000000-0005-0000-0000-0000B90D0000}"/>
    <cellStyle name="_L3-PCU6000_MW_2G_BoQ Model 2 2" xfId="1443" xr:uid="{00000000-0005-0000-0000-0000BA0D0000}"/>
    <cellStyle name="_L3-PCU6000_MW_2G_BoQ Model 3" xfId="1444" xr:uid="{00000000-0005-0000-0000-0000BB0D0000}"/>
    <cellStyle name="_L3-PCU6000_MW_2G_BoQ Model 3 2" xfId="1445" xr:uid="{00000000-0005-0000-0000-0000BC0D0000}"/>
    <cellStyle name="_L3-PCU6000_MW_2G_BoQ Model 4" xfId="1446" xr:uid="{00000000-0005-0000-0000-0000BD0D0000}"/>
    <cellStyle name="_L3-PCU6000_MW_2G_BoQ P03 Model" xfId="1447" xr:uid="{00000000-0005-0000-0000-0000BE0D0000}"/>
    <cellStyle name="_L3-PCU6000_MW_2G_BoQ P03 Model 2" xfId="1448" xr:uid="{00000000-0005-0000-0000-0000BF0D0000}"/>
    <cellStyle name="_L3-PCU6000_MW_2G_BoQ P03 Model 2 2" xfId="1449" xr:uid="{00000000-0005-0000-0000-0000C00D0000}"/>
    <cellStyle name="_L3-PCU6000_MW_2G_BoQ P03 Model 3" xfId="1450" xr:uid="{00000000-0005-0000-0000-0000C10D0000}"/>
    <cellStyle name="_L3-PCU6000_MW_2G_BoQ P03 Model 3 2" xfId="1451" xr:uid="{00000000-0005-0000-0000-0000C20D0000}"/>
    <cellStyle name="_L3-PCU6000_MW_2G_BoQ P03 Model 4" xfId="1452" xr:uid="{00000000-0005-0000-0000-0000C30D0000}"/>
    <cellStyle name="_L3-PCU6000_MW_2G_BoQ v2" xfId="1453" xr:uid="{00000000-0005-0000-0000-0000C40D0000}"/>
    <cellStyle name="_L3-PCU6000_MW_2G_BoQ v2 2" xfId="1454" xr:uid="{00000000-0005-0000-0000-0000C50D0000}"/>
    <cellStyle name="_L3-PCU6000_MW_2G_BoQ v2 2 2" xfId="1455" xr:uid="{00000000-0005-0000-0000-0000C60D0000}"/>
    <cellStyle name="_L3-PCU6000_MW_2G_BoQ v2 3" xfId="1456" xr:uid="{00000000-0005-0000-0000-0000C70D0000}"/>
    <cellStyle name="_L3-PCU6000_MW_2G_BoQ v2 3 2" xfId="1457" xr:uid="{00000000-0005-0000-0000-0000C80D0000}"/>
    <cellStyle name="_L3-PCU6000_MW_2G_BoQ v2 4" xfId="1458" xr:uid="{00000000-0005-0000-0000-0000C90D0000}"/>
    <cellStyle name="_L3-PCU6000_MW_2G_BoQ_v2" xfId="1459" xr:uid="{00000000-0005-0000-0000-0000CA0D0000}"/>
    <cellStyle name="_L3-PCU6000_MW_2G_BoQ_v2 2" xfId="1460" xr:uid="{00000000-0005-0000-0000-0000CB0D0000}"/>
    <cellStyle name="_L3-PCU6000_MW_2G_BoQ_v2 2 2" xfId="1461" xr:uid="{00000000-0005-0000-0000-0000CC0D0000}"/>
    <cellStyle name="_L3-PCU6000_MW_2G_BoQ_v2 3" xfId="1462" xr:uid="{00000000-0005-0000-0000-0000CD0D0000}"/>
    <cellStyle name="_L3-PCU6000_MW_2G_BoQ_v2 3 2" xfId="1463" xr:uid="{00000000-0005-0000-0000-0000CE0D0000}"/>
    <cellStyle name="_L3-PCU6000_MW_2G_BoQ_v2 4" xfId="1464" xr:uid="{00000000-0005-0000-0000-0000CF0D0000}"/>
    <cellStyle name="_L3-PCU6000_MW_Book2" xfId="1465" xr:uid="{00000000-0005-0000-0000-0000D00D0000}"/>
    <cellStyle name="_L3-PCU6000_MW_Book2 2" xfId="1466" xr:uid="{00000000-0005-0000-0000-0000D10D0000}"/>
    <cellStyle name="_L3-PCU6000_MW_Book2 2 2" xfId="1467" xr:uid="{00000000-0005-0000-0000-0000D20D0000}"/>
    <cellStyle name="_L3-PCU6000_MW_Book2 3" xfId="1468" xr:uid="{00000000-0005-0000-0000-0000D30D0000}"/>
    <cellStyle name="_L3-PCU6000_MW_Book2 3 2" xfId="1469" xr:uid="{00000000-0005-0000-0000-0000D40D0000}"/>
    <cellStyle name="_L3-PCU6000_MW_Book2 4" xfId="1470" xr:uid="{00000000-0005-0000-0000-0000D50D0000}"/>
    <cellStyle name="_L3-PCU6000_MW_Revised 2G_BoQ" xfId="1471" xr:uid="{00000000-0005-0000-0000-0000D60D0000}"/>
    <cellStyle name="_L3-PCU6000_MW_Revised 2G_BoQ 2" xfId="1472" xr:uid="{00000000-0005-0000-0000-0000D70D0000}"/>
    <cellStyle name="_L3-PCU6000_MW_Revised 2G_BoQ 2 2" xfId="1473" xr:uid="{00000000-0005-0000-0000-0000D80D0000}"/>
    <cellStyle name="_L3-PCU6000_MW_Revised 2G_BoQ 3" xfId="1474" xr:uid="{00000000-0005-0000-0000-0000D90D0000}"/>
    <cellStyle name="_L3-PCU6000_MW_Revised 2G_BoQ 3 2" xfId="1475" xr:uid="{00000000-0005-0000-0000-0000DA0D0000}"/>
    <cellStyle name="_L3-PCU6000_MW_Revised 2G_BoQ 4" xfId="1476" xr:uid="{00000000-0005-0000-0000-0000DB0D0000}"/>
    <cellStyle name="_L3-PCU6000_MW_Revised 2G_BoQ P03 Model" xfId="1477" xr:uid="{00000000-0005-0000-0000-0000DC0D0000}"/>
    <cellStyle name="_L3-PCU6000_MW_Revised 2G_BoQ P03 Model 2" xfId="1478" xr:uid="{00000000-0005-0000-0000-0000DD0D0000}"/>
    <cellStyle name="_L3-PCU6000_MW_Revised 2G_BoQ P03 Model 2 2" xfId="1479" xr:uid="{00000000-0005-0000-0000-0000DE0D0000}"/>
    <cellStyle name="_L3-PCU6000_MW_Revised 2G_BoQ P03 Model 3" xfId="1480" xr:uid="{00000000-0005-0000-0000-0000DF0D0000}"/>
    <cellStyle name="_L3-PCU6000_MW_Revised 2G_BoQ P03 Model 3 2" xfId="1481" xr:uid="{00000000-0005-0000-0000-0000E00D0000}"/>
    <cellStyle name="_L3-PCU6000_MW_Revised 2G_BoQ P03 Model 4" xfId="1482" xr:uid="{00000000-0005-0000-0000-0000E10D0000}"/>
    <cellStyle name="_L3-PCU6000_MW_服务文件Benchmark V13(for Customer)" xfId="1483" xr:uid="{00000000-0005-0000-0000-0000E20D0000}"/>
    <cellStyle name="_L3-PCU6000_MW_服务文件Benchmark V13(for Customer) 2" xfId="1484" xr:uid="{00000000-0005-0000-0000-0000E30D0000}"/>
    <cellStyle name="_L3-PCU6000_MW_服务文件Benchmark V13(for Customer) 2 2" xfId="1485" xr:uid="{00000000-0005-0000-0000-0000E40D0000}"/>
    <cellStyle name="_L3-PCU6000_MW_服务文件Benchmark V13(for Customer) 3" xfId="1486" xr:uid="{00000000-0005-0000-0000-0000E50D0000}"/>
    <cellStyle name="_L3-PCU6000_MW_服务文件Benchmark V13(for Customer) 3 2" xfId="1487" xr:uid="{00000000-0005-0000-0000-0000E60D0000}"/>
    <cellStyle name="_L3-PCU6000_MW_服务文件Benchmark V13(for Customer) 4" xfId="1488" xr:uid="{00000000-0005-0000-0000-0000E70D0000}"/>
    <cellStyle name="_L3-PCU6000_MW_服务文件Benchmark V5" xfId="1489" xr:uid="{00000000-0005-0000-0000-0000E80D0000}"/>
    <cellStyle name="_L3-PCU6000_MW_服务文件Benchmark V5 2" xfId="1490" xr:uid="{00000000-0005-0000-0000-0000E90D0000}"/>
    <cellStyle name="_L3-PCU6000_MW_服务文件Benchmark V5 2 2" xfId="1491" xr:uid="{00000000-0005-0000-0000-0000EA0D0000}"/>
    <cellStyle name="_L3-PCU6000_MW_服务文件Benchmark V5 3" xfId="1492" xr:uid="{00000000-0005-0000-0000-0000EB0D0000}"/>
    <cellStyle name="_L3-PCU6000_MW_服务文件Benchmark V5 3 2" xfId="1493" xr:uid="{00000000-0005-0000-0000-0000EC0D0000}"/>
    <cellStyle name="_L3-PCU6000_MW_服务文件Benchmark V5 4" xfId="1494" xr:uid="{00000000-0005-0000-0000-0000ED0D0000}"/>
    <cellStyle name="_L3-SGSN(V8R3)-USP3.0" xfId="1495" xr:uid="{00000000-0005-0000-0000-0000EE0D0000}"/>
    <cellStyle name="_L3-SGSN(V8R3)-USP3.0 2" xfId="1496" xr:uid="{00000000-0005-0000-0000-0000EF0D0000}"/>
    <cellStyle name="_L3-SGSN(V8R3)-USP3.0 2 2" xfId="1497" xr:uid="{00000000-0005-0000-0000-0000F00D0000}"/>
    <cellStyle name="_L3-SGSN(V8R3)-USP3.0 3" xfId="1498" xr:uid="{00000000-0005-0000-0000-0000F10D0000}"/>
    <cellStyle name="_L3-SGSN(V8R6)-USP3.0" xfId="1499" xr:uid="{00000000-0005-0000-0000-0000F20D0000}"/>
    <cellStyle name="_L3-SGSN(V8R6)-USP3.0 (2)" xfId="1500" xr:uid="{00000000-0005-0000-0000-0000F30D0000}"/>
    <cellStyle name="_L3-SGSN(V8R6)-USP3.0 (2) 2" xfId="1501" xr:uid="{00000000-0005-0000-0000-0000F40D0000}"/>
    <cellStyle name="_L3-SGSN(V8R6)-USP3.0 (2) 2 2" xfId="1502" xr:uid="{00000000-0005-0000-0000-0000F50D0000}"/>
    <cellStyle name="_L3-SGSN(V8R6)-USP3.0 (2) 3" xfId="1503" xr:uid="{00000000-0005-0000-0000-0000F60D0000}"/>
    <cellStyle name="_L3-SGSN(V8R6)-USP3.0 2" xfId="1504" xr:uid="{00000000-0005-0000-0000-0000F70D0000}"/>
    <cellStyle name="_L3-SGSN(V8R6)-USP3.0 2 2" xfId="1505" xr:uid="{00000000-0005-0000-0000-0000F80D0000}"/>
    <cellStyle name="_L3-SGSN(V8R6)-USP3.0 3" xfId="1506" xr:uid="{00000000-0005-0000-0000-0000F90D0000}"/>
    <cellStyle name="_L3-SPARE-USP3.0" xfId="1507" xr:uid="{00000000-0005-0000-0000-0000FA0D0000}"/>
    <cellStyle name="_L3-SPARE-USP3.0 2" xfId="1508" xr:uid="{00000000-0005-0000-0000-0000FB0D0000}"/>
    <cellStyle name="_L3-SPARE-USP3.0 2 2" xfId="1509" xr:uid="{00000000-0005-0000-0000-0000FC0D0000}"/>
    <cellStyle name="_L3-SPARE-USP3.0 3" xfId="1510" xr:uid="{00000000-0005-0000-0000-0000FD0D0000}"/>
    <cellStyle name="_L4-BTS3812AE" xfId="1511" xr:uid="{00000000-0005-0000-0000-0000FE0D0000}"/>
    <cellStyle name="_L4-BTS3812AE 2" xfId="1512" xr:uid="{00000000-0005-0000-0000-0000FF0D0000}"/>
    <cellStyle name="_L4-BTS3812AE 2 2" xfId="1513" xr:uid="{00000000-0005-0000-0000-0000000E0000}"/>
    <cellStyle name="_L4-BTS3812AE 3" xfId="1514" xr:uid="{00000000-0005-0000-0000-0000010E0000}"/>
    <cellStyle name="_L4-DBS3800" xfId="1515" xr:uid="{00000000-0005-0000-0000-0000020E0000}"/>
    <cellStyle name="_L4-DBS3800 2" xfId="1516" xr:uid="{00000000-0005-0000-0000-0000030E0000}"/>
    <cellStyle name="_L4-DBS3800 2 2" xfId="1517" xr:uid="{00000000-0005-0000-0000-0000040E0000}"/>
    <cellStyle name="_L4-DBS3800 3" xfId="1518" xr:uid="{00000000-0005-0000-0000-0000050E0000}"/>
    <cellStyle name="_Legal Reforecast Template 2006- (07.08.06)" xfId="1519" xr:uid="{00000000-0005-0000-0000-0000060E0000}"/>
    <cellStyle name="_lomforsalman" xfId="1520" xr:uid="{00000000-0005-0000-0000-0000070E0000}"/>
    <cellStyle name="_lomforsalmanexpansion" xfId="1521" xr:uid="{00000000-0005-0000-0000-0000080E0000}"/>
    <cellStyle name="_LOMTCI8110520030407" xfId="1522" xr:uid="{00000000-0005-0000-0000-0000090E0000}"/>
    <cellStyle name="_Lucent-BCNL-Bangladesh_18Aug'04-19(DRAFT)" xfId="1523" xr:uid="{00000000-0005-0000-0000-00000A0E0000}"/>
    <cellStyle name="_Lucent-BCNL-Bangladesh_18Aug'04-19(DRAFT) 2" xfId="1524" xr:uid="{00000000-0005-0000-0000-00000B0E0000}"/>
    <cellStyle name="_Lucent-BCNL-Bangladesh_18Aug'04-19(DRAFT) 2 2" xfId="1525" xr:uid="{00000000-0005-0000-0000-00000C0E0000}"/>
    <cellStyle name="_Lucent-BCNL-Bangladesh_18Aug'04-19(DRAFT) 3" xfId="1526" xr:uid="{00000000-0005-0000-0000-00000D0E0000}"/>
    <cellStyle name="_Marketing forecast 2006 (07.08.06)" xfId="1527" xr:uid="{00000000-0005-0000-0000-00000E0E0000}"/>
    <cellStyle name="_microwave BOQ-20061224-对客户报价" xfId="1528" xr:uid="{00000000-0005-0000-0000-00000F0E0000}"/>
    <cellStyle name="_microwave BOQ-20061224-对客户报价 2" xfId="1529" xr:uid="{00000000-0005-0000-0000-0000100E0000}"/>
    <cellStyle name="_microwave BOQ-20061224-对客户报价 2 2" xfId="1530" xr:uid="{00000000-0005-0000-0000-0000110E0000}"/>
    <cellStyle name="_microwave BOQ-20061224-对客户报价 3" xfId="1531" xr:uid="{00000000-0005-0000-0000-0000120E0000}"/>
    <cellStyle name="_Mobile Capex Template - Reforecast 2006" xfId="1532" xr:uid="{00000000-0005-0000-0000-0000130E0000}"/>
    <cellStyle name="_Mobile Capex Template - Reforecast 2007 bh_bm" xfId="1533" xr:uid="{00000000-0005-0000-0000-0000140E0000}"/>
    <cellStyle name="_Mobile Telephony Capex Actuals" xfId="1534" xr:uid="{00000000-0005-0000-0000-0000150E0000}"/>
    <cellStyle name="_MODQuotation0311" xfId="1535" xr:uid="{00000000-0005-0000-0000-0000160E0000}"/>
    <cellStyle name="_Moto_Configuration_Tool(20060427)" xfId="1540" xr:uid="{00000000-0005-0000-0000-0000170E0000}"/>
    <cellStyle name="_Moto_Configuration_Tool(20060427) 2" xfId="1541" xr:uid="{00000000-0005-0000-0000-0000180E0000}"/>
    <cellStyle name="_Moto_Configuration_Tool(20060427) 2 2" xfId="1542" xr:uid="{00000000-0005-0000-0000-0000190E0000}"/>
    <cellStyle name="_Moto_Configuration_Tool(20060427) 3" xfId="1543" xr:uid="{00000000-0005-0000-0000-00001A0E0000}"/>
    <cellStyle name="_MOT-SGSN(V8R3)" xfId="1536" xr:uid="{00000000-0005-0000-0000-00001B0E0000}"/>
    <cellStyle name="_MOT-SGSN(V8R3) 2" xfId="1537" xr:uid="{00000000-0005-0000-0000-00001C0E0000}"/>
    <cellStyle name="_MOT-SGSN(V8R3) 2 2" xfId="1538" xr:uid="{00000000-0005-0000-0000-00001D0E0000}"/>
    <cellStyle name="_MOT-SGSN(V8R3) 3" xfId="1539" xr:uid="{00000000-0005-0000-0000-00001E0E0000}"/>
    <cellStyle name="_MRS6100报价模板1028" xfId="1544" xr:uid="{00000000-0005-0000-0000-00001F0E0000}"/>
    <cellStyle name="_MRS6100报价模板1028 2" xfId="1545" xr:uid="{00000000-0005-0000-0000-0000200E0000}"/>
    <cellStyle name="_MRS6100报价模板1028 2 2" xfId="1546" xr:uid="{00000000-0005-0000-0000-0000210E0000}"/>
    <cellStyle name="_MRS6100报价模板1028 3" xfId="1547" xr:uid="{00000000-0005-0000-0000-0000220E0000}"/>
    <cellStyle name="_MS Price List in details" xfId="1548" xr:uid="{00000000-0005-0000-0000-0000230E0000}"/>
    <cellStyle name="_MSP MSIP pa4" xfId="1549" xr:uid="{00000000-0005-0000-0000-0000240E0000}"/>
    <cellStyle name="_MTVS_IC_ISIT_080729" xfId="1550" xr:uid="{00000000-0005-0000-0000-0000250E0000}"/>
    <cellStyle name="_MU TRPs PA2" xfId="1551" xr:uid="{00000000-0005-0000-0000-0000260E0000}"/>
    <cellStyle name="_Munir Vhai" xfId="1552" xr:uid="{00000000-0005-0000-0000-0000270E0000}"/>
    <cellStyle name="_Munir Vhai 2" xfId="1553" xr:uid="{00000000-0005-0000-0000-0000280E0000}"/>
    <cellStyle name="_Munir Vhai 2 2" xfId="1554" xr:uid="{00000000-0005-0000-0000-0000290E0000}"/>
    <cellStyle name="_Munir Vhai 3" xfId="1555" xr:uid="{00000000-0005-0000-0000-00002A0E0000}"/>
    <cellStyle name="_NE -PL-29.09.03-rev" xfId="1556" xr:uid="{00000000-0005-0000-0000-00002B0E0000}"/>
    <cellStyle name="_NE -PL-29.09.03-rev 2" xfId="1557" xr:uid="{00000000-0005-0000-0000-00002C0E0000}"/>
    <cellStyle name="_NE -PL-29.09.03-rev 2 2" xfId="1558" xr:uid="{00000000-0005-0000-0000-00002D0E0000}"/>
    <cellStyle name="_NE -PL-29.09.03-rev 3" xfId="1559" xr:uid="{00000000-0005-0000-0000-00002E0E0000}"/>
    <cellStyle name="_NE -PL-29.09.03-rev 3 2" xfId="1560" xr:uid="{00000000-0005-0000-0000-00002F0E0000}"/>
    <cellStyle name="_NE -PL-29.09.03-rev 4" xfId="1561" xr:uid="{00000000-0005-0000-0000-0000300E0000}"/>
    <cellStyle name="_Network Design Support Contact Info and Work Schedule 2005Q4(GSM)" xfId="1562" xr:uid="{00000000-0005-0000-0000-0000310E0000}"/>
    <cellStyle name="_Network Design Support Contact Info and Work Schedule 2005Q4(GSM) 2" xfId="1563" xr:uid="{00000000-0005-0000-0000-0000320E0000}"/>
    <cellStyle name="_Network Design Support Contact Info and Work Schedule 2005Q4(GSM) 2 2" xfId="1564" xr:uid="{00000000-0005-0000-0000-0000330E0000}"/>
    <cellStyle name="_Network Design Support Contact Info and Work Schedule 2005Q4(GSM) 3" xfId="1565" xr:uid="{00000000-0005-0000-0000-0000340E0000}"/>
    <cellStyle name="_Network Planning and Optimization Price" xfId="1566" xr:uid="{00000000-0005-0000-0000-0000350E0000}"/>
    <cellStyle name="_Network Planning and Optimization Price-Tikka Barran" xfId="1567" xr:uid="{00000000-0005-0000-0000-0000360E0000}"/>
    <cellStyle name="_Network Planning and Optimization Price-USF" xfId="1568" xr:uid="{00000000-0005-0000-0000-0000370E0000}"/>
    <cellStyle name="_Newtel_Sub_Price_Summary_051025" xfId="1569" xr:uid="{00000000-0005-0000-0000-0000380E0000}"/>
    <cellStyle name="_NewTel_Sub_Price_Summary_24Oct05" xfId="1570" xr:uid="{00000000-0005-0000-0000-0000390E0000}"/>
    <cellStyle name="_Nokia Price Summary" xfId="1571" xr:uid="{00000000-0005-0000-0000-00003A0E0000}"/>
    <cellStyle name="_Nokia_BoQ_priced_V4.0" xfId="1572" xr:uid="{00000000-0005-0000-0000-00003B0E0000}"/>
    <cellStyle name="_Nokia_BoQ_priced_V4.0_BellTel MS RFP Annex 7 Pricing Template 081312" xfId="1573" xr:uid="{00000000-0005-0000-0000-00003C0E0000}"/>
    <cellStyle name="_NSN_Internal_Telenor_MBB_PricesCosts v2" xfId="1574" xr:uid="{00000000-0005-0000-0000-00003D0E0000}"/>
    <cellStyle name="_NSN_Internal_Telenor_MBB_PricesCosts v2 2" xfId="1575" xr:uid="{00000000-0005-0000-0000-00003E0E0000}"/>
    <cellStyle name="_NSN_Internal_Telenor_MBB_PricesCosts v2 2 2" xfId="1576" xr:uid="{00000000-0005-0000-0000-00003F0E0000}"/>
    <cellStyle name="_NSN_Internal_Telenor_MBB_PricesCosts v2 3" xfId="1577" xr:uid="{00000000-0005-0000-0000-0000400E0000}"/>
    <cellStyle name="_NSN_Internal_Telenor_MBB_PricesCosts v2_?????100912_??" xfId="1578" xr:uid="{00000000-0005-0000-0000-0000410E0000}"/>
    <cellStyle name="_NSN_Internal_Telenor_MBB_PricesCosts v2_091028 HUA Annex 27 RAN Submission 7_correct_service" xfId="1579" xr:uid="{00000000-0005-0000-0000-0000420E0000}"/>
    <cellStyle name="_NSN_Internal_Telenor_MBB_PricesCosts v2_20100406 Annex 27 RAN summary tables Excel 2003" xfId="1580" xr:uid="{00000000-0005-0000-0000-0000430E0000}"/>
    <cellStyle name="_NSN_Internal_Telenor_MBB_PricesCosts v2_A27_Part 2_Price v2.1 20101007 with CS linking" xfId="1581" xr:uid="{00000000-0005-0000-0000-0000440E0000}"/>
    <cellStyle name="_NSN_Internal_Telenor_MBB_PricesCosts v2_A27_Part 2_Price v2.1 20101007 with CS linking 2" xfId="1582" xr:uid="{00000000-0005-0000-0000-0000450E0000}"/>
    <cellStyle name="_NSN_Internal_Telenor_MBB_PricesCosts v2_Annex 27 Part 2 Prices 01092010 linking CS" xfId="1583" xr:uid="{00000000-0005-0000-0000-0000460E0000}"/>
    <cellStyle name="_NSN_Internal_Telenor_MBB_PricesCosts v2_Annex 27 Part 2 Prices 01092010 linking CS 2" xfId="1584" xr:uid="{00000000-0005-0000-0000-0000470E0000}"/>
    <cellStyle name="_NSN_Internal_Telenor_MBB_PricesCosts v2_Annex 27 Part 2 Prices 01092010 VAS" xfId="1585" xr:uid="{00000000-0005-0000-0000-0000480E0000}"/>
    <cellStyle name="_NSN_Internal_Telenor_MBB_PricesCosts v2_Annex 27 Part 2 Prices 0913" xfId="1586" xr:uid="{00000000-0005-0000-0000-0000490E0000}"/>
    <cellStyle name="_NSN_Internal_Telenor_MBB_PricesCosts v2_Annex 27 Part 2 Prices 0914" xfId="1587" xr:uid="{00000000-0005-0000-0000-00004A0E0000}"/>
    <cellStyle name="_NSN_Internal_Telenor_MBB_PricesCosts v2_Annex 27 Part 2 Prices-0919-10" xfId="1588" xr:uid="{00000000-0005-0000-0000-00004B0E0000}"/>
    <cellStyle name="_NSN_Internal_Telenor_MBB_PricesCosts v2_Annex 27 Part 2 Prices-2010.09.17-V1.0" xfId="1589" xr:uid="{00000000-0005-0000-0000-00004C0E0000}"/>
    <cellStyle name="_NSN_Internal_Telenor_MBB_PricesCosts v2_Discounts(Ran)" xfId="1590" xr:uid="{00000000-0005-0000-0000-00004D0E0000}"/>
    <cellStyle name="_NSN_Internal_Telenor_MBB_PricesCosts v2_无线侧数量100912_崔静" xfId="1591" xr:uid="{00000000-0005-0000-0000-00004E0E0000}"/>
    <cellStyle name="_NW 2007" xfId="1592" xr:uid="{00000000-0005-0000-0000-00004F0E0000}"/>
    <cellStyle name="_NW 2007 2" xfId="1593" xr:uid="{00000000-0005-0000-0000-0000500E0000}"/>
    <cellStyle name="_NW Capex-BDT" xfId="1594" xr:uid="{00000000-0005-0000-0000-0000510E0000}"/>
    <cellStyle name="_NW Capex-BDT 2" xfId="1595" xr:uid="{00000000-0005-0000-0000-0000520E0000}"/>
    <cellStyle name="_OfferRevD" xfId="1596" xr:uid="{00000000-0005-0000-0000-0000530E0000}"/>
    <cellStyle name="_OfferRevD 2" xfId="1597" xr:uid="{00000000-0005-0000-0000-0000540E0000}"/>
    <cellStyle name="_OfferRevD 2 2" xfId="1598" xr:uid="{00000000-0005-0000-0000-0000550E0000}"/>
    <cellStyle name="_OfferRevD 3" xfId="1599" xr:uid="{00000000-0005-0000-0000-0000560E0000}"/>
    <cellStyle name="_OfferRevD 3 2" xfId="1600" xr:uid="{00000000-0005-0000-0000-0000570E0000}"/>
    <cellStyle name="_OfferRevD 4" xfId="1601" xr:uid="{00000000-0005-0000-0000-0000580E0000}"/>
    <cellStyle name="_Op-1" xfId="1602" xr:uid="{00000000-0005-0000-0000-0000590E0000}"/>
    <cellStyle name="_Op-1 2" xfId="1603" xr:uid="{00000000-0005-0000-0000-00005A0E0000}"/>
    <cellStyle name="_Op-1 2 2" xfId="1604" xr:uid="{00000000-0005-0000-0000-00005B0E0000}"/>
    <cellStyle name="_Op-1 3" xfId="1605" xr:uid="{00000000-0005-0000-0000-00005C0E0000}"/>
    <cellStyle name="_OSS-Quotation 20070914" xfId="1606" xr:uid="{00000000-0005-0000-0000-00005D0E0000}"/>
    <cellStyle name="_OSS-Quotation 20070914 2" xfId="1607" xr:uid="{00000000-0005-0000-0000-00005E0E0000}"/>
    <cellStyle name="_OSS-Quotation 20070914 2 2" xfId="1608" xr:uid="{00000000-0005-0000-0000-00005F0E0000}"/>
    <cellStyle name="_OSS-Quotation 20070914 3" xfId="1609" xr:uid="{00000000-0005-0000-0000-0000600E0000}"/>
    <cellStyle name="_P  L - BTS Installation in Nepal-Rev D" xfId="1610" xr:uid="{00000000-0005-0000-0000-0000610E0000}"/>
    <cellStyle name="_P  L - BTS Installation in Nepal-Rev D 2" xfId="1611" xr:uid="{00000000-0005-0000-0000-0000620E0000}"/>
    <cellStyle name="_P  L - BTS Installation in Nepal-Rev D 2 2" xfId="1612" xr:uid="{00000000-0005-0000-0000-0000630E0000}"/>
    <cellStyle name="_P  L - BTS Installation in Nepal-Rev D 3" xfId="1613" xr:uid="{00000000-0005-0000-0000-0000640E0000}"/>
    <cellStyle name="_P  L - BTS Installation in Nepal-Rev D 3 2" xfId="1614" xr:uid="{00000000-0005-0000-0000-0000650E0000}"/>
    <cellStyle name="_P  L - BTS Installation in Nepal-Rev D 4" xfId="1615" xr:uid="{00000000-0005-0000-0000-0000660E0000}"/>
    <cellStyle name="_P&amp;L-PHASE2-LG-NEPAL(REV)" xfId="1616" xr:uid="{00000000-0005-0000-0000-0000670E0000}"/>
    <cellStyle name="_P&amp;L-PHASE2-LG-NEPAL(REV) 2" xfId="1617" xr:uid="{00000000-0005-0000-0000-0000680E0000}"/>
    <cellStyle name="_P&amp;L-PHASE2-LG-NEPAL(REV) 2 2" xfId="1618" xr:uid="{00000000-0005-0000-0000-0000690E0000}"/>
    <cellStyle name="_P&amp;L-PHASE2-LG-NEPAL(REV) 3" xfId="1619" xr:uid="{00000000-0005-0000-0000-00006A0E0000}"/>
    <cellStyle name="_P&amp;L-PHASE2-LG-NEPAL(REV) 3 2" xfId="1620" xr:uid="{00000000-0005-0000-0000-00006B0E0000}"/>
    <cellStyle name="_P&amp;L-PHASE2-LG-NEPAL(REV) 4" xfId="1621" xr:uid="{00000000-0005-0000-0000-00006C0E0000}"/>
    <cellStyle name="_Pending Requisitions as of Feb 5 2006" xfId="1622" xr:uid="{00000000-0005-0000-0000-00006D0E0000}"/>
    <cellStyle name="_Pending Requisitions- Projects from Yousif" xfId="1623" xr:uid="{00000000-0005-0000-0000-00006E0E0000}"/>
    <cellStyle name="_Phase I" xfId="1624" xr:uid="{00000000-0005-0000-0000-00006F0E0000}"/>
    <cellStyle name="_Phoenix CSI Cost and price calculation all phase ver 2 4" xfId="1625" xr:uid="{00000000-0005-0000-0000-0000700E0000}"/>
    <cellStyle name="_Phoenix CSI Cost and price calculation all phase ver 2 4 2" xfId="1626" xr:uid="{00000000-0005-0000-0000-0000710E0000}"/>
    <cellStyle name="_Phoenix CSI Cost and price calculation all phase ver 2 4 2_Discounts(Ran)" xfId="1627" xr:uid="{00000000-0005-0000-0000-0000720E0000}"/>
    <cellStyle name="_Phoenix CSI Cost and price calculation all phase ver 2 4 3" xfId="1628" xr:uid="{00000000-0005-0000-0000-0000730E0000}"/>
    <cellStyle name="_Phoenix CSI Cost and price calculation all phase ver 2 4 4" xfId="1629" xr:uid="{00000000-0005-0000-0000-0000740E0000}"/>
    <cellStyle name="_Phoenix CSI Cost and price calculation all phase ver 2 4_?????100912_??" xfId="1630" xr:uid="{00000000-0005-0000-0000-0000750E0000}"/>
    <cellStyle name="_Phoenix CSI Cost and price calculation all phase ver 2 4_091028 HUA Annex 27 RAN Submission 7_correct_service" xfId="1631" xr:uid="{00000000-0005-0000-0000-0000760E0000}"/>
    <cellStyle name="_Phoenix CSI Cost and price calculation all phase ver 2 4_20100406 Annex 27 RAN summary tables Excel 2003" xfId="1632" xr:uid="{00000000-0005-0000-0000-0000770E0000}"/>
    <cellStyle name="_Phoenix CSI Cost and price calculation all phase ver 2 4_A27_Part 2_Price v2.1 20101007 with CS linking" xfId="1633" xr:uid="{00000000-0005-0000-0000-0000780E0000}"/>
    <cellStyle name="_Phoenix CSI Cost and price calculation all phase ver 2 4_Annex 27 Part 2 Prices 01092010 linking CS" xfId="1634" xr:uid="{00000000-0005-0000-0000-0000790E0000}"/>
    <cellStyle name="_Phoenix CSI Cost and price calculation all phase ver 2 4_Annex 27 Part 2 Prices 01092010 VAS" xfId="1635" xr:uid="{00000000-0005-0000-0000-00007A0E0000}"/>
    <cellStyle name="_Phoenix CSI Cost and price calculation all phase ver 2 4_Annex 27 Part 2 Prices 0913" xfId="1636" xr:uid="{00000000-0005-0000-0000-00007B0E0000}"/>
    <cellStyle name="_Phoenix CSI Cost and price calculation all phase ver 2 4_Annex 27 Part 2 Prices 0914" xfId="1637" xr:uid="{00000000-0005-0000-0000-00007C0E0000}"/>
    <cellStyle name="_Phoenix CSI Cost and price calculation all phase ver 2 4_Annex 27 Part 2 Prices-0919-10" xfId="1638" xr:uid="{00000000-0005-0000-0000-00007D0E0000}"/>
    <cellStyle name="_Phoenix CSI Cost and price calculation all phase ver 2 4_Annex 27 Part 2 Prices-2010.09.17-V1.0" xfId="1639" xr:uid="{00000000-0005-0000-0000-00007E0E0000}"/>
    <cellStyle name="_Phoenix CSI Cost and price calculation all phase ver 2 4_BoQ-Bill of Quantity" xfId="1640" xr:uid="{00000000-0005-0000-0000-00007F0E0000}"/>
    <cellStyle name="_Phoenix CSI Cost and price calculation all phase ver 2 4_Discounts(Ran)" xfId="1641" xr:uid="{00000000-0005-0000-0000-0000800E0000}"/>
    <cellStyle name="_Phoenix CSI Cost and price calculation all phase ver 2 4_Optical" xfId="1642" xr:uid="{00000000-0005-0000-0000-0000810E0000}"/>
    <cellStyle name="_Phoenix CSI Cost and price calculation all phase ver 2 4_无线侧数量100912_崔静" xfId="1643" xr:uid="{00000000-0005-0000-0000-0000820E0000}"/>
    <cellStyle name="_PL Trend-Aug06 (3)" xfId="1644" xr:uid="{00000000-0005-0000-0000-0000830E0000}"/>
    <cellStyle name="_Plannig" xfId="1645" xr:uid="{00000000-0005-0000-0000-0000840E0000}"/>
    <cellStyle name="_Plannig 2" xfId="1646" xr:uid="{00000000-0005-0000-0000-0000850E0000}"/>
    <cellStyle name="_Plannig 2 2" xfId="1647" xr:uid="{00000000-0005-0000-0000-0000860E0000}"/>
    <cellStyle name="_Plannig 2 2 2" xfId="1648" xr:uid="{00000000-0005-0000-0000-0000870E0000}"/>
    <cellStyle name="_Plannig 2 3" xfId="1649" xr:uid="{00000000-0005-0000-0000-0000880E0000}"/>
    <cellStyle name="_Plannig 3" xfId="1650" xr:uid="{00000000-0005-0000-0000-0000890E0000}"/>
    <cellStyle name="_Plannig 4" xfId="1651" xr:uid="{00000000-0005-0000-0000-00008A0E0000}"/>
    <cellStyle name="_Post_DD_HC_and_GNOC_Cost_PA7-new dimensioning_matt_pa3" xfId="1652" xr:uid="{00000000-0005-0000-0000-00008B0E0000}"/>
    <cellStyle name="_PR_PO_LC" xfId="1653" xr:uid="{00000000-0005-0000-0000-00008C0E0000}"/>
    <cellStyle name="_PR_PO_LC 2" xfId="1654" xr:uid="{00000000-0005-0000-0000-00008D0E0000}"/>
    <cellStyle name="_Price_Summaries_Prime_Sub_18Oct05" xfId="1655" xr:uid="{00000000-0005-0000-0000-00008E0E0000}"/>
    <cellStyle name="_Pricebook for XXX V1.0" xfId="1657" xr:uid="{00000000-0005-0000-0000-00008F0E0000}"/>
    <cellStyle name="_Pricebook for XXX V1.0 2" xfId="1658" xr:uid="{00000000-0005-0000-0000-0000900E0000}"/>
    <cellStyle name="_Pricebook for XXX V1.0 2 2" xfId="1659" xr:uid="{00000000-0005-0000-0000-0000910E0000}"/>
    <cellStyle name="_Pricebook for XXX V1.0 3" xfId="1660" xr:uid="{00000000-0005-0000-0000-0000920E0000}"/>
    <cellStyle name="_Pricebook for XXX V1.0 3 2" xfId="1661" xr:uid="{00000000-0005-0000-0000-0000930E0000}"/>
    <cellStyle name="_Pricebook for XXX V1.0 4" xfId="1662" xr:uid="{00000000-0005-0000-0000-0000940E0000}"/>
    <cellStyle name="_Pricebook for XXX V1.0_2G BSS BoQ" xfId="1663" xr:uid="{00000000-0005-0000-0000-0000950E0000}"/>
    <cellStyle name="_Pricebook for XXX V1.0_2G BSS BoQ 2" xfId="1664" xr:uid="{00000000-0005-0000-0000-0000960E0000}"/>
    <cellStyle name="_Pricebook for XXX V1.0_2G BSS BoQ 2 2" xfId="1665" xr:uid="{00000000-0005-0000-0000-0000970E0000}"/>
    <cellStyle name="_Pricebook for XXX V1.0_2G BSS BoQ 3" xfId="1666" xr:uid="{00000000-0005-0000-0000-0000980E0000}"/>
    <cellStyle name="_Pricebook for XXX V1.0_2G BSS BoQ 3 2" xfId="1667" xr:uid="{00000000-0005-0000-0000-0000990E0000}"/>
    <cellStyle name="_Pricebook for XXX V1.0_2G BSS BoQ 4" xfId="1668" xr:uid="{00000000-0005-0000-0000-00009A0E0000}"/>
    <cellStyle name="_Pricebook for XXX V1.0_2G BSS BoQ_2G BSS BoQ" xfId="1669" xr:uid="{00000000-0005-0000-0000-00009B0E0000}"/>
    <cellStyle name="_Pricebook for XXX V1.0_2G BSS BoQ_2G BSS BoQ 2" xfId="1670" xr:uid="{00000000-0005-0000-0000-00009C0E0000}"/>
    <cellStyle name="_Pricebook for XXX V1.0_2G BSS BoQ_2G BSS BoQ 2 2" xfId="1671" xr:uid="{00000000-0005-0000-0000-00009D0E0000}"/>
    <cellStyle name="_Pricebook for XXX V1.0_2G BSS BoQ_2G BSS BoQ 3" xfId="1672" xr:uid="{00000000-0005-0000-0000-00009E0E0000}"/>
    <cellStyle name="_Pricebook for XXX V1.0_2G BSS BoQ_2G BSS BoQ 3 2" xfId="1673" xr:uid="{00000000-0005-0000-0000-00009F0E0000}"/>
    <cellStyle name="_Pricebook for XXX V1.0_2G BSS BoQ_2G BSS BoQ 4" xfId="1674" xr:uid="{00000000-0005-0000-0000-0000A00E0000}"/>
    <cellStyle name="_Pricebook for XXX V1.0_2G BSS BoQ_2G service V5" xfId="1675" xr:uid="{00000000-0005-0000-0000-0000A10E0000}"/>
    <cellStyle name="_Pricebook for XXX V1.0_2G BSS BoQ_2G service V5 2" xfId="1676" xr:uid="{00000000-0005-0000-0000-0000A20E0000}"/>
    <cellStyle name="_Pricebook for XXX V1.0_2G BSS BoQ_2G service V5 2 2" xfId="1677" xr:uid="{00000000-0005-0000-0000-0000A30E0000}"/>
    <cellStyle name="_Pricebook for XXX V1.0_2G BSS BoQ_2G service V5 3" xfId="1678" xr:uid="{00000000-0005-0000-0000-0000A40E0000}"/>
    <cellStyle name="_Pricebook for XXX V1.0_2G BSS BoQ_2G service V5 3 2" xfId="1679" xr:uid="{00000000-0005-0000-0000-0000A50E0000}"/>
    <cellStyle name="_Pricebook for XXX V1.0_2G BSS BoQ_2G service V5 4" xfId="1680" xr:uid="{00000000-0005-0000-0000-0000A60E0000}"/>
    <cellStyle name="_Pricebook for XXX V1.0_2G BSS BoQ_2G Service(20071104)benchmark" xfId="1681" xr:uid="{00000000-0005-0000-0000-0000A70E0000}"/>
    <cellStyle name="_Pricebook for XXX V1.0_2G BSS BoQ_2G Service(20071104)benchmark 2" xfId="1682" xr:uid="{00000000-0005-0000-0000-0000A80E0000}"/>
    <cellStyle name="_Pricebook for XXX V1.0_2G BSS BoQ_2G Service(20071104)benchmark 2 2" xfId="1683" xr:uid="{00000000-0005-0000-0000-0000A90E0000}"/>
    <cellStyle name="_Pricebook for XXX V1.0_2G BSS BoQ_2G Service(20071104)benchmark 3" xfId="1684" xr:uid="{00000000-0005-0000-0000-0000AA0E0000}"/>
    <cellStyle name="_Pricebook for XXX V1.0_2G BSS BoQ_2G Service(20071104)benchmark 3 2" xfId="1685" xr:uid="{00000000-0005-0000-0000-0000AB0E0000}"/>
    <cellStyle name="_Pricebook for XXX V1.0_2G BSS BoQ_2G Service(20071104)benchmark 4" xfId="1686" xr:uid="{00000000-0005-0000-0000-0000AC0E0000}"/>
    <cellStyle name="_Pricebook for XXX V1.0_2G BSS BoQ_2G_BoQ" xfId="1687" xr:uid="{00000000-0005-0000-0000-0000AD0E0000}"/>
    <cellStyle name="_Pricebook for XXX V1.0_2G BSS BoQ_2G_BoQ 2" xfId="1688" xr:uid="{00000000-0005-0000-0000-0000AE0E0000}"/>
    <cellStyle name="_Pricebook for XXX V1.0_2G BSS BoQ_2G_BoQ 2 2" xfId="1689" xr:uid="{00000000-0005-0000-0000-0000AF0E0000}"/>
    <cellStyle name="_Pricebook for XXX V1.0_2G BSS BoQ_2G_BoQ 3" xfId="1690" xr:uid="{00000000-0005-0000-0000-0000B00E0000}"/>
    <cellStyle name="_Pricebook for XXX V1.0_2G BSS BoQ_2G_BoQ 3 2" xfId="1691" xr:uid="{00000000-0005-0000-0000-0000B10E0000}"/>
    <cellStyle name="_Pricebook for XXX V1.0_2G BSS BoQ_2G_BoQ 4" xfId="1692" xr:uid="{00000000-0005-0000-0000-0000B20E0000}"/>
    <cellStyle name="_Pricebook for XXX V1.0_2G BSS BoQ_2G_BoQ Apple2" xfId="1693" xr:uid="{00000000-0005-0000-0000-0000B30E0000}"/>
    <cellStyle name="_Pricebook for XXX V1.0_2G BSS BoQ_2G_BoQ Apple2 2" xfId="1694" xr:uid="{00000000-0005-0000-0000-0000B40E0000}"/>
    <cellStyle name="_Pricebook for XXX V1.0_2G BSS BoQ_2G_BoQ Apple2 2 2" xfId="1695" xr:uid="{00000000-0005-0000-0000-0000B50E0000}"/>
    <cellStyle name="_Pricebook for XXX V1.0_2G BSS BoQ_2G_BoQ Apple2 3" xfId="1696" xr:uid="{00000000-0005-0000-0000-0000B60E0000}"/>
    <cellStyle name="_Pricebook for XXX V1.0_2G BSS BoQ_2G_BoQ Apple2 3 2" xfId="1697" xr:uid="{00000000-0005-0000-0000-0000B70E0000}"/>
    <cellStyle name="_Pricebook for XXX V1.0_2G BSS BoQ_2G_BoQ Apple2 4" xfId="1698" xr:uid="{00000000-0005-0000-0000-0000B80E0000}"/>
    <cellStyle name="_Pricebook for XXX V1.0_2G BSS BoQ_2G_BoQ Model" xfId="1699" xr:uid="{00000000-0005-0000-0000-0000B90E0000}"/>
    <cellStyle name="_Pricebook for XXX V1.0_2G BSS BoQ_2G_BoQ Model 2" xfId="1700" xr:uid="{00000000-0005-0000-0000-0000BA0E0000}"/>
    <cellStyle name="_Pricebook for XXX V1.0_2G BSS BoQ_2G_BoQ Model 2 2" xfId="1701" xr:uid="{00000000-0005-0000-0000-0000BB0E0000}"/>
    <cellStyle name="_Pricebook for XXX V1.0_2G BSS BoQ_2G_BoQ Model 3" xfId="1702" xr:uid="{00000000-0005-0000-0000-0000BC0E0000}"/>
    <cellStyle name="_Pricebook for XXX V1.0_2G BSS BoQ_2G_BoQ Model 3 2" xfId="1703" xr:uid="{00000000-0005-0000-0000-0000BD0E0000}"/>
    <cellStyle name="_Pricebook for XXX V1.0_2G BSS BoQ_2G_BoQ Model 4" xfId="1704" xr:uid="{00000000-0005-0000-0000-0000BE0E0000}"/>
    <cellStyle name="_Pricebook for XXX V1.0_2G BSS BoQ_2G_BoQ P03 Model" xfId="1705" xr:uid="{00000000-0005-0000-0000-0000BF0E0000}"/>
    <cellStyle name="_Pricebook for XXX V1.0_2G BSS BoQ_2G_BoQ P03 Model 2" xfId="1706" xr:uid="{00000000-0005-0000-0000-0000C00E0000}"/>
    <cellStyle name="_Pricebook for XXX V1.0_2G BSS BoQ_2G_BoQ P03 Model 2 2" xfId="1707" xr:uid="{00000000-0005-0000-0000-0000C10E0000}"/>
    <cellStyle name="_Pricebook for XXX V1.0_2G BSS BoQ_2G_BoQ P03 Model 3" xfId="1708" xr:uid="{00000000-0005-0000-0000-0000C20E0000}"/>
    <cellStyle name="_Pricebook for XXX V1.0_2G BSS BoQ_2G_BoQ P03 Model 3 2" xfId="1709" xr:uid="{00000000-0005-0000-0000-0000C30E0000}"/>
    <cellStyle name="_Pricebook for XXX V1.0_2G BSS BoQ_2G_BoQ P03 Model 4" xfId="1710" xr:uid="{00000000-0005-0000-0000-0000C40E0000}"/>
    <cellStyle name="_Pricebook for XXX V1.0_2G BSS BoQ_2G_BoQ v2" xfId="1711" xr:uid="{00000000-0005-0000-0000-0000C50E0000}"/>
    <cellStyle name="_Pricebook for XXX V1.0_2G BSS BoQ_2G_BoQ v2 2" xfId="1712" xr:uid="{00000000-0005-0000-0000-0000C60E0000}"/>
    <cellStyle name="_Pricebook for XXX V1.0_2G BSS BoQ_2G_BoQ v2 2 2" xfId="1713" xr:uid="{00000000-0005-0000-0000-0000C70E0000}"/>
    <cellStyle name="_Pricebook for XXX V1.0_2G BSS BoQ_2G_BoQ v2 3" xfId="1714" xr:uid="{00000000-0005-0000-0000-0000C80E0000}"/>
    <cellStyle name="_Pricebook for XXX V1.0_2G BSS BoQ_2G_BoQ v2 3 2" xfId="1715" xr:uid="{00000000-0005-0000-0000-0000C90E0000}"/>
    <cellStyle name="_Pricebook for XXX V1.0_2G BSS BoQ_2G_BoQ v2 4" xfId="1716" xr:uid="{00000000-0005-0000-0000-0000CA0E0000}"/>
    <cellStyle name="_Pricebook for XXX V1.0_2G BSS BoQ_2G_BoQ_v2" xfId="1717" xr:uid="{00000000-0005-0000-0000-0000CB0E0000}"/>
    <cellStyle name="_Pricebook for XXX V1.0_2G BSS BoQ_2G_BoQ_v2 2" xfId="1718" xr:uid="{00000000-0005-0000-0000-0000CC0E0000}"/>
    <cellStyle name="_Pricebook for XXX V1.0_2G BSS BoQ_2G_BoQ_v2 2 2" xfId="1719" xr:uid="{00000000-0005-0000-0000-0000CD0E0000}"/>
    <cellStyle name="_Pricebook for XXX V1.0_2G BSS BoQ_2G_BoQ_v2 3" xfId="1720" xr:uid="{00000000-0005-0000-0000-0000CE0E0000}"/>
    <cellStyle name="_Pricebook for XXX V1.0_2G BSS BoQ_2G_BoQ_v2 3 2" xfId="1721" xr:uid="{00000000-0005-0000-0000-0000CF0E0000}"/>
    <cellStyle name="_Pricebook for XXX V1.0_2G BSS BoQ_2G_BoQ_v2 4" xfId="1722" xr:uid="{00000000-0005-0000-0000-0000D00E0000}"/>
    <cellStyle name="_Pricebook for XXX V1.0_2G BSS BoQ_Book2" xfId="1723" xr:uid="{00000000-0005-0000-0000-0000D10E0000}"/>
    <cellStyle name="_Pricebook for XXX V1.0_2G BSS BoQ_Book2 2" xfId="1724" xr:uid="{00000000-0005-0000-0000-0000D20E0000}"/>
    <cellStyle name="_Pricebook for XXX V1.0_2G BSS BoQ_Book2 2 2" xfId="1725" xr:uid="{00000000-0005-0000-0000-0000D30E0000}"/>
    <cellStyle name="_Pricebook for XXX V1.0_2G BSS BoQ_Book2 3" xfId="1726" xr:uid="{00000000-0005-0000-0000-0000D40E0000}"/>
    <cellStyle name="_Pricebook for XXX V1.0_2G BSS BoQ_Book2 3 2" xfId="1727" xr:uid="{00000000-0005-0000-0000-0000D50E0000}"/>
    <cellStyle name="_Pricebook for XXX V1.0_2G BSS BoQ_Book2 4" xfId="1728" xr:uid="{00000000-0005-0000-0000-0000D60E0000}"/>
    <cellStyle name="_Pricebook for XXX V1.0_2G BSS BoQ_Revised 2G_BoQ" xfId="1729" xr:uid="{00000000-0005-0000-0000-0000D70E0000}"/>
    <cellStyle name="_Pricebook for XXX V1.0_2G BSS BoQ_Revised 2G_BoQ 2" xfId="1730" xr:uid="{00000000-0005-0000-0000-0000D80E0000}"/>
    <cellStyle name="_Pricebook for XXX V1.0_2G BSS BoQ_Revised 2G_BoQ 2 2" xfId="1731" xr:uid="{00000000-0005-0000-0000-0000D90E0000}"/>
    <cellStyle name="_Pricebook for XXX V1.0_2G BSS BoQ_Revised 2G_BoQ 3" xfId="1732" xr:uid="{00000000-0005-0000-0000-0000DA0E0000}"/>
    <cellStyle name="_Pricebook for XXX V1.0_2G BSS BoQ_Revised 2G_BoQ 3 2" xfId="1733" xr:uid="{00000000-0005-0000-0000-0000DB0E0000}"/>
    <cellStyle name="_Pricebook for XXX V1.0_2G BSS BoQ_Revised 2G_BoQ 4" xfId="1734" xr:uid="{00000000-0005-0000-0000-0000DC0E0000}"/>
    <cellStyle name="_Pricebook for XXX V1.0_2G BSS BoQ_Revised 2G_BoQ P03 Model" xfId="1735" xr:uid="{00000000-0005-0000-0000-0000DD0E0000}"/>
    <cellStyle name="_Pricebook for XXX V1.0_2G BSS BoQ_Revised 2G_BoQ P03 Model 2" xfId="1736" xr:uid="{00000000-0005-0000-0000-0000DE0E0000}"/>
    <cellStyle name="_Pricebook for XXX V1.0_2G BSS BoQ_Revised 2G_BoQ P03 Model 2 2" xfId="1737" xr:uid="{00000000-0005-0000-0000-0000DF0E0000}"/>
    <cellStyle name="_Pricebook for XXX V1.0_2G BSS BoQ_Revised 2G_BoQ P03 Model 3" xfId="1738" xr:uid="{00000000-0005-0000-0000-0000E00E0000}"/>
    <cellStyle name="_Pricebook for XXX V1.0_2G BSS BoQ_Revised 2G_BoQ P03 Model 3 2" xfId="1739" xr:uid="{00000000-0005-0000-0000-0000E10E0000}"/>
    <cellStyle name="_Pricebook for XXX V1.0_2G BSS BoQ_Revised 2G_BoQ P03 Model 4" xfId="1740" xr:uid="{00000000-0005-0000-0000-0000E20E0000}"/>
    <cellStyle name="_Pricebook for XXX V1.0_2G BSS BoQ_服务文件Benchmark V13(for Customer)" xfId="1741" xr:uid="{00000000-0005-0000-0000-0000E30E0000}"/>
    <cellStyle name="_Pricebook for XXX V1.0_2G BSS BoQ_服务文件Benchmark V13(for Customer) 2" xfId="1742" xr:uid="{00000000-0005-0000-0000-0000E40E0000}"/>
    <cellStyle name="_Pricebook for XXX V1.0_2G BSS BoQ_服务文件Benchmark V13(for Customer) 2 2" xfId="1743" xr:uid="{00000000-0005-0000-0000-0000E50E0000}"/>
    <cellStyle name="_Pricebook for XXX V1.0_2G BSS BoQ_服务文件Benchmark V13(for Customer) 3" xfId="1744" xr:uid="{00000000-0005-0000-0000-0000E60E0000}"/>
    <cellStyle name="_Pricebook for XXX V1.0_2G BSS BoQ_服务文件Benchmark V13(for Customer) 3 2" xfId="1745" xr:uid="{00000000-0005-0000-0000-0000E70E0000}"/>
    <cellStyle name="_Pricebook for XXX V1.0_2G BSS BoQ_服务文件Benchmark V13(for Customer) 4" xfId="1746" xr:uid="{00000000-0005-0000-0000-0000E80E0000}"/>
    <cellStyle name="_Pricebook for XXX V1.0_2G BSS BoQ_服务文件Benchmark V5" xfId="1747" xr:uid="{00000000-0005-0000-0000-0000E90E0000}"/>
    <cellStyle name="_Pricebook for XXX V1.0_2G BSS BoQ_服务文件Benchmark V5 2" xfId="1748" xr:uid="{00000000-0005-0000-0000-0000EA0E0000}"/>
    <cellStyle name="_Pricebook for XXX V1.0_2G BSS BoQ_服务文件Benchmark V5 2 2" xfId="1749" xr:uid="{00000000-0005-0000-0000-0000EB0E0000}"/>
    <cellStyle name="_Pricebook for XXX V1.0_2G BSS BoQ_服务文件Benchmark V5 3" xfId="1750" xr:uid="{00000000-0005-0000-0000-0000EC0E0000}"/>
    <cellStyle name="_Pricebook for XXX V1.0_2G BSS BoQ_服务文件Benchmark V5 3 2" xfId="1751" xr:uid="{00000000-0005-0000-0000-0000ED0E0000}"/>
    <cellStyle name="_Pricebook for XXX V1.0_2G BSS BoQ_服务文件Benchmark V5 4" xfId="1752" xr:uid="{00000000-0005-0000-0000-0000EE0E0000}"/>
    <cellStyle name="_Pricebook for XXX V1.0_2G Core BoQ" xfId="1753" xr:uid="{00000000-0005-0000-0000-0000EF0E0000}"/>
    <cellStyle name="_Pricebook for XXX V1.0_2G Core BoQ 2" xfId="1754" xr:uid="{00000000-0005-0000-0000-0000F00E0000}"/>
    <cellStyle name="_Pricebook for XXX V1.0_2G Core BoQ 2 2" xfId="1755" xr:uid="{00000000-0005-0000-0000-0000F10E0000}"/>
    <cellStyle name="_Pricebook for XXX V1.0_2G Core BoQ 3" xfId="1756" xr:uid="{00000000-0005-0000-0000-0000F20E0000}"/>
    <cellStyle name="_Pricebook for XXX V1.0_2G Core BoQ 3 2" xfId="1757" xr:uid="{00000000-0005-0000-0000-0000F30E0000}"/>
    <cellStyle name="_Pricebook for XXX V1.0_2G Core BoQ 4" xfId="1758" xr:uid="{00000000-0005-0000-0000-0000F40E0000}"/>
    <cellStyle name="_Pricebook for XXX V1.0_2G Core BoQ_2G service V5" xfId="1759" xr:uid="{00000000-0005-0000-0000-0000F50E0000}"/>
    <cellStyle name="_Pricebook for XXX V1.0_2G Core BoQ_2G service V5 2" xfId="1760" xr:uid="{00000000-0005-0000-0000-0000F60E0000}"/>
    <cellStyle name="_Pricebook for XXX V1.0_2G Core BoQ_2G service V5 2 2" xfId="1761" xr:uid="{00000000-0005-0000-0000-0000F70E0000}"/>
    <cellStyle name="_Pricebook for XXX V1.0_2G Core BoQ_2G service V5 3" xfId="1762" xr:uid="{00000000-0005-0000-0000-0000F80E0000}"/>
    <cellStyle name="_Pricebook for XXX V1.0_2G Core BoQ_2G service V5 3 2" xfId="1763" xr:uid="{00000000-0005-0000-0000-0000F90E0000}"/>
    <cellStyle name="_Pricebook for XXX V1.0_2G Core BoQ_2G service V5 4" xfId="1764" xr:uid="{00000000-0005-0000-0000-0000FA0E0000}"/>
    <cellStyle name="_Pricebook for XXX V1.0_2G Core BoQ_2G Service(20071104)benchmark" xfId="1765" xr:uid="{00000000-0005-0000-0000-0000FB0E0000}"/>
    <cellStyle name="_Pricebook for XXX V1.0_2G Core BoQ_2G Service(20071104)benchmark 2" xfId="1766" xr:uid="{00000000-0005-0000-0000-0000FC0E0000}"/>
    <cellStyle name="_Pricebook for XXX V1.0_2G Core BoQ_2G Service(20071104)benchmark 2 2" xfId="1767" xr:uid="{00000000-0005-0000-0000-0000FD0E0000}"/>
    <cellStyle name="_Pricebook for XXX V1.0_2G Core BoQ_2G Service(20071104)benchmark 3" xfId="1768" xr:uid="{00000000-0005-0000-0000-0000FE0E0000}"/>
    <cellStyle name="_Pricebook for XXX V1.0_2G Core BoQ_2G Service(20071104)benchmark 3 2" xfId="1769" xr:uid="{00000000-0005-0000-0000-0000FF0E0000}"/>
    <cellStyle name="_Pricebook for XXX V1.0_2G Core BoQ_2G Service(20071104)benchmark 4" xfId="1770" xr:uid="{00000000-0005-0000-0000-0000000F0000}"/>
    <cellStyle name="_Pricebook for XXX V1.0_2G Core BoQ_2G_BoQ" xfId="1771" xr:uid="{00000000-0005-0000-0000-0000010F0000}"/>
    <cellStyle name="_Pricebook for XXX V1.0_2G Core BoQ_2G_BoQ 2" xfId="1772" xr:uid="{00000000-0005-0000-0000-0000020F0000}"/>
    <cellStyle name="_Pricebook for XXX V1.0_2G Core BoQ_2G_BoQ 2 2" xfId="1773" xr:uid="{00000000-0005-0000-0000-0000030F0000}"/>
    <cellStyle name="_Pricebook for XXX V1.0_2G Core BoQ_2G_BoQ 3" xfId="1774" xr:uid="{00000000-0005-0000-0000-0000040F0000}"/>
    <cellStyle name="_Pricebook for XXX V1.0_2G Core BoQ_2G_BoQ 3 2" xfId="1775" xr:uid="{00000000-0005-0000-0000-0000050F0000}"/>
    <cellStyle name="_Pricebook for XXX V1.0_2G Core BoQ_2G_BoQ 4" xfId="1776" xr:uid="{00000000-0005-0000-0000-0000060F0000}"/>
    <cellStyle name="_Pricebook for XXX V1.0_2G Core BoQ_2G_BoQ Apple2" xfId="1777" xr:uid="{00000000-0005-0000-0000-0000070F0000}"/>
    <cellStyle name="_Pricebook for XXX V1.0_2G Core BoQ_2G_BoQ Apple2 2" xfId="1778" xr:uid="{00000000-0005-0000-0000-0000080F0000}"/>
    <cellStyle name="_Pricebook for XXX V1.0_2G Core BoQ_2G_BoQ Apple2 2 2" xfId="1779" xr:uid="{00000000-0005-0000-0000-0000090F0000}"/>
    <cellStyle name="_Pricebook for XXX V1.0_2G Core BoQ_2G_BoQ Apple2 3" xfId="1780" xr:uid="{00000000-0005-0000-0000-00000A0F0000}"/>
    <cellStyle name="_Pricebook for XXX V1.0_2G Core BoQ_2G_BoQ Apple2 3 2" xfId="1781" xr:uid="{00000000-0005-0000-0000-00000B0F0000}"/>
    <cellStyle name="_Pricebook for XXX V1.0_2G Core BoQ_2G_BoQ Apple2 4" xfId="1782" xr:uid="{00000000-0005-0000-0000-00000C0F0000}"/>
    <cellStyle name="_Pricebook for XXX V1.0_2G Core BoQ_2G_BoQ Model" xfId="1783" xr:uid="{00000000-0005-0000-0000-00000D0F0000}"/>
    <cellStyle name="_Pricebook for XXX V1.0_2G Core BoQ_2G_BoQ Model 2" xfId="1784" xr:uid="{00000000-0005-0000-0000-00000E0F0000}"/>
    <cellStyle name="_Pricebook for XXX V1.0_2G Core BoQ_2G_BoQ Model 2 2" xfId="1785" xr:uid="{00000000-0005-0000-0000-00000F0F0000}"/>
    <cellStyle name="_Pricebook for XXX V1.0_2G Core BoQ_2G_BoQ Model 3" xfId="1786" xr:uid="{00000000-0005-0000-0000-0000100F0000}"/>
    <cellStyle name="_Pricebook for XXX V1.0_2G Core BoQ_2G_BoQ Model 3 2" xfId="1787" xr:uid="{00000000-0005-0000-0000-0000110F0000}"/>
    <cellStyle name="_Pricebook for XXX V1.0_2G Core BoQ_2G_BoQ Model 4" xfId="1788" xr:uid="{00000000-0005-0000-0000-0000120F0000}"/>
    <cellStyle name="_Pricebook for XXX V1.0_2G Core BoQ_2G_BoQ P03 Model" xfId="1789" xr:uid="{00000000-0005-0000-0000-0000130F0000}"/>
    <cellStyle name="_Pricebook for XXX V1.0_2G Core BoQ_2G_BoQ P03 Model 2" xfId="1790" xr:uid="{00000000-0005-0000-0000-0000140F0000}"/>
    <cellStyle name="_Pricebook for XXX V1.0_2G Core BoQ_2G_BoQ P03 Model 2 2" xfId="1791" xr:uid="{00000000-0005-0000-0000-0000150F0000}"/>
    <cellStyle name="_Pricebook for XXX V1.0_2G Core BoQ_2G_BoQ P03 Model 3" xfId="1792" xr:uid="{00000000-0005-0000-0000-0000160F0000}"/>
    <cellStyle name="_Pricebook for XXX V1.0_2G Core BoQ_2G_BoQ P03 Model 3 2" xfId="1793" xr:uid="{00000000-0005-0000-0000-0000170F0000}"/>
    <cellStyle name="_Pricebook for XXX V1.0_2G Core BoQ_2G_BoQ P03 Model 4" xfId="1794" xr:uid="{00000000-0005-0000-0000-0000180F0000}"/>
    <cellStyle name="_Pricebook for XXX V1.0_2G Core BoQ_2G_BoQ v2" xfId="1795" xr:uid="{00000000-0005-0000-0000-0000190F0000}"/>
    <cellStyle name="_Pricebook for XXX V1.0_2G Core BoQ_2G_BoQ v2 2" xfId="1796" xr:uid="{00000000-0005-0000-0000-00001A0F0000}"/>
    <cellStyle name="_Pricebook for XXX V1.0_2G Core BoQ_2G_BoQ v2 2 2" xfId="1797" xr:uid="{00000000-0005-0000-0000-00001B0F0000}"/>
    <cellStyle name="_Pricebook for XXX V1.0_2G Core BoQ_2G_BoQ v2 3" xfId="1798" xr:uid="{00000000-0005-0000-0000-00001C0F0000}"/>
    <cellStyle name="_Pricebook for XXX V1.0_2G Core BoQ_2G_BoQ v2 3 2" xfId="1799" xr:uid="{00000000-0005-0000-0000-00001D0F0000}"/>
    <cellStyle name="_Pricebook for XXX V1.0_2G Core BoQ_2G_BoQ v2 4" xfId="1800" xr:uid="{00000000-0005-0000-0000-00001E0F0000}"/>
    <cellStyle name="_Pricebook for XXX V1.0_2G Core BoQ_2G_BoQ_v2" xfId="1801" xr:uid="{00000000-0005-0000-0000-00001F0F0000}"/>
    <cellStyle name="_Pricebook for XXX V1.0_2G Core BoQ_2G_BoQ_v2 2" xfId="1802" xr:uid="{00000000-0005-0000-0000-0000200F0000}"/>
    <cellStyle name="_Pricebook for XXX V1.0_2G Core BoQ_2G_BoQ_v2 2 2" xfId="1803" xr:uid="{00000000-0005-0000-0000-0000210F0000}"/>
    <cellStyle name="_Pricebook for XXX V1.0_2G Core BoQ_2G_BoQ_v2 3" xfId="1804" xr:uid="{00000000-0005-0000-0000-0000220F0000}"/>
    <cellStyle name="_Pricebook for XXX V1.0_2G Core BoQ_2G_BoQ_v2 3 2" xfId="1805" xr:uid="{00000000-0005-0000-0000-0000230F0000}"/>
    <cellStyle name="_Pricebook for XXX V1.0_2G Core BoQ_2G_BoQ_v2 4" xfId="1806" xr:uid="{00000000-0005-0000-0000-0000240F0000}"/>
    <cellStyle name="_Pricebook for XXX V1.0_2G Core BoQ_Book2" xfId="1807" xr:uid="{00000000-0005-0000-0000-0000250F0000}"/>
    <cellStyle name="_Pricebook for XXX V1.0_2G Core BoQ_Book2 2" xfId="1808" xr:uid="{00000000-0005-0000-0000-0000260F0000}"/>
    <cellStyle name="_Pricebook for XXX V1.0_2G Core BoQ_Book2 2 2" xfId="1809" xr:uid="{00000000-0005-0000-0000-0000270F0000}"/>
    <cellStyle name="_Pricebook for XXX V1.0_2G Core BoQ_Book2 3" xfId="1810" xr:uid="{00000000-0005-0000-0000-0000280F0000}"/>
    <cellStyle name="_Pricebook for XXX V1.0_2G Core BoQ_Book2 3 2" xfId="1811" xr:uid="{00000000-0005-0000-0000-0000290F0000}"/>
    <cellStyle name="_Pricebook for XXX V1.0_2G Core BoQ_Book2 4" xfId="1812" xr:uid="{00000000-0005-0000-0000-00002A0F0000}"/>
    <cellStyle name="_Pricebook for XXX V1.0_2G Core BoQ_Revised 2G_BoQ" xfId="1813" xr:uid="{00000000-0005-0000-0000-00002B0F0000}"/>
    <cellStyle name="_Pricebook for XXX V1.0_2G Core BoQ_Revised 2G_BoQ 2" xfId="1814" xr:uid="{00000000-0005-0000-0000-00002C0F0000}"/>
    <cellStyle name="_Pricebook for XXX V1.0_2G Core BoQ_Revised 2G_BoQ 2 2" xfId="1815" xr:uid="{00000000-0005-0000-0000-00002D0F0000}"/>
    <cellStyle name="_Pricebook for XXX V1.0_2G Core BoQ_Revised 2G_BoQ 3" xfId="1816" xr:uid="{00000000-0005-0000-0000-00002E0F0000}"/>
    <cellStyle name="_Pricebook for XXX V1.0_2G Core BoQ_Revised 2G_BoQ 3 2" xfId="1817" xr:uid="{00000000-0005-0000-0000-00002F0F0000}"/>
    <cellStyle name="_Pricebook for XXX V1.0_2G Core BoQ_Revised 2G_BoQ 4" xfId="1818" xr:uid="{00000000-0005-0000-0000-0000300F0000}"/>
    <cellStyle name="_Pricebook for XXX V1.0_2G Core BoQ_Revised 2G_BoQ P03 Model" xfId="1819" xr:uid="{00000000-0005-0000-0000-0000310F0000}"/>
    <cellStyle name="_Pricebook for XXX V1.0_2G Core BoQ_Revised 2G_BoQ P03 Model 2" xfId="1820" xr:uid="{00000000-0005-0000-0000-0000320F0000}"/>
    <cellStyle name="_Pricebook for XXX V1.0_2G Core BoQ_Revised 2G_BoQ P03 Model 2 2" xfId="1821" xr:uid="{00000000-0005-0000-0000-0000330F0000}"/>
    <cellStyle name="_Pricebook for XXX V1.0_2G Core BoQ_Revised 2G_BoQ P03 Model 3" xfId="1822" xr:uid="{00000000-0005-0000-0000-0000340F0000}"/>
    <cellStyle name="_Pricebook for XXX V1.0_2G Core BoQ_Revised 2G_BoQ P03 Model 3 2" xfId="1823" xr:uid="{00000000-0005-0000-0000-0000350F0000}"/>
    <cellStyle name="_Pricebook for XXX V1.0_2G Core BoQ_Revised 2G_BoQ P03 Model 4" xfId="1824" xr:uid="{00000000-0005-0000-0000-0000360F0000}"/>
    <cellStyle name="_Pricebook for XXX V1.0_2G Core BoQ_服务文件Benchmark V13(for Customer)" xfId="1825" xr:uid="{00000000-0005-0000-0000-0000370F0000}"/>
    <cellStyle name="_Pricebook for XXX V1.0_2G Core BoQ_服务文件Benchmark V13(for Customer) 2" xfId="1826" xr:uid="{00000000-0005-0000-0000-0000380F0000}"/>
    <cellStyle name="_Pricebook for XXX V1.0_2G Core BoQ_服务文件Benchmark V13(for Customer) 2 2" xfId="1827" xr:uid="{00000000-0005-0000-0000-0000390F0000}"/>
    <cellStyle name="_Pricebook for XXX V1.0_2G Core BoQ_服务文件Benchmark V13(for Customer) 3" xfId="1828" xr:uid="{00000000-0005-0000-0000-00003A0F0000}"/>
    <cellStyle name="_Pricebook for XXX V1.0_2G Core BoQ_服务文件Benchmark V13(for Customer) 3 2" xfId="1829" xr:uid="{00000000-0005-0000-0000-00003B0F0000}"/>
    <cellStyle name="_Pricebook for XXX V1.0_2G Core BoQ_服务文件Benchmark V13(for Customer) 4" xfId="1830" xr:uid="{00000000-0005-0000-0000-00003C0F0000}"/>
    <cellStyle name="_Pricebook for XXX V1.0_2G Core BoQ_服务文件Benchmark V5" xfId="1831" xr:uid="{00000000-0005-0000-0000-00003D0F0000}"/>
    <cellStyle name="_Pricebook for XXX V1.0_2G Core BoQ_服务文件Benchmark V5 2" xfId="1832" xr:uid="{00000000-0005-0000-0000-00003E0F0000}"/>
    <cellStyle name="_Pricebook for XXX V1.0_2G Core BoQ_服务文件Benchmark V5 2 2" xfId="1833" xr:uid="{00000000-0005-0000-0000-00003F0F0000}"/>
    <cellStyle name="_Pricebook for XXX V1.0_2G Core BoQ_服务文件Benchmark V5 3" xfId="1834" xr:uid="{00000000-0005-0000-0000-0000400F0000}"/>
    <cellStyle name="_Pricebook for XXX V1.0_2G Core BoQ_服务文件Benchmark V5 3 2" xfId="1835" xr:uid="{00000000-0005-0000-0000-0000410F0000}"/>
    <cellStyle name="_Pricebook for XXX V1.0_2G Core BoQ_服务文件Benchmark V5 4" xfId="1836" xr:uid="{00000000-0005-0000-0000-0000420F0000}"/>
    <cellStyle name="_Pricebook for XXX V1.0_2G Core BoQ1" xfId="1837" xr:uid="{00000000-0005-0000-0000-0000430F0000}"/>
    <cellStyle name="_Pricebook for XXX V1.0_2G Core BoQ1 2" xfId="1838" xr:uid="{00000000-0005-0000-0000-0000440F0000}"/>
    <cellStyle name="_Pricebook for XXX V1.0_2G Core BoQ1 2 2" xfId="1839" xr:uid="{00000000-0005-0000-0000-0000450F0000}"/>
    <cellStyle name="_Pricebook for XXX V1.0_2G Core BoQ1 3" xfId="1840" xr:uid="{00000000-0005-0000-0000-0000460F0000}"/>
    <cellStyle name="_Pricebook for XXX V1.0_2G Core BoQ1 3 2" xfId="1841" xr:uid="{00000000-0005-0000-0000-0000470F0000}"/>
    <cellStyle name="_Pricebook for XXX V1.0_2G Core BoQ1 4" xfId="1842" xr:uid="{00000000-0005-0000-0000-0000480F0000}"/>
    <cellStyle name="_Pricebook for XXX V1.0_2G Core BoQ1_2G service V5" xfId="1843" xr:uid="{00000000-0005-0000-0000-0000490F0000}"/>
    <cellStyle name="_Pricebook for XXX V1.0_2G Core BoQ1_2G service V5 2" xfId="1844" xr:uid="{00000000-0005-0000-0000-00004A0F0000}"/>
    <cellStyle name="_Pricebook for XXX V1.0_2G Core BoQ1_2G service V5 2 2" xfId="1845" xr:uid="{00000000-0005-0000-0000-00004B0F0000}"/>
    <cellStyle name="_Pricebook for XXX V1.0_2G Core BoQ1_2G service V5 3" xfId="1846" xr:uid="{00000000-0005-0000-0000-00004C0F0000}"/>
    <cellStyle name="_Pricebook for XXX V1.0_2G Core BoQ1_2G service V5 3 2" xfId="1847" xr:uid="{00000000-0005-0000-0000-00004D0F0000}"/>
    <cellStyle name="_Pricebook for XXX V1.0_2G Core BoQ1_2G service V5 4" xfId="1848" xr:uid="{00000000-0005-0000-0000-00004E0F0000}"/>
    <cellStyle name="_Pricebook for XXX V1.0_2G Core BoQ1_2G Service(20071104)benchmark" xfId="1849" xr:uid="{00000000-0005-0000-0000-00004F0F0000}"/>
    <cellStyle name="_Pricebook for XXX V1.0_2G Core BoQ1_2G Service(20071104)benchmark 2" xfId="1850" xr:uid="{00000000-0005-0000-0000-0000500F0000}"/>
    <cellStyle name="_Pricebook for XXX V1.0_2G Core BoQ1_2G Service(20071104)benchmark 2 2" xfId="1851" xr:uid="{00000000-0005-0000-0000-0000510F0000}"/>
    <cellStyle name="_Pricebook for XXX V1.0_2G Core BoQ1_2G Service(20071104)benchmark 3" xfId="1852" xr:uid="{00000000-0005-0000-0000-0000520F0000}"/>
    <cellStyle name="_Pricebook for XXX V1.0_2G Core BoQ1_2G Service(20071104)benchmark 3 2" xfId="1853" xr:uid="{00000000-0005-0000-0000-0000530F0000}"/>
    <cellStyle name="_Pricebook for XXX V1.0_2G Core BoQ1_2G Service(20071104)benchmark 4" xfId="1854" xr:uid="{00000000-0005-0000-0000-0000540F0000}"/>
    <cellStyle name="_Pricebook for XXX V1.0_2G Core BoQ1_2G_BoQ" xfId="1855" xr:uid="{00000000-0005-0000-0000-0000550F0000}"/>
    <cellStyle name="_Pricebook for XXX V1.0_2G Core BoQ1_2G_BoQ 2" xfId="1856" xr:uid="{00000000-0005-0000-0000-0000560F0000}"/>
    <cellStyle name="_Pricebook for XXX V1.0_2G Core BoQ1_2G_BoQ 2 2" xfId="1857" xr:uid="{00000000-0005-0000-0000-0000570F0000}"/>
    <cellStyle name="_Pricebook for XXX V1.0_2G Core BoQ1_2G_BoQ 3" xfId="1858" xr:uid="{00000000-0005-0000-0000-0000580F0000}"/>
    <cellStyle name="_Pricebook for XXX V1.0_2G Core BoQ1_2G_BoQ 3 2" xfId="1859" xr:uid="{00000000-0005-0000-0000-0000590F0000}"/>
    <cellStyle name="_Pricebook for XXX V1.0_2G Core BoQ1_2G_BoQ 4" xfId="1860" xr:uid="{00000000-0005-0000-0000-00005A0F0000}"/>
    <cellStyle name="_Pricebook for XXX V1.0_2G Core BoQ1_2G_BoQ Apple2" xfId="1861" xr:uid="{00000000-0005-0000-0000-00005B0F0000}"/>
    <cellStyle name="_Pricebook for XXX V1.0_2G Core BoQ1_2G_BoQ Apple2 2" xfId="1862" xr:uid="{00000000-0005-0000-0000-00005C0F0000}"/>
    <cellStyle name="_Pricebook for XXX V1.0_2G Core BoQ1_2G_BoQ Apple2 2 2" xfId="1863" xr:uid="{00000000-0005-0000-0000-00005D0F0000}"/>
    <cellStyle name="_Pricebook for XXX V1.0_2G Core BoQ1_2G_BoQ Apple2 3" xfId="1864" xr:uid="{00000000-0005-0000-0000-00005E0F0000}"/>
    <cellStyle name="_Pricebook for XXX V1.0_2G Core BoQ1_2G_BoQ Apple2 3 2" xfId="1865" xr:uid="{00000000-0005-0000-0000-00005F0F0000}"/>
    <cellStyle name="_Pricebook for XXX V1.0_2G Core BoQ1_2G_BoQ Apple2 4" xfId="1866" xr:uid="{00000000-0005-0000-0000-0000600F0000}"/>
    <cellStyle name="_Pricebook for XXX V1.0_2G Core BoQ1_2G_BoQ Model" xfId="1867" xr:uid="{00000000-0005-0000-0000-0000610F0000}"/>
    <cellStyle name="_Pricebook for XXX V1.0_2G Core BoQ1_2G_BoQ Model 2" xfId="1868" xr:uid="{00000000-0005-0000-0000-0000620F0000}"/>
    <cellStyle name="_Pricebook for XXX V1.0_2G Core BoQ1_2G_BoQ Model 2 2" xfId="1869" xr:uid="{00000000-0005-0000-0000-0000630F0000}"/>
    <cellStyle name="_Pricebook for XXX V1.0_2G Core BoQ1_2G_BoQ Model 3" xfId="1870" xr:uid="{00000000-0005-0000-0000-0000640F0000}"/>
    <cellStyle name="_Pricebook for XXX V1.0_2G Core BoQ1_2G_BoQ Model 3 2" xfId="1871" xr:uid="{00000000-0005-0000-0000-0000650F0000}"/>
    <cellStyle name="_Pricebook for XXX V1.0_2G Core BoQ1_2G_BoQ Model 4" xfId="1872" xr:uid="{00000000-0005-0000-0000-0000660F0000}"/>
    <cellStyle name="_Pricebook for XXX V1.0_2G Core BoQ1_2G_BoQ P03 Model" xfId="1873" xr:uid="{00000000-0005-0000-0000-0000670F0000}"/>
    <cellStyle name="_Pricebook for XXX V1.0_2G Core BoQ1_2G_BoQ P03 Model 2" xfId="1874" xr:uid="{00000000-0005-0000-0000-0000680F0000}"/>
    <cellStyle name="_Pricebook for XXX V1.0_2G Core BoQ1_2G_BoQ P03 Model 2 2" xfId="1875" xr:uid="{00000000-0005-0000-0000-0000690F0000}"/>
    <cellStyle name="_Pricebook for XXX V1.0_2G Core BoQ1_2G_BoQ P03 Model 3" xfId="1876" xr:uid="{00000000-0005-0000-0000-00006A0F0000}"/>
    <cellStyle name="_Pricebook for XXX V1.0_2G Core BoQ1_2G_BoQ P03 Model 3 2" xfId="1877" xr:uid="{00000000-0005-0000-0000-00006B0F0000}"/>
    <cellStyle name="_Pricebook for XXX V1.0_2G Core BoQ1_2G_BoQ P03 Model 4" xfId="1878" xr:uid="{00000000-0005-0000-0000-00006C0F0000}"/>
    <cellStyle name="_Pricebook for XXX V1.0_2G Core BoQ1_2G_BoQ v2" xfId="1879" xr:uid="{00000000-0005-0000-0000-00006D0F0000}"/>
    <cellStyle name="_Pricebook for XXX V1.0_2G Core BoQ1_2G_BoQ v2 2" xfId="1880" xr:uid="{00000000-0005-0000-0000-00006E0F0000}"/>
    <cellStyle name="_Pricebook for XXX V1.0_2G Core BoQ1_2G_BoQ v2 2 2" xfId="1881" xr:uid="{00000000-0005-0000-0000-00006F0F0000}"/>
    <cellStyle name="_Pricebook for XXX V1.0_2G Core BoQ1_2G_BoQ v2 3" xfId="1882" xr:uid="{00000000-0005-0000-0000-0000700F0000}"/>
    <cellStyle name="_Pricebook for XXX V1.0_2G Core BoQ1_2G_BoQ v2 3 2" xfId="1883" xr:uid="{00000000-0005-0000-0000-0000710F0000}"/>
    <cellStyle name="_Pricebook for XXX V1.0_2G Core BoQ1_2G_BoQ v2 4" xfId="1884" xr:uid="{00000000-0005-0000-0000-0000720F0000}"/>
    <cellStyle name="_Pricebook for XXX V1.0_2G Core BoQ1_2G_BoQ_v2" xfId="1885" xr:uid="{00000000-0005-0000-0000-0000730F0000}"/>
    <cellStyle name="_Pricebook for XXX V1.0_2G Core BoQ1_2G_BoQ_v2 2" xfId="1886" xr:uid="{00000000-0005-0000-0000-0000740F0000}"/>
    <cellStyle name="_Pricebook for XXX V1.0_2G Core BoQ1_2G_BoQ_v2 2 2" xfId="1887" xr:uid="{00000000-0005-0000-0000-0000750F0000}"/>
    <cellStyle name="_Pricebook for XXX V1.0_2G Core BoQ1_2G_BoQ_v2 3" xfId="1888" xr:uid="{00000000-0005-0000-0000-0000760F0000}"/>
    <cellStyle name="_Pricebook for XXX V1.0_2G Core BoQ1_2G_BoQ_v2 3 2" xfId="1889" xr:uid="{00000000-0005-0000-0000-0000770F0000}"/>
    <cellStyle name="_Pricebook for XXX V1.0_2G Core BoQ1_2G_BoQ_v2 4" xfId="1890" xr:uid="{00000000-0005-0000-0000-0000780F0000}"/>
    <cellStyle name="_Pricebook for XXX V1.0_2G Core BoQ1_Book2" xfId="1891" xr:uid="{00000000-0005-0000-0000-0000790F0000}"/>
    <cellStyle name="_Pricebook for XXX V1.0_2G Core BoQ1_Book2 2" xfId="1892" xr:uid="{00000000-0005-0000-0000-00007A0F0000}"/>
    <cellStyle name="_Pricebook for XXX V1.0_2G Core BoQ1_Book2 2 2" xfId="1893" xr:uid="{00000000-0005-0000-0000-00007B0F0000}"/>
    <cellStyle name="_Pricebook for XXX V1.0_2G Core BoQ1_Book2 3" xfId="1894" xr:uid="{00000000-0005-0000-0000-00007C0F0000}"/>
    <cellStyle name="_Pricebook for XXX V1.0_2G Core BoQ1_Book2 3 2" xfId="1895" xr:uid="{00000000-0005-0000-0000-00007D0F0000}"/>
    <cellStyle name="_Pricebook for XXX V1.0_2G Core BoQ1_Book2 4" xfId="1896" xr:uid="{00000000-0005-0000-0000-00007E0F0000}"/>
    <cellStyle name="_Pricebook for XXX V1.0_2G Core BoQ1_Revised 2G_BoQ" xfId="1897" xr:uid="{00000000-0005-0000-0000-00007F0F0000}"/>
    <cellStyle name="_Pricebook for XXX V1.0_2G Core BoQ1_Revised 2G_BoQ 2" xfId="1898" xr:uid="{00000000-0005-0000-0000-0000800F0000}"/>
    <cellStyle name="_Pricebook for XXX V1.0_2G Core BoQ1_Revised 2G_BoQ 2 2" xfId="1899" xr:uid="{00000000-0005-0000-0000-0000810F0000}"/>
    <cellStyle name="_Pricebook for XXX V1.0_2G Core BoQ1_Revised 2G_BoQ 3" xfId="1900" xr:uid="{00000000-0005-0000-0000-0000820F0000}"/>
    <cellStyle name="_Pricebook for XXX V1.0_2G Core BoQ1_Revised 2G_BoQ 3 2" xfId="1901" xr:uid="{00000000-0005-0000-0000-0000830F0000}"/>
    <cellStyle name="_Pricebook for XXX V1.0_2G Core BoQ1_Revised 2G_BoQ 4" xfId="1902" xr:uid="{00000000-0005-0000-0000-0000840F0000}"/>
    <cellStyle name="_Pricebook for XXX V1.0_2G Core BoQ1_Revised 2G_BoQ P03 Model" xfId="1903" xr:uid="{00000000-0005-0000-0000-0000850F0000}"/>
    <cellStyle name="_Pricebook for XXX V1.0_2G Core BoQ1_Revised 2G_BoQ P03 Model 2" xfId="1904" xr:uid="{00000000-0005-0000-0000-0000860F0000}"/>
    <cellStyle name="_Pricebook for XXX V1.0_2G Core BoQ1_Revised 2G_BoQ P03 Model 2 2" xfId="1905" xr:uid="{00000000-0005-0000-0000-0000870F0000}"/>
    <cellStyle name="_Pricebook for XXX V1.0_2G Core BoQ1_Revised 2G_BoQ P03 Model 3" xfId="1906" xr:uid="{00000000-0005-0000-0000-0000880F0000}"/>
    <cellStyle name="_Pricebook for XXX V1.0_2G Core BoQ1_Revised 2G_BoQ P03 Model 3 2" xfId="1907" xr:uid="{00000000-0005-0000-0000-0000890F0000}"/>
    <cellStyle name="_Pricebook for XXX V1.0_2G Core BoQ1_Revised 2G_BoQ P03 Model 4" xfId="1908" xr:uid="{00000000-0005-0000-0000-00008A0F0000}"/>
    <cellStyle name="_Pricebook for XXX V1.0_2G Core BoQ1_服务文件Benchmark V13(for Customer)" xfId="1909" xr:uid="{00000000-0005-0000-0000-00008B0F0000}"/>
    <cellStyle name="_Pricebook for XXX V1.0_2G Core BoQ1_服务文件Benchmark V13(for Customer) 2" xfId="1910" xr:uid="{00000000-0005-0000-0000-00008C0F0000}"/>
    <cellStyle name="_Pricebook for XXX V1.0_2G Core BoQ1_服务文件Benchmark V13(for Customer) 2 2" xfId="1911" xr:uid="{00000000-0005-0000-0000-00008D0F0000}"/>
    <cellStyle name="_Pricebook for XXX V1.0_2G Core BoQ1_服务文件Benchmark V13(for Customer) 3" xfId="1912" xr:uid="{00000000-0005-0000-0000-00008E0F0000}"/>
    <cellStyle name="_Pricebook for XXX V1.0_2G Core BoQ1_服务文件Benchmark V13(for Customer) 3 2" xfId="1913" xr:uid="{00000000-0005-0000-0000-00008F0F0000}"/>
    <cellStyle name="_Pricebook for XXX V1.0_2G Core BoQ1_服务文件Benchmark V13(for Customer) 4" xfId="1914" xr:uid="{00000000-0005-0000-0000-0000900F0000}"/>
    <cellStyle name="_Pricebook for XXX V1.0_2G Core BoQ1_服务文件Benchmark V5" xfId="1915" xr:uid="{00000000-0005-0000-0000-0000910F0000}"/>
    <cellStyle name="_Pricebook for XXX V1.0_2G Core BoQ1_服务文件Benchmark V5 2" xfId="1916" xr:uid="{00000000-0005-0000-0000-0000920F0000}"/>
    <cellStyle name="_Pricebook for XXX V1.0_2G Core BoQ1_服务文件Benchmark V5 2 2" xfId="1917" xr:uid="{00000000-0005-0000-0000-0000930F0000}"/>
    <cellStyle name="_Pricebook for XXX V1.0_2G Core BoQ1_服务文件Benchmark V5 3" xfId="1918" xr:uid="{00000000-0005-0000-0000-0000940F0000}"/>
    <cellStyle name="_Pricebook for XXX V1.0_2G Core BoQ1_服务文件Benchmark V5 3 2" xfId="1919" xr:uid="{00000000-0005-0000-0000-0000950F0000}"/>
    <cellStyle name="_Pricebook for XXX V1.0_2G Core BoQ1_服务文件Benchmark V5 4" xfId="1920" xr:uid="{00000000-0005-0000-0000-0000960F0000}"/>
    <cellStyle name="_Pricebook for XXX V1.0_2G Service BoQ" xfId="1921" xr:uid="{00000000-0005-0000-0000-0000970F0000}"/>
    <cellStyle name="_Pricebook for XXX V1.0_2G Service BoQ 2" xfId="1922" xr:uid="{00000000-0005-0000-0000-0000980F0000}"/>
    <cellStyle name="_Pricebook for XXX V1.0_2G Service BoQ 2 2" xfId="1923" xr:uid="{00000000-0005-0000-0000-0000990F0000}"/>
    <cellStyle name="_Pricebook for XXX V1.0_2G Service BoQ 3" xfId="1924" xr:uid="{00000000-0005-0000-0000-00009A0F0000}"/>
    <cellStyle name="_Pricebook for XXX V1.0_2G Service BoQ 3 2" xfId="1925" xr:uid="{00000000-0005-0000-0000-00009B0F0000}"/>
    <cellStyle name="_Pricebook for XXX V1.0_2G Service BoQ 4" xfId="1926" xr:uid="{00000000-0005-0000-0000-00009C0F0000}"/>
    <cellStyle name="_Pricebook for XXX V1.0_2G Service BoQ_2G service V5" xfId="1927" xr:uid="{00000000-0005-0000-0000-00009D0F0000}"/>
    <cellStyle name="_Pricebook for XXX V1.0_2G Service BoQ_2G service V5 2" xfId="1928" xr:uid="{00000000-0005-0000-0000-00009E0F0000}"/>
    <cellStyle name="_Pricebook for XXX V1.0_2G Service BoQ_2G service V5 2 2" xfId="1929" xr:uid="{00000000-0005-0000-0000-00009F0F0000}"/>
    <cellStyle name="_Pricebook for XXX V1.0_2G Service BoQ_2G service V5 3" xfId="1930" xr:uid="{00000000-0005-0000-0000-0000A00F0000}"/>
    <cellStyle name="_Pricebook for XXX V1.0_2G Service BoQ_2G service V5 3 2" xfId="1931" xr:uid="{00000000-0005-0000-0000-0000A10F0000}"/>
    <cellStyle name="_Pricebook for XXX V1.0_2G Service BoQ_2G service V5 4" xfId="1932" xr:uid="{00000000-0005-0000-0000-0000A20F0000}"/>
    <cellStyle name="_Pricebook for XXX V1.0_2G Service BoQ_2G Service(20071104)benchmark" xfId="1933" xr:uid="{00000000-0005-0000-0000-0000A30F0000}"/>
    <cellStyle name="_Pricebook for XXX V1.0_2G Service BoQ_2G Service(20071104)benchmark 2" xfId="1934" xr:uid="{00000000-0005-0000-0000-0000A40F0000}"/>
    <cellStyle name="_Pricebook for XXX V1.0_2G Service BoQ_2G Service(20071104)benchmark 2 2" xfId="1935" xr:uid="{00000000-0005-0000-0000-0000A50F0000}"/>
    <cellStyle name="_Pricebook for XXX V1.0_2G Service BoQ_2G Service(20071104)benchmark 3" xfId="1936" xr:uid="{00000000-0005-0000-0000-0000A60F0000}"/>
    <cellStyle name="_Pricebook for XXX V1.0_2G Service BoQ_2G Service(20071104)benchmark 3 2" xfId="1937" xr:uid="{00000000-0005-0000-0000-0000A70F0000}"/>
    <cellStyle name="_Pricebook for XXX V1.0_2G Service BoQ_2G Service(20071104)benchmark 4" xfId="1938" xr:uid="{00000000-0005-0000-0000-0000A80F0000}"/>
    <cellStyle name="_Pricebook for XXX V1.0_2G Service BoQ_2G_BoQ" xfId="1939" xr:uid="{00000000-0005-0000-0000-0000A90F0000}"/>
    <cellStyle name="_Pricebook for XXX V1.0_2G Service BoQ_2G_BoQ 2" xfId="1940" xr:uid="{00000000-0005-0000-0000-0000AA0F0000}"/>
    <cellStyle name="_Pricebook for XXX V1.0_2G Service BoQ_2G_BoQ 2 2" xfId="1941" xr:uid="{00000000-0005-0000-0000-0000AB0F0000}"/>
    <cellStyle name="_Pricebook for XXX V1.0_2G Service BoQ_2G_BoQ 3" xfId="1942" xr:uid="{00000000-0005-0000-0000-0000AC0F0000}"/>
    <cellStyle name="_Pricebook for XXX V1.0_2G Service BoQ_2G_BoQ 3 2" xfId="1943" xr:uid="{00000000-0005-0000-0000-0000AD0F0000}"/>
    <cellStyle name="_Pricebook for XXX V1.0_2G Service BoQ_2G_BoQ 4" xfId="1944" xr:uid="{00000000-0005-0000-0000-0000AE0F0000}"/>
    <cellStyle name="_Pricebook for XXX V1.0_2G Service BoQ_2G_BoQ Apple2" xfId="1945" xr:uid="{00000000-0005-0000-0000-0000AF0F0000}"/>
    <cellStyle name="_Pricebook for XXX V1.0_2G Service BoQ_2G_BoQ Apple2 2" xfId="1946" xr:uid="{00000000-0005-0000-0000-0000B00F0000}"/>
    <cellStyle name="_Pricebook for XXX V1.0_2G Service BoQ_2G_BoQ Apple2 2 2" xfId="1947" xr:uid="{00000000-0005-0000-0000-0000B10F0000}"/>
    <cellStyle name="_Pricebook for XXX V1.0_2G Service BoQ_2G_BoQ Apple2 3" xfId="1948" xr:uid="{00000000-0005-0000-0000-0000B20F0000}"/>
    <cellStyle name="_Pricebook for XXX V1.0_2G Service BoQ_2G_BoQ Apple2 3 2" xfId="1949" xr:uid="{00000000-0005-0000-0000-0000B30F0000}"/>
    <cellStyle name="_Pricebook for XXX V1.0_2G Service BoQ_2G_BoQ Apple2 4" xfId="1950" xr:uid="{00000000-0005-0000-0000-0000B40F0000}"/>
    <cellStyle name="_Pricebook for XXX V1.0_2G Service BoQ_2G_BoQ Model" xfId="1951" xr:uid="{00000000-0005-0000-0000-0000B50F0000}"/>
    <cellStyle name="_Pricebook for XXX V1.0_2G Service BoQ_2G_BoQ Model 2" xfId="1952" xr:uid="{00000000-0005-0000-0000-0000B60F0000}"/>
    <cellStyle name="_Pricebook for XXX V1.0_2G Service BoQ_2G_BoQ Model 2 2" xfId="1953" xr:uid="{00000000-0005-0000-0000-0000B70F0000}"/>
    <cellStyle name="_Pricebook for XXX V1.0_2G Service BoQ_2G_BoQ Model 3" xfId="1954" xr:uid="{00000000-0005-0000-0000-0000B80F0000}"/>
    <cellStyle name="_Pricebook for XXX V1.0_2G Service BoQ_2G_BoQ Model 3 2" xfId="1955" xr:uid="{00000000-0005-0000-0000-0000B90F0000}"/>
    <cellStyle name="_Pricebook for XXX V1.0_2G Service BoQ_2G_BoQ Model 4" xfId="1956" xr:uid="{00000000-0005-0000-0000-0000BA0F0000}"/>
    <cellStyle name="_Pricebook for XXX V1.0_2G Service BoQ_2G_BoQ P03 Model" xfId="1957" xr:uid="{00000000-0005-0000-0000-0000BB0F0000}"/>
    <cellStyle name="_Pricebook for XXX V1.0_2G Service BoQ_2G_BoQ P03 Model 2" xfId="1958" xr:uid="{00000000-0005-0000-0000-0000BC0F0000}"/>
    <cellStyle name="_Pricebook for XXX V1.0_2G Service BoQ_2G_BoQ P03 Model 2 2" xfId="1959" xr:uid="{00000000-0005-0000-0000-0000BD0F0000}"/>
    <cellStyle name="_Pricebook for XXX V1.0_2G Service BoQ_2G_BoQ P03 Model 3" xfId="1960" xr:uid="{00000000-0005-0000-0000-0000BE0F0000}"/>
    <cellStyle name="_Pricebook for XXX V1.0_2G Service BoQ_2G_BoQ P03 Model 3 2" xfId="1961" xr:uid="{00000000-0005-0000-0000-0000BF0F0000}"/>
    <cellStyle name="_Pricebook for XXX V1.0_2G Service BoQ_2G_BoQ P03 Model 4" xfId="1962" xr:uid="{00000000-0005-0000-0000-0000C00F0000}"/>
    <cellStyle name="_Pricebook for XXX V1.0_2G Service BoQ_2G_BoQ v2" xfId="1963" xr:uid="{00000000-0005-0000-0000-0000C10F0000}"/>
    <cellStyle name="_Pricebook for XXX V1.0_2G Service BoQ_2G_BoQ v2 2" xfId="1964" xr:uid="{00000000-0005-0000-0000-0000C20F0000}"/>
    <cellStyle name="_Pricebook for XXX V1.0_2G Service BoQ_2G_BoQ v2 2 2" xfId="1965" xr:uid="{00000000-0005-0000-0000-0000C30F0000}"/>
    <cellStyle name="_Pricebook for XXX V1.0_2G Service BoQ_2G_BoQ v2 3" xfId="1966" xr:uid="{00000000-0005-0000-0000-0000C40F0000}"/>
    <cellStyle name="_Pricebook for XXX V1.0_2G Service BoQ_2G_BoQ v2 3 2" xfId="1967" xr:uid="{00000000-0005-0000-0000-0000C50F0000}"/>
    <cellStyle name="_Pricebook for XXX V1.0_2G Service BoQ_2G_BoQ v2 4" xfId="1968" xr:uid="{00000000-0005-0000-0000-0000C60F0000}"/>
    <cellStyle name="_Pricebook for XXX V1.0_2G Service BoQ_2G_BoQ_v2" xfId="1969" xr:uid="{00000000-0005-0000-0000-0000C70F0000}"/>
    <cellStyle name="_Pricebook for XXX V1.0_2G Service BoQ_2G_BoQ_v2 2" xfId="1970" xr:uid="{00000000-0005-0000-0000-0000C80F0000}"/>
    <cellStyle name="_Pricebook for XXX V1.0_2G Service BoQ_2G_BoQ_v2 2 2" xfId="1971" xr:uid="{00000000-0005-0000-0000-0000C90F0000}"/>
    <cellStyle name="_Pricebook for XXX V1.0_2G Service BoQ_2G_BoQ_v2 3" xfId="1972" xr:uid="{00000000-0005-0000-0000-0000CA0F0000}"/>
    <cellStyle name="_Pricebook for XXX V1.0_2G Service BoQ_2G_BoQ_v2 3 2" xfId="1973" xr:uid="{00000000-0005-0000-0000-0000CB0F0000}"/>
    <cellStyle name="_Pricebook for XXX V1.0_2G Service BoQ_2G_BoQ_v2 4" xfId="1974" xr:uid="{00000000-0005-0000-0000-0000CC0F0000}"/>
    <cellStyle name="_Pricebook for XXX V1.0_2G Service BoQ_Book2" xfId="1975" xr:uid="{00000000-0005-0000-0000-0000CD0F0000}"/>
    <cellStyle name="_Pricebook for XXX V1.0_2G Service BoQ_Book2 2" xfId="1976" xr:uid="{00000000-0005-0000-0000-0000CE0F0000}"/>
    <cellStyle name="_Pricebook for XXX V1.0_2G Service BoQ_Book2 2 2" xfId="1977" xr:uid="{00000000-0005-0000-0000-0000CF0F0000}"/>
    <cellStyle name="_Pricebook for XXX V1.0_2G Service BoQ_Book2 3" xfId="1978" xr:uid="{00000000-0005-0000-0000-0000D00F0000}"/>
    <cellStyle name="_Pricebook for XXX V1.0_2G Service BoQ_Book2 3 2" xfId="1979" xr:uid="{00000000-0005-0000-0000-0000D10F0000}"/>
    <cellStyle name="_Pricebook for XXX V1.0_2G Service BoQ_Book2 4" xfId="1980" xr:uid="{00000000-0005-0000-0000-0000D20F0000}"/>
    <cellStyle name="_Pricebook for XXX V1.0_2G Service BoQ_Revised 2G_BoQ" xfId="1981" xr:uid="{00000000-0005-0000-0000-0000D30F0000}"/>
    <cellStyle name="_Pricebook for XXX V1.0_2G Service BoQ_Revised 2G_BoQ 2" xfId="1982" xr:uid="{00000000-0005-0000-0000-0000D40F0000}"/>
    <cellStyle name="_Pricebook for XXX V1.0_2G Service BoQ_Revised 2G_BoQ 2 2" xfId="1983" xr:uid="{00000000-0005-0000-0000-0000D50F0000}"/>
    <cellStyle name="_Pricebook for XXX V1.0_2G Service BoQ_Revised 2G_BoQ 3" xfId="1984" xr:uid="{00000000-0005-0000-0000-0000D60F0000}"/>
    <cellStyle name="_Pricebook for XXX V1.0_2G Service BoQ_Revised 2G_BoQ 3 2" xfId="1985" xr:uid="{00000000-0005-0000-0000-0000D70F0000}"/>
    <cellStyle name="_Pricebook for XXX V1.0_2G Service BoQ_Revised 2G_BoQ 4" xfId="1986" xr:uid="{00000000-0005-0000-0000-0000D80F0000}"/>
    <cellStyle name="_Pricebook for XXX V1.0_2G Service BoQ_Revised 2G_BoQ P03 Model" xfId="1987" xr:uid="{00000000-0005-0000-0000-0000D90F0000}"/>
    <cellStyle name="_Pricebook for XXX V1.0_2G Service BoQ_Revised 2G_BoQ P03 Model 2" xfId="1988" xr:uid="{00000000-0005-0000-0000-0000DA0F0000}"/>
    <cellStyle name="_Pricebook for XXX V1.0_2G Service BoQ_Revised 2G_BoQ P03 Model 2 2" xfId="1989" xr:uid="{00000000-0005-0000-0000-0000DB0F0000}"/>
    <cellStyle name="_Pricebook for XXX V1.0_2G Service BoQ_Revised 2G_BoQ P03 Model 3" xfId="1990" xr:uid="{00000000-0005-0000-0000-0000DC0F0000}"/>
    <cellStyle name="_Pricebook for XXX V1.0_2G Service BoQ_Revised 2G_BoQ P03 Model 3 2" xfId="1991" xr:uid="{00000000-0005-0000-0000-0000DD0F0000}"/>
    <cellStyle name="_Pricebook for XXX V1.0_2G Service BoQ_Revised 2G_BoQ P03 Model 4" xfId="1992" xr:uid="{00000000-0005-0000-0000-0000DE0F0000}"/>
    <cellStyle name="_Pricebook for XXX V1.0_2G Service BoQ_服务文件Benchmark V13(for Customer)" xfId="1993" xr:uid="{00000000-0005-0000-0000-0000DF0F0000}"/>
    <cellStyle name="_Pricebook for XXX V1.0_2G Service BoQ_服务文件Benchmark V13(for Customer) 2" xfId="1994" xr:uid="{00000000-0005-0000-0000-0000E00F0000}"/>
    <cellStyle name="_Pricebook for XXX V1.0_2G Service BoQ_服务文件Benchmark V13(for Customer) 2 2" xfId="1995" xr:uid="{00000000-0005-0000-0000-0000E10F0000}"/>
    <cellStyle name="_Pricebook for XXX V1.0_2G Service BoQ_服务文件Benchmark V13(for Customer) 3" xfId="1996" xr:uid="{00000000-0005-0000-0000-0000E20F0000}"/>
    <cellStyle name="_Pricebook for XXX V1.0_2G Service BoQ_服务文件Benchmark V13(for Customer) 3 2" xfId="1997" xr:uid="{00000000-0005-0000-0000-0000E30F0000}"/>
    <cellStyle name="_Pricebook for XXX V1.0_2G Service BoQ_服务文件Benchmark V13(for Customer) 4" xfId="1998" xr:uid="{00000000-0005-0000-0000-0000E40F0000}"/>
    <cellStyle name="_Pricebook for XXX V1.0_2G Service BoQ_服务文件Benchmark V5" xfId="1999" xr:uid="{00000000-0005-0000-0000-0000E50F0000}"/>
    <cellStyle name="_Pricebook for XXX V1.0_2G Service BoQ_服务文件Benchmark V5 2" xfId="2000" xr:uid="{00000000-0005-0000-0000-0000E60F0000}"/>
    <cellStyle name="_Pricebook for XXX V1.0_2G Service BoQ_服务文件Benchmark V5 2 2" xfId="2001" xr:uid="{00000000-0005-0000-0000-0000E70F0000}"/>
    <cellStyle name="_Pricebook for XXX V1.0_2G Service BoQ_服务文件Benchmark V5 3" xfId="2002" xr:uid="{00000000-0005-0000-0000-0000E80F0000}"/>
    <cellStyle name="_Pricebook for XXX V1.0_2G Service BoQ_服务文件Benchmark V5 3 2" xfId="2003" xr:uid="{00000000-0005-0000-0000-0000E90F0000}"/>
    <cellStyle name="_Pricebook for XXX V1.0_2G Service BoQ_服务文件Benchmark V5 4" xfId="2004" xr:uid="{00000000-0005-0000-0000-0000EA0F0000}"/>
    <cellStyle name="_Pricebook for XXX V1.0_2G_BoQ" xfId="2005" xr:uid="{00000000-0005-0000-0000-0000EB0F0000}"/>
    <cellStyle name="_Pricebook for XXX V1.0_2G_BoQ 2" xfId="2006" xr:uid="{00000000-0005-0000-0000-0000EC0F0000}"/>
    <cellStyle name="_Pricebook for XXX V1.0_2G_BoQ 2 2" xfId="2007" xr:uid="{00000000-0005-0000-0000-0000ED0F0000}"/>
    <cellStyle name="_Pricebook for XXX V1.0_2G_BoQ 3" xfId="2008" xr:uid="{00000000-0005-0000-0000-0000EE0F0000}"/>
    <cellStyle name="_Pricebook for XXX V1.0_2G_BoQ 3 2" xfId="2009" xr:uid="{00000000-0005-0000-0000-0000EF0F0000}"/>
    <cellStyle name="_Pricebook for XXX V1.0_2G_BoQ 4" xfId="2010" xr:uid="{00000000-0005-0000-0000-0000F00F0000}"/>
    <cellStyle name="_Pricebook for XXX V1.0_2G_BoQ_2G service V5" xfId="2011" xr:uid="{00000000-0005-0000-0000-0000F10F0000}"/>
    <cellStyle name="_Pricebook for XXX V1.0_2G_BoQ_2G service V5 2" xfId="2012" xr:uid="{00000000-0005-0000-0000-0000F20F0000}"/>
    <cellStyle name="_Pricebook for XXX V1.0_2G_BoQ_2G service V5 2 2" xfId="2013" xr:uid="{00000000-0005-0000-0000-0000F30F0000}"/>
    <cellStyle name="_Pricebook for XXX V1.0_2G_BoQ_2G service V5 3" xfId="2014" xr:uid="{00000000-0005-0000-0000-0000F40F0000}"/>
    <cellStyle name="_Pricebook for XXX V1.0_2G_BoQ_2G service V5 3 2" xfId="2015" xr:uid="{00000000-0005-0000-0000-0000F50F0000}"/>
    <cellStyle name="_Pricebook for XXX V1.0_2G_BoQ_2G service V5 4" xfId="2016" xr:uid="{00000000-0005-0000-0000-0000F60F0000}"/>
    <cellStyle name="_Pricebook for XXX V1.0_2G_BoQ_2G Service(20071104)benchmark" xfId="2017" xr:uid="{00000000-0005-0000-0000-0000F70F0000}"/>
    <cellStyle name="_Pricebook for XXX V1.0_2G_BoQ_2G Service(20071104)benchmark 2" xfId="2018" xr:uid="{00000000-0005-0000-0000-0000F80F0000}"/>
    <cellStyle name="_Pricebook for XXX V1.0_2G_BoQ_2G Service(20071104)benchmark 2 2" xfId="2019" xr:uid="{00000000-0005-0000-0000-0000F90F0000}"/>
    <cellStyle name="_Pricebook for XXX V1.0_2G_BoQ_2G Service(20071104)benchmark 3" xfId="2020" xr:uid="{00000000-0005-0000-0000-0000FA0F0000}"/>
    <cellStyle name="_Pricebook for XXX V1.0_2G_BoQ_2G Service(20071104)benchmark 3 2" xfId="2021" xr:uid="{00000000-0005-0000-0000-0000FB0F0000}"/>
    <cellStyle name="_Pricebook for XXX V1.0_2G_BoQ_2G Service(20071104)benchmark 4" xfId="2022" xr:uid="{00000000-0005-0000-0000-0000FC0F0000}"/>
    <cellStyle name="_Pricebook for XXX V1.0_2G_BoQ_2G_BoQ" xfId="2023" xr:uid="{00000000-0005-0000-0000-0000FD0F0000}"/>
    <cellStyle name="_Pricebook for XXX V1.0_2G_BoQ_2G_BoQ 2" xfId="2024" xr:uid="{00000000-0005-0000-0000-0000FE0F0000}"/>
    <cellStyle name="_Pricebook for XXX V1.0_2G_BoQ_2G_BoQ 2 2" xfId="2025" xr:uid="{00000000-0005-0000-0000-0000FF0F0000}"/>
    <cellStyle name="_Pricebook for XXX V1.0_2G_BoQ_2G_BoQ 3" xfId="2026" xr:uid="{00000000-0005-0000-0000-000000100000}"/>
    <cellStyle name="_Pricebook for XXX V1.0_2G_BoQ_2G_BoQ 3 2" xfId="2027" xr:uid="{00000000-0005-0000-0000-000001100000}"/>
    <cellStyle name="_Pricebook for XXX V1.0_2G_BoQ_2G_BoQ 4" xfId="2028" xr:uid="{00000000-0005-0000-0000-000002100000}"/>
    <cellStyle name="_Pricebook for XXX V1.0_2G_BoQ_2G_BoQ Apple2" xfId="2029" xr:uid="{00000000-0005-0000-0000-000003100000}"/>
    <cellStyle name="_Pricebook for XXX V1.0_2G_BoQ_2G_BoQ Apple2 2" xfId="2030" xr:uid="{00000000-0005-0000-0000-000004100000}"/>
    <cellStyle name="_Pricebook for XXX V1.0_2G_BoQ_2G_BoQ Apple2 2 2" xfId="2031" xr:uid="{00000000-0005-0000-0000-000005100000}"/>
    <cellStyle name="_Pricebook for XXX V1.0_2G_BoQ_2G_BoQ Apple2 3" xfId="2032" xr:uid="{00000000-0005-0000-0000-000006100000}"/>
    <cellStyle name="_Pricebook for XXX V1.0_2G_BoQ_2G_BoQ Apple2 3 2" xfId="2033" xr:uid="{00000000-0005-0000-0000-000007100000}"/>
    <cellStyle name="_Pricebook for XXX V1.0_2G_BoQ_2G_BoQ Apple2 4" xfId="2034" xr:uid="{00000000-0005-0000-0000-000008100000}"/>
    <cellStyle name="_Pricebook for XXX V1.0_2G_BoQ_2G_BoQ Model" xfId="2035" xr:uid="{00000000-0005-0000-0000-000009100000}"/>
    <cellStyle name="_Pricebook for XXX V1.0_2G_BoQ_2G_BoQ Model 2" xfId="2036" xr:uid="{00000000-0005-0000-0000-00000A100000}"/>
    <cellStyle name="_Pricebook for XXX V1.0_2G_BoQ_2G_BoQ Model 2 2" xfId="2037" xr:uid="{00000000-0005-0000-0000-00000B100000}"/>
    <cellStyle name="_Pricebook for XXX V1.0_2G_BoQ_2G_BoQ Model 3" xfId="2038" xr:uid="{00000000-0005-0000-0000-00000C100000}"/>
    <cellStyle name="_Pricebook for XXX V1.0_2G_BoQ_2G_BoQ Model 3 2" xfId="2039" xr:uid="{00000000-0005-0000-0000-00000D100000}"/>
    <cellStyle name="_Pricebook for XXX V1.0_2G_BoQ_2G_BoQ Model 4" xfId="2040" xr:uid="{00000000-0005-0000-0000-00000E100000}"/>
    <cellStyle name="_Pricebook for XXX V1.0_2G_BoQ_2G_BoQ P03 Model" xfId="2041" xr:uid="{00000000-0005-0000-0000-00000F100000}"/>
    <cellStyle name="_Pricebook for XXX V1.0_2G_BoQ_2G_BoQ P03 Model 2" xfId="2042" xr:uid="{00000000-0005-0000-0000-000010100000}"/>
    <cellStyle name="_Pricebook for XXX V1.0_2G_BoQ_2G_BoQ P03 Model 2 2" xfId="2043" xr:uid="{00000000-0005-0000-0000-000011100000}"/>
    <cellStyle name="_Pricebook for XXX V1.0_2G_BoQ_2G_BoQ P03 Model 3" xfId="2044" xr:uid="{00000000-0005-0000-0000-000012100000}"/>
    <cellStyle name="_Pricebook for XXX V1.0_2G_BoQ_2G_BoQ P03 Model 3 2" xfId="2045" xr:uid="{00000000-0005-0000-0000-000013100000}"/>
    <cellStyle name="_Pricebook for XXX V1.0_2G_BoQ_2G_BoQ P03 Model 4" xfId="2046" xr:uid="{00000000-0005-0000-0000-000014100000}"/>
    <cellStyle name="_Pricebook for XXX V1.0_2G_BoQ_2G_BoQ v2" xfId="2047" xr:uid="{00000000-0005-0000-0000-000015100000}"/>
    <cellStyle name="_Pricebook for XXX V1.0_2G_BoQ_2G_BoQ v2 2" xfId="2048" xr:uid="{00000000-0005-0000-0000-000016100000}"/>
    <cellStyle name="_Pricebook for XXX V1.0_2G_BoQ_2G_BoQ v2 2 2" xfId="2049" xr:uid="{00000000-0005-0000-0000-000017100000}"/>
    <cellStyle name="_Pricebook for XXX V1.0_2G_BoQ_2G_BoQ v2 3" xfId="2050" xr:uid="{00000000-0005-0000-0000-000018100000}"/>
    <cellStyle name="_Pricebook for XXX V1.0_2G_BoQ_2G_BoQ v2 3 2" xfId="2051" xr:uid="{00000000-0005-0000-0000-000019100000}"/>
    <cellStyle name="_Pricebook for XXX V1.0_2G_BoQ_2G_BoQ v2 4" xfId="2052" xr:uid="{00000000-0005-0000-0000-00001A100000}"/>
    <cellStyle name="_Pricebook for XXX V1.0_2G_BoQ_2G_BoQ_v2" xfId="2053" xr:uid="{00000000-0005-0000-0000-00001B100000}"/>
    <cellStyle name="_Pricebook for XXX V1.0_2G_BoQ_2G_BoQ_v2 2" xfId="2054" xr:uid="{00000000-0005-0000-0000-00001C100000}"/>
    <cellStyle name="_Pricebook for XXX V1.0_2G_BoQ_2G_BoQ_v2 2 2" xfId="2055" xr:uid="{00000000-0005-0000-0000-00001D100000}"/>
    <cellStyle name="_Pricebook for XXX V1.0_2G_BoQ_2G_BoQ_v2 3" xfId="2056" xr:uid="{00000000-0005-0000-0000-00001E100000}"/>
    <cellStyle name="_Pricebook for XXX V1.0_2G_BoQ_2G_BoQ_v2 3 2" xfId="2057" xr:uid="{00000000-0005-0000-0000-00001F100000}"/>
    <cellStyle name="_Pricebook for XXX V1.0_2G_BoQ_2G_BoQ_v2 4" xfId="2058" xr:uid="{00000000-0005-0000-0000-000020100000}"/>
    <cellStyle name="_Pricebook for XXX V1.0_2G_BoQ_Book2" xfId="2059" xr:uid="{00000000-0005-0000-0000-000021100000}"/>
    <cellStyle name="_Pricebook for XXX V1.0_2G_BoQ_Book2 2" xfId="2060" xr:uid="{00000000-0005-0000-0000-000022100000}"/>
    <cellStyle name="_Pricebook for XXX V1.0_2G_BoQ_Book2 2 2" xfId="2061" xr:uid="{00000000-0005-0000-0000-000023100000}"/>
    <cellStyle name="_Pricebook for XXX V1.0_2G_BoQ_Book2 3" xfId="2062" xr:uid="{00000000-0005-0000-0000-000024100000}"/>
    <cellStyle name="_Pricebook for XXX V1.0_2G_BoQ_Book2 3 2" xfId="2063" xr:uid="{00000000-0005-0000-0000-000025100000}"/>
    <cellStyle name="_Pricebook for XXX V1.0_2G_BoQ_Book2 4" xfId="2064" xr:uid="{00000000-0005-0000-0000-000026100000}"/>
    <cellStyle name="_Pricebook for XXX V1.0_2G_BoQ_Revised 2G_BoQ" xfId="2065" xr:uid="{00000000-0005-0000-0000-000027100000}"/>
    <cellStyle name="_Pricebook for XXX V1.0_2G_BoQ_Revised 2G_BoQ 2" xfId="2066" xr:uid="{00000000-0005-0000-0000-000028100000}"/>
    <cellStyle name="_Pricebook for XXX V1.0_2G_BoQ_Revised 2G_BoQ 2 2" xfId="2067" xr:uid="{00000000-0005-0000-0000-000029100000}"/>
    <cellStyle name="_Pricebook for XXX V1.0_2G_BoQ_Revised 2G_BoQ 3" xfId="2068" xr:uid="{00000000-0005-0000-0000-00002A100000}"/>
    <cellStyle name="_Pricebook for XXX V1.0_2G_BoQ_Revised 2G_BoQ 3 2" xfId="2069" xr:uid="{00000000-0005-0000-0000-00002B100000}"/>
    <cellStyle name="_Pricebook for XXX V1.0_2G_BoQ_Revised 2G_BoQ 4" xfId="2070" xr:uid="{00000000-0005-0000-0000-00002C100000}"/>
    <cellStyle name="_Pricebook for XXX V1.0_2G_BoQ_Revised 2G_BoQ P03 Model" xfId="2071" xr:uid="{00000000-0005-0000-0000-00002D100000}"/>
    <cellStyle name="_Pricebook for XXX V1.0_2G_BoQ_Revised 2G_BoQ P03 Model 2" xfId="2072" xr:uid="{00000000-0005-0000-0000-00002E100000}"/>
    <cellStyle name="_Pricebook for XXX V1.0_2G_BoQ_Revised 2G_BoQ P03 Model 2 2" xfId="2073" xr:uid="{00000000-0005-0000-0000-00002F100000}"/>
    <cellStyle name="_Pricebook for XXX V1.0_2G_BoQ_Revised 2G_BoQ P03 Model 3" xfId="2074" xr:uid="{00000000-0005-0000-0000-000030100000}"/>
    <cellStyle name="_Pricebook for XXX V1.0_2G_BoQ_Revised 2G_BoQ P03 Model 3 2" xfId="2075" xr:uid="{00000000-0005-0000-0000-000031100000}"/>
    <cellStyle name="_Pricebook for XXX V1.0_2G_BoQ_Revised 2G_BoQ P03 Model 4" xfId="2076" xr:uid="{00000000-0005-0000-0000-000032100000}"/>
    <cellStyle name="_Pricebook for XXX V1.0_2G_BoQ_服务文件Benchmark V13(for Customer)" xfId="2077" xr:uid="{00000000-0005-0000-0000-000033100000}"/>
    <cellStyle name="_Pricebook for XXX V1.0_2G_BoQ_服务文件Benchmark V13(for Customer) 2" xfId="2078" xr:uid="{00000000-0005-0000-0000-000034100000}"/>
    <cellStyle name="_Pricebook for XXX V1.0_2G_BoQ_服务文件Benchmark V13(for Customer) 2 2" xfId="2079" xr:uid="{00000000-0005-0000-0000-000035100000}"/>
    <cellStyle name="_Pricebook for XXX V1.0_2G_BoQ_服务文件Benchmark V13(for Customer) 3" xfId="2080" xr:uid="{00000000-0005-0000-0000-000036100000}"/>
    <cellStyle name="_Pricebook for XXX V1.0_2G_BoQ_服务文件Benchmark V13(for Customer) 3 2" xfId="2081" xr:uid="{00000000-0005-0000-0000-000037100000}"/>
    <cellStyle name="_Pricebook for XXX V1.0_2G_BoQ_服务文件Benchmark V13(for Customer) 4" xfId="2082" xr:uid="{00000000-0005-0000-0000-000038100000}"/>
    <cellStyle name="_Pricebook for XXX V1.0_2G_BoQ_服务文件Benchmark V5" xfId="2083" xr:uid="{00000000-0005-0000-0000-000039100000}"/>
    <cellStyle name="_Pricebook for XXX V1.0_2G_BoQ_服务文件Benchmark V5 2" xfId="2084" xr:uid="{00000000-0005-0000-0000-00003A100000}"/>
    <cellStyle name="_Pricebook for XXX V1.0_2G_BoQ_服务文件Benchmark V5 2 2" xfId="2085" xr:uid="{00000000-0005-0000-0000-00003B100000}"/>
    <cellStyle name="_Pricebook for XXX V1.0_2G_BoQ_服务文件Benchmark V5 3" xfId="2086" xr:uid="{00000000-0005-0000-0000-00003C100000}"/>
    <cellStyle name="_Pricebook for XXX V1.0_2G_BoQ_服务文件Benchmark V5 3 2" xfId="2087" xr:uid="{00000000-0005-0000-0000-00003D100000}"/>
    <cellStyle name="_Pricebook for XXX V1.0_2G_BoQ_服务文件Benchmark V5 4" xfId="2088" xr:uid="{00000000-0005-0000-0000-00003E100000}"/>
    <cellStyle name="_Pricebook for XXX V1.0_Annual Software Upgrade Fee" xfId="2089" xr:uid="{00000000-0005-0000-0000-00003F100000}"/>
    <cellStyle name="_Pricebook for XXX V1.0_Annual Software Upgrade Fee 2" xfId="2090" xr:uid="{00000000-0005-0000-0000-000040100000}"/>
    <cellStyle name="_Pricebook for XXX V1.0_Annual Software Upgrade Fee 2 2" xfId="2091" xr:uid="{00000000-0005-0000-0000-000041100000}"/>
    <cellStyle name="_Pricebook for XXX V1.0_Annual Software Upgrade Fee 3" xfId="2092" xr:uid="{00000000-0005-0000-0000-000042100000}"/>
    <cellStyle name="_Pricebook for XXX V1.0_Annual Software Upgrade Fee 3 2" xfId="2093" xr:uid="{00000000-0005-0000-0000-000043100000}"/>
    <cellStyle name="_Pricebook for XXX V1.0_Annual Software Upgrade Fee 4" xfId="2094" xr:uid="{00000000-0005-0000-0000-000044100000}"/>
    <cellStyle name="_Pricebook for XXX V1.0_Annual Software Upgrade Fee for Service" xfId="2095" xr:uid="{00000000-0005-0000-0000-000045100000}"/>
    <cellStyle name="_Pricebook for XXX V1.0_Annual Software Upgrade Fee for Service 2" xfId="2096" xr:uid="{00000000-0005-0000-0000-000046100000}"/>
    <cellStyle name="_Pricebook for XXX V1.0_Annual Software Upgrade Fee for Service 2 2" xfId="2097" xr:uid="{00000000-0005-0000-0000-000047100000}"/>
    <cellStyle name="_Pricebook for XXX V1.0_Annual Software Upgrade Fee for Service 3" xfId="2098" xr:uid="{00000000-0005-0000-0000-000048100000}"/>
    <cellStyle name="_Pricebook for XXX V1.0_Annual Software Upgrade Fee for Service 3 2" xfId="2099" xr:uid="{00000000-0005-0000-0000-000049100000}"/>
    <cellStyle name="_Pricebook for XXX V1.0_Annual Software Upgrade Fee for Service 4" xfId="2100" xr:uid="{00000000-0005-0000-0000-00004A100000}"/>
    <cellStyle name="_Pricebook for XXX V1.0_Annual Software Upgrade Fee for Service_2G service V5" xfId="2101" xr:uid="{00000000-0005-0000-0000-00004B100000}"/>
    <cellStyle name="_Pricebook for XXX V1.0_Annual Software Upgrade Fee for Service_2G service V5 2" xfId="2102" xr:uid="{00000000-0005-0000-0000-00004C100000}"/>
    <cellStyle name="_Pricebook for XXX V1.0_Annual Software Upgrade Fee for Service_2G service V5 2 2" xfId="2103" xr:uid="{00000000-0005-0000-0000-00004D100000}"/>
    <cellStyle name="_Pricebook for XXX V1.0_Annual Software Upgrade Fee for Service_2G service V5 3" xfId="2104" xr:uid="{00000000-0005-0000-0000-00004E100000}"/>
    <cellStyle name="_Pricebook for XXX V1.0_Annual Software Upgrade Fee for Service_2G service V5 3 2" xfId="2105" xr:uid="{00000000-0005-0000-0000-00004F100000}"/>
    <cellStyle name="_Pricebook for XXX V1.0_Annual Software Upgrade Fee for Service_2G service V5 4" xfId="2106" xr:uid="{00000000-0005-0000-0000-000050100000}"/>
    <cellStyle name="_Pricebook for XXX V1.0_Annual Software Upgrade Fee for Service_2G Service(20071104)benchmark" xfId="2107" xr:uid="{00000000-0005-0000-0000-000051100000}"/>
    <cellStyle name="_Pricebook for XXX V1.0_Annual Software Upgrade Fee for Service_2G Service(20071104)benchmark 2" xfId="2108" xr:uid="{00000000-0005-0000-0000-000052100000}"/>
    <cellStyle name="_Pricebook for XXX V1.0_Annual Software Upgrade Fee for Service_2G Service(20071104)benchmark 2 2" xfId="2109" xr:uid="{00000000-0005-0000-0000-000053100000}"/>
    <cellStyle name="_Pricebook for XXX V1.0_Annual Software Upgrade Fee for Service_2G Service(20071104)benchmark 3" xfId="2110" xr:uid="{00000000-0005-0000-0000-000054100000}"/>
    <cellStyle name="_Pricebook for XXX V1.0_Annual Software Upgrade Fee for Service_2G Service(20071104)benchmark 3 2" xfId="2111" xr:uid="{00000000-0005-0000-0000-000055100000}"/>
    <cellStyle name="_Pricebook for XXX V1.0_Annual Software Upgrade Fee for Service_2G Service(20071104)benchmark 4" xfId="2112" xr:uid="{00000000-0005-0000-0000-000056100000}"/>
    <cellStyle name="_Pricebook for XXX V1.0_Annual Software Upgrade Fee for Service_2G_BoQ" xfId="2113" xr:uid="{00000000-0005-0000-0000-000057100000}"/>
    <cellStyle name="_Pricebook for XXX V1.0_Annual Software Upgrade Fee for Service_2G_BoQ 2" xfId="2114" xr:uid="{00000000-0005-0000-0000-000058100000}"/>
    <cellStyle name="_Pricebook for XXX V1.0_Annual Software Upgrade Fee for Service_2G_BoQ 2 2" xfId="2115" xr:uid="{00000000-0005-0000-0000-000059100000}"/>
    <cellStyle name="_Pricebook for XXX V1.0_Annual Software Upgrade Fee for Service_2G_BoQ 3" xfId="2116" xr:uid="{00000000-0005-0000-0000-00005A100000}"/>
    <cellStyle name="_Pricebook for XXX V1.0_Annual Software Upgrade Fee for Service_2G_BoQ 3 2" xfId="2117" xr:uid="{00000000-0005-0000-0000-00005B100000}"/>
    <cellStyle name="_Pricebook for XXX V1.0_Annual Software Upgrade Fee for Service_2G_BoQ 4" xfId="2118" xr:uid="{00000000-0005-0000-0000-00005C100000}"/>
    <cellStyle name="_Pricebook for XXX V1.0_Annual Software Upgrade Fee for Service_2G_BoQ Apple2" xfId="2119" xr:uid="{00000000-0005-0000-0000-00005D100000}"/>
    <cellStyle name="_Pricebook for XXX V1.0_Annual Software Upgrade Fee for Service_2G_BoQ Apple2 2" xfId="2120" xr:uid="{00000000-0005-0000-0000-00005E100000}"/>
    <cellStyle name="_Pricebook for XXX V1.0_Annual Software Upgrade Fee for Service_2G_BoQ Apple2 2 2" xfId="2121" xr:uid="{00000000-0005-0000-0000-00005F100000}"/>
    <cellStyle name="_Pricebook for XXX V1.0_Annual Software Upgrade Fee for Service_2G_BoQ Apple2 3" xfId="2122" xr:uid="{00000000-0005-0000-0000-000060100000}"/>
    <cellStyle name="_Pricebook for XXX V1.0_Annual Software Upgrade Fee for Service_2G_BoQ Apple2 3 2" xfId="2123" xr:uid="{00000000-0005-0000-0000-000061100000}"/>
    <cellStyle name="_Pricebook for XXX V1.0_Annual Software Upgrade Fee for Service_2G_BoQ Apple2 4" xfId="2124" xr:uid="{00000000-0005-0000-0000-000062100000}"/>
    <cellStyle name="_Pricebook for XXX V1.0_Annual Software Upgrade Fee for Service_2G_BoQ Model" xfId="2125" xr:uid="{00000000-0005-0000-0000-000063100000}"/>
    <cellStyle name="_Pricebook for XXX V1.0_Annual Software Upgrade Fee for Service_2G_BoQ Model 2" xfId="2126" xr:uid="{00000000-0005-0000-0000-000064100000}"/>
    <cellStyle name="_Pricebook for XXX V1.0_Annual Software Upgrade Fee for Service_2G_BoQ Model 2 2" xfId="2127" xr:uid="{00000000-0005-0000-0000-000065100000}"/>
    <cellStyle name="_Pricebook for XXX V1.0_Annual Software Upgrade Fee for Service_2G_BoQ Model 3" xfId="2128" xr:uid="{00000000-0005-0000-0000-000066100000}"/>
    <cellStyle name="_Pricebook for XXX V1.0_Annual Software Upgrade Fee for Service_2G_BoQ Model 3 2" xfId="2129" xr:uid="{00000000-0005-0000-0000-000067100000}"/>
    <cellStyle name="_Pricebook for XXX V1.0_Annual Software Upgrade Fee for Service_2G_BoQ Model 4" xfId="2130" xr:uid="{00000000-0005-0000-0000-000068100000}"/>
    <cellStyle name="_Pricebook for XXX V1.0_Annual Software Upgrade Fee for Service_2G_BoQ P03 Model" xfId="2131" xr:uid="{00000000-0005-0000-0000-000069100000}"/>
    <cellStyle name="_Pricebook for XXX V1.0_Annual Software Upgrade Fee for Service_2G_BoQ P03 Model 2" xfId="2132" xr:uid="{00000000-0005-0000-0000-00006A100000}"/>
    <cellStyle name="_Pricebook for XXX V1.0_Annual Software Upgrade Fee for Service_2G_BoQ P03 Model 2 2" xfId="2133" xr:uid="{00000000-0005-0000-0000-00006B100000}"/>
    <cellStyle name="_Pricebook for XXX V1.0_Annual Software Upgrade Fee for Service_2G_BoQ P03 Model 3" xfId="2134" xr:uid="{00000000-0005-0000-0000-00006C100000}"/>
    <cellStyle name="_Pricebook for XXX V1.0_Annual Software Upgrade Fee for Service_2G_BoQ P03 Model 3 2" xfId="2135" xr:uid="{00000000-0005-0000-0000-00006D100000}"/>
    <cellStyle name="_Pricebook for XXX V1.0_Annual Software Upgrade Fee for Service_2G_BoQ P03 Model 4" xfId="2136" xr:uid="{00000000-0005-0000-0000-00006E100000}"/>
    <cellStyle name="_Pricebook for XXX V1.0_Annual Software Upgrade Fee for Service_2G_BoQ v2" xfId="2137" xr:uid="{00000000-0005-0000-0000-00006F100000}"/>
    <cellStyle name="_Pricebook for XXX V1.0_Annual Software Upgrade Fee for Service_2G_BoQ v2 2" xfId="2138" xr:uid="{00000000-0005-0000-0000-000070100000}"/>
    <cellStyle name="_Pricebook for XXX V1.0_Annual Software Upgrade Fee for Service_2G_BoQ v2 2 2" xfId="2139" xr:uid="{00000000-0005-0000-0000-000071100000}"/>
    <cellStyle name="_Pricebook for XXX V1.0_Annual Software Upgrade Fee for Service_2G_BoQ v2 3" xfId="2140" xr:uid="{00000000-0005-0000-0000-000072100000}"/>
    <cellStyle name="_Pricebook for XXX V1.0_Annual Software Upgrade Fee for Service_2G_BoQ v2 3 2" xfId="2141" xr:uid="{00000000-0005-0000-0000-000073100000}"/>
    <cellStyle name="_Pricebook for XXX V1.0_Annual Software Upgrade Fee for Service_2G_BoQ v2 4" xfId="2142" xr:uid="{00000000-0005-0000-0000-000074100000}"/>
    <cellStyle name="_Pricebook for XXX V1.0_Annual Software Upgrade Fee for Service_2G_BoQ_v2" xfId="2143" xr:uid="{00000000-0005-0000-0000-000075100000}"/>
    <cellStyle name="_Pricebook for XXX V1.0_Annual Software Upgrade Fee for Service_2G_BoQ_v2 2" xfId="2144" xr:uid="{00000000-0005-0000-0000-000076100000}"/>
    <cellStyle name="_Pricebook for XXX V1.0_Annual Software Upgrade Fee for Service_2G_BoQ_v2 2 2" xfId="2145" xr:uid="{00000000-0005-0000-0000-000077100000}"/>
    <cellStyle name="_Pricebook for XXX V1.0_Annual Software Upgrade Fee for Service_2G_BoQ_v2 3" xfId="2146" xr:uid="{00000000-0005-0000-0000-000078100000}"/>
    <cellStyle name="_Pricebook for XXX V1.0_Annual Software Upgrade Fee for Service_2G_BoQ_v2 3 2" xfId="2147" xr:uid="{00000000-0005-0000-0000-000079100000}"/>
    <cellStyle name="_Pricebook for XXX V1.0_Annual Software Upgrade Fee for Service_2G_BoQ_v2 4" xfId="2148" xr:uid="{00000000-0005-0000-0000-00007A100000}"/>
    <cellStyle name="_Pricebook for XXX V1.0_Annual Software Upgrade Fee for Service_Book2" xfId="2149" xr:uid="{00000000-0005-0000-0000-00007B100000}"/>
    <cellStyle name="_Pricebook for XXX V1.0_Annual Software Upgrade Fee for Service_Book2 2" xfId="2150" xr:uid="{00000000-0005-0000-0000-00007C100000}"/>
    <cellStyle name="_Pricebook for XXX V1.0_Annual Software Upgrade Fee for Service_Book2 2 2" xfId="2151" xr:uid="{00000000-0005-0000-0000-00007D100000}"/>
    <cellStyle name="_Pricebook for XXX V1.0_Annual Software Upgrade Fee for Service_Book2 3" xfId="2152" xr:uid="{00000000-0005-0000-0000-00007E100000}"/>
    <cellStyle name="_Pricebook for XXX V1.0_Annual Software Upgrade Fee for Service_Book2 3 2" xfId="2153" xr:uid="{00000000-0005-0000-0000-00007F100000}"/>
    <cellStyle name="_Pricebook for XXX V1.0_Annual Software Upgrade Fee for Service_Book2 4" xfId="2154" xr:uid="{00000000-0005-0000-0000-000080100000}"/>
    <cellStyle name="_Pricebook for XXX V1.0_Annual Software Upgrade Fee for Service_Revised 2G_BoQ" xfId="2155" xr:uid="{00000000-0005-0000-0000-000081100000}"/>
    <cellStyle name="_Pricebook for XXX V1.0_Annual Software Upgrade Fee for Service_Revised 2G_BoQ 2" xfId="2156" xr:uid="{00000000-0005-0000-0000-000082100000}"/>
    <cellStyle name="_Pricebook for XXX V1.0_Annual Software Upgrade Fee for Service_Revised 2G_BoQ 2 2" xfId="2157" xr:uid="{00000000-0005-0000-0000-000083100000}"/>
    <cellStyle name="_Pricebook for XXX V1.0_Annual Software Upgrade Fee for Service_Revised 2G_BoQ 3" xfId="2158" xr:uid="{00000000-0005-0000-0000-000084100000}"/>
    <cellStyle name="_Pricebook for XXX V1.0_Annual Software Upgrade Fee for Service_Revised 2G_BoQ 3 2" xfId="2159" xr:uid="{00000000-0005-0000-0000-000085100000}"/>
    <cellStyle name="_Pricebook for XXX V1.0_Annual Software Upgrade Fee for Service_Revised 2G_BoQ 4" xfId="2160" xr:uid="{00000000-0005-0000-0000-000086100000}"/>
    <cellStyle name="_Pricebook for XXX V1.0_Annual Software Upgrade Fee for Service_Revised 2G_BoQ P03 Model" xfId="2161" xr:uid="{00000000-0005-0000-0000-000087100000}"/>
    <cellStyle name="_Pricebook for XXX V1.0_Annual Software Upgrade Fee for Service_Revised 2G_BoQ P03 Model 2" xfId="2162" xr:uid="{00000000-0005-0000-0000-000088100000}"/>
    <cellStyle name="_Pricebook for XXX V1.0_Annual Software Upgrade Fee for Service_Revised 2G_BoQ P03 Model 2 2" xfId="2163" xr:uid="{00000000-0005-0000-0000-000089100000}"/>
    <cellStyle name="_Pricebook for XXX V1.0_Annual Software Upgrade Fee for Service_Revised 2G_BoQ P03 Model 3" xfId="2164" xr:uid="{00000000-0005-0000-0000-00008A100000}"/>
    <cellStyle name="_Pricebook for XXX V1.0_Annual Software Upgrade Fee for Service_Revised 2G_BoQ P03 Model 3 2" xfId="2165" xr:uid="{00000000-0005-0000-0000-00008B100000}"/>
    <cellStyle name="_Pricebook for XXX V1.0_Annual Software Upgrade Fee for Service_Revised 2G_BoQ P03 Model 4" xfId="2166" xr:uid="{00000000-0005-0000-0000-00008C100000}"/>
    <cellStyle name="_Pricebook for XXX V1.0_Annual Software Upgrade Fee for Service_服务文件Benchmark V13(for Customer)" xfId="2167" xr:uid="{00000000-0005-0000-0000-00008D100000}"/>
    <cellStyle name="_Pricebook for XXX V1.0_Annual Software Upgrade Fee for Service_服务文件Benchmark V13(for Customer) 2" xfId="2168" xr:uid="{00000000-0005-0000-0000-00008E100000}"/>
    <cellStyle name="_Pricebook for XXX V1.0_Annual Software Upgrade Fee for Service_服务文件Benchmark V13(for Customer) 2 2" xfId="2169" xr:uid="{00000000-0005-0000-0000-00008F100000}"/>
    <cellStyle name="_Pricebook for XXX V1.0_Annual Software Upgrade Fee for Service_服务文件Benchmark V13(for Customer) 3" xfId="2170" xr:uid="{00000000-0005-0000-0000-000090100000}"/>
    <cellStyle name="_Pricebook for XXX V1.0_Annual Software Upgrade Fee for Service_服务文件Benchmark V13(for Customer) 3 2" xfId="2171" xr:uid="{00000000-0005-0000-0000-000091100000}"/>
    <cellStyle name="_Pricebook for XXX V1.0_Annual Software Upgrade Fee for Service_服务文件Benchmark V13(for Customer) 4" xfId="2172" xr:uid="{00000000-0005-0000-0000-000092100000}"/>
    <cellStyle name="_Pricebook for XXX V1.0_Annual Software Upgrade Fee for Service_服务文件Benchmark V5" xfId="2173" xr:uid="{00000000-0005-0000-0000-000093100000}"/>
    <cellStyle name="_Pricebook for XXX V1.0_Annual Software Upgrade Fee for Service_服务文件Benchmark V5 2" xfId="2174" xr:uid="{00000000-0005-0000-0000-000094100000}"/>
    <cellStyle name="_Pricebook for XXX V1.0_Annual Software Upgrade Fee for Service_服务文件Benchmark V5 2 2" xfId="2175" xr:uid="{00000000-0005-0000-0000-000095100000}"/>
    <cellStyle name="_Pricebook for XXX V1.0_Annual Software Upgrade Fee for Service_服务文件Benchmark V5 3" xfId="2176" xr:uid="{00000000-0005-0000-0000-000096100000}"/>
    <cellStyle name="_Pricebook for XXX V1.0_Annual Software Upgrade Fee for Service_服务文件Benchmark V5 3 2" xfId="2177" xr:uid="{00000000-0005-0000-0000-000097100000}"/>
    <cellStyle name="_Pricebook for XXX V1.0_Annual Software Upgrade Fee for Service_服务文件Benchmark V5 4" xfId="2178" xr:uid="{00000000-0005-0000-0000-000098100000}"/>
    <cellStyle name="_Pricebook for XXX V1.0_Annual Software Upgrade Fee_2G service V5" xfId="2179" xr:uid="{00000000-0005-0000-0000-000099100000}"/>
    <cellStyle name="_Pricebook for XXX V1.0_Annual Software Upgrade Fee_2G service V5 2" xfId="2180" xr:uid="{00000000-0005-0000-0000-00009A100000}"/>
    <cellStyle name="_Pricebook for XXX V1.0_Annual Software Upgrade Fee_2G service V5 2 2" xfId="2181" xr:uid="{00000000-0005-0000-0000-00009B100000}"/>
    <cellStyle name="_Pricebook for XXX V1.0_Annual Software Upgrade Fee_2G service V5 3" xfId="2182" xr:uid="{00000000-0005-0000-0000-00009C100000}"/>
    <cellStyle name="_Pricebook for XXX V1.0_Annual Software Upgrade Fee_2G service V5 3 2" xfId="2183" xr:uid="{00000000-0005-0000-0000-00009D100000}"/>
    <cellStyle name="_Pricebook for XXX V1.0_Annual Software Upgrade Fee_2G service V5 4" xfId="2184" xr:uid="{00000000-0005-0000-0000-00009E100000}"/>
    <cellStyle name="_Pricebook for XXX V1.0_Annual Software Upgrade Fee_2G Service(20071104)benchmark" xfId="2185" xr:uid="{00000000-0005-0000-0000-00009F100000}"/>
    <cellStyle name="_Pricebook for XXX V1.0_Annual Software Upgrade Fee_2G Service(20071104)benchmark 2" xfId="2186" xr:uid="{00000000-0005-0000-0000-0000A0100000}"/>
    <cellStyle name="_Pricebook for XXX V1.0_Annual Software Upgrade Fee_2G Service(20071104)benchmark 2 2" xfId="2187" xr:uid="{00000000-0005-0000-0000-0000A1100000}"/>
    <cellStyle name="_Pricebook for XXX V1.0_Annual Software Upgrade Fee_2G Service(20071104)benchmark 3" xfId="2188" xr:uid="{00000000-0005-0000-0000-0000A2100000}"/>
    <cellStyle name="_Pricebook for XXX V1.0_Annual Software Upgrade Fee_2G Service(20071104)benchmark 3 2" xfId="2189" xr:uid="{00000000-0005-0000-0000-0000A3100000}"/>
    <cellStyle name="_Pricebook for XXX V1.0_Annual Software Upgrade Fee_2G Service(20071104)benchmark 4" xfId="2190" xr:uid="{00000000-0005-0000-0000-0000A4100000}"/>
    <cellStyle name="_Pricebook for XXX V1.0_Annual Software Upgrade Fee_2G_BoQ" xfId="2191" xr:uid="{00000000-0005-0000-0000-0000A5100000}"/>
    <cellStyle name="_Pricebook for XXX V1.0_Annual Software Upgrade Fee_2G_BoQ 2" xfId="2192" xr:uid="{00000000-0005-0000-0000-0000A6100000}"/>
    <cellStyle name="_Pricebook for XXX V1.0_Annual Software Upgrade Fee_2G_BoQ 2 2" xfId="2193" xr:uid="{00000000-0005-0000-0000-0000A7100000}"/>
    <cellStyle name="_Pricebook for XXX V1.0_Annual Software Upgrade Fee_2G_BoQ 3" xfId="2194" xr:uid="{00000000-0005-0000-0000-0000A8100000}"/>
    <cellStyle name="_Pricebook for XXX V1.0_Annual Software Upgrade Fee_2G_BoQ 3 2" xfId="2195" xr:uid="{00000000-0005-0000-0000-0000A9100000}"/>
    <cellStyle name="_Pricebook for XXX V1.0_Annual Software Upgrade Fee_2G_BoQ 4" xfId="2196" xr:uid="{00000000-0005-0000-0000-0000AA100000}"/>
    <cellStyle name="_Pricebook for XXX V1.0_Annual Software Upgrade Fee_2G_BoQ Apple2" xfId="2197" xr:uid="{00000000-0005-0000-0000-0000AB100000}"/>
    <cellStyle name="_Pricebook for XXX V1.0_Annual Software Upgrade Fee_2G_BoQ Apple2 2" xfId="2198" xr:uid="{00000000-0005-0000-0000-0000AC100000}"/>
    <cellStyle name="_Pricebook for XXX V1.0_Annual Software Upgrade Fee_2G_BoQ Apple2 2 2" xfId="2199" xr:uid="{00000000-0005-0000-0000-0000AD100000}"/>
    <cellStyle name="_Pricebook for XXX V1.0_Annual Software Upgrade Fee_2G_BoQ Apple2 3" xfId="2200" xr:uid="{00000000-0005-0000-0000-0000AE100000}"/>
    <cellStyle name="_Pricebook for XXX V1.0_Annual Software Upgrade Fee_2G_BoQ Apple2 3 2" xfId="2201" xr:uid="{00000000-0005-0000-0000-0000AF100000}"/>
    <cellStyle name="_Pricebook for XXX V1.0_Annual Software Upgrade Fee_2G_BoQ Apple2 4" xfId="2202" xr:uid="{00000000-0005-0000-0000-0000B0100000}"/>
    <cellStyle name="_Pricebook for XXX V1.0_Annual Software Upgrade Fee_2G_BoQ Model" xfId="2203" xr:uid="{00000000-0005-0000-0000-0000B1100000}"/>
    <cellStyle name="_Pricebook for XXX V1.0_Annual Software Upgrade Fee_2G_BoQ Model 2" xfId="2204" xr:uid="{00000000-0005-0000-0000-0000B2100000}"/>
    <cellStyle name="_Pricebook for XXX V1.0_Annual Software Upgrade Fee_2G_BoQ Model 2 2" xfId="2205" xr:uid="{00000000-0005-0000-0000-0000B3100000}"/>
    <cellStyle name="_Pricebook for XXX V1.0_Annual Software Upgrade Fee_2G_BoQ Model 3" xfId="2206" xr:uid="{00000000-0005-0000-0000-0000B4100000}"/>
    <cellStyle name="_Pricebook for XXX V1.0_Annual Software Upgrade Fee_2G_BoQ Model 3 2" xfId="2207" xr:uid="{00000000-0005-0000-0000-0000B5100000}"/>
    <cellStyle name="_Pricebook for XXX V1.0_Annual Software Upgrade Fee_2G_BoQ Model 4" xfId="2208" xr:uid="{00000000-0005-0000-0000-0000B6100000}"/>
    <cellStyle name="_Pricebook for XXX V1.0_Annual Software Upgrade Fee_2G_BoQ P03 Model" xfId="2209" xr:uid="{00000000-0005-0000-0000-0000B7100000}"/>
    <cellStyle name="_Pricebook for XXX V1.0_Annual Software Upgrade Fee_2G_BoQ P03 Model 2" xfId="2210" xr:uid="{00000000-0005-0000-0000-0000B8100000}"/>
    <cellStyle name="_Pricebook for XXX V1.0_Annual Software Upgrade Fee_2G_BoQ P03 Model 2 2" xfId="2211" xr:uid="{00000000-0005-0000-0000-0000B9100000}"/>
    <cellStyle name="_Pricebook for XXX V1.0_Annual Software Upgrade Fee_2G_BoQ P03 Model 3" xfId="2212" xr:uid="{00000000-0005-0000-0000-0000BA100000}"/>
    <cellStyle name="_Pricebook for XXX V1.0_Annual Software Upgrade Fee_2G_BoQ P03 Model 3 2" xfId="2213" xr:uid="{00000000-0005-0000-0000-0000BB100000}"/>
    <cellStyle name="_Pricebook for XXX V1.0_Annual Software Upgrade Fee_2G_BoQ P03 Model 4" xfId="2214" xr:uid="{00000000-0005-0000-0000-0000BC100000}"/>
    <cellStyle name="_Pricebook for XXX V1.0_Annual Software Upgrade Fee_2G_BoQ v2" xfId="2215" xr:uid="{00000000-0005-0000-0000-0000BD100000}"/>
    <cellStyle name="_Pricebook for XXX V1.0_Annual Software Upgrade Fee_2G_BoQ v2 2" xfId="2216" xr:uid="{00000000-0005-0000-0000-0000BE100000}"/>
    <cellStyle name="_Pricebook for XXX V1.0_Annual Software Upgrade Fee_2G_BoQ v2 2 2" xfId="2217" xr:uid="{00000000-0005-0000-0000-0000BF100000}"/>
    <cellStyle name="_Pricebook for XXX V1.0_Annual Software Upgrade Fee_2G_BoQ v2 3" xfId="2218" xr:uid="{00000000-0005-0000-0000-0000C0100000}"/>
    <cellStyle name="_Pricebook for XXX V1.0_Annual Software Upgrade Fee_2G_BoQ v2 3 2" xfId="2219" xr:uid="{00000000-0005-0000-0000-0000C1100000}"/>
    <cellStyle name="_Pricebook for XXX V1.0_Annual Software Upgrade Fee_2G_BoQ v2 4" xfId="2220" xr:uid="{00000000-0005-0000-0000-0000C2100000}"/>
    <cellStyle name="_Pricebook for XXX V1.0_Annual Software Upgrade Fee_2G_BoQ_v2" xfId="2221" xr:uid="{00000000-0005-0000-0000-0000C3100000}"/>
    <cellStyle name="_Pricebook for XXX V1.0_Annual Software Upgrade Fee_2G_BoQ_v2 2" xfId="2222" xr:uid="{00000000-0005-0000-0000-0000C4100000}"/>
    <cellStyle name="_Pricebook for XXX V1.0_Annual Software Upgrade Fee_2G_BoQ_v2 2 2" xfId="2223" xr:uid="{00000000-0005-0000-0000-0000C5100000}"/>
    <cellStyle name="_Pricebook for XXX V1.0_Annual Software Upgrade Fee_2G_BoQ_v2 3" xfId="2224" xr:uid="{00000000-0005-0000-0000-0000C6100000}"/>
    <cellStyle name="_Pricebook for XXX V1.0_Annual Software Upgrade Fee_2G_BoQ_v2 3 2" xfId="2225" xr:uid="{00000000-0005-0000-0000-0000C7100000}"/>
    <cellStyle name="_Pricebook for XXX V1.0_Annual Software Upgrade Fee_2G_BoQ_v2 4" xfId="2226" xr:uid="{00000000-0005-0000-0000-0000C8100000}"/>
    <cellStyle name="_Pricebook for XXX V1.0_Annual Software Upgrade Fee_Book2" xfId="2227" xr:uid="{00000000-0005-0000-0000-0000C9100000}"/>
    <cellStyle name="_Pricebook for XXX V1.0_Annual Software Upgrade Fee_Book2 2" xfId="2228" xr:uid="{00000000-0005-0000-0000-0000CA100000}"/>
    <cellStyle name="_Pricebook for XXX V1.0_Annual Software Upgrade Fee_Book2 2 2" xfId="2229" xr:uid="{00000000-0005-0000-0000-0000CB100000}"/>
    <cellStyle name="_Pricebook for XXX V1.0_Annual Software Upgrade Fee_Book2 3" xfId="2230" xr:uid="{00000000-0005-0000-0000-0000CC100000}"/>
    <cellStyle name="_Pricebook for XXX V1.0_Annual Software Upgrade Fee_Book2 3 2" xfId="2231" xr:uid="{00000000-0005-0000-0000-0000CD100000}"/>
    <cellStyle name="_Pricebook for XXX V1.0_Annual Software Upgrade Fee_Book2 4" xfId="2232" xr:uid="{00000000-0005-0000-0000-0000CE100000}"/>
    <cellStyle name="_Pricebook for XXX V1.0_Annual Software Upgrade Fee_Revised 2G_BoQ" xfId="2233" xr:uid="{00000000-0005-0000-0000-0000CF100000}"/>
    <cellStyle name="_Pricebook for XXX V1.0_Annual Software Upgrade Fee_Revised 2G_BoQ 2" xfId="2234" xr:uid="{00000000-0005-0000-0000-0000D0100000}"/>
    <cellStyle name="_Pricebook for XXX V1.0_Annual Software Upgrade Fee_Revised 2G_BoQ 2 2" xfId="2235" xr:uid="{00000000-0005-0000-0000-0000D1100000}"/>
    <cellStyle name="_Pricebook for XXX V1.0_Annual Software Upgrade Fee_Revised 2G_BoQ 3" xfId="2236" xr:uid="{00000000-0005-0000-0000-0000D2100000}"/>
    <cellStyle name="_Pricebook for XXX V1.0_Annual Software Upgrade Fee_Revised 2G_BoQ 3 2" xfId="2237" xr:uid="{00000000-0005-0000-0000-0000D3100000}"/>
    <cellStyle name="_Pricebook for XXX V1.0_Annual Software Upgrade Fee_Revised 2G_BoQ 4" xfId="2238" xr:uid="{00000000-0005-0000-0000-0000D4100000}"/>
    <cellStyle name="_Pricebook for XXX V1.0_Annual Software Upgrade Fee_Revised 2G_BoQ P03 Model" xfId="2239" xr:uid="{00000000-0005-0000-0000-0000D5100000}"/>
    <cellStyle name="_Pricebook for XXX V1.0_Annual Software Upgrade Fee_Revised 2G_BoQ P03 Model 2" xfId="2240" xr:uid="{00000000-0005-0000-0000-0000D6100000}"/>
    <cellStyle name="_Pricebook for XXX V1.0_Annual Software Upgrade Fee_Revised 2G_BoQ P03 Model 2 2" xfId="2241" xr:uid="{00000000-0005-0000-0000-0000D7100000}"/>
    <cellStyle name="_Pricebook for XXX V1.0_Annual Software Upgrade Fee_Revised 2G_BoQ P03 Model 3" xfId="2242" xr:uid="{00000000-0005-0000-0000-0000D8100000}"/>
    <cellStyle name="_Pricebook for XXX V1.0_Annual Software Upgrade Fee_Revised 2G_BoQ P03 Model 3 2" xfId="2243" xr:uid="{00000000-0005-0000-0000-0000D9100000}"/>
    <cellStyle name="_Pricebook for XXX V1.0_Annual Software Upgrade Fee_Revised 2G_BoQ P03 Model 4" xfId="2244" xr:uid="{00000000-0005-0000-0000-0000DA100000}"/>
    <cellStyle name="_Pricebook for XXX V1.0_Annual Software Upgrade Fee_服务文件Benchmark V13(for Customer)" xfId="2245" xr:uid="{00000000-0005-0000-0000-0000DB100000}"/>
    <cellStyle name="_Pricebook for XXX V1.0_Annual Software Upgrade Fee_服务文件Benchmark V13(for Customer) 2" xfId="2246" xr:uid="{00000000-0005-0000-0000-0000DC100000}"/>
    <cellStyle name="_Pricebook for XXX V1.0_Annual Software Upgrade Fee_服务文件Benchmark V13(for Customer) 2 2" xfId="2247" xr:uid="{00000000-0005-0000-0000-0000DD100000}"/>
    <cellStyle name="_Pricebook for XXX V1.0_Annual Software Upgrade Fee_服务文件Benchmark V13(for Customer) 3" xfId="2248" xr:uid="{00000000-0005-0000-0000-0000DE100000}"/>
    <cellStyle name="_Pricebook for XXX V1.0_Annual Software Upgrade Fee_服务文件Benchmark V13(for Customer) 3 2" xfId="2249" xr:uid="{00000000-0005-0000-0000-0000DF100000}"/>
    <cellStyle name="_Pricebook for XXX V1.0_Annual Software Upgrade Fee_服务文件Benchmark V13(for Customer) 4" xfId="2250" xr:uid="{00000000-0005-0000-0000-0000E0100000}"/>
    <cellStyle name="_Pricebook for XXX V1.0_Annual Software Upgrade Fee_服务文件Benchmark V5" xfId="2251" xr:uid="{00000000-0005-0000-0000-0000E1100000}"/>
    <cellStyle name="_Pricebook for XXX V1.0_Annual Software Upgrade Fee_服务文件Benchmark V5 2" xfId="2252" xr:uid="{00000000-0005-0000-0000-0000E2100000}"/>
    <cellStyle name="_Pricebook for XXX V1.0_Annual Software Upgrade Fee_服务文件Benchmark V5 2 2" xfId="2253" xr:uid="{00000000-0005-0000-0000-0000E3100000}"/>
    <cellStyle name="_Pricebook for XXX V1.0_Annual Software Upgrade Fee_服务文件Benchmark V5 3" xfId="2254" xr:uid="{00000000-0005-0000-0000-0000E4100000}"/>
    <cellStyle name="_Pricebook for XXX V1.0_Annual Software Upgrade Fee_服务文件Benchmark V5 3 2" xfId="2255" xr:uid="{00000000-0005-0000-0000-0000E5100000}"/>
    <cellStyle name="_Pricebook for XXX V1.0_Annual Software Upgrade Fee_服务文件Benchmark V5 4" xfId="2256" xr:uid="{00000000-0005-0000-0000-0000E6100000}"/>
    <cellStyle name="_Pricebook for XXX V1.0_MW" xfId="2257" xr:uid="{00000000-0005-0000-0000-0000E7100000}"/>
    <cellStyle name="_Pricebook for XXX V1.0_MW 2" xfId="2258" xr:uid="{00000000-0005-0000-0000-0000E8100000}"/>
    <cellStyle name="_Pricebook for XXX V1.0_MW 2 2" xfId="2259" xr:uid="{00000000-0005-0000-0000-0000E9100000}"/>
    <cellStyle name="_Pricebook for XXX V1.0_MW 3" xfId="2260" xr:uid="{00000000-0005-0000-0000-0000EA100000}"/>
    <cellStyle name="_Pricebook for XXX V1.0_MW 3 2" xfId="2261" xr:uid="{00000000-0005-0000-0000-0000EB100000}"/>
    <cellStyle name="_Pricebook for XXX V1.0_MW 4" xfId="2262" xr:uid="{00000000-0005-0000-0000-0000EC100000}"/>
    <cellStyle name="_Pricebook for XXX V1.0_MW_2G service V5" xfId="2263" xr:uid="{00000000-0005-0000-0000-0000ED100000}"/>
    <cellStyle name="_Pricebook for XXX V1.0_MW_2G service V5 2" xfId="2264" xr:uid="{00000000-0005-0000-0000-0000EE100000}"/>
    <cellStyle name="_Pricebook for XXX V1.0_MW_2G service V5 2 2" xfId="2265" xr:uid="{00000000-0005-0000-0000-0000EF100000}"/>
    <cellStyle name="_Pricebook for XXX V1.0_MW_2G service V5 3" xfId="2266" xr:uid="{00000000-0005-0000-0000-0000F0100000}"/>
    <cellStyle name="_Pricebook for XXX V1.0_MW_2G service V5 3 2" xfId="2267" xr:uid="{00000000-0005-0000-0000-0000F1100000}"/>
    <cellStyle name="_Pricebook for XXX V1.0_MW_2G service V5 4" xfId="2268" xr:uid="{00000000-0005-0000-0000-0000F2100000}"/>
    <cellStyle name="_Pricebook for XXX V1.0_MW_2G Service(20071104)benchmark" xfId="2269" xr:uid="{00000000-0005-0000-0000-0000F3100000}"/>
    <cellStyle name="_Pricebook for XXX V1.0_MW_2G Service(20071104)benchmark 2" xfId="2270" xr:uid="{00000000-0005-0000-0000-0000F4100000}"/>
    <cellStyle name="_Pricebook for XXX V1.0_MW_2G Service(20071104)benchmark 2 2" xfId="2271" xr:uid="{00000000-0005-0000-0000-0000F5100000}"/>
    <cellStyle name="_Pricebook for XXX V1.0_MW_2G Service(20071104)benchmark 3" xfId="2272" xr:uid="{00000000-0005-0000-0000-0000F6100000}"/>
    <cellStyle name="_Pricebook for XXX V1.0_MW_2G Service(20071104)benchmark 3 2" xfId="2273" xr:uid="{00000000-0005-0000-0000-0000F7100000}"/>
    <cellStyle name="_Pricebook for XXX V1.0_MW_2G Service(20071104)benchmark 4" xfId="2274" xr:uid="{00000000-0005-0000-0000-0000F8100000}"/>
    <cellStyle name="_Pricebook for XXX V1.0_MW_2G_BoQ" xfId="2275" xr:uid="{00000000-0005-0000-0000-0000F9100000}"/>
    <cellStyle name="_Pricebook for XXX V1.0_MW_2G_BoQ 2" xfId="2276" xr:uid="{00000000-0005-0000-0000-0000FA100000}"/>
    <cellStyle name="_Pricebook for XXX V1.0_MW_2G_BoQ 2 2" xfId="2277" xr:uid="{00000000-0005-0000-0000-0000FB100000}"/>
    <cellStyle name="_Pricebook for XXX V1.0_MW_2G_BoQ 3" xfId="2278" xr:uid="{00000000-0005-0000-0000-0000FC100000}"/>
    <cellStyle name="_Pricebook for XXX V1.0_MW_2G_BoQ 3 2" xfId="2279" xr:uid="{00000000-0005-0000-0000-0000FD100000}"/>
    <cellStyle name="_Pricebook for XXX V1.0_MW_2G_BoQ 4" xfId="2280" xr:uid="{00000000-0005-0000-0000-0000FE100000}"/>
    <cellStyle name="_Pricebook for XXX V1.0_MW_2G_BoQ Apple2" xfId="2281" xr:uid="{00000000-0005-0000-0000-0000FF100000}"/>
    <cellStyle name="_Pricebook for XXX V1.0_MW_2G_BoQ Apple2 2" xfId="2282" xr:uid="{00000000-0005-0000-0000-000000110000}"/>
    <cellStyle name="_Pricebook for XXX V1.0_MW_2G_BoQ Apple2 2 2" xfId="2283" xr:uid="{00000000-0005-0000-0000-000001110000}"/>
    <cellStyle name="_Pricebook for XXX V1.0_MW_2G_BoQ Apple2 3" xfId="2284" xr:uid="{00000000-0005-0000-0000-000002110000}"/>
    <cellStyle name="_Pricebook for XXX V1.0_MW_2G_BoQ Apple2 3 2" xfId="2285" xr:uid="{00000000-0005-0000-0000-000003110000}"/>
    <cellStyle name="_Pricebook for XXX V1.0_MW_2G_BoQ Apple2 4" xfId="2286" xr:uid="{00000000-0005-0000-0000-000004110000}"/>
    <cellStyle name="_Pricebook for XXX V1.0_MW_2G_BoQ Model" xfId="2287" xr:uid="{00000000-0005-0000-0000-000005110000}"/>
    <cellStyle name="_Pricebook for XXX V1.0_MW_2G_BoQ Model 2" xfId="2288" xr:uid="{00000000-0005-0000-0000-000006110000}"/>
    <cellStyle name="_Pricebook for XXX V1.0_MW_2G_BoQ Model 2 2" xfId="2289" xr:uid="{00000000-0005-0000-0000-000007110000}"/>
    <cellStyle name="_Pricebook for XXX V1.0_MW_2G_BoQ Model 3" xfId="2290" xr:uid="{00000000-0005-0000-0000-000008110000}"/>
    <cellStyle name="_Pricebook for XXX V1.0_MW_2G_BoQ Model 3 2" xfId="2291" xr:uid="{00000000-0005-0000-0000-000009110000}"/>
    <cellStyle name="_Pricebook for XXX V1.0_MW_2G_BoQ Model 4" xfId="2292" xr:uid="{00000000-0005-0000-0000-00000A110000}"/>
    <cellStyle name="_Pricebook for XXX V1.0_MW_2G_BoQ P03 Model" xfId="2293" xr:uid="{00000000-0005-0000-0000-00000B110000}"/>
    <cellStyle name="_Pricebook for XXX V1.0_MW_2G_BoQ P03 Model 2" xfId="2294" xr:uid="{00000000-0005-0000-0000-00000C110000}"/>
    <cellStyle name="_Pricebook for XXX V1.0_MW_2G_BoQ P03 Model 2 2" xfId="2295" xr:uid="{00000000-0005-0000-0000-00000D110000}"/>
    <cellStyle name="_Pricebook for XXX V1.0_MW_2G_BoQ P03 Model 3" xfId="2296" xr:uid="{00000000-0005-0000-0000-00000E110000}"/>
    <cellStyle name="_Pricebook for XXX V1.0_MW_2G_BoQ P03 Model 3 2" xfId="2297" xr:uid="{00000000-0005-0000-0000-00000F110000}"/>
    <cellStyle name="_Pricebook for XXX V1.0_MW_2G_BoQ P03 Model 4" xfId="2298" xr:uid="{00000000-0005-0000-0000-000010110000}"/>
    <cellStyle name="_Pricebook for XXX V1.0_MW_2G_BoQ v2" xfId="2299" xr:uid="{00000000-0005-0000-0000-000011110000}"/>
    <cellStyle name="_Pricebook for XXX V1.0_MW_2G_BoQ v2 2" xfId="2300" xr:uid="{00000000-0005-0000-0000-000012110000}"/>
    <cellStyle name="_Pricebook for XXX V1.0_MW_2G_BoQ v2 2 2" xfId="2301" xr:uid="{00000000-0005-0000-0000-000013110000}"/>
    <cellStyle name="_Pricebook for XXX V1.0_MW_2G_BoQ v2 3" xfId="2302" xr:uid="{00000000-0005-0000-0000-000014110000}"/>
    <cellStyle name="_Pricebook for XXX V1.0_MW_2G_BoQ v2 3 2" xfId="2303" xr:uid="{00000000-0005-0000-0000-000015110000}"/>
    <cellStyle name="_Pricebook for XXX V1.0_MW_2G_BoQ v2 4" xfId="2304" xr:uid="{00000000-0005-0000-0000-000016110000}"/>
    <cellStyle name="_Pricebook for XXX V1.0_MW_2G_BoQ_v2" xfId="2305" xr:uid="{00000000-0005-0000-0000-000017110000}"/>
    <cellStyle name="_Pricebook for XXX V1.0_MW_2G_BoQ_v2 2" xfId="2306" xr:uid="{00000000-0005-0000-0000-000018110000}"/>
    <cellStyle name="_Pricebook for XXX V1.0_MW_2G_BoQ_v2 2 2" xfId="2307" xr:uid="{00000000-0005-0000-0000-000019110000}"/>
    <cellStyle name="_Pricebook for XXX V1.0_MW_2G_BoQ_v2 3" xfId="2308" xr:uid="{00000000-0005-0000-0000-00001A110000}"/>
    <cellStyle name="_Pricebook for XXX V1.0_MW_2G_BoQ_v2 3 2" xfId="2309" xr:uid="{00000000-0005-0000-0000-00001B110000}"/>
    <cellStyle name="_Pricebook for XXX V1.0_MW_2G_BoQ_v2 4" xfId="2310" xr:uid="{00000000-0005-0000-0000-00001C110000}"/>
    <cellStyle name="_Pricebook for XXX V1.0_MW_Book2" xfId="2311" xr:uid="{00000000-0005-0000-0000-00001D110000}"/>
    <cellStyle name="_Pricebook for XXX V1.0_MW_Book2 2" xfId="2312" xr:uid="{00000000-0005-0000-0000-00001E110000}"/>
    <cellStyle name="_Pricebook for XXX V1.0_MW_Book2 2 2" xfId="2313" xr:uid="{00000000-0005-0000-0000-00001F110000}"/>
    <cellStyle name="_Pricebook for XXX V1.0_MW_Book2 3" xfId="2314" xr:uid="{00000000-0005-0000-0000-000020110000}"/>
    <cellStyle name="_Pricebook for XXX V1.0_MW_Book2 3 2" xfId="2315" xr:uid="{00000000-0005-0000-0000-000021110000}"/>
    <cellStyle name="_Pricebook for XXX V1.0_MW_Book2 4" xfId="2316" xr:uid="{00000000-0005-0000-0000-000022110000}"/>
    <cellStyle name="_Pricebook for XXX V1.0_MW_Revised 2G_BoQ" xfId="2317" xr:uid="{00000000-0005-0000-0000-000023110000}"/>
    <cellStyle name="_Pricebook for XXX V1.0_MW_Revised 2G_BoQ 2" xfId="2318" xr:uid="{00000000-0005-0000-0000-000024110000}"/>
    <cellStyle name="_Pricebook for XXX V1.0_MW_Revised 2G_BoQ 2 2" xfId="2319" xr:uid="{00000000-0005-0000-0000-000025110000}"/>
    <cellStyle name="_Pricebook for XXX V1.0_MW_Revised 2G_BoQ 3" xfId="2320" xr:uid="{00000000-0005-0000-0000-000026110000}"/>
    <cellStyle name="_Pricebook for XXX V1.0_MW_Revised 2G_BoQ 3 2" xfId="2321" xr:uid="{00000000-0005-0000-0000-000027110000}"/>
    <cellStyle name="_Pricebook for XXX V1.0_MW_Revised 2G_BoQ 4" xfId="2322" xr:uid="{00000000-0005-0000-0000-000028110000}"/>
    <cellStyle name="_Pricebook for XXX V1.0_MW_Revised 2G_BoQ P03 Model" xfId="2323" xr:uid="{00000000-0005-0000-0000-000029110000}"/>
    <cellStyle name="_Pricebook for XXX V1.0_MW_Revised 2G_BoQ P03 Model 2" xfId="2324" xr:uid="{00000000-0005-0000-0000-00002A110000}"/>
    <cellStyle name="_Pricebook for XXX V1.0_MW_Revised 2G_BoQ P03 Model 2 2" xfId="2325" xr:uid="{00000000-0005-0000-0000-00002B110000}"/>
    <cellStyle name="_Pricebook for XXX V1.0_MW_Revised 2G_BoQ P03 Model 3" xfId="2326" xr:uid="{00000000-0005-0000-0000-00002C110000}"/>
    <cellStyle name="_Pricebook for XXX V1.0_MW_Revised 2G_BoQ P03 Model 3 2" xfId="2327" xr:uid="{00000000-0005-0000-0000-00002D110000}"/>
    <cellStyle name="_Pricebook for XXX V1.0_MW_Revised 2G_BoQ P03 Model 4" xfId="2328" xr:uid="{00000000-0005-0000-0000-00002E110000}"/>
    <cellStyle name="_Pricebook for XXX V1.0_MW_服务文件Benchmark V13(for Customer)" xfId="2329" xr:uid="{00000000-0005-0000-0000-00002F110000}"/>
    <cellStyle name="_Pricebook for XXX V1.0_MW_服务文件Benchmark V13(for Customer) 2" xfId="2330" xr:uid="{00000000-0005-0000-0000-000030110000}"/>
    <cellStyle name="_Pricebook for XXX V1.0_MW_服务文件Benchmark V13(for Customer) 2 2" xfId="2331" xr:uid="{00000000-0005-0000-0000-000031110000}"/>
    <cellStyle name="_Pricebook for XXX V1.0_MW_服务文件Benchmark V13(for Customer) 3" xfId="2332" xr:uid="{00000000-0005-0000-0000-000032110000}"/>
    <cellStyle name="_Pricebook for XXX V1.0_MW_服务文件Benchmark V13(for Customer) 3 2" xfId="2333" xr:uid="{00000000-0005-0000-0000-000033110000}"/>
    <cellStyle name="_Pricebook for XXX V1.0_MW_服务文件Benchmark V13(for Customer) 4" xfId="2334" xr:uid="{00000000-0005-0000-0000-000034110000}"/>
    <cellStyle name="_Pricebook for XXX V1.0_MW_服务文件Benchmark V5" xfId="2335" xr:uid="{00000000-0005-0000-0000-000035110000}"/>
    <cellStyle name="_Pricebook for XXX V1.0_MW_服务文件Benchmark V5 2" xfId="2336" xr:uid="{00000000-0005-0000-0000-000036110000}"/>
    <cellStyle name="_Pricebook for XXX V1.0_MW_服务文件Benchmark V5 2 2" xfId="2337" xr:uid="{00000000-0005-0000-0000-000037110000}"/>
    <cellStyle name="_Pricebook for XXX V1.0_MW_服务文件Benchmark V5 3" xfId="2338" xr:uid="{00000000-0005-0000-0000-000038110000}"/>
    <cellStyle name="_Pricebook for XXX V1.0_MW_服务文件Benchmark V5 3 2" xfId="2339" xr:uid="{00000000-0005-0000-0000-000039110000}"/>
    <cellStyle name="_Pricebook for XXX V1.0_MW_服务文件Benchmark V5 4" xfId="2340" xr:uid="{00000000-0005-0000-0000-00003A110000}"/>
    <cellStyle name="_Pricebook Services 2006" xfId="2341" xr:uid="{00000000-0005-0000-0000-00003B110000}"/>
    <cellStyle name="_Pricebook Services 2006 2" xfId="2342" xr:uid="{00000000-0005-0000-0000-00003C110000}"/>
    <cellStyle name="_Pricebook Services 2006 2 2" xfId="2343" xr:uid="{00000000-0005-0000-0000-00003D110000}"/>
    <cellStyle name="_Pricebook Services 2006 3" xfId="2344" xr:uid="{00000000-0005-0000-0000-00003E110000}"/>
    <cellStyle name="_Pricebook Services 2006_1" xfId="2345" xr:uid="{00000000-0005-0000-0000-00003F110000}"/>
    <cellStyle name="_Pricebook Services 2006_1 2" xfId="2346" xr:uid="{00000000-0005-0000-0000-000040110000}"/>
    <cellStyle name="_Pricebook Services 2006_1 2 2" xfId="2347" xr:uid="{00000000-0005-0000-0000-000041110000}"/>
    <cellStyle name="_Pricebook Services 2006_1 3" xfId="2348" xr:uid="{00000000-0005-0000-0000-000042110000}"/>
    <cellStyle name="_Pricebook Software" xfId="2349" xr:uid="{00000000-0005-0000-0000-000043110000}"/>
    <cellStyle name="_Pricebook Software 2" xfId="2350" xr:uid="{00000000-0005-0000-0000-000044110000}"/>
    <cellStyle name="_Pricebook Software 2 2" xfId="2351" xr:uid="{00000000-0005-0000-0000-000045110000}"/>
    <cellStyle name="_Pricebook Software 3" xfId="2352" xr:uid="{00000000-0005-0000-0000-000046110000}"/>
    <cellStyle name="_Pricebook Spares 2006" xfId="2353" xr:uid="{00000000-0005-0000-0000-000047110000}"/>
    <cellStyle name="_Pricebook Spares 2006 2" xfId="2354" xr:uid="{00000000-0005-0000-0000-000048110000}"/>
    <cellStyle name="_Pricebook Spares 2006 2 2" xfId="2355" xr:uid="{00000000-0005-0000-0000-000049110000}"/>
    <cellStyle name="_Pricebook Spares 2006 3" xfId="2356" xr:uid="{00000000-0005-0000-0000-00004A110000}"/>
    <cellStyle name="_Pricebook Tools" xfId="2357" xr:uid="{00000000-0005-0000-0000-00004B110000}"/>
    <cellStyle name="_Pricebook Tools 2" xfId="2358" xr:uid="{00000000-0005-0000-0000-00004C110000}"/>
    <cellStyle name="_Pricebook Tools 2 2" xfId="2359" xr:uid="{00000000-0005-0000-0000-00004D110000}"/>
    <cellStyle name="_Pricebook Tools 3" xfId="2360" xr:uid="{00000000-0005-0000-0000-00004E110000}"/>
    <cellStyle name="_Pricebook Training 2006" xfId="2361" xr:uid="{00000000-0005-0000-0000-00004F110000}"/>
    <cellStyle name="_Pricebook Training 2006 2" xfId="2362" xr:uid="{00000000-0005-0000-0000-000050110000}"/>
    <cellStyle name="_Pricebook Training 2006 2 2" xfId="2363" xr:uid="{00000000-0005-0000-0000-000051110000}"/>
    <cellStyle name="_Pricebook Training 2006 3" xfId="2364" xr:uid="{00000000-0005-0000-0000-000052110000}"/>
    <cellStyle name="_Price-Exp－V3" xfId="1656" xr:uid="{00000000-0005-0000-0000-000053110000}"/>
    <cellStyle name="_PTCL USF Project Management Price" xfId="2365" xr:uid="{00000000-0005-0000-0000-000054110000}"/>
    <cellStyle name="_Radio scenarios SWCM" xfId="2366" xr:uid="{00000000-0005-0000-0000-000055110000}"/>
    <cellStyle name="_Radio scenarios SWCM 2" xfId="2367" xr:uid="{00000000-0005-0000-0000-000056110000}"/>
    <cellStyle name="_Radio scenarios SWCM 2 2" xfId="2368" xr:uid="{00000000-0005-0000-0000-000057110000}"/>
    <cellStyle name="_Radio scenarios SWCM 3" xfId="2369" xr:uid="{00000000-0005-0000-0000-000058110000}"/>
    <cellStyle name="_Radio scenarios SWCM_?????100912_??" xfId="2370" xr:uid="{00000000-0005-0000-0000-000059110000}"/>
    <cellStyle name="_Radio scenarios SWCM_091028 HUA Annex 27 RAN Submission 7_correct_service" xfId="2371" xr:uid="{00000000-0005-0000-0000-00005A110000}"/>
    <cellStyle name="_Radio scenarios SWCM_20100406 Annex 27 RAN summary tables Excel 2003" xfId="2372" xr:uid="{00000000-0005-0000-0000-00005B110000}"/>
    <cellStyle name="_Radio scenarios SWCM_A27_Part 2_Price v2.1 20101007 with CS linking" xfId="2373" xr:uid="{00000000-0005-0000-0000-00005C110000}"/>
    <cellStyle name="_Radio scenarios SWCM_A27_Part 2_Price v2.1 20101007 with CS linking 2" xfId="2374" xr:uid="{00000000-0005-0000-0000-00005D110000}"/>
    <cellStyle name="_Radio scenarios SWCM_Annex 27 Part 2 Prices 01092010 linking CS" xfId="2375" xr:uid="{00000000-0005-0000-0000-00005E110000}"/>
    <cellStyle name="_Radio scenarios SWCM_Annex 27 Part 2 Prices 01092010 linking CS 2" xfId="2376" xr:uid="{00000000-0005-0000-0000-00005F110000}"/>
    <cellStyle name="_Radio scenarios SWCM_Annex 27 Part 2 Prices 01092010 VAS" xfId="2377" xr:uid="{00000000-0005-0000-0000-000060110000}"/>
    <cellStyle name="_Radio scenarios SWCM_Annex 27 Part 2 Prices 0913" xfId="2378" xr:uid="{00000000-0005-0000-0000-000061110000}"/>
    <cellStyle name="_Radio scenarios SWCM_Annex 27 Part 2 Prices 0914" xfId="2379" xr:uid="{00000000-0005-0000-0000-000062110000}"/>
    <cellStyle name="_Radio scenarios SWCM_Annex 27 Part 2 Prices-0919-10" xfId="2380" xr:uid="{00000000-0005-0000-0000-000063110000}"/>
    <cellStyle name="_Radio scenarios SWCM_Annex 27 Part 2 Prices-2010.09.17-V1.0" xfId="2381" xr:uid="{00000000-0005-0000-0000-000064110000}"/>
    <cellStyle name="_Radio scenarios SWCM_Discounts(Ran)" xfId="2382" xr:uid="{00000000-0005-0000-0000-000065110000}"/>
    <cellStyle name="_Radio scenarios SWCM_无线侧数量100912_崔静" xfId="2383" xr:uid="{00000000-0005-0000-0000-000066110000}"/>
    <cellStyle name="_RASYS????20051221?09?" xfId="2384" xr:uid="{00000000-0005-0000-0000-000067110000}"/>
    <cellStyle name="_RASYS????20051223(01)" xfId="2385" xr:uid="{00000000-0005-0000-0000-000068110000}"/>
    <cellStyle name="_RASYS????20051226(02)" xfId="2386" xr:uid="{00000000-0005-0000-0000-000069110000}"/>
    <cellStyle name="_RASYS报价模板20051221（09）" xfId="2387" xr:uid="{00000000-0005-0000-0000-00006A110000}"/>
    <cellStyle name="_RASYS报价模板20051223(01)" xfId="2388" xr:uid="{00000000-0005-0000-0000-00006B110000}"/>
    <cellStyle name="_RASYS报价模板20051226(02)" xfId="2389" xr:uid="{00000000-0005-0000-0000-00006C110000}"/>
    <cellStyle name="_result HWS-1485 DNK Uni-C HiT7300 - rollout" xfId="2390" xr:uid="{00000000-0005-0000-0000-00006D110000}"/>
    <cellStyle name="_result HWS-1485 DNK Uni-C HiT7300 - rollout 2" xfId="2391" xr:uid="{00000000-0005-0000-0000-00006E110000}"/>
    <cellStyle name="_result HWS-1485 DNK Uni-C HiT7300 - rollout 2_Discounts(Ran)" xfId="2392" xr:uid="{00000000-0005-0000-0000-00006F110000}"/>
    <cellStyle name="_result HWS-1485 DNK Uni-C HiT7300 - rollout 3" xfId="2393" xr:uid="{00000000-0005-0000-0000-000070110000}"/>
    <cellStyle name="_result HWS-1485 DNK Uni-C HiT7300 - rollout 4" xfId="2394" xr:uid="{00000000-0005-0000-0000-000071110000}"/>
    <cellStyle name="_result HWS-1485 DNK Uni-C HiT7300 - rollout_?????100912_??" xfId="2395" xr:uid="{00000000-0005-0000-0000-000072110000}"/>
    <cellStyle name="_result HWS-1485 DNK Uni-C HiT7300 - rollout_091028 HUA Annex 27 RAN Submission 7_correct_service" xfId="2396" xr:uid="{00000000-0005-0000-0000-000073110000}"/>
    <cellStyle name="_result HWS-1485 DNK Uni-C HiT7300 - rollout_20100406 Annex 27 RAN summary tables Excel 2003" xfId="2397" xr:uid="{00000000-0005-0000-0000-000074110000}"/>
    <cellStyle name="_result HWS-1485 DNK Uni-C HiT7300 - rollout_A27_Part 2_Price v2.1 20101007 with CS linking" xfId="2398" xr:uid="{00000000-0005-0000-0000-000075110000}"/>
    <cellStyle name="_result HWS-1485 DNK Uni-C HiT7300 - rollout_Annex 27 Part 2 Prices 01092010 linking CS" xfId="2399" xr:uid="{00000000-0005-0000-0000-000076110000}"/>
    <cellStyle name="_result HWS-1485 DNK Uni-C HiT7300 - rollout_Annex 27 Part 2 Prices 01092010 VAS" xfId="2400" xr:uid="{00000000-0005-0000-0000-000077110000}"/>
    <cellStyle name="_result HWS-1485 DNK Uni-C HiT7300 - rollout_Annex 27 Part 2 Prices 0913" xfId="2401" xr:uid="{00000000-0005-0000-0000-000078110000}"/>
    <cellStyle name="_result HWS-1485 DNK Uni-C HiT7300 - rollout_Annex 27 Part 2 Prices 0914" xfId="2402" xr:uid="{00000000-0005-0000-0000-000079110000}"/>
    <cellStyle name="_result HWS-1485 DNK Uni-C HiT7300 - rollout_Annex 27 Part 2 Prices-0919-10" xfId="2403" xr:uid="{00000000-0005-0000-0000-00007A110000}"/>
    <cellStyle name="_result HWS-1485 DNK Uni-C HiT7300 - rollout_Annex 27 Part 2 Prices-2010.09.17-V1.0" xfId="2404" xr:uid="{00000000-0005-0000-0000-00007B110000}"/>
    <cellStyle name="_result HWS-1485 DNK Uni-C HiT7300 - rollout_BoQ-Bill of Quantity" xfId="2405" xr:uid="{00000000-0005-0000-0000-00007C110000}"/>
    <cellStyle name="_result HWS-1485 DNK Uni-C HiT7300 - rollout_Discounts(Ran)" xfId="2406" xr:uid="{00000000-0005-0000-0000-00007D110000}"/>
    <cellStyle name="_result HWS-1485 DNK Uni-C HiT7300 - rollout_Optical" xfId="2407" xr:uid="{00000000-0005-0000-0000-00007E110000}"/>
    <cellStyle name="_result HWS-1485 DNK Uni-C HiT7300 - rollout_无线侧数量100912_崔静" xfId="2408" xr:uid="{00000000-0005-0000-0000-00007F110000}"/>
    <cellStyle name="_result RC HWS-0725_SWE_RRS-Calc_v14R3" xfId="2409" xr:uid="{00000000-0005-0000-0000-000080110000}"/>
    <cellStyle name="_result RC HWS-0725_SWE_RRS-Calc_v14R3_Discounts(Ran)" xfId="2410" xr:uid="{00000000-0005-0000-0000-000081110000}"/>
    <cellStyle name="_Revenue Input" xfId="2411" xr:uid="{00000000-0005-0000-0000-000082110000}"/>
    <cellStyle name="_Revenue Input 2" xfId="2412" xr:uid="{00000000-0005-0000-0000-000083110000}"/>
    <cellStyle name="_Revenue Input 2 2" xfId="2413" xr:uid="{00000000-0005-0000-0000-000084110000}"/>
    <cellStyle name="_Revenue Input 2 2 2" xfId="2414" xr:uid="{00000000-0005-0000-0000-000085110000}"/>
    <cellStyle name="_Revenue Input 2 3" xfId="2415" xr:uid="{00000000-0005-0000-0000-000086110000}"/>
    <cellStyle name="_Revenue Input 3" xfId="2416" xr:uid="{00000000-0005-0000-0000-000087110000}"/>
    <cellStyle name="_Revenue Input 3 2" xfId="2417" xr:uid="{00000000-0005-0000-0000-000088110000}"/>
    <cellStyle name="_Revenue Input 4" xfId="2418" xr:uid="{00000000-0005-0000-0000-000089110000}"/>
    <cellStyle name="_Revenue Input 4 2" xfId="2419" xr:uid="{00000000-0005-0000-0000-00008A110000}"/>
    <cellStyle name="_Revenue Input 5" xfId="2420" xr:uid="{00000000-0005-0000-0000-00008B110000}"/>
    <cellStyle name="_Revenue Input 5 2" xfId="2421" xr:uid="{00000000-0005-0000-0000-00008C110000}"/>
    <cellStyle name="_Revenue Input 6" xfId="2422" xr:uid="{00000000-0005-0000-0000-00008D110000}"/>
    <cellStyle name="_Revenue Input 6 2" xfId="2423" xr:uid="{00000000-0005-0000-0000-00008E110000}"/>
    <cellStyle name="_Revenue Input 7" xfId="2424" xr:uid="{00000000-0005-0000-0000-00008F110000}"/>
    <cellStyle name="_Revenue Input 7 2" xfId="2425" xr:uid="{00000000-0005-0000-0000-000090110000}"/>
    <cellStyle name="_Revenue Input 8" xfId="2426" xr:uid="{00000000-0005-0000-0000-000091110000}"/>
    <cellStyle name="_revenue trend" xfId="2427" xr:uid="{00000000-0005-0000-0000-000092110000}"/>
    <cellStyle name="_revenue trend 2" xfId="2428" xr:uid="{00000000-0005-0000-0000-000093110000}"/>
    <cellStyle name="_revenue trend 2 2" xfId="2429" xr:uid="{00000000-0005-0000-0000-000094110000}"/>
    <cellStyle name="_revenue trend 2 2 2" xfId="2430" xr:uid="{00000000-0005-0000-0000-000095110000}"/>
    <cellStyle name="_revenue trend 2 3" xfId="2431" xr:uid="{00000000-0005-0000-0000-000096110000}"/>
    <cellStyle name="_revenue trend 3" xfId="2432" xr:uid="{00000000-0005-0000-0000-000097110000}"/>
    <cellStyle name="_revenue trend 3 2" xfId="2433" xr:uid="{00000000-0005-0000-0000-000098110000}"/>
    <cellStyle name="_revenue trend 4" xfId="2434" xr:uid="{00000000-0005-0000-0000-000099110000}"/>
    <cellStyle name="_revenue trend 4 2" xfId="2435" xr:uid="{00000000-0005-0000-0000-00009A110000}"/>
    <cellStyle name="_revenue trend 5" xfId="2436" xr:uid="{00000000-0005-0000-0000-00009B110000}"/>
    <cellStyle name="_revenue trend 5 2" xfId="2437" xr:uid="{00000000-0005-0000-0000-00009C110000}"/>
    <cellStyle name="_revenue trend 6" xfId="2438" xr:uid="{00000000-0005-0000-0000-00009D110000}"/>
    <cellStyle name="_revenue trend 6 2" xfId="2439" xr:uid="{00000000-0005-0000-0000-00009E110000}"/>
    <cellStyle name="_revenue trend 7" xfId="2440" xr:uid="{00000000-0005-0000-0000-00009F110000}"/>
    <cellStyle name="_revenue trend 7 2" xfId="2441" xr:uid="{00000000-0005-0000-0000-0000A0110000}"/>
    <cellStyle name="_revenue trend 8" xfId="2442" xr:uid="{00000000-0005-0000-0000-0000A1110000}"/>
    <cellStyle name="_Service Quotation20080625 " xfId="2443" xr:uid="{00000000-0005-0000-0000-0000A2110000}"/>
    <cellStyle name="_Services_Bid_Directive_ver_4.4.0-2008-08-21" xfId="2444" xr:uid="{00000000-0005-0000-0000-0000A3110000}"/>
    <cellStyle name="_Services_Bid_Directive_ver_4.4.0-2008-08-21 2" xfId="2445" xr:uid="{00000000-0005-0000-0000-0000A4110000}"/>
    <cellStyle name="_Services_Bid_Directive_ver_4.4.0-2008-08-21 2 2" xfId="2446" xr:uid="{00000000-0005-0000-0000-0000A5110000}"/>
    <cellStyle name="_Services_Bid_Directive_ver_4.4.0-2008-08-21 3" xfId="2447" xr:uid="{00000000-0005-0000-0000-0000A6110000}"/>
    <cellStyle name="_Services_Bid_Directive_ver_4.4.0-2008-08-21_?????100912_??" xfId="2448" xr:uid="{00000000-0005-0000-0000-0000A7110000}"/>
    <cellStyle name="_Services_Bid_Directive_ver_4.4.0-2008-08-21_091028 HUA Annex 27 RAN Submission 7_correct_service" xfId="2449" xr:uid="{00000000-0005-0000-0000-0000A8110000}"/>
    <cellStyle name="_Services_Bid_Directive_ver_4.4.0-2008-08-21_20100406 Annex 27 RAN summary tables Excel 2003" xfId="2450" xr:uid="{00000000-0005-0000-0000-0000A9110000}"/>
    <cellStyle name="_Services_Bid_Directive_ver_4.4.0-2008-08-21_A27_Part 2_Price v2.1 20101007 with CS linking" xfId="2451" xr:uid="{00000000-0005-0000-0000-0000AA110000}"/>
    <cellStyle name="_Services_Bid_Directive_ver_4.4.0-2008-08-21_A27_Part 2_Price v2.1 20101007 with CS linking 2" xfId="2452" xr:uid="{00000000-0005-0000-0000-0000AB110000}"/>
    <cellStyle name="_Services_Bid_Directive_ver_4.4.0-2008-08-21_Annex 27 Part 2 Prices 01092010 linking CS" xfId="2453" xr:uid="{00000000-0005-0000-0000-0000AC110000}"/>
    <cellStyle name="_Services_Bid_Directive_ver_4.4.0-2008-08-21_Annex 27 Part 2 Prices 01092010 linking CS 2" xfId="2454" xr:uid="{00000000-0005-0000-0000-0000AD110000}"/>
    <cellStyle name="_Services_Bid_Directive_ver_4.4.0-2008-08-21_Annex 27 Part 2 Prices 01092010 VAS" xfId="2455" xr:uid="{00000000-0005-0000-0000-0000AE110000}"/>
    <cellStyle name="_Services_Bid_Directive_ver_4.4.0-2008-08-21_Annex 27 Part 2 Prices 0913" xfId="2456" xr:uid="{00000000-0005-0000-0000-0000AF110000}"/>
    <cellStyle name="_Services_Bid_Directive_ver_4.4.0-2008-08-21_Annex 27 Part 2 Prices 0914" xfId="2457" xr:uid="{00000000-0005-0000-0000-0000B0110000}"/>
    <cellStyle name="_Services_Bid_Directive_ver_4.4.0-2008-08-21_Annex 27 Part 2 Prices-0919-10" xfId="2458" xr:uid="{00000000-0005-0000-0000-0000B1110000}"/>
    <cellStyle name="_Services_Bid_Directive_ver_4.4.0-2008-08-21_Annex 27 Part 2 Prices-2010.09.17-V1.0" xfId="2459" xr:uid="{00000000-0005-0000-0000-0000B2110000}"/>
    <cellStyle name="_Services_Bid_Directive_ver_4.4.0-2008-08-21_Discounts(Ran)" xfId="2460" xr:uid="{00000000-0005-0000-0000-0000B3110000}"/>
    <cellStyle name="_Services_Bid_Directive_ver_4.4.0-2008-08-21_无线侧数量100912_崔静" xfId="2461" xr:uid="{00000000-0005-0000-0000-0000B4110000}"/>
    <cellStyle name="_SG7000" xfId="2462" xr:uid="{00000000-0005-0000-0000-0000B5110000}"/>
    <cellStyle name="_SG7000 2" xfId="2463" xr:uid="{00000000-0005-0000-0000-0000B6110000}"/>
    <cellStyle name="_SG7000 2 2" xfId="2464" xr:uid="{00000000-0005-0000-0000-0000B7110000}"/>
    <cellStyle name="_SG7000 3" xfId="2465" xr:uid="{00000000-0005-0000-0000-0000B8110000}"/>
    <cellStyle name="_Sheet1" xfId="2466" xr:uid="{00000000-0005-0000-0000-0000B9110000}"/>
    <cellStyle name="_Sheet1 (FC-2)" xfId="2467" xr:uid="{00000000-0005-0000-0000-0000BA110000}"/>
    <cellStyle name="_Sheet1 (FC-2) 2" xfId="2468" xr:uid="{00000000-0005-0000-0000-0000BB110000}"/>
    <cellStyle name="_Sheet1 (FC-2) 2 2" xfId="2469" xr:uid="{00000000-0005-0000-0000-0000BC110000}"/>
    <cellStyle name="_Sheet1 (FC-2) 2 2 2" xfId="2470" xr:uid="{00000000-0005-0000-0000-0000BD110000}"/>
    <cellStyle name="_Sheet1 (FC-2) 2 3" xfId="2471" xr:uid="{00000000-0005-0000-0000-0000BE110000}"/>
    <cellStyle name="_Sheet1 (FC-2) 3" xfId="2472" xr:uid="{00000000-0005-0000-0000-0000BF110000}"/>
    <cellStyle name="_Sheet1 (FC-2) 3 2" xfId="2473" xr:uid="{00000000-0005-0000-0000-0000C0110000}"/>
    <cellStyle name="_Sheet1 (FC-2) 4" xfId="2474" xr:uid="{00000000-0005-0000-0000-0000C1110000}"/>
    <cellStyle name="_Sheet1 (FC-2) 4 2" xfId="2475" xr:uid="{00000000-0005-0000-0000-0000C2110000}"/>
    <cellStyle name="_Sheet1 (FC-2) 5" xfId="2476" xr:uid="{00000000-0005-0000-0000-0000C3110000}"/>
    <cellStyle name="_Sheet1 (FC-2) 5 2" xfId="2477" xr:uid="{00000000-0005-0000-0000-0000C4110000}"/>
    <cellStyle name="_Sheet1 (FC-2) 6" xfId="2478" xr:uid="{00000000-0005-0000-0000-0000C5110000}"/>
    <cellStyle name="_Sheet1 (FC-2) 6 2" xfId="2479" xr:uid="{00000000-0005-0000-0000-0000C6110000}"/>
    <cellStyle name="_Sheet1 (FC-2) 7" xfId="2480" xr:uid="{00000000-0005-0000-0000-0000C7110000}"/>
    <cellStyle name="_Sheet1 (FC-2) 7 2" xfId="2481" xr:uid="{00000000-0005-0000-0000-0000C8110000}"/>
    <cellStyle name="_Sheet1 (FC-2) 8" xfId="2482" xr:uid="{00000000-0005-0000-0000-0000C9110000}"/>
    <cellStyle name="_Sheet1 (FC-3)" xfId="2483" xr:uid="{00000000-0005-0000-0000-0000CA110000}"/>
    <cellStyle name="_Sheet1 (FC-3) 2" xfId="2484" xr:uid="{00000000-0005-0000-0000-0000CB110000}"/>
    <cellStyle name="_Sheet1 (FC-3) 2 2" xfId="2485" xr:uid="{00000000-0005-0000-0000-0000CC110000}"/>
    <cellStyle name="_Sheet1 (FC-3) 2 2 2" xfId="2486" xr:uid="{00000000-0005-0000-0000-0000CD110000}"/>
    <cellStyle name="_Sheet1 (FC-3) 2 3" xfId="2487" xr:uid="{00000000-0005-0000-0000-0000CE110000}"/>
    <cellStyle name="_Sheet1 (FC-3) 3" xfId="2488" xr:uid="{00000000-0005-0000-0000-0000CF110000}"/>
    <cellStyle name="_Sheet1 (FC-3) 3 2" xfId="2489" xr:uid="{00000000-0005-0000-0000-0000D0110000}"/>
    <cellStyle name="_Sheet1 (FC-3) 4" xfId="2490" xr:uid="{00000000-0005-0000-0000-0000D1110000}"/>
    <cellStyle name="_Sheet1 (FC-3) 4 2" xfId="2491" xr:uid="{00000000-0005-0000-0000-0000D2110000}"/>
    <cellStyle name="_Sheet1 (FC-3) 5" xfId="2492" xr:uid="{00000000-0005-0000-0000-0000D3110000}"/>
    <cellStyle name="_Sheet1 (FC-3) 5 2" xfId="2493" xr:uid="{00000000-0005-0000-0000-0000D4110000}"/>
    <cellStyle name="_Sheet1 (FC-3) 6" xfId="2494" xr:uid="{00000000-0005-0000-0000-0000D5110000}"/>
    <cellStyle name="_Sheet1 (FC-3) 6 2" xfId="2495" xr:uid="{00000000-0005-0000-0000-0000D6110000}"/>
    <cellStyle name="_Sheet1 (FC-3) 7" xfId="2496" xr:uid="{00000000-0005-0000-0000-0000D7110000}"/>
    <cellStyle name="_Sheet1 (FC-3) 7 2" xfId="2497" xr:uid="{00000000-0005-0000-0000-0000D8110000}"/>
    <cellStyle name="_Sheet1 (FC-3) 8" xfId="2498" xr:uid="{00000000-0005-0000-0000-0000D9110000}"/>
    <cellStyle name="_Sheet1 10" xfId="2499" xr:uid="{00000000-0005-0000-0000-0000DA110000}"/>
    <cellStyle name="_Sheet1 2" xfId="2500" xr:uid="{00000000-0005-0000-0000-0000DB110000}"/>
    <cellStyle name="_Sheet1 2 2" xfId="2501" xr:uid="{00000000-0005-0000-0000-0000DC110000}"/>
    <cellStyle name="_Sheet1 2 2 2" xfId="2502" xr:uid="{00000000-0005-0000-0000-0000DD110000}"/>
    <cellStyle name="_Sheet1 2 3" xfId="2503" xr:uid="{00000000-0005-0000-0000-0000DE110000}"/>
    <cellStyle name="_Sheet1 3" xfId="2504" xr:uid="{00000000-0005-0000-0000-0000DF110000}"/>
    <cellStyle name="_Sheet1 3 2" xfId="2505" xr:uid="{00000000-0005-0000-0000-0000E0110000}"/>
    <cellStyle name="_Sheet1 3 2 2" xfId="2506" xr:uid="{00000000-0005-0000-0000-0000E1110000}"/>
    <cellStyle name="_Sheet1 3 3" xfId="2507" xr:uid="{00000000-0005-0000-0000-0000E2110000}"/>
    <cellStyle name="_Sheet1 4" xfId="2508" xr:uid="{00000000-0005-0000-0000-0000E3110000}"/>
    <cellStyle name="_Sheet1 4 2" xfId="2509" xr:uid="{00000000-0005-0000-0000-0000E4110000}"/>
    <cellStyle name="_Sheet1 4 2 2" xfId="2510" xr:uid="{00000000-0005-0000-0000-0000E5110000}"/>
    <cellStyle name="_Sheet1 4 3" xfId="2511" xr:uid="{00000000-0005-0000-0000-0000E6110000}"/>
    <cellStyle name="_Sheet1 5" xfId="2512" xr:uid="{00000000-0005-0000-0000-0000E7110000}"/>
    <cellStyle name="_Sheet1 5 2" xfId="2513" xr:uid="{00000000-0005-0000-0000-0000E8110000}"/>
    <cellStyle name="_Sheet1 5 2 2" xfId="2514" xr:uid="{00000000-0005-0000-0000-0000E9110000}"/>
    <cellStyle name="_Sheet1 5 3" xfId="2515" xr:uid="{00000000-0005-0000-0000-0000EA110000}"/>
    <cellStyle name="_Sheet1 6" xfId="2516" xr:uid="{00000000-0005-0000-0000-0000EB110000}"/>
    <cellStyle name="_Sheet1 6 2" xfId="2517" xr:uid="{00000000-0005-0000-0000-0000EC110000}"/>
    <cellStyle name="_Sheet1 7" xfId="2518" xr:uid="{00000000-0005-0000-0000-0000ED110000}"/>
    <cellStyle name="_Sheet1 7 2" xfId="2519" xr:uid="{00000000-0005-0000-0000-0000EE110000}"/>
    <cellStyle name="_Sheet1 8" xfId="2520" xr:uid="{00000000-0005-0000-0000-0000EF110000}"/>
    <cellStyle name="_Sheet1 8 2" xfId="2521" xr:uid="{00000000-0005-0000-0000-0000F0110000}"/>
    <cellStyle name="_Sheet1 9" xfId="2522" xr:uid="{00000000-0005-0000-0000-0000F1110000}"/>
    <cellStyle name="_Sheet1 9 2" xfId="2523" xr:uid="{00000000-0005-0000-0000-0000F2110000}"/>
    <cellStyle name="_Sheet1_1" xfId="2524" xr:uid="{00000000-0005-0000-0000-0000F3110000}"/>
    <cellStyle name="_Sheet1_1 2" xfId="2525" xr:uid="{00000000-0005-0000-0000-0000F4110000}"/>
    <cellStyle name="_Sheet1_1 2 2" xfId="2526" xr:uid="{00000000-0005-0000-0000-0000F5110000}"/>
    <cellStyle name="_Sheet1_1 2 2 2" xfId="2527" xr:uid="{00000000-0005-0000-0000-0000F6110000}"/>
    <cellStyle name="_Sheet1_1 2 3" xfId="2528" xr:uid="{00000000-0005-0000-0000-0000F7110000}"/>
    <cellStyle name="_Sheet1_1 3" xfId="2529" xr:uid="{00000000-0005-0000-0000-0000F8110000}"/>
    <cellStyle name="_Sheet1_1 3 2" xfId="2530" xr:uid="{00000000-0005-0000-0000-0000F9110000}"/>
    <cellStyle name="_Sheet1_1 3 2 2" xfId="2531" xr:uid="{00000000-0005-0000-0000-0000FA110000}"/>
    <cellStyle name="_Sheet1_1 3 3" xfId="2532" xr:uid="{00000000-0005-0000-0000-0000FB110000}"/>
    <cellStyle name="_Sheet1_1 4" xfId="2533" xr:uid="{00000000-0005-0000-0000-0000FC110000}"/>
    <cellStyle name="_Sheet1_1 4 2" xfId="2534" xr:uid="{00000000-0005-0000-0000-0000FD110000}"/>
    <cellStyle name="_Sheet1_1 5" xfId="2535" xr:uid="{00000000-0005-0000-0000-0000FE110000}"/>
    <cellStyle name="_Sheet1_2" xfId="2536" xr:uid="{00000000-0005-0000-0000-0000FF110000}"/>
    <cellStyle name="_Sheet1_2 2" xfId="2537" xr:uid="{00000000-0005-0000-0000-000000120000}"/>
    <cellStyle name="_Sheet1_2 2 2" xfId="2538" xr:uid="{00000000-0005-0000-0000-000001120000}"/>
    <cellStyle name="_Sheet1_2 3" xfId="2539" xr:uid="{00000000-0005-0000-0000-000002120000}"/>
    <cellStyle name="_Sheet1_3" xfId="2540" xr:uid="{00000000-0005-0000-0000-000003120000}"/>
    <cellStyle name="_Sheet1_3 2" xfId="2541" xr:uid="{00000000-0005-0000-0000-000004120000}"/>
    <cellStyle name="_Sheet1_3 2 2" xfId="2542" xr:uid="{00000000-0005-0000-0000-000005120000}"/>
    <cellStyle name="_Sheet1_3 2 2 2" xfId="2543" xr:uid="{00000000-0005-0000-0000-000006120000}"/>
    <cellStyle name="_Sheet1_3 2 3" xfId="2544" xr:uid="{00000000-0005-0000-0000-000007120000}"/>
    <cellStyle name="_Sheet1_3 3" xfId="2545" xr:uid="{00000000-0005-0000-0000-000008120000}"/>
    <cellStyle name="_Sheet1_3 4" xfId="2546" xr:uid="{00000000-0005-0000-0000-000009120000}"/>
    <cellStyle name="_Sheet1_Book3" xfId="2547" xr:uid="{00000000-0005-0000-0000-00000A120000}"/>
    <cellStyle name="_Sheet1_Book3 2" xfId="2548" xr:uid="{00000000-0005-0000-0000-00000B120000}"/>
    <cellStyle name="_Sheet1_Core &amp;Sub base" xfId="2549" xr:uid="{00000000-0005-0000-0000-00000C120000}"/>
    <cellStyle name="_Sheet1_Core &amp;Sub base 2" xfId="2550" xr:uid="{00000000-0005-0000-0000-00000D120000}"/>
    <cellStyle name="_Sheet1_FC03'-9 Option 1" xfId="2551" xr:uid="{00000000-0005-0000-0000-00000E120000}"/>
    <cellStyle name="_Sheet1_FC03'-9 Option 1 2" xfId="2552" xr:uid="{00000000-0005-0000-0000-00000F120000}"/>
    <cellStyle name="_Sheet1_FC03'-9 Option 1 2 2" xfId="2553" xr:uid="{00000000-0005-0000-0000-000010120000}"/>
    <cellStyle name="_Sheet1_FC03'-9 Option 1 3" xfId="2554" xr:uid="{00000000-0005-0000-0000-000011120000}"/>
    <cellStyle name="_Sheet1_FC2 Rev" xfId="2555" xr:uid="{00000000-0005-0000-0000-000012120000}"/>
    <cellStyle name="_Sheet1_FC2 Rev 2" xfId="2556" xr:uid="{00000000-0005-0000-0000-000013120000}"/>
    <cellStyle name="_Sheet1_FC2 Rev 2 2" xfId="2557" xr:uid="{00000000-0005-0000-0000-000014120000}"/>
    <cellStyle name="_Sheet1_FC2 Rev 3" xfId="2558" xr:uid="{00000000-0005-0000-0000-000015120000}"/>
    <cellStyle name="_Sheet1_Feedback to Finance    v1" xfId="2559" xr:uid="{00000000-0005-0000-0000-000016120000}"/>
    <cellStyle name="_Sheet1_Feedback to Finance    v1 2" xfId="2560" xr:uid="{00000000-0005-0000-0000-000017120000}"/>
    <cellStyle name="_Sheet1_Feedback to Finance (2)" xfId="2561" xr:uid="{00000000-0005-0000-0000-000018120000}"/>
    <cellStyle name="_Sheet1_Feedback to Finance (2) 2" xfId="2562" xr:uid="{00000000-0005-0000-0000-000019120000}"/>
    <cellStyle name="_Sheet1_Other Capex- Q1'10(v4)" xfId="2563" xr:uid="{00000000-0005-0000-0000-00001A120000}"/>
    <cellStyle name="_Sheet1_Other Capex- Q1'10(v4) 2" xfId="2564" xr:uid="{00000000-0005-0000-0000-00001B120000}"/>
    <cellStyle name="_Sheet1_Service Quotation for PTCL USF Dadu 20081121" xfId="2565" xr:uid="{00000000-0005-0000-0000-00001C120000}"/>
    <cellStyle name="_Sheet1_Sheet2" xfId="2566" xr:uid="{00000000-0005-0000-0000-00001D120000}"/>
    <cellStyle name="_Sheet1_Sheet2 2" xfId="2567" xr:uid="{00000000-0005-0000-0000-00001E120000}"/>
    <cellStyle name="_Sheet1_Sheet2 2 2" xfId="2568" xr:uid="{00000000-0005-0000-0000-00001F120000}"/>
    <cellStyle name="_Sheet1_Sheet2 3" xfId="2569" xr:uid="{00000000-0005-0000-0000-000020120000}"/>
    <cellStyle name="_Sheet1_Sheet3" xfId="2570" xr:uid="{00000000-0005-0000-0000-000021120000}"/>
    <cellStyle name="_Sheet1_Sheet3 2" xfId="2571" xr:uid="{00000000-0005-0000-0000-000022120000}"/>
    <cellStyle name="_Sheet1_Sheet3 2 2" xfId="2572" xr:uid="{00000000-0005-0000-0000-000023120000}"/>
    <cellStyle name="_Sheet1_Sheet3 3" xfId="2573" xr:uid="{00000000-0005-0000-0000-000024120000}"/>
    <cellStyle name="_Sheet1_Summary" xfId="2574" xr:uid="{00000000-0005-0000-0000-000025120000}"/>
    <cellStyle name="_Sheet1_Summary - Option 2~4" xfId="2575" xr:uid="{00000000-0005-0000-0000-000026120000}"/>
    <cellStyle name="_Sheet1_Summary - Option 2~4 2" xfId="2576" xr:uid="{00000000-0005-0000-0000-000027120000}"/>
    <cellStyle name="_Sheet1_Summary - Option 2~4 2 2" xfId="2577" xr:uid="{00000000-0005-0000-0000-000028120000}"/>
    <cellStyle name="_Sheet1_Summary - Option 2~4 3" xfId="2578" xr:uid="{00000000-0005-0000-0000-000029120000}"/>
    <cellStyle name="_Sheet1_Summary 2" xfId="2579" xr:uid="{00000000-0005-0000-0000-00002A120000}"/>
    <cellStyle name="_Sheet1_Summary 2 2" xfId="2580" xr:uid="{00000000-0005-0000-0000-00002B120000}"/>
    <cellStyle name="_Sheet1_Summary 3" xfId="2581" xr:uid="{00000000-0005-0000-0000-00002C120000}"/>
    <cellStyle name="_Sheet1_Summary 3 2" xfId="2582" xr:uid="{00000000-0005-0000-0000-00002D120000}"/>
    <cellStyle name="_Sheet1_Summary 4" xfId="2583" xr:uid="{00000000-0005-0000-0000-00002E120000}"/>
    <cellStyle name="_Sheet1_W_29" xfId="2584" xr:uid="{00000000-0005-0000-0000-00002F120000}"/>
    <cellStyle name="_Sheet1_W_29 2" xfId="2585" xr:uid="{00000000-0005-0000-0000-000030120000}"/>
    <cellStyle name="_Sheet1_W_29 2 2" xfId="2586" xr:uid="{00000000-0005-0000-0000-000031120000}"/>
    <cellStyle name="_Sheet1_W_29 2 2 2" xfId="2587" xr:uid="{00000000-0005-0000-0000-000032120000}"/>
    <cellStyle name="_Sheet1_W_29 2 3" xfId="2588" xr:uid="{00000000-0005-0000-0000-000033120000}"/>
    <cellStyle name="_Sheet1_W_29 3" xfId="2589" xr:uid="{00000000-0005-0000-0000-000034120000}"/>
    <cellStyle name="_Sheet1_W_29 3 2" xfId="2590" xr:uid="{00000000-0005-0000-0000-000035120000}"/>
    <cellStyle name="_Sheet1_W_29 3 2 2" xfId="2591" xr:uid="{00000000-0005-0000-0000-000036120000}"/>
    <cellStyle name="_Sheet1_W_29 3 3" xfId="2592" xr:uid="{00000000-0005-0000-0000-000037120000}"/>
    <cellStyle name="_Sheet1_W_29 4" xfId="2593" xr:uid="{00000000-0005-0000-0000-000038120000}"/>
    <cellStyle name="_Sheet1_W_29 4 2" xfId="2594" xr:uid="{00000000-0005-0000-0000-000039120000}"/>
    <cellStyle name="_Sheet1_W_29 5" xfId="2595" xr:uid="{00000000-0005-0000-0000-00003A120000}"/>
    <cellStyle name="_Sheet1_W_30" xfId="2596" xr:uid="{00000000-0005-0000-0000-00003B120000}"/>
    <cellStyle name="_Sheet1_W_30 2" xfId="2597" xr:uid="{00000000-0005-0000-0000-00003C120000}"/>
    <cellStyle name="_Sheet1_W_30 2 2" xfId="2598" xr:uid="{00000000-0005-0000-0000-00003D120000}"/>
    <cellStyle name="_Sheet1_W_30 2 2 2" xfId="2599" xr:uid="{00000000-0005-0000-0000-00003E120000}"/>
    <cellStyle name="_Sheet1_W_30 2 3" xfId="2600" xr:uid="{00000000-0005-0000-0000-00003F120000}"/>
    <cellStyle name="_Sheet1_W_30 3" xfId="2601" xr:uid="{00000000-0005-0000-0000-000040120000}"/>
    <cellStyle name="_Sheet1_W_30 3 2" xfId="2602" xr:uid="{00000000-0005-0000-0000-000041120000}"/>
    <cellStyle name="_Sheet1_W_30 3 2 2" xfId="2603" xr:uid="{00000000-0005-0000-0000-000042120000}"/>
    <cellStyle name="_Sheet1_W_30 3 3" xfId="2604" xr:uid="{00000000-0005-0000-0000-000043120000}"/>
    <cellStyle name="_Sheet1_W_30 4" xfId="2605" xr:uid="{00000000-0005-0000-0000-000044120000}"/>
    <cellStyle name="_Sheet1_W_30 4 2" xfId="2606" xr:uid="{00000000-0005-0000-0000-000045120000}"/>
    <cellStyle name="_Sheet1_W_30 5" xfId="2607" xr:uid="{00000000-0005-0000-0000-000046120000}"/>
    <cellStyle name="_Sheet1_Zone Definition" xfId="2608" xr:uid="{00000000-0005-0000-0000-000047120000}"/>
    <cellStyle name="_Sheet1_Zone Definition 2" xfId="2609" xr:uid="{00000000-0005-0000-0000-000048120000}"/>
    <cellStyle name="_Sheet2" xfId="2610" xr:uid="{00000000-0005-0000-0000-000049120000}"/>
    <cellStyle name="_Sheet2 2" xfId="2611" xr:uid="{00000000-0005-0000-0000-00004A120000}"/>
    <cellStyle name="_Sheet2 2 2" xfId="2612" xr:uid="{00000000-0005-0000-0000-00004B120000}"/>
    <cellStyle name="_Sheet2 2 2 2" xfId="2613" xr:uid="{00000000-0005-0000-0000-00004C120000}"/>
    <cellStyle name="_Sheet2 2 3" xfId="2614" xr:uid="{00000000-0005-0000-0000-00004D120000}"/>
    <cellStyle name="_Sheet2 3" xfId="2615" xr:uid="{00000000-0005-0000-0000-00004E120000}"/>
    <cellStyle name="_Sheet2 3 2" xfId="2616" xr:uid="{00000000-0005-0000-0000-00004F120000}"/>
    <cellStyle name="_Sheet2 3 2 2" xfId="2617" xr:uid="{00000000-0005-0000-0000-000050120000}"/>
    <cellStyle name="_Sheet2 3 3" xfId="2618" xr:uid="{00000000-0005-0000-0000-000051120000}"/>
    <cellStyle name="_Sheet2 4" xfId="2619" xr:uid="{00000000-0005-0000-0000-000052120000}"/>
    <cellStyle name="_Sheet2 4 2" xfId="2620" xr:uid="{00000000-0005-0000-0000-000053120000}"/>
    <cellStyle name="_Sheet2 5" xfId="2621" xr:uid="{00000000-0005-0000-0000-000054120000}"/>
    <cellStyle name="_Sheet2 5 2" xfId="2622" xr:uid="{00000000-0005-0000-0000-000055120000}"/>
    <cellStyle name="_Sheet2 6" xfId="2623" xr:uid="{00000000-0005-0000-0000-000056120000}"/>
    <cellStyle name="_Sheet2 6 2" xfId="2624" xr:uid="{00000000-0005-0000-0000-000057120000}"/>
    <cellStyle name="_Sheet2 7" xfId="2625" xr:uid="{00000000-0005-0000-0000-000058120000}"/>
    <cellStyle name="_Sheet2 7 2" xfId="2626" xr:uid="{00000000-0005-0000-0000-000059120000}"/>
    <cellStyle name="_Sheet2 8" xfId="2627" xr:uid="{00000000-0005-0000-0000-00005A120000}"/>
    <cellStyle name="_Sheet2_1" xfId="2628" xr:uid="{00000000-0005-0000-0000-00005B120000}"/>
    <cellStyle name="_Sheet2_1 2" xfId="2629" xr:uid="{00000000-0005-0000-0000-00005C120000}"/>
    <cellStyle name="_Sheet2_1 2 2" xfId="2630" xr:uid="{00000000-0005-0000-0000-00005D120000}"/>
    <cellStyle name="_Sheet2_1 2 2 2" xfId="2631" xr:uid="{00000000-0005-0000-0000-00005E120000}"/>
    <cellStyle name="_Sheet2_1 2 3" xfId="2632" xr:uid="{00000000-0005-0000-0000-00005F120000}"/>
    <cellStyle name="_Sheet2_1 3" xfId="2633" xr:uid="{00000000-0005-0000-0000-000060120000}"/>
    <cellStyle name="_Sheet2_1 3 2" xfId="2634" xr:uid="{00000000-0005-0000-0000-000061120000}"/>
    <cellStyle name="_Sheet2_1 3 2 2" xfId="2635" xr:uid="{00000000-0005-0000-0000-000062120000}"/>
    <cellStyle name="_Sheet2_1 3 3" xfId="2636" xr:uid="{00000000-0005-0000-0000-000063120000}"/>
    <cellStyle name="_Sheet2_1 4" xfId="2637" xr:uid="{00000000-0005-0000-0000-000064120000}"/>
    <cellStyle name="_Sheet2_1 4 2" xfId="2638" xr:uid="{00000000-0005-0000-0000-000065120000}"/>
    <cellStyle name="_Sheet2_1 5" xfId="2639" xr:uid="{00000000-0005-0000-0000-000066120000}"/>
    <cellStyle name="_Sheet2_1_2009 Details Plan" xfId="2640" xr:uid="{00000000-0005-0000-0000-000067120000}"/>
    <cellStyle name="_Sheet2_1_2009 Details Plan 2" xfId="2641" xr:uid="{00000000-0005-0000-0000-000068120000}"/>
    <cellStyle name="_Sheet2_1_2009 Details Plan 2 2" xfId="2642" xr:uid="{00000000-0005-0000-0000-000069120000}"/>
    <cellStyle name="_Sheet2_1_2009 Details Plan 3" xfId="2643" xr:uid="{00000000-0005-0000-0000-00006A120000}"/>
    <cellStyle name="_Sheet2_1_2010 Budget with options 300609_V3" xfId="2644" xr:uid="{00000000-0005-0000-0000-00006B120000}"/>
    <cellStyle name="_Sheet2_1_2010 Budget with options 300609_V3 2" xfId="2645" xr:uid="{00000000-0005-0000-0000-00006C120000}"/>
    <cellStyle name="_Sheet2_1_2010 Budget with options 300609_V3 2 2" xfId="2646" xr:uid="{00000000-0005-0000-0000-00006D120000}"/>
    <cellStyle name="_Sheet2_1_2010 Budget with options 300609_V3 3" xfId="2647" xr:uid="{00000000-0005-0000-0000-00006E120000}"/>
    <cellStyle name="_Sheet2_1_Executive Summary" xfId="2648" xr:uid="{00000000-0005-0000-0000-00006F120000}"/>
    <cellStyle name="_Sheet2_1_Executive Summary 2" xfId="2649" xr:uid="{00000000-0005-0000-0000-000070120000}"/>
    <cellStyle name="_Sheet2_1_Executive Summary 2 2" xfId="2650" xr:uid="{00000000-0005-0000-0000-000071120000}"/>
    <cellStyle name="_Sheet2_1_Executive Summary 3" xfId="2651" xr:uid="{00000000-0005-0000-0000-000072120000}"/>
    <cellStyle name="_Sheet2_1_Sheet1" xfId="2652" xr:uid="{00000000-0005-0000-0000-000073120000}"/>
    <cellStyle name="_Sheet2_1_Sheet1 2" xfId="2653" xr:uid="{00000000-0005-0000-0000-000074120000}"/>
    <cellStyle name="_Sheet2_1_Sheet1 2 2" xfId="2654" xr:uid="{00000000-0005-0000-0000-000075120000}"/>
    <cellStyle name="_Sheet2_1_Sheet1 2 2 2" xfId="2655" xr:uid="{00000000-0005-0000-0000-000076120000}"/>
    <cellStyle name="_Sheet2_1_Sheet1 2 3" xfId="2656" xr:uid="{00000000-0005-0000-0000-000077120000}"/>
    <cellStyle name="_Sheet2_1_Sheet1 3" xfId="2657" xr:uid="{00000000-0005-0000-0000-000078120000}"/>
    <cellStyle name="_Sheet2_1_Sheet1 3 2" xfId="2658" xr:uid="{00000000-0005-0000-0000-000079120000}"/>
    <cellStyle name="_Sheet2_1_Sheet1 3 2 2" xfId="2659" xr:uid="{00000000-0005-0000-0000-00007A120000}"/>
    <cellStyle name="_Sheet2_1_Sheet1 3 3" xfId="2660" xr:uid="{00000000-0005-0000-0000-00007B120000}"/>
    <cellStyle name="_Sheet2_1_Sheet1 4" xfId="2661" xr:uid="{00000000-0005-0000-0000-00007C120000}"/>
    <cellStyle name="_Sheet2_1_Sheet1 4 2" xfId="2662" xr:uid="{00000000-0005-0000-0000-00007D120000}"/>
    <cellStyle name="_Sheet2_1_Sheet1 5" xfId="2663" xr:uid="{00000000-0005-0000-0000-00007E120000}"/>
    <cellStyle name="_Sheet2_1_Sheet1_1" xfId="2664" xr:uid="{00000000-0005-0000-0000-00007F120000}"/>
    <cellStyle name="_Sheet2_1_Sheet1_1 2" xfId="2665" xr:uid="{00000000-0005-0000-0000-000080120000}"/>
    <cellStyle name="_Sheet2_1_Sheet1_1 2 2" xfId="2666" xr:uid="{00000000-0005-0000-0000-000081120000}"/>
    <cellStyle name="_Sheet2_1_Sheet1_1 3" xfId="2667" xr:uid="{00000000-0005-0000-0000-000082120000}"/>
    <cellStyle name="_Sheet2_1_Sheet3" xfId="2668" xr:uid="{00000000-0005-0000-0000-000083120000}"/>
    <cellStyle name="_Sheet2_1_Sheet3 2" xfId="2669" xr:uid="{00000000-0005-0000-0000-000084120000}"/>
    <cellStyle name="_Sheet2_1_Sheet3 2 2" xfId="2670" xr:uid="{00000000-0005-0000-0000-000085120000}"/>
    <cellStyle name="_Sheet2_1_Sheet3 3" xfId="2671" xr:uid="{00000000-0005-0000-0000-000086120000}"/>
    <cellStyle name="_Sheet2_1_Sheet3 3 2" xfId="2672" xr:uid="{00000000-0005-0000-0000-000087120000}"/>
    <cellStyle name="_Sheet2_1_Sheet3 4" xfId="2673" xr:uid="{00000000-0005-0000-0000-000088120000}"/>
    <cellStyle name="_Sheet2_1_Sheet3_Summary" xfId="2674" xr:uid="{00000000-0005-0000-0000-000089120000}"/>
    <cellStyle name="_Sheet2_1_Sheet3_Summary 2" xfId="2675" xr:uid="{00000000-0005-0000-0000-00008A120000}"/>
    <cellStyle name="_Sheet2_1_Sheet3_Summary 2 2" xfId="2676" xr:uid="{00000000-0005-0000-0000-00008B120000}"/>
    <cellStyle name="_Sheet2_1_Sheet3_Summary 3" xfId="2677" xr:uid="{00000000-0005-0000-0000-00008C120000}"/>
    <cellStyle name="_Sheet2_1_Sheet4" xfId="2678" xr:uid="{00000000-0005-0000-0000-00008D120000}"/>
    <cellStyle name="_Sheet2_1_Sheet4 2" xfId="2679" xr:uid="{00000000-0005-0000-0000-00008E120000}"/>
    <cellStyle name="_Sheet2_1_Sheet4 2 2" xfId="2680" xr:uid="{00000000-0005-0000-0000-00008F120000}"/>
    <cellStyle name="_Sheet2_1_Sheet4 2 2 2" xfId="2681" xr:uid="{00000000-0005-0000-0000-000090120000}"/>
    <cellStyle name="_Sheet2_1_Sheet4 2 3" xfId="2682" xr:uid="{00000000-0005-0000-0000-000091120000}"/>
    <cellStyle name="_Sheet2_1_Sheet4 3" xfId="2683" xr:uid="{00000000-0005-0000-0000-000092120000}"/>
    <cellStyle name="_Sheet2_1_Sheet4 3 2" xfId="2684" xr:uid="{00000000-0005-0000-0000-000093120000}"/>
    <cellStyle name="_Sheet2_1_Sheet4 3 2 2" xfId="2685" xr:uid="{00000000-0005-0000-0000-000094120000}"/>
    <cellStyle name="_Sheet2_1_Sheet4 3 3" xfId="2686" xr:uid="{00000000-0005-0000-0000-000095120000}"/>
    <cellStyle name="_Sheet2_1_Sheet4 4" xfId="2687" xr:uid="{00000000-0005-0000-0000-000096120000}"/>
    <cellStyle name="_Sheet2_1_Sheet4 4 2" xfId="2688" xr:uid="{00000000-0005-0000-0000-000097120000}"/>
    <cellStyle name="_Sheet2_1_Sheet4 5" xfId="2689" xr:uid="{00000000-0005-0000-0000-000098120000}"/>
    <cellStyle name="_Sheet2_1_Summary" xfId="2690" xr:uid="{00000000-0005-0000-0000-000099120000}"/>
    <cellStyle name="_Sheet2_1_Summary 2" xfId="2691" xr:uid="{00000000-0005-0000-0000-00009A120000}"/>
    <cellStyle name="_Sheet2_1_Summary 2 2" xfId="2692" xr:uid="{00000000-0005-0000-0000-00009B120000}"/>
    <cellStyle name="_Sheet2_1_Summary 3" xfId="2693" xr:uid="{00000000-0005-0000-0000-00009C120000}"/>
    <cellStyle name="_Sheet2_2" xfId="2694" xr:uid="{00000000-0005-0000-0000-00009D120000}"/>
    <cellStyle name="_Sheet2_2 2" xfId="2695" xr:uid="{00000000-0005-0000-0000-00009E120000}"/>
    <cellStyle name="_Sheet2_2 2 2" xfId="2696" xr:uid="{00000000-0005-0000-0000-00009F120000}"/>
    <cellStyle name="_Sheet2_2 3" xfId="2697" xr:uid="{00000000-0005-0000-0000-0000A0120000}"/>
    <cellStyle name="_Sheet2_2_2009 Details Plan" xfId="2698" xr:uid="{00000000-0005-0000-0000-0000A1120000}"/>
    <cellStyle name="_Sheet2_2_2009 Details Plan 2" xfId="2699" xr:uid="{00000000-0005-0000-0000-0000A2120000}"/>
    <cellStyle name="_Sheet2_2_2009 Details Plan 2 2" xfId="2700" xr:uid="{00000000-0005-0000-0000-0000A3120000}"/>
    <cellStyle name="_Sheet2_2_2009 Details Plan 3" xfId="2701" xr:uid="{00000000-0005-0000-0000-0000A4120000}"/>
    <cellStyle name="_Sheet2_2_2010 Budget with options 300609_V3" xfId="2702" xr:uid="{00000000-0005-0000-0000-0000A5120000}"/>
    <cellStyle name="_Sheet2_2_2010 Budget with options 300609_V3 2" xfId="2703" xr:uid="{00000000-0005-0000-0000-0000A6120000}"/>
    <cellStyle name="_Sheet2_2_2010 Budget with options 300609_V3 2 2" xfId="2704" xr:uid="{00000000-0005-0000-0000-0000A7120000}"/>
    <cellStyle name="_Sheet2_2_2010 Budget with options 300609_V3 3" xfId="2705" xr:uid="{00000000-0005-0000-0000-0000A8120000}"/>
    <cellStyle name="_Sheet2_2_Executive Summary" xfId="2706" xr:uid="{00000000-0005-0000-0000-0000A9120000}"/>
    <cellStyle name="_Sheet2_2_Executive Summary 2" xfId="2707" xr:uid="{00000000-0005-0000-0000-0000AA120000}"/>
    <cellStyle name="_Sheet2_2_Executive Summary 2 2" xfId="2708" xr:uid="{00000000-0005-0000-0000-0000AB120000}"/>
    <cellStyle name="_Sheet2_2_Executive Summary 3" xfId="2709" xr:uid="{00000000-0005-0000-0000-0000AC120000}"/>
    <cellStyle name="_Sheet2_2_Sheet3" xfId="2710" xr:uid="{00000000-0005-0000-0000-0000AD120000}"/>
    <cellStyle name="_Sheet2_2_Sheet3 2" xfId="2711" xr:uid="{00000000-0005-0000-0000-0000AE120000}"/>
    <cellStyle name="_Sheet2_2_Sheet3 2 2" xfId="2712" xr:uid="{00000000-0005-0000-0000-0000AF120000}"/>
    <cellStyle name="_Sheet2_2_Sheet3 3" xfId="2713" xr:uid="{00000000-0005-0000-0000-0000B0120000}"/>
    <cellStyle name="_Sheet2_2_Summary" xfId="2714" xr:uid="{00000000-0005-0000-0000-0000B1120000}"/>
    <cellStyle name="_Sheet2_2_Summary 2" xfId="2715" xr:uid="{00000000-0005-0000-0000-0000B2120000}"/>
    <cellStyle name="_Sheet2_2_Summary 2 2" xfId="2716" xr:uid="{00000000-0005-0000-0000-0000B3120000}"/>
    <cellStyle name="_Sheet2_2_Summary 3" xfId="2717" xr:uid="{00000000-0005-0000-0000-0000B4120000}"/>
    <cellStyle name="_Sheet2_2009 Details Plan" xfId="2718" xr:uid="{00000000-0005-0000-0000-0000B5120000}"/>
    <cellStyle name="_Sheet2_2009 Details Plan 2" xfId="2719" xr:uid="{00000000-0005-0000-0000-0000B6120000}"/>
    <cellStyle name="_Sheet2_2009 Details Plan 2 2" xfId="2720" xr:uid="{00000000-0005-0000-0000-0000B7120000}"/>
    <cellStyle name="_Sheet2_2009 Details Plan 3" xfId="2721" xr:uid="{00000000-0005-0000-0000-0000B8120000}"/>
    <cellStyle name="_Sheet2_2010 Budget with options 300609_V3" xfId="2722" xr:uid="{00000000-0005-0000-0000-0000B9120000}"/>
    <cellStyle name="_Sheet2_2010 Budget with options 300609_V3 2" xfId="2723" xr:uid="{00000000-0005-0000-0000-0000BA120000}"/>
    <cellStyle name="_Sheet2_2010 Budget with options 300609_V3 2 2" xfId="2724" xr:uid="{00000000-0005-0000-0000-0000BB120000}"/>
    <cellStyle name="_Sheet2_2010 Budget with options 300609_V3 3" xfId="2725" xr:uid="{00000000-0005-0000-0000-0000BC120000}"/>
    <cellStyle name="_Sheet2_All Assumptions by Mkt" xfId="2726" xr:uid="{00000000-0005-0000-0000-0000BD120000}"/>
    <cellStyle name="_Sheet2_All Assumptions by Mkt 2" xfId="2727" xr:uid="{00000000-0005-0000-0000-0000BE120000}"/>
    <cellStyle name="_Sheet2_All Assumptions by Mkt 2 2" xfId="2728" xr:uid="{00000000-0005-0000-0000-0000BF120000}"/>
    <cellStyle name="_Sheet2_All Assumptions by Mkt 3" xfId="2729" xr:uid="{00000000-0005-0000-0000-0000C0120000}"/>
    <cellStyle name="_Sheet2_All Mkt. Assumptions " xfId="2730" xr:uid="{00000000-0005-0000-0000-0000C1120000}"/>
    <cellStyle name="_Sheet2_All Mkt. Assumptions  2" xfId="2731" xr:uid="{00000000-0005-0000-0000-0000C2120000}"/>
    <cellStyle name="_Sheet2_All Mkt. Assumptions  2 2" xfId="2732" xr:uid="{00000000-0005-0000-0000-0000C3120000}"/>
    <cellStyle name="_Sheet2_All Mkt. Assumptions  3" xfId="2733" xr:uid="{00000000-0005-0000-0000-0000C4120000}"/>
    <cellStyle name="_Sheet2_Details" xfId="2734" xr:uid="{00000000-0005-0000-0000-0000C5120000}"/>
    <cellStyle name="_Sheet2_Details 2" xfId="2735" xr:uid="{00000000-0005-0000-0000-0000C6120000}"/>
    <cellStyle name="_Sheet2_Details 2 2" xfId="2736" xr:uid="{00000000-0005-0000-0000-0000C7120000}"/>
    <cellStyle name="_Sheet2_Details 3" xfId="2737" xr:uid="{00000000-0005-0000-0000-0000C8120000}"/>
    <cellStyle name="_Sheet2_Executive Summary" xfId="2738" xr:uid="{00000000-0005-0000-0000-0000C9120000}"/>
    <cellStyle name="_Sheet2_Executive Summary 2" xfId="2739" xr:uid="{00000000-0005-0000-0000-0000CA120000}"/>
    <cellStyle name="_Sheet2_Executive Summary 2 2" xfId="2740" xr:uid="{00000000-0005-0000-0000-0000CB120000}"/>
    <cellStyle name="_Sheet2_Executive Summary 3" xfId="2741" xr:uid="{00000000-0005-0000-0000-0000CC120000}"/>
    <cellStyle name="_Sheet2_FC03'-9 Option 1" xfId="2742" xr:uid="{00000000-0005-0000-0000-0000CD120000}"/>
    <cellStyle name="_Sheet2_FC03'-9 Option 1 2" xfId="2743" xr:uid="{00000000-0005-0000-0000-0000CE120000}"/>
    <cellStyle name="_Sheet2_FC03'-9 Option 1 2 2" xfId="2744" xr:uid="{00000000-0005-0000-0000-0000CF120000}"/>
    <cellStyle name="_Sheet2_FC03'-9 Option 1 3" xfId="2745" xr:uid="{00000000-0005-0000-0000-0000D0120000}"/>
    <cellStyle name="_Sheet2_FC2 Rev" xfId="2746" xr:uid="{00000000-0005-0000-0000-0000D1120000}"/>
    <cellStyle name="_Sheet2_FC2 Rev 2" xfId="2747" xr:uid="{00000000-0005-0000-0000-0000D2120000}"/>
    <cellStyle name="_Sheet2_FC2 Rev 2 2" xfId="2748" xr:uid="{00000000-0005-0000-0000-0000D3120000}"/>
    <cellStyle name="_Sheet2_FC2 Rev 3" xfId="2749" xr:uid="{00000000-0005-0000-0000-0000D4120000}"/>
    <cellStyle name="_Sheet2_input from Mkt." xfId="2750" xr:uid="{00000000-0005-0000-0000-0000D5120000}"/>
    <cellStyle name="_Sheet2_input from Mkt. 2" xfId="2751" xr:uid="{00000000-0005-0000-0000-0000D6120000}"/>
    <cellStyle name="_Sheet2_input from Mkt. 2 2" xfId="2752" xr:uid="{00000000-0005-0000-0000-0000D7120000}"/>
    <cellStyle name="_Sheet2_input from Mkt. 3" xfId="2753" xr:uid="{00000000-0005-0000-0000-0000D8120000}"/>
    <cellStyle name="_Sheet2_Sheet1" xfId="2754" xr:uid="{00000000-0005-0000-0000-0000D9120000}"/>
    <cellStyle name="_Sheet2_Sheet1 2" xfId="2755" xr:uid="{00000000-0005-0000-0000-0000DA120000}"/>
    <cellStyle name="_Sheet2_Sheet1 2 2" xfId="2756" xr:uid="{00000000-0005-0000-0000-0000DB120000}"/>
    <cellStyle name="_Sheet2_Sheet1 3" xfId="2757" xr:uid="{00000000-0005-0000-0000-0000DC120000}"/>
    <cellStyle name="_Sheet2_Sheet1_1" xfId="2758" xr:uid="{00000000-0005-0000-0000-0000DD120000}"/>
    <cellStyle name="_Sheet2_Sheet1_1 2" xfId="2759" xr:uid="{00000000-0005-0000-0000-0000DE120000}"/>
    <cellStyle name="_Sheet2_Sheet1_1 2 2" xfId="2760" xr:uid="{00000000-0005-0000-0000-0000DF120000}"/>
    <cellStyle name="_Sheet2_Sheet1_1 2 2 2" xfId="2761" xr:uid="{00000000-0005-0000-0000-0000E0120000}"/>
    <cellStyle name="_Sheet2_Sheet1_1 2 3" xfId="2762" xr:uid="{00000000-0005-0000-0000-0000E1120000}"/>
    <cellStyle name="_Sheet2_Sheet1_1 3" xfId="2763" xr:uid="{00000000-0005-0000-0000-0000E2120000}"/>
    <cellStyle name="_Sheet2_Sheet1_1 3 2" xfId="2764" xr:uid="{00000000-0005-0000-0000-0000E3120000}"/>
    <cellStyle name="_Sheet2_Sheet1_1 3 2 2" xfId="2765" xr:uid="{00000000-0005-0000-0000-0000E4120000}"/>
    <cellStyle name="_Sheet2_Sheet1_1 3 3" xfId="2766" xr:uid="{00000000-0005-0000-0000-0000E5120000}"/>
    <cellStyle name="_Sheet2_Sheet1_1 4" xfId="2767" xr:uid="{00000000-0005-0000-0000-0000E6120000}"/>
    <cellStyle name="_Sheet2_Sheet1_1 4 2" xfId="2768" xr:uid="{00000000-0005-0000-0000-0000E7120000}"/>
    <cellStyle name="_Sheet2_Sheet1_1 5" xfId="2769" xr:uid="{00000000-0005-0000-0000-0000E8120000}"/>
    <cellStyle name="_Sheet2_Sheet1_input from Mkt." xfId="2770" xr:uid="{00000000-0005-0000-0000-0000E9120000}"/>
    <cellStyle name="_Sheet2_Sheet1_input from Mkt. 2" xfId="2771" xr:uid="{00000000-0005-0000-0000-0000EA120000}"/>
    <cellStyle name="_Sheet2_Sheet1_input from Mkt. 2 2" xfId="2772" xr:uid="{00000000-0005-0000-0000-0000EB120000}"/>
    <cellStyle name="_Sheet2_Sheet1_input from Mkt. 3" xfId="2773" xr:uid="{00000000-0005-0000-0000-0000EC120000}"/>
    <cellStyle name="_Sheet2_Sheet2" xfId="2774" xr:uid="{00000000-0005-0000-0000-0000ED120000}"/>
    <cellStyle name="_Sheet2_Sheet2 2" xfId="2775" xr:uid="{00000000-0005-0000-0000-0000EE120000}"/>
    <cellStyle name="_Sheet2_Sheet2 2 2" xfId="2776" xr:uid="{00000000-0005-0000-0000-0000EF120000}"/>
    <cellStyle name="_Sheet2_Sheet2 3" xfId="2777" xr:uid="{00000000-0005-0000-0000-0000F0120000}"/>
    <cellStyle name="_Sheet2_Sheet3" xfId="2778" xr:uid="{00000000-0005-0000-0000-0000F1120000}"/>
    <cellStyle name="_Sheet2_Sheet3 2" xfId="2779" xr:uid="{00000000-0005-0000-0000-0000F2120000}"/>
    <cellStyle name="_Sheet2_Sheet3 2 2" xfId="2780" xr:uid="{00000000-0005-0000-0000-0000F3120000}"/>
    <cellStyle name="_Sheet2_Sheet3 3" xfId="2781" xr:uid="{00000000-0005-0000-0000-0000F4120000}"/>
    <cellStyle name="_Sheet2_Sheet3_FC03'-9 Option 1" xfId="2782" xr:uid="{00000000-0005-0000-0000-0000F5120000}"/>
    <cellStyle name="_Sheet2_Sheet3_FC03'-9 Option 1 2" xfId="2783" xr:uid="{00000000-0005-0000-0000-0000F6120000}"/>
    <cellStyle name="_Sheet2_Sheet3_FC03'-9 Option 1 2 2" xfId="2784" xr:uid="{00000000-0005-0000-0000-0000F7120000}"/>
    <cellStyle name="_Sheet2_Sheet3_FC03'-9 Option 1 2 2 2" xfId="2785" xr:uid="{00000000-0005-0000-0000-0000F8120000}"/>
    <cellStyle name="_Sheet2_Sheet3_FC03'-9 Option 1 2 3" xfId="2786" xr:uid="{00000000-0005-0000-0000-0000F9120000}"/>
    <cellStyle name="_Sheet2_Sheet3_FC03'-9 Option 1 3" xfId="2787" xr:uid="{00000000-0005-0000-0000-0000FA120000}"/>
    <cellStyle name="_Sheet2_Sheet3_FC03'-9 Option 1 3 2" xfId="2788" xr:uid="{00000000-0005-0000-0000-0000FB120000}"/>
    <cellStyle name="_Sheet2_Sheet3_FC03'-9 Option 1 3 2 2" xfId="2789" xr:uid="{00000000-0005-0000-0000-0000FC120000}"/>
    <cellStyle name="_Sheet2_Sheet3_FC03'-9 Option 1 3 3" xfId="2790" xr:uid="{00000000-0005-0000-0000-0000FD120000}"/>
    <cellStyle name="_Sheet2_Sheet3_FC03'-9 Option 1 4" xfId="2791" xr:uid="{00000000-0005-0000-0000-0000FE120000}"/>
    <cellStyle name="_Sheet2_Sheet3_FC03'-9 Option 1 4 2" xfId="2792" xr:uid="{00000000-0005-0000-0000-0000FF120000}"/>
    <cellStyle name="_Sheet2_Sheet3_FC03'-9 Option 1 5" xfId="2793" xr:uid="{00000000-0005-0000-0000-000000130000}"/>
    <cellStyle name="_Sheet2_Sheet3_FC2 Rev" xfId="2794" xr:uid="{00000000-0005-0000-0000-000001130000}"/>
    <cellStyle name="_Sheet2_Sheet3_FC2 Rev 2" xfId="2795" xr:uid="{00000000-0005-0000-0000-000002130000}"/>
    <cellStyle name="_Sheet2_Sheet3_FC2 Rev 2 2" xfId="2796" xr:uid="{00000000-0005-0000-0000-000003130000}"/>
    <cellStyle name="_Sheet2_Sheet3_FC2 Rev 2 2 2" xfId="2797" xr:uid="{00000000-0005-0000-0000-000004130000}"/>
    <cellStyle name="_Sheet2_Sheet3_FC2 Rev 2 3" xfId="2798" xr:uid="{00000000-0005-0000-0000-000005130000}"/>
    <cellStyle name="_Sheet2_Sheet3_FC2 Rev 3" xfId="2799" xr:uid="{00000000-0005-0000-0000-000006130000}"/>
    <cellStyle name="_Sheet2_Sheet3_FC2 Rev 3 2" xfId="2800" xr:uid="{00000000-0005-0000-0000-000007130000}"/>
    <cellStyle name="_Sheet2_Sheet3_FC2 Rev 3 2 2" xfId="2801" xr:uid="{00000000-0005-0000-0000-000008130000}"/>
    <cellStyle name="_Sheet2_Sheet3_FC2 Rev 3 3" xfId="2802" xr:uid="{00000000-0005-0000-0000-000009130000}"/>
    <cellStyle name="_Sheet2_Sheet3_FC2 Rev 4" xfId="2803" xr:uid="{00000000-0005-0000-0000-00000A130000}"/>
    <cellStyle name="_Sheet2_Sheet3_FC2 Rev 4 2" xfId="2804" xr:uid="{00000000-0005-0000-0000-00000B130000}"/>
    <cellStyle name="_Sheet2_Sheet3_FC2 Rev 5" xfId="2805" xr:uid="{00000000-0005-0000-0000-00000C130000}"/>
    <cellStyle name="_Sheet2_Sheet3_Sheet1" xfId="2806" xr:uid="{00000000-0005-0000-0000-00000D130000}"/>
    <cellStyle name="_Sheet2_Sheet3_Sheet1 2" xfId="2807" xr:uid="{00000000-0005-0000-0000-00000E130000}"/>
    <cellStyle name="_Sheet2_Sheet3_Sheet1 2 2" xfId="2808" xr:uid="{00000000-0005-0000-0000-00000F130000}"/>
    <cellStyle name="_Sheet2_Sheet3_Sheet1 2 2 2" xfId="2809" xr:uid="{00000000-0005-0000-0000-000010130000}"/>
    <cellStyle name="_Sheet2_Sheet3_Sheet1 2 3" xfId="2810" xr:uid="{00000000-0005-0000-0000-000011130000}"/>
    <cellStyle name="_Sheet2_Sheet3_Sheet1 3" xfId="2811" xr:uid="{00000000-0005-0000-0000-000012130000}"/>
    <cellStyle name="_Sheet2_Sheet3_Sheet1 3 2" xfId="2812" xr:uid="{00000000-0005-0000-0000-000013130000}"/>
    <cellStyle name="_Sheet2_Sheet3_Sheet1 3 2 2" xfId="2813" xr:uid="{00000000-0005-0000-0000-000014130000}"/>
    <cellStyle name="_Sheet2_Sheet3_Sheet1 3 3" xfId="2814" xr:uid="{00000000-0005-0000-0000-000015130000}"/>
    <cellStyle name="_Sheet2_Sheet3_Sheet1 4" xfId="2815" xr:uid="{00000000-0005-0000-0000-000016130000}"/>
    <cellStyle name="_Sheet2_Sheet3_Sheet1 4 2" xfId="2816" xr:uid="{00000000-0005-0000-0000-000017130000}"/>
    <cellStyle name="_Sheet2_Sheet3_Sheet1 5" xfId="2817" xr:uid="{00000000-0005-0000-0000-000018130000}"/>
    <cellStyle name="_Sheet2_Sheet4" xfId="2818" xr:uid="{00000000-0005-0000-0000-000019130000}"/>
    <cellStyle name="_Sheet2_Sheet4 2" xfId="2819" xr:uid="{00000000-0005-0000-0000-00001A130000}"/>
    <cellStyle name="_Sheet2_Sheet4 2 2" xfId="2820" xr:uid="{00000000-0005-0000-0000-00001B130000}"/>
    <cellStyle name="_Sheet2_Sheet4 3" xfId="2821" xr:uid="{00000000-0005-0000-0000-00001C130000}"/>
    <cellStyle name="_Sheet2_Summary" xfId="2822" xr:uid="{00000000-0005-0000-0000-00001D130000}"/>
    <cellStyle name="_Sheet2_Summary - Option 2~4" xfId="2823" xr:uid="{00000000-0005-0000-0000-00001E130000}"/>
    <cellStyle name="_Sheet2_Summary - Option 2~4 2" xfId="2824" xr:uid="{00000000-0005-0000-0000-00001F130000}"/>
    <cellStyle name="_Sheet2_Summary - Option 2~4 2 2" xfId="2825" xr:uid="{00000000-0005-0000-0000-000020130000}"/>
    <cellStyle name="_Sheet2_Summary - Option 2~4 3" xfId="2826" xr:uid="{00000000-0005-0000-0000-000021130000}"/>
    <cellStyle name="_Sheet2_Summary &amp; Comparison" xfId="2827" xr:uid="{00000000-0005-0000-0000-000022130000}"/>
    <cellStyle name="_Sheet2_Summary &amp; Comparison 2" xfId="2828" xr:uid="{00000000-0005-0000-0000-000023130000}"/>
    <cellStyle name="_Sheet2_Summary &amp; Comparison 2 2" xfId="2829" xr:uid="{00000000-0005-0000-0000-000024130000}"/>
    <cellStyle name="_Sheet2_Summary &amp; Comparison 3" xfId="2830" xr:uid="{00000000-0005-0000-0000-000025130000}"/>
    <cellStyle name="_Sheet2_Summary 2" xfId="2831" xr:uid="{00000000-0005-0000-0000-000026130000}"/>
    <cellStyle name="_Sheet2_Summary 2 2" xfId="2832" xr:uid="{00000000-0005-0000-0000-000027130000}"/>
    <cellStyle name="_Sheet2_Summary 2009" xfId="2833" xr:uid="{00000000-0005-0000-0000-000028130000}"/>
    <cellStyle name="_Sheet2_Summary 2009 2" xfId="2834" xr:uid="{00000000-0005-0000-0000-000029130000}"/>
    <cellStyle name="_Sheet2_Summary 2009 2 2" xfId="2835" xr:uid="{00000000-0005-0000-0000-00002A130000}"/>
    <cellStyle name="_Sheet2_Summary 2009 3" xfId="2836" xr:uid="{00000000-0005-0000-0000-00002B130000}"/>
    <cellStyle name="_Sheet2_Summary 3" xfId="2837" xr:uid="{00000000-0005-0000-0000-00002C130000}"/>
    <cellStyle name="_Sheet2_Summary_1" xfId="2838" xr:uid="{00000000-0005-0000-0000-00002D130000}"/>
    <cellStyle name="_Sheet2_Summary_1 2" xfId="2839" xr:uid="{00000000-0005-0000-0000-00002E130000}"/>
    <cellStyle name="_Sheet2_Summary_1 2 2" xfId="2840" xr:uid="{00000000-0005-0000-0000-00002F130000}"/>
    <cellStyle name="_Sheet2_Summary_1 3" xfId="2841" xr:uid="{00000000-0005-0000-0000-000030130000}"/>
    <cellStyle name="_Sheet3" xfId="2842" xr:uid="{00000000-0005-0000-0000-000031130000}"/>
    <cellStyle name="_Sheet3 2" xfId="2843" xr:uid="{00000000-0005-0000-0000-000032130000}"/>
    <cellStyle name="_Sheet3 2 2" xfId="2844" xr:uid="{00000000-0005-0000-0000-000033130000}"/>
    <cellStyle name="_Sheet3 2 2 2" xfId="2845" xr:uid="{00000000-0005-0000-0000-000034130000}"/>
    <cellStyle name="_Sheet3 2 3" xfId="2846" xr:uid="{00000000-0005-0000-0000-000035130000}"/>
    <cellStyle name="_Sheet3 3" xfId="2847" xr:uid="{00000000-0005-0000-0000-000036130000}"/>
    <cellStyle name="_Sheet3 3 2" xfId="2848" xr:uid="{00000000-0005-0000-0000-000037130000}"/>
    <cellStyle name="_Sheet3 4" xfId="2849" xr:uid="{00000000-0005-0000-0000-000038130000}"/>
    <cellStyle name="_Sheet3 4 2" xfId="2850" xr:uid="{00000000-0005-0000-0000-000039130000}"/>
    <cellStyle name="_Sheet3 5" xfId="2851" xr:uid="{00000000-0005-0000-0000-00003A130000}"/>
    <cellStyle name="_Sheet3 5 2" xfId="2852" xr:uid="{00000000-0005-0000-0000-00003B130000}"/>
    <cellStyle name="_Sheet3 6" xfId="2853" xr:uid="{00000000-0005-0000-0000-00003C130000}"/>
    <cellStyle name="_Sheet3 6 2" xfId="2854" xr:uid="{00000000-0005-0000-0000-00003D130000}"/>
    <cellStyle name="_Sheet3 7" xfId="2855" xr:uid="{00000000-0005-0000-0000-00003E130000}"/>
    <cellStyle name="_Sheet3 7 2" xfId="2856" xr:uid="{00000000-0005-0000-0000-00003F130000}"/>
    <cellStyle name="_Sheet3 8" xfId="2857" xr:uid="{00000000-0005-0000-0000-000040130000}"/>
    <cellStyle name="_Sheet3_1" xfId="2858" xr:uid="{00000000-0005-0000-0000-000041130000}"/>
    <cellStyle name="_Sheet3_1 2" xfId="2859" xr:uid="{00000000-0005-0000-0000-000042130000}"/>
    <cellStyle name="_Sheet3_1 2 2" xfId="2860" xr:uid="{00000000-0005-0000-0000-000043130000}"/>
    <cellStyle name="_Sheet3_1 3" xfId="2861" xr:uid="{00000000-0005-0000-0000-000044130000}"/>
    <cellStyle name="_Sheet3_Zone description" xfId="2862" xr:uid="{00000000-0005-0000-0000-000045130000}"/>
    <cellStyle name="_Sheet3_Zone description 2" xfId="2863" xr:uid="{00000000-0005-0000-0000-000046130000}"/>
    <cellStyle name="_Sheet3_Zone description 2 2" xfId="2864" xr:uid="{00000000-0005-0000-0000-000047130000}"/>
    <cellStyle name="_Sheet3_Zone description 2 2 2" xfId="2865" xr:uid="{00000000-0005-0000-0000-000048130000}"/>
    <cellStyle name="_Sheet3_Zone description 2 3" xfId="2866" xr:uid="{00000000-0005-0000-0000-000049130000}"/>
    <cellStyle name="_Sheet3_Zone description 3" xfId="2867" xr:uid="{00000000-0005-0000-0000-00004A130000}"/>
    <cellStyle name="_Sheet3_Zone description 3 2" xfId="2868" xr:uid="{00000000-0005-0000-0000-00004B130000}"/>
    <cellStyle name="_Sheet3_Zone description 3 2 2" xfId="2869" xr:uid="{00000000-0005-0000-0000-00004C130000}"/>
    <cellStyle name="_Sheet3_Zone description 3 3" xfId="2870" xr:uid="{00000000-0005-0000-0000-00004D130000}"/>
    <cellStyle name="_Sheet3_Zone description 4" xfId="2871" xr:uid="{00000000-0005-0000-0000-00004E130000}"/>
    <cellStyle name="_Sheet3_Zone description 4 2" xfId="2872" xr:uid="{00000000-0005-0000-0000-00004F130000}"/>
    <cellStyle name="_Sheet3_Zone description 5" xfId="2873" xr:uid="{00000000-0005-0000-0000-000050130000}"/>
    <cellStyle name="_Sheet4" xfId="2874" xr:uid="{00000000-0005-0000-0000-000051130000}"/>
    <cellStyle name="_Sheet4 2" xfId="2875" xr:uid="{00000000-0005-0000-0000-000052130000}"/>
    <cellStyle name="_Sheet4 2 2" xfId="2876" xr:uid="{00000000-0005-0000-0000-000053130000}"/>
    <cellStyle name="_Sheet4 2 2 2" xfId="2877" xr:uid="{00000000-0005-0000-0000-000054130000}"/>
    <cellStyle name="_Sheet4 2 3" xfId="2878" xr:uid="{00000000-0005-0000-0000-000055130000}"/>
    <cellStyle name="_Sheet4 3" xfId="2879" xr:uid="{00000000-0005-0000-0000-000056130000}"/>
    <cellStyle name="_Sheet4 3 2" xfId="2880" xr:uid="{00000000-0005-0000-0000-000057130000}"/>
    <cellStyle name="_Sheet4 3 2 2" xfId="2881" xr:uid="{00000000-0005-0000-0000-000058130000}"/>
    <cellStyle name="_Sheet4 3 3" xfId="2882" xr:uid="{00000000-0005-0000-0000-000059130000}"/>
    <cellStyle name="_Sheet4 4" xfId="2883" xr:uid="{00000000-0005-0000-0000-00005A130000}"/>
    <cellStyle name="_Sheet4 4 2" xfId="2884" xr:uid="{00000000-0005-0000-0000-00005B130000}"/>
    <cellStyle name="_Sheet4 5" xfId="2885" xr:uid="{00000000-0005-0000-0000-00005C130000}"/>
    <cellStyle name="_Sheet5" xfId="2886" xr:uid="{00000000-0005-0000-0000-00005D130000}"/>
    <cellStyle name="_Sheet5 2" xfId="2887" xr:uid="{00000000-0005-0000-0000-00005E130000}"/>
    <cellStyle name="_Sheet5 2 2" xfId="2888" xr:uid="{00000000-0005-0000-0000-00005F130000}"/>
    <cellStyle name="_Sheet5 2 2 2" xfId="2889" xr:uid="{00000000-0005-0000-0000-000060130000}"/>
    <cellStyle name="_Sheet5 2 3" xfId="2890" xr:uid="{00000000-0005-0000-0000-000061130000}"/>
    <cellStyle name="_Sheet5 3" xfId="2891" xr:uid="{00000000-0005-0000-0000-000062130000}"/>
    <cellStyle name="_Sheet5 3 2" xfId="2892" xr:uid="{00000000-0005-0000-0000-000063130000}"/>
    <cellStyle name="_Sheet5 3 2 2" xfId="2893" xr:uid="{00000000-0005-0000-0000-000064130000}"/>
    <cellStyle name="_Sheet5 3 3" xfId="2894" xr:uid="{00000000-0005-0000-0000-000065130000}"/>
    <cellStyle name="_Sheet5 4" xfId="2895" xr:uid="{00000000-0005-0000-0000-000066130000}"/>
    <cellStyle name="_Sheet5 4 2" xfId="2896" xr:uid="{00000000-0005-0000-0000-000067130000}"/>
    <cellStyle name="_Sheet5 5" xfId="2897" xr:uid="{00000000-0005-0000-0000-000068130000}"/>
    <cellStyle name="_Sheet6" xfId="2898" xr:uid="{00000000-0005-0000-0000-000069130000}"/>
    <cellStyle name="_Sheet6 2" xfId="2899" xr:uid="{00000000-0005-0000-0000-00006A130000}"/>
    <cellStyle name="_Sheet6 2 2" xfId="2900" xr:uid="{00000000-0005-0000-0000-00006B130000}"/>
    <cellStyle name="_Sheet6 2 2 2" xfId="2901" xr:uid="{00000000-0005-0000-0000-00006C130000}"/>
    <cellStyle name="_Sheet6 2 3" xfId="2902" xr:uid="{00000000-0005-0000-0000-00006D130000}"/>
    <cellStyle name="_Sheet6 3" xfId="2903" xr:uid="{00000000-0005-0000-0000-00006E130000}"/>
    <cellStyle name="_Sheet6 3 2" xfId="2904" xr:uid="{00000000-0005-0000-0000-00006F130000}"/>
    <cellStyle name="_Sheet6 4" xfId="2905" xr:uid="{00000000-0005-0000-0000-000070130000}"/>
    <cellStyle name="_Sheet6 4 2" xfId="2906" xr:uid="{00000000-0005-0000-0000-000071130000}"/>
    <cellStyle name="_Sheet6 5" xfId="2907" xr:uid="{00000000-0005-0000-0000-000072130000}"/>
    <cellStyle name="_Sheet6 5 2" xfId="2908" xr:uid="{00000000-0005-0000-0000-000073130000}"/>
    <cellStyle name="_Sheet6 6" xfId="2909" xr:uid="{00000000-0005-0000-0000-000074130000}"/>
    <cellStyle name="_Sheet6 6 2" xfId="2910" xr:uid="{00000000-0005-0000-0000-000075130000}"/>
    <cellStyle name="_Sheet6 7" xfId="2911" xr:uid="{00000000-0005-0000-0000-000076130000}"/>
    <cellStyle name="_Sheet6 7 2" xfId="2912" xr:uid="{00000000-0005-0000-0000-000077130000}"/>
    <cellStyle name="_Sheet6 8" xfId="2913" xr:uid="{00000000-0005-0000-0000-000078130000}"/>
    <cellStyle name="_Sheet9" xfId="2914" xr:uid="{00000000-0005-0000-0000-000079130000}"/>
    <cellStyle name="_Sheet9 2" xfId="2915" xr:uid="{00000000-0005-0000-0000-00007A130000}"/>
    <cellStyle name="_Sheet9 2 2" xfId="2916" xr:uid="{00000000-0005-0000-0000-00007B130000}"/>
    <cellStyle name="_Sheet9 3" xfId="2917" xr:uid="{00000000-0005-0000-0000-00007C130000}"/>
    <cellStyle name="_SoftX3000" xfId="2918" xr:uid="{00000000-0005-0000-0000-00007D130000}"/>
    <cellStyle name="_SoftX3000 2" xfId="2919" xr:uid="{00000000-0005-0000-0000-00007E130000}"/>
    <cellStyle name="_SoftX3000 2 2" xfId="2920" xr:uid="{00000000-0005-0000-0000-00007F130000}"/>
    <cellStyle name="_SoftX3000 3" xfId="2921" xr:uid="{00000000-0005-0000-0000-000080130000}"/>
    <cellStyle name="_Solution PA14" xfId="2922" xr:uid="{00000000-0005-0000-0000-000081130000}"/>
    <cellStyle name="_StatisticReport" xfId="2923" xr:uid="{00000000-0005-0000-0000-000082130000}"/>
    <cellStyle name="_Strategy Reforcast Submission (03.08.06)" xfId="2924" xr:uid="{00000000-0005-0000-0000-000083130000}"/>
    <cellStyle name="_Sub Base" xfId="2925" xr:uid="{00000000-0005-0000-0000-000084130000}"/>
    <cellStyle name="_Sub Base 2" xfId="2926" xr:uid="{00000000-0005-0000-0000-000085130000}"/>
    <cellStyle name="_Sub Base 2 2" xfId="2927" xr:uid="{00000000-0005-0000-0000-000086130000}"/>
    <cellStyle name="_Sub Base 2 2 2" xfId="2928" xr:uid="{00000000-0005-0000-0000-000087130000}"/>
    <cellStyle name="_Sub Base 2 3" xfId="2929" xr:uid="{00000000-0005-0000-0000-000088130000}"/>
    <cellStyle name="_Sub Base 3" xfId="2930" xr:uid="{00000000-0005-0000-0000-000089130000}"/>
    <cellStyle name="_Sub Base 3 2" xfId="2931" xr:uid="{00000000-0005-0000-0000-00008A130000}"/>
    <cellStyle name="_Sub Base 4" xfId="2932" xr:uid="{00000000-0005-0000-0000-00008B130000}"/>
    <cellStyle name="_Sub Base 4 2" xfId="2933" xr:uid="{00000000-0005-0000-0000-00008C130000}"/>
    <cellStyle name="_Sub Base 5" xfId="2934" xr:uid="{00000000-0005-0000-0000-00008D130000}"/>
    <cellStyle name="_Sub Base 5 2" xfId="2935" xr:uid="{00000000-0005-0000-0000-00008E130000}"/>
    <cellStyle name="_Sub Base 6" xfId="2936" xr:uid="{00000000-0005-0000-0000-00008F130000}"/>
    <cellStyle name="_Sub Base 6 2" xfId="2937" xr:uid="{00000000-0005-0000-0000-000090130000}"/>
    <cellStyle name="_Sub Base 7" xfId="2938" xr:uid="{00000000-0005-0000-0000-000091130000}"/>
    <cellStyle name="_Sub Base 7 2" xfId="2939" xr:uid="{00000000-0005-0000-0000-000092130000}"/>
    <cellStyle name="_Sub Base 8" xfId="2940" xr:uid="{00000000-0005-0000-0000-000093130000}"/>
    <cellStyle name="_Sub_supplier_SoP_USD_EURO_19Dec05 (2)" xfId="2941" xr:uid="{00000000-0005-0000-0000-000094130000}"/>
    <cellStyle name="_Subscriber" xfId="2942" xr:uid="{00000000-0005-0000-0000-000095130000}"/>
    <cellStyle name="_Subscriber 2" xfId="2943" xr:uid="{00000000-0005-0000-0000-000096130000}"/>
    <cellStyle name="_Subscriber 2 2" xfId="2944" xr:uid="{00000000-0005-0000-0000-000097130000}"/>
    <cellStyle name="_Subscriber 2 2 2" xfId="2945" xr:uid="{00000000-0005-0000-0000-000098130000}"/>
    <cellStyle name="_Subscriber 2 3" xfId="2946" xr:uid="{00000000-0005-0000-0000-000099130000}"/>
    <cellStyle name="_Subscriber 3" xfId="2947" xr:uid="{00000000-0005-0000-0000-00009A130000}"/>
    <cellStyle name="_Subscriber 3 2" xfId="2948" xr:uid="{00000000-0005-0000-0000-00009B130000}"/>
    <cellStyle name="_Subscriber 4" xfId="2949" xr:uid="{00000000-0005-0000-0000-00009C130000}"/>
    <cellStyle name="_Subscriber 4 2" xfId="2950" xr:uid="{00000000-0005-0000-0000-00009D130000}"/>
    <cellStyle name="_Subscriber 5" xfId="2951" xr:uid="{00000000-0005-0000-0000-00009E130000}"/>
    <cellStyle name="_Subscriber 5 2" xfId="2952" xr:uid="{00000000-0005-0000-0000-00009F130000}"/>
    <cellStyle name="_Subscriber 6" xfId="2953" xr:uid="{00000000-0005-0000-0000-0000A0130000}"/>
    <cellStyle name="_Subscriber 6 2" xfId="2954" xr:uid="{00000000-0005-0000-0000-0000A1130000}"/>
    <cellStyle name="_Subscriber 7" xfId="2955" xr:uid="{00000000-0005-0000-0000-0000A2130000}"/>
    <cellStyle name="_Subscriber 7 2" xfId="2956" xr:uid="{00000000-0005-0000-0000-0000A3130000}"/>
    <cellStyle name="_Subscriber 8" xfId="2957" xr:uid="{00000000-0005-0000-0000-0000A4130000}"/>
    <cellStyle name="_Summary" xfId="2958" xr:uid="{00000000-0005-0000-0000-0000A5130000}"/>
    <cellStyle name="_Summary - Option 2~4" xfId="2959" xr:uid="{00000000-0005-0000-0000-0000A6130000}"/>
    <cellStyle name="_Summary - Option 2~4 2" xfId="2960" xr:uid="{00000000-0005-0000-0000-0000A7130000}"/>
    <cellStyle name="_Summary - Option 2~4 2 2" xfId="2961" xr:uid="{00000000-0005-0000-0000-0000A8130000}"/>
    <cellStyle name="_Summary - Option 2~4 2 2 2" xfId="2962" xr:uid="{00000000-0005-0000-0000-0000A9130000}"/>
    <cellStyle name="_Summary - Option 2~4 2 3" xfId="2963" xr:uid="{00000000-0005-0000-0000-0000AA130000}"/>
    <cellStyle name="_Summary - Option 2~4 3" xfId="2964" xr:uid="{00000000-0005-0000-0000-0000AB130000}"/>
    <cellStyle name="_Summary - Option 2~4 3 2" xfId="2965" xr:uid="{00000000-0005-0000-0000-0000AC130000}"/>
    <cellStyle name="_Summary - Option 2~4 3 2 2" xfId="2966" xr:uid="{00000000-0005-0000-0000-0000AD130000}"/>
    <cellStyle name="_Summary - Option 2~4 3 3" xfId="2967" xr:uid="{00000000-0005-0000-0000-0000AE130000}"/>
    <cellStyle name="_Summary - Option 2~4 4" xfId="2968" xr:uid="{00000000-0005-0000-0000-0000AF130000}"/>
    <cellStyle name="_Summary - Option 2~4 4 2" xfId="2969" xr:uid="{00000000-0005-0000-0000-0000B0130000}"/>
    <cellStyle name="_Summary - Option 2~4 5" xfId="2970" xr:uid="{00000000-0005-0000-0000-0000B1130000}"/>
    <cellStyle name="_Summary &amp; Comparison" xfId="2971" xr:uid="{00000000-0005-0000-0000-0000B2130000}"/>
    <cellStyle name="_Summary &amp; Comparison 2" xfId="2972" xr:uid="{00000000-0005-0000-0000-0000B3130000}"/>
    <cellStyle name="_Summary &amp; Comparison 2 2" xfId="2973" xr:uid="{00000000-0005-0000-0000-0000B4130000}"/>
    <cellStyle name="_Summary &amp; Comparison 3" xfId="2974" xr:uid="{00000000-0005-0000-0000-0000B5130000}"/>
    <cellStyle name="_Summary 2" xfId="2975" xr:uid="{00000000-0005-0000-0000-0000B6130000}"/>
    <cellStyle name="_Summary 2 2" xfId="2976" xr:uid="{00000000-0005-0000-0000-0000B7130000}"/>
    <cellStyle name="_Summary 2 2 2" xfId="2977" xr:uid="{00000000-0005-0000-0000-0000B8130000}"/>
    <cellStyle name="_Summary 2 3" xfId="2978" xr:uid="{00000000-0005-0000-0000-0000B9130000}"/>
    <cellStyle name="_Summary 2009" xfId="2979" xr:uid="{00000000-0005-0000-0000-0000BA130000}"/>
    <cellStyle name="_Summary 2009 2" xfId="2980" xr:uid="{00000000-0005-0000-0000-0000BB130000}"/>
    <cellStyle name="_Summary 2009 2 2" xfId="2981" xr:uid="{00000000-0005-0000-0000-0000BC130000}"/>
    <cellStyle name="_Summary 2009 3" xfId="2982" xr:uid="{00000000-0005-0000-0000-0000BD130000}"/>
    <cellStyle name="_Summary 3" xfId="2983" xr:uid="{00000000-0005-0000-0000-0000BE130000}"/>
    <cellStyle name="_Summary 3 2" xfId="2984" xr:uid="{00000000-0005-0000-0000-0000BF130000}"/>
    <cellStyle name="_Summary 3 2 2" xfId="2985" xr:uid="{00000000-0005-0000-0000-0000C0130000}"/>
    <cellStyle name="_Summary 3 3" xfId="2986" xr:uid="{00000000-0005-0000-0000-0000C1130000}"/>
    <cellStyle name="_Summary 4" xfId="2987" xr:uid="{00000000-0005-0000-0000-0000C2130000}"/>
    <cellStyle name="_Summary 4 2" xfId="2988" xr:uid="{00000000-0005-0000-0000-0000C3130000}"/>
    <cellStyle name="_Summary 5" xfId="2989" xr:uid="{00000000-0005-0000-0000-0000C4130000}"/>
    <cellStyle name="_Summary 5 2" xfId="2990" xr:uid="{00000000-0005-0000-0000-0000C5130000}"/>
    <cellStyle name="_Summary 6" xfId="2991" xr:uid="{00000000-0005-0000-0000-0000C6130000}"/>
    <cellStyle name="_Summary AS-IS_PA5" xfId="2992" xr:uid="{00000000-0005-0000-0000-0000C7130000}"/>
    <cellStyle name="_Summary_1" xfId="2993" xr:uid="{00000000-0005-0000-0000-0000C8130000}"/>
    <cellStyle name="_Summary_1 2" xfId="2994" xr:uid="{00000000-0005-0000-0000-0000C9130000}"/>
    <cellStyle name="_Summary_1 2 2" xfId="2995" xr:uid="{00000000-0005-0000-0000-0000CA130000}"/>
    <cellStyle name="_Summary_1 3" xfId="2996" xr:uid="{00000000-0005-0000-0000-0000CB130000}"/>
    <cellStyle name="_Summary_2009 Details Plan" xfId="2997" xr:uid="{00000000-0005-0000-0000-0000CC130000}"/>
    <cellStyle name="_Summary_2009 Details Plan 2" xfId="2998" xr:uid="{00000000-0005-0000-0000-0000CD130000}"/>
    <cellStyle name="_Summary_2009 Details Plan 2 2" xfId="2999" xr:uid="{00000000-0005-0000-0000-0000CE130000}"/>
    <cellStyle name="_Summary_2009 Details Plan 3" xfId="3000" xr:uid="{00000000-0005-0000-0000-0000CF130000}"/>
    <cellStyle name="_Summary_Siemens" xfId="3001" xr:uid="{00000000-0005-0000-0000-0000D0130000}"/>
    <cellStyle name="_Summary_Siemens_BellTel MS RFP Annex 7 Pricing Template 081312" xfId="3002" xr:uid="{00000000-0005-0000-0000-0000D1130000}"/>
    <cellStyle name="_Summary_Summary" xfId="3003" xr:uid="{00000000-0005-0000-0000-0000D2130000}"/>
    <cellStyle name="_Summary_Summary 2" xfId="3004" xr:uid="{00000000-0005-0000-0000-0000D3130000}"/>
    <cellStyle name="_Summary_Summary 2 2" xfId="3005" xr:uid="{00000000-0005-0000-0000-0000D4130000}"/>
    <cellStyle name="_Summary_Summary 3" xfId="3006" xr:uid="{00000000-0005-0000-0000-0000D5130000}"/>
    <cellStyle name="_synergy" xfId="3007" xr:uid="{00000000-0005-0000-0000-0000D6130000}"/>
    <cellStyle name="_T&amp;T Costs 10022010 PA1" xfId="3008" xr:uid="{00000000-0005-0000-0000-0000D7130000}"/>
    <cellStyle name="_T&amp;T for eACCESS-Full MS_20120118" xfId="3009" xr:uid="{00000000-0005-0000-0000-0000D8130000}"/>
    <cellStyle name="_T&amp;T for eACCESS-Full MS_pa4" xfId="3010" xr:uid="{00000000-0005-0000-0000-0000D9130000}"/>
    <cellStyle name="_Technical Opex &amp; Capex (22.02.06)" xfId="3011" xr:uid="{00000000-0005-0000-0000-0000DA130000}"/>
    <cellStyle name="_Technology Capex-working file (20.08.06)" xfId="3012" xr:uid="{00000000-0005-0000-0000-0000DB130000}"/>
    <cellStyle name="_Technology EVP Template (30 07 06) (3)" xfId="3013" xr:uid="{00000000-0005-0000-0000-0000DC130000}"/>
    <cellStyle name="_Technology Fixed Exist - Terrestrial Network (07.08.06)" xfId="3014" xr:uid="{00000000-0005-0000-0000-0000DD130000}"/>
    <cellStyle name="_Technology Fixed Exist (07.08.06)" xfId="3015" xr:uid="{00000000-0005-0000-0000-0000DE130000}"/>
    <cellStyle name="_Technology Fixed Exist Template OSS (07.08.06)" xfId="3016" xr:uid="{00000000-0005-0000-0000-0000DF130000}"/>
    <cellStyle name="_Technology Fixed existing-Opex-2006Budget-V2" xfId="3017" xr:uid="{00000000-0005-0000-0000-0000E0130000}"/>
    <cellStyle name="_Technology Fixed existing-Opex-2006Budget-V2_BellTel MS RFP Annex 7 Pricing Template 081312" xfId="3018" xr:uid="{00000000-0005-0000-0000-0000E1130000}"/>
    <cellStyle name="_Technology IT-Capex-2006Budget-V1" xfId="3019" xr:uid="{00000000-0005-0000-0000-0000E2130000}"/>
    <cellStyle name="_Telenor MBB SWCM" xfId="3020" xr:uid="{00000000-0005-0000-0000-0000E3130000}"/>
    <cellStyle name="_Telenor MBB SWCM 2" xfId="3021" xr:uid="{00000000-0005-0000-0000-0000E4130000}"/>
    <cellStyle name="_Telenor MBB SWCM 2 2" xfId="3022" xr:uid="{00000000-0005-0000-0000-0000E5130000}"/>
    <cellStyle name="_Telenor MBB SWCM 3" xfId="3023" xr:uid="{00000000-0005-0000-0000-0000E6130000}"/>
    <cellStyle name="_Telenor MBB SWCM_?????100912_??" xfId="3024" xr:uid="{00000000-0005-0000-0000-0000E7130000}"/>
    <cellStyle name="_Telenor MBB SWCM_091028 HUA Annex 27 RAN Submission 7_correct_service" xfId="3025" xr:uid="{00000000-0005-0000-0000-0000E8130000}"/>
    <cellStyle name="_Telenor MBB SWCM_20100406 Annex 27 RAN summary tables Excel 2003" xfId="3026" xr:uid="{00000000-0005-0000-0000-0000E9130000}"/>
    <cellStyle name="_Telenor MBB SWCM_A27_Part 2_Price v2.1 20101007 with CS linking" xfId="3027" xr:uid="{00000000-0005-0000-0000-0000EA130000}"/>
    <cellStyle name="_Telenor MBB SWCM_A27_Part 2_Price v2.1 20101007 with CS linking 2" xfId="3028" xr:uid="{00000000-0005-0000-0000-0000EB130000}"/>
    <cellStyle name="_Telenor MBB SWCM_Annex 27 Part 2 Prices 01092010 linking CS" xfId="3029" xr:uid="{00000000-0005-0000-0000-0000EC130000}"/>
    <cellStyle name="_Telenor MBB SWCM_Annex 27 Part 2 Prices 01092010 linking CS 2" xfId="3030" xr:uid="{00000000-0005-0000-0000-0000ED130000}"/>
    <cellStyle name="_Telenor MBB SWCM_Annex 27 Part 2 Prices 01092010 VAS" xfId="3031" xr:uid="{00000000-0005-0000-0000-0000EE130000}"/>
    <cellStyle name="_Telenor MBB SWCM_Annex 27 Part 2 Prices 0913" xfId="3032" xr:uid="{00000000-0005-0000-0000-0000EF130000}"/>
    <cellStyle name="_Telenor MBB SWCM_Annex 27 Part 2 Prices 0914" xfId="3033" xr:uid="{00000000-0005-0000-0000-0000F0130000}"/>
    <cellStyle name="_Telenor MBB SWCM_Annex 27 Part 2 Prices-0919-10" xfId="3034" xr:uid="{00000000-0005-0000-0000-0000F1130000}"/>
    <cellStyle name="_Telenor MBB SWCM_Annex 27 Part 2 Prices-2010.09.17-V1.0" xfId="3035" xr:uid="{00000000-0005-0000-0000-0000F2130000}"/>
    <cellStyle name="_Telenor MBB SWCM_Discounts(Ran)" xfId="3036" xr:uid="{00000000-0005-0000-0000-0000F3130000}"/>
    <cellStyle name="_Telenor MBB SWCM_无线侧数量100912_崔静" xfId="3037" xr:uid="{00000000-0005-0000-0000-0000F4130000}"/>
    <cellStyle name="_TelenorNorwayMBB-3rdPartySvcCostsv5_TED_DK" xfId="3038" xr:uid="{00000000-0005-0000-0000-0000F5130000}"/>
    <cellStyle name="_TelenorNorwayMBB-3rdPartySvcCostsv5_TED_DK_Discounts(Ran)" xfId="3039" xr:uid="{00000000-0005-0000-0000-0000F6130000}"/>
    <cellStyle name="_TELLIN Rack Layout V20041214" xfId="3040" xr:uid="{00000000-0005-0000-0000-0000F7130000}"/>
    <cellStyle name="_Test Bed LOM" xfId="3041" xr:uid="{00000000-0005-0000-0000-0000F8130000}"/>
    <cellStyle name="_TRA Costs for Reforecast (09.08.06)" xfId="3042" xr:uid="{00000000-0005-0000-0000-0000F9130000}"/>
    <cellStyle name="_traffic comparison" xfId="3043" xr:uid="{00000000-0005-0000-0000-0000FA130000}"/>
    <cellStyle name="_traffic comparison 2" xfId="3044" xr:uid="{00000000-0005-0000-0000-0000FB130000}"/>
    <cellStyle name="_traffic comparison 2 2" xfId="3045" xr:uid="{00000000-0005-0000-0000-0000FC130000}"/>
    <cellStyle name="_traffic comparison 2 2 2" xfId="3046" xr:uid="{00000000-0005-0000-0000-0000FD130000}"/>
    <cellStyle name="_traffic comparison 2 3" xfId="3047" xr:uid="{00000000-0005-0000-0000-0000FE130000}"/>
    <cellStyle name="_traffic comparison 3" xfId="3048" xr:uid="{00000000-0005-0000-0000-0000FF130000}"/>
    <cellStyle name="_traffic comparison 3 2" xfId="3049" xr:uid="{00000000-0005-0000-0000-000000140000}"/>
    <cellStyle name="_traffic comparison 3 2 2" xfId="3050" xr:uid="{00000000-0005-0000-0000-000001140000}"/>
    <cellStyle name="_traffic comparison 3 3" xfId="3051" xr:uid="{00000000-0005-0000-0000-000002140000}"/>
    <cellStyle name="_traffic comparison 4" xfId="3052" xr:uid="{00000000-0005-0000-0000-000003140000}"/>
    <cellStyle name="_traffic comparison 4 2" xfId="3053" xr:uid="{00000000-0005-0000-0000-000004140000}"/>
    <cellStyle name="_traffic comparison 5" xfId="3054" xr:uid="{00000000-0005-0000-0000-000005140000}"/>
    <cellStyle name="_Treasury Template 2006 (2)" xfId="3055" xr:uid="{00000000-0005-0000-0000-000006140000}"/>
    <cellStyle name="_TRUST NOC TT Costs PA9" xfId="3056" xr:uid="{00000000-0005-0000-0000-000007140000}"/>
    <cellStyle name="_TRUST T&amp;T Costs PA16" xfId="3057" xr:uid="{00000000-0005-0000-0000-000008140000}"/>
    <cellStyle name="_TT budget update LC_SL_MS_PA4" xfId="3058" xr:uid="{00000000-0005-0000-0000-000009140000}"/>
    <cellStyle name="_TT for eACCESS-Full MS_pa15" xfId="3059" xr:uid="{00000000-0005-0000-0000-00000A140000}"/>
    <cellStyle name="_UIN?????USAU????-040318???" xfId="3060" xr:uid="{00000000-0005-0000-0000-00000B140000}"/>
    <cellStyle name="_UIN综合智能网USAU报价模板-040318修改版" xfId="3061" xr:uid="{00000000-0005-0000-0000-00000C140000}"/>
    <cellStyle name="_USCA" xfId="3062" xr:uid="{00000000-0005-0000-0000-00000D140000}"/>
    <cellStyle name="_USCA_GTT-Cost-Telin-PA01" xfId="3063" xr:uid="{00000000-0005-0000-0000-00000E140000}"/>
    <cellStyle name="_USP3_Ordering_Tool_0908_WithBOM" xfId="3064" xr:uid="{00000000-0005-0000-0000-00000F140000}"/>
    <cellStyle name="_USP3_Ordering_Tool_0908_WithBOM 2" xfId="3065" xr:uid="{00000000-0005-0000-0000-000010140000}"/>
    <cellStyle name="_USP3_Ordering_Tool_0908_WithBOM 2 2" xfId="3066" xr:uid="{00000000-0005-0000-0000-000011140000}"/>
    <cellStyle name="_USP3_Ordering_Tool_0908_WithBOM 3" xfId="3067" xr:uid="{00000000-0005-0000-0000-000012140000}"/>
    <cellStyle name="_UTRAN?????20051020?" xfId="3068" xr:uid="{00000000-0005-0000-0000-000013140000}"/>
    <cellStyle name="_UTRAN设备清单（20051020）" xfId="3069" xr:uid="{00000000-0005-0000-0000-000014140000}"/>
    <cellStyle name="_VAS" xfId="3070" xr:uid="{00000000-0005-0000-0000-000015140000}"/>
    <cellStyle name="_VAS + TEST BED" xfId="3071" xr:uid="{00000000-0005-0000-0000-000016140000}"/>
    <cellStyle name="_W_29" xfId="3072" xr:uid="{00000000-0005-0000-0000-000017140000}"/>
    <cellStyle name="_W_29 2" xfId="3073" xr:uid="{00000000-0005-0000-0000-000018140000}"/>
    <cellStyle name="_W_29 2 2" xfId="3074" xr:uid="{00000000-0005-0000-0000-000019140000}"/>
    <cellStyle name="_W_29 3" xfId="3075" xr:uid="{00000000-0005-0000-0000-00001A140000}"/>
    <cellStyle name="_W_30" xfId="3076" xr:uid="{00000000-0005-0000-0000-00001B140000}"/>
    <cellStyle name="_W_30 2" xfId="3077" xr:uid="{00000000-0005-0000-0000-00001C140000}"/>
    <cellStyle name="_W_30 2 2" xfId="3078" xr:uid="{00000000-0005-0000-0000-00001D140000}"/>
    <cellStyle name="_W_30 3" xfId="3079" xr:uid="{00000000-0005-0000-0000-00001E140000}"/>
    <cellStyle name="_W_35" xfId="3080" xr:uid="{00000000-0005-0000-0000-00001F140000}"/>
    <cellStyle name="_W_35 2" xfId="3081" xr:uid="{00000000-0005-0000-0000-000020140000}"/>
    <cellStyle name="_W_35 2 2" xfId="3082" xr:uid="{00000000-0005-0000-0000-000021140000}"/>
    <cellStyle name="_W_35 3" xfId="3083" xr:uid="{00000000-0005-0000-0000-000022140000}"/>
    <cellStyle name="_W_49" xfId="3084" xr:uid="{00000000-0005-0000-0000-000023140000}"/>
    <cellStyle name="_W_49 2" xfId="3085" xr:uid="{00000000-0005-0000-0000-000024140000}"/>
    <cellStyle name="_W_49 2 2" xfId="3086" xr:uid="{00000000-0005-0000-0000-000025140000}"/>
    <cellStyle name="_W_49 3" xfId="3087" xr:uid="{00000000-0005-0000-0000-000026140000}"/>
    <cellStyle name="_W_51" xfId="3088" xr:uid="{00000000-0005-0000-0000-000027140000}"/>
    <cellStyle name="_W_51 2" xfId="3089" xr:uid="{00000000-0005-0000-0000-000028140000}"/>
    <cellStyle name="_W_51 2 2" xfId="3090" xr:uid="{00000000-0005-0000-0000-000029140000}"/>
    <cellStyle name="_W_51 3" xfId="3091" xr:uid="{00000000-0005-0000-0000-00002A140000}"/>
    <cellStyle name="_W_52" xfId="3092" xr:uid="{00000000-0005-0000-0000-00002B140000}"/>
    <cellStyle name="_W_52 2" xfId="3093" xr:uid="{00000000-0005-0000-0000-00002C140000}"/>
    <cellStyle name="_W_52 2 2" xfId="3094" xr:uid="{00000000-0005-0000-0000-00002D140000}"/>
    <cellStyle name="_W_52 3" xfId="3095" xr:uid="{00000000-0005-0000-0000-00002E140000}"/>
    <cellStyle name="_WAP????????????" xfId="3096" xr:uid="{00000000-0005-0000-0000-00002F140000}"/>
    <cellStyle name="_WAP网关配置计算表格（海外）" xfId="3097" xr:uid="{00000000-0005-0000-0000-000030140000}"/>
    <cellStyle name="_WBZ-PhIII-prioritize58(Replied3)" xfId="3098" xr:uid="{00000000-0005-0000-0000-000031140000}"/>
    <cellStyle name="_WiMAX WiFi 报价0902(桑伟－－产品报价初稿，还没有评审)" xfId="3099" xr:uid="{00000000-0005-0000-0000-000032140000}"/>
    <cellStyle name="_WiMAX WiFi 报价0902(桑伟－－产品报价初稿，还没有评审) 2" xfId="3100" xr:uid="{00000000-0005-0000-0000-000033140000}"/>
    <cellStyle name="_WiMAX WiFi 报价0902(桑伟－－产品报价初稿，还没有评审) 2 2" xfId="3101" xr:uid="{00000000-0005-0000-0000-000034140000}"/>
    <cellStyle name="_WiMAX WiFi 报价0902(桑伟－－产品报价初稿，还没有评审) 3" xfId="3102" xr:uid="{00000000-0005-0000-0000-000035140000}"/>
    <cellStyle name="_WIP" xfId="3103" xr:uid="{00000000-0005-0000-0000-000036140000}"/>
    <cellStyle name="_WIP 2" xfId="3104" xr:uid="{00000000-0005-0000-0000-000037140000}"/>
    <cellStyle name="_WIP 2 2" xfId="3105" xr:uid="{00000000-0005-0000-0000-000038140000}"/>
    <cellStyle name="_WIP 3" xfId="3106" xr:uid="{00000000-0005-0000-0000-000039140000}"/>
    <cellStyle name="_Zone Definition" xfId="3107" xr:uid="{00000000-0005-0000-0000-00003A140000}"/>
    <cellStyle name="_Zone Definition 2" xfId="3108" xr:uid="{00000000-0005-0000-0000-00003B140000}"/>
    <cellStyle name="_Zone Definition 2 2" xfId="3109" xr:uid="{00000000-0005-0000-0000-00003C140000}"/>
    <cellStyle name="_Zone Definition 2 2 2" xfId="3110" xr:uid="{00000000-0005-0000-0000-00003D140000}"/>
    <cellStyle name="_Zone Definition 2 3" xfId="3111" xr:uid="{00000000-0005-0000-0000-00003E140000}"/>
    <cellStyle name="_Zone Definition 3" xfId="3112" xr:uid="{00000000-0005-0000-0000-00003F140000}"/>
    <cellStyle name="_Zone Definition 3 2" xfId="3113" xr:uid="{00000000-0005-0000-0000-000040140000}"/>
    <cellStyle name="_Zone Definition 3 2 2" xfId="3114" xr:uid="{00000000-0005-0000-0000-000041140000}"/>
    <cellStyle name="_Zone Definition 3 3" xfId="3115" xr:uid="{00000000-0005-0000-0000-000042140000}"/>
    <cellStyle name="_Zone Definition 4" xfId="3116" xr:uid="{00000000-0005-0000-0000-000043140000}"/>
    <cellStyle name="_Zone Description" xfId="3117" xr:uid="{00000000-0005-0000-0000-000044140000}"/>
    <cellStyle name="_Zone Description 2" xfId="3118" xr:uid="{00000000-0005-0000-0000-000045140000}"/>
    <cellStyle name="_Zone Description 2 2" xfId="3119" xr:uid="{00000000-0005-0000-0000-000046140000}"/>
    <cellStyle name="_Zone Description 2 2 2" xfId="3120" xr:uid="{00000000-0005-0000-0000-000047140000}"/>
    <cellStyle name="_Zone Description 2 3" xfId="3121" xr:uid="{00000000-0005-0000-0000-000048140000}"/>
    <cellStyle name="_Zone Description 3" xfId="3122" xr:uid="{00000000-0005-0000-0000-000049140000}"/>
    <cellStyle name="_Zone Description 3 2" xfId="3123" xr:uid="{00000000-0005-0000-0000-00004A140000}"/>
    <cellStyle name="_Zone Description 3 2 2" xfId="3124" xr:uid="{00000000-0005-0000-0000-00004B140000}"/>
    <cellStyle name="_Zone Description 3 3" xfId="3125" xr:uid="{00000000-0005-0000-0000-00004C140000}"/>
    <cellStyle name="_Zone Description 4" xfId="3126" xr:uid="{00000000-0005-0000-0000-00004D140000}"/>
    <cellStyle name="_Zone Description 4 2" xfId="3127" xr:uid="{00000000-0005-0000-0000-00004E140000}"/>
    <cellStyle name="_Zone Description 5" xfId="3128" xr:uid="{00000000-0005-0000-0000-00004F140000}"/>
    <cellStyle name="_Zone Wise" xfId="3129" xr:uid="{00000000-0005-0000-0000-000050140000}"/>
    <cellStyle name="_Zone Wise 2" xfId="3130" xr:uid="{00000000-0005-0000-0000-000051140000}"/>
    <cellStyle name="_Zone Wise 2 2" xfId="3131" xr:uid="{00000000-0005-0000-0000-000052140000}"/>
    <cellStyle name="_Zone Wise 2 2 2" xfId="3132" xr:uid="{00000000-0005-0000-0000-000053140000}"/>
    <cellStyle name="_Zone Wise 2 3" xfId="3133" xr:uid="{00000000-0005-0000-0000-000054140000}"/>
    <cellStyle name="_Zone Wise 3" xfId="3134" xr:uid="{00000000-0005-0000-0000-000055140000}"/>
    <cellStyle name="_Zone Wise 3 2" xfId="3135" xr:uid="{00000000-0005-0000-0000-000056140000}"/>
    <cellStyle name="_Zone Wise 3 2 2" xfId="3136" xr:uid="{00000000-0005-0000-0000-000057140000}"/>
    <cellStyle name="_Zone Wise 3 3" xfId="3137" xr:uid="{00000000-0005-0000-0000-000058140000}"/>
    <cellStyle name="_Zone Wise 4" xfId="3138" xr:uid="{00000000-0005-0000-0000-000059140000}"/>
    <cellStyle name="_Zone Wise 4 2" xfId="3139" xr:uid="{00000000-0005-0000-0000-00005A140000}"/>
    <cellStyle name="_Zone Wise 5" xfId="3140" xr:uid="{00000000-0005-0000-0000-00005B140000}"/>
    <cellStyle name="_Zone wise BH traffic, sub, mErl" xfId="3141" xr:uid="{00000000-0005-0000-0000-00005C140000}"/>
    <cellStyle name="_Zone wise BH traffic, sub, mErl 2" xfId="3142" xr:uid="{00000000-0005-0000-0000-00005D140000}"/>
    <cellStyle name="_Zone wise BH traffic, sub, mErl 2 2" xfId="3143" xr:uid="{00000000-0005-0000-0000-00005E140000}"/>
    <cellStyle name="_Zone wise BH traffic, sub, mErl 2 2 2" xfId="3144" xr:uid="{00000000-0005-0000-0000-00005F140000}"/>
    <cellStyle name="_Zone wise BH traffic, sub, mErl 2 3" xfId="3145" xr:uid="{00000000-0005-0000-0000-000060140000}"/>
    <cellStyle name="_Zone wise BH traffic, sub, mErl 3" xfId="3146" xr:uid="{00000000-0005-0000-0000-000061140000}"/>
    <cellStyle name="_Zone wise BH traffic, sub, mErl 3 2" xfId="3147" xr:uid="{00000000-0005-0000-0000-000062140000}"/>
    <cellStyle name="_Zone wise BH traffic, sub, mErl 3 2 2" xfId="3148" xr:uid="{00000000-0005-0000-0000-000063140000}"/>
    <cellStyle name="_Zone wise BH traffic, sub, mErl 3 3" xfId="3149" xr:uid="{00000000-0005-0000-0000-000064140000}"/>
    <cellStyle name="_Zone wise BH traffic, sub, mErl 4" xfId="3150" xr:uid="{00000000-0005-0000-0000-000065140000}"/>
    <cellStyle name="_Zone wise BH traffic, sub, mErl 4 2" xfId="3151" xr:uid="{00000000-0005-0000-0000-000066140000}"/>
    <cellStyle name="_Zone wise BH traffic, sub, mErl 5" xfId="3152" xr:uid="{00000000-0005-0000-0000-000067140000}"/>
    <cellStyle name="_Zone Wise Breakdown" xfId="3153" xr:uid="{00000000-0005-0000-0000-000068140000}"/>
    <cellStyle name="_Zone Wise Breakdown 2" xfId="3154" xr:uid="{00000000-0005-0000-0000-000069140000}"/>
    <cellStyle name="_Zone Wise Breakdown 2 2" xfId="3155" xr:uid="{00000000-0005-0000-0000-00006A140000}"/>
    <cellStyle name="_Zone Wise Breakdown 2 2 2" xfId="3156" xr:uid="{00000000-0005-0000-0000-00006B140000}"/>
    <cellStyle name="_Zone Wise Breakdown 2 3" xfId="3157" xr:uid="{00000000-0005-0000-0000-00006C140000}"/>
    <cellStyle name="_Zone Wise Breakdown 3" xfId="3158" xr:uid="{00000000-0005-0000-0000-00006D140000}"/>
    <cellStyle name="_Zone Wise Breakdown 3 2" xfId="3159" xr:uid="{00000000-0005-0000-0000-00006E140000}"/>
    <cellStyle name="_Zone Wise Breakdown 3 2 2" xfId="3160" xr:uid="{00000000-0005-0000-0000-00006F140000}"/>
    <cellStyle name="_Zone Wise Breakdown 3 3" xfId="3161" xr:uid="{00000000-0005-0000-0000-000070140000}"/>
    <cellStyle name="_Zone Wise Breakdown 4" xfId="3162" xr:uid="{00000000-0005-0000-0000-000071140000}"/>
    <cellStyle name="_Zone Wise Breakdown 4 2" xfId="3163" xr:uid="{00000000-0005-0000-0000-000072140000}"/>
    <cellStyle name="_Zone Wise Breakdown 5" xfId="3164" xr:uid="{00000000-0005-0000-0000-000073140000}"/>
    <cellStyle name="_Zonewise Breakdown" xfId="3165" xr:uid="{00000000-0005-0000-0000-000074140000}"/>
    <cellStyle name="_Zonewise Breakdown 2" xfId="3166" xr:uid="{00000000-0005-0000-0000-000075140000}"/>
    <cellStyle name="_Zonewise Breakdown 2 2" xfId="3167" xr:uid="{00000000-0005-0000-0000-000076140000}"/>
    <cellStyle name="_Zonewise Breakdown 2 2 2" xfId="3168" xr:uid="{00000000-0005-0000-0000-000077140000}"/>
    <cellStyle name="_Zonewise Breakdown 2 3" xfId="3169" xr:uid="{00000000-0005-0000-0000-000078140000}"/>
    <cellStyle name="_Zonewise Breakdown 3" xfId="3170" xr:uid="{00000000-0005-0000-0000-000079140000}"/>
    <cellStyle name="_Zonewise Breakdown 3 2" xfId="3171" xr:uid="{00000000-0005-0000-0000-00007A140000}"/>
    <cellStyle name="_Zonewise Breakdown 3 2 2" xfId="3172" xr:uid="{00000000-0005-0000-0000-00007B140000}"/>
    <cellStyle name="_Zonewise Breakdown 3 3" xfId="3173" xr:uid="{00000000-0005-0000-0000-00007C140000}"/>
    <cellStyle name="_Zonewise Breakdown 4" xfId="3174" xr:uid="{00000000-0005-0000-0000-00007D140000}"/>
    <cellStyle name="_Zonewise Breakdown 4 2" xfId="3175" xr:uid="{00000000-0005-0000-0000-00007E140000}"/>
    <cellStyle name="_Zonewise Breakdown 5" xfId="3176" xr:uid="{00000000-0005-0000-0000-00007F140000}"/>
    <cellStyle name="_Zonewise Breakdown Y'08-09" xfId="3177" xr:uid="{00000000-0005-0000-0000-000080140000}"/>
    <cellStyle name="_Zonewise Breakdown Y'08-09 2" xfId="3178" xr:uid="{00000000-0005-0000-0000-000081140000}"/>
    <cellStyle name="_Zonewise Breakdown Y'08-09 2 2" xfId="3179" xr:uid="{00000000-0005-0000-0000-000082140000}"/>
    <cellStyle name="_Zonewise Breakdown Y'08-09 2 2 2" xfId="3180" xr:uid="{00000000-0005-0000-0000-000083140000}"/>
    <cellStyle name="_Zonewise Breakdown Y'08-09 2 3" xfId="3181" xr:uid="{00000000-0005-0000-0000-000084140000}"/>
    <cellStyle name="_Zonewise Breakdown Y'08-09 3" xfId="3182" xr:uid="{00000000-0005-0000-0000-000085140000}"/>
    <cellStyle name="_Zonewise Breakdown Y'08-09 3 2" xfId="3183" xr:uid="{00000000-0005-0000-0000-000086140000}"/>
    <cellStyle name="_Zonewise Breakdown Y'08-09 3 2 2" xfId="3184" xr:uid="{00000000-0005-0000-0000-000087140000}"/>
    <cellStyle name="_Zonewise Breakdown Y'08-09 3 3" xfId="3185" xr:uid="{00000000-0005-0000-0000-000088140000}"/>
    <cellStyle name="_Zonewise Breakdown Y'08-09 4" xfId="3186" xr:uid="{00000000-0005-0000-0000-000089140000}"/>
    <cellStyle name="_Zonewise Breakdown Y'08-09 4 2" xfId="3187" xr:uid="{00000000-0005-0000-0000-00008A140000}"/>
    <cellStyle name="_Zonewise Breakdown Y'08-09 5" xfId="3188" xr:uid="{00000000-0005-0000-0000-00008B140000}"/>
    <cellStyle name="_Zonewise Breakdown_all data" xfId="3189" xr:uid="{00000000-0005-0000-0000-00008C140000}"/>
    <cellStyle name="_Zonewise Breakdown_all data 2" xfId="3190" xr:uid="{00000000-0005-0000-0000-00008D140000}"/>
    <cellStyle name="_Zonewise Breakdown_all data 2 2" xfId="3191" xr:uid="{00000000-0005-0000-0000-00008E140000}"/>
    <cellStyle name="_Zonewise Breakdown_all data 3" xfId="3192" xr:uid="{00000000-0005-0000-0000-00008F140000}"/>
    <cellStyle name="_Zonewise Breakdown_BH mErl per Sub comparison" xfId="3193" xr:uid="{00000000-0005-0000-0000-000090140000}"/>
    <cellStyle name="_Zonewise Breakdown_BH mErl per Sub comparison 2" xfId="3194" xr:uid="{00000000-0005-0000-0000-000091140000}"/>
    <cellStyle name="_Zonewise Breakdown_BH mErl per Sub comparison 2 2" xfId="3195" xr:uid="{00000000-0005-0000-0000-000092140000}"/>
    <cellStyle name="_Zonewise Breakdown_BH mErl per Sub comparison 2 2 2" xfId="3196" xr:uid="{00000000-0005-0000-0000-000093140000}"/>
    <cellStyle name="_Zonewise Breakdown_BH mErl per Sub comparison 2 3" xfId="3197" xr:uid="{00000000-0005-0000-0000-000094140000}"/>
    <cellStyle name="_Zonewise Breakdown_BH mErl per Sub comparison 3" xfId="3198" xr:uid="{00000000-0005-0000-0000-000095140000}"/>
    <cellStyle name="_Zonewise Breakdown_BH mErl per Sub comparison 3 2" xfId="3199" xr:uid="{00000000-0005-0000-0000-000096140000}"/>
    <cellStyle name="_Zonewise Breakdown_BH mErl per Sub comparison 3 2 2" xfId="3200" xr:uid="{00000000-0005-0000-0000-000097140000}"/>
    <cellStyle name="_Zonewise Breakdown_BH mErl per Sub comparison 3 3" xfId="3201" xr:uid="{00000000-0005-0000-0000-000098140000}"/>
    <cellStyle name="_Zonewise Breakdown_BH mErl per Sub comparison 4" xfId="3202" xr:uid="{00000000-0005-0000-0000-000099140000}"/>
    <cellStyle name="_Zonewise Breakdown_BH mErl per Sub comparison 4 2" xfId="3203" xr:uid="{00000000-0005-0000-0000-00009A140000}"/>
    <cellStyle name="_Zonewise Breakdown_BH mErl per Sub comparison 5" xfId="3204" xr:uid="{00000000-0005-0000-0000-00009B140000}"/>
    <cellStyle name="_Zonewise Breakdown_Forecast Analysis" xfId="3205" xr:uid="{00000000-0005-0000-0000-00009C140000}"/>
    <cellStyle name="_Zonewise Breakdown_Forecast Analysis 2" xfId="3206" xr:uid="{00000000-0005-0000-0000-00009D140000}"/>
    <cellStyle name="_Zonewise Breakdown_Forecast Analysis 2 2" xfId="3207" xr:uid="{00000000-0005-0000-0000-00009E140000}"/>
    <cellStyle name="_Zonewise Breakdown_Forecast Analysis 2 2 2" xfId="3208" xr:uid="{00000000-0005-0000-0000-00009F140000}"/>
    <cellStyle name="_Zonewise Breakdown_Forecast Analysis 2 3" xfId="3209" xr:uid="{00000000-0005-0000-0000-0000A0140000}"/>
    <cellStyle name="_Zonewise Breakdown_Forecast Analysis 3" xfId="3210" xr:uid="{00000000-0005-0000-0000-0000A1140000}"/>
    <cellStyle name="_Zonewise Breakdown_Forecast Analysis 3 2" xfId="3211" xr:uid="{00000000-0005-0000-0000-0000A2140000}"/>
    <cellStyle name="_Zonewise Breakdown_Forecast Analysis 3 2 2" xfId="3212" xr:uid="{00000000-0005-0000-0000-0000A3140000}"/>
    <cellStyle name="_Zonewise Breakdown_Forecast Analysis 3 3" xfId="3213" xr:uid="{00000000-0005-0000-0000-0000A4140000}"/>
    <cellStyle name="_Zonewise Breakdown_Forecast Analysis 4" xfId="3214" xr:uid="{00000000-0005-0000-0000-0000A5140000}"/>
    <cellStyle name="_Zonewise Breakdown_Forecast Analysis 4 2" xfId="3215" xr:uid="{00000000-0005-0000-0000-0000A6140000}"/>
    <cellStyle name="_Zonewise Breakdown_Forecast Analysis 5" xfId="3216" xr:uid="{00000000-0005-0000-0000-0000A7140000}"/>
    <cellStyle name="_Zonewise Breakdown_Forecast vs. Actual BH Erl" xfId="3217" xr:uid="{00000000-0005-0000-0000-0000A8140000}"/>
    <cellStyle name="_Zonewise Breakdown_Forecast vs. Actual BH Erl 2" xfId="3218" xr:uid="{00000000-0005-0000-0000-0000A9140000}"/>
    <cellStyle name="_Zonewise Breakdown_Forecast vs. Actual BH Erl 2 2" xfId="3219" xr:uid="{00000000-0005-0000-0000-0000AA140000}"/>
    <cellStyle name="_Zonewise Breakdown_Forecast vs. Actual BH Erl 2 2 2" xfId="3220" xr:uid="{00000000-0005-0000-0000-0000AB140000}"/>
    <cellStyle name="_Zonewise Breakdown_Forecast vs. Actual BH Erl 2 3" xfId="3221" xr:uid="{00000000-0005-0000-0000-0000AC140000}"/>
    <cellStyle name="_Zonewise Breakdown_Forecast vs. Actual BH Erl 3" xfId="3222" xr:uid="{00000000-0005-0000-0000-0000AD140000}"/>
    <cellStyle name="_Zonewise Breakdown_Forecast vs. Actual BH Erl 3 2" xfId="3223" xr:uid="{00000000-0005-0000-0000-0000AE140000}"/>
    <cellStyle name="_Zonewise Breakdown_Forecast vs. Actual BH Erl 3 2 2" xfId="3224" xr:uid="{00000000-0005-0000-0000-0000AF140000}"/>
    <cellStyle name="_Zonewise Breakdown_Forecast vs. Actual BH Erl 3 3" xfId="3225" xr:uid="{00000000-0005-0000-0000-0000B0140000}"/>
    <cellStyle name="_Zonewise Breakdown_Forecast vs. Actual BH Erl 4" xfId="3226" xr:uid="{00000000-0005-0000-0000-0000B1140000}"/>
    <cellStyle name="_Zonewise Breakdown_Forecast vs. Actual BH Erl 4 2" xfId="3227" xr:uid="{00000000-0005-0000-0000-0000B2140000}"/>
    <cellStyle name="_Zonewise Breakdown_Forecast vs. Actual BH Erl 5" xfId="3228" xr:uid="{00000000-0005-0000-0000-0000B3140000}"/>
    <cellStyle name="_Zonewise Breakdown_Forecat vs. Actual Sub" xfId="3229" xr:uid="{00000000-0005-0000-0000-0000B4140000}"/>
    <cellStyle name="_Zonewise Breakdown_Forecat vs. Actual Sub 2" xfId="3230" xr:uid="{00000000-0005-0000-0000-0000B5140000}"/>
    <cellStyle name="_Zonewise Breakdown_Forecat vs. Actual Sub 2 2" xfId="3231" xr:uid="{00000000-0005-0000-0000-0000B6140000}"/>
    <cellStyle name="_Zonewise Breakdown_Forecat vs. Actual Sub 2 2 2" xfId="3232" xr:uid="{00000000-0005-0000-0000-0000B7140000}"/>
    <cellStyle name="_Zonewise Breakdown_Forecat vs. Actual Sub 2 3" xfId="3233" xr:uid="{00000000-0005-0000-0000-0000B8140000}"/>
    <cellStyle name="_Zonewise Breakdown_Forecat vs. Actual Sub 3" xfId="3234" xr:uid="{00000000-0005-0000-0000-0000B9140000}"/>
    <cellStyle name="_Zonewise Breakdown_Forecat vs. Actual Sub 3 2" xfId="3235" xr:uid="{00000000-0005-0000-0000-0000BA140000}"/>
    <cellStyle name="_Zonewise Breakdown_Forecat vs. Actual Sub 3 2 2" xfId="3236" xr:uid="{00000000-0005-0000-0000-0000BB140000}"/>
    <cellStyle name="_Zonewise Breakdown_Forecat vs. Actual Sub 3 3" xfId="3237" xr:uid="{00000000-0005-0000-0000-0000BC140000}"/>
    <cellStyle name="_Zonewise Breakdown_Forecat vs. Actual Sub 4" xfId="3238" xr:uid="{00000000-0005-0000-0000-0000BD140000}"/>
    <cellStyle name="_Zonewise Breakdown_Forecat vs. Actual Sub 4 2" xfId="3239" xr:uid="{00000000-0005-0000-0000-0000BE140000}"/>
    <cellStyle name="_Zonewise Breakdown_Forecat vs. Actual Sub 5" xfId="3240" xr:uid="{00000000-0005-0000-0000-0000BF140000}"/>
    <cellStyle name="_Zonewise Breakdown_Product wise subscribers" xfId="3241" xr:uid="{00000000-0005-0000-0000-0000C0140000}"/>
    <cellStyle name="_Zonewise Breakdown_Product wise subscribers 2" xfId="3242" xr:uid="{00000000-0005-0000-0000-0000C1140000}"/>
    <cellStyle name="_Zonewise Breakdown_Product wise subscribers 2 2" xfId="3243" xr:uid="{00000000-0005-0000-0000-0000C2140000}"/>
    <cellStyle name="_Zonewise Breakdown_Product wise subscribers 3" xfId="3244" xr:uid="{00000000-0005-0000-0000-0000C3140000}"/>
    <cellStyle name="_Zonewise Breakdown_Sheet1" xfId="3245" xr:uid="{00000000-0005-0000-0000-0000C4140000}"/>
    <cellStyle name="_Zonewise Breakdown_Sheet1 2" xfId="3246" xr:uid="{00000000-0005-0000-0000-0000C5140000}"/>
    <cellStyle name="_Zonewise Breakdown_Sheet1 2 2" xfId="3247" xr:uid="{00000000-0005-0000-0000-0000C6140000}"/>
    <cellStyle name="_Zonewise Breakdown_Sheet1 3" xfId="3248" xr:uid="{00000000-0005-0000-0000-0000C7140000}"/>
    <cellStyle name="_Zonewise Breakdown_Sheet9" xfId="3249" xr:uid="{00000000-0005-0000-0000-0000C8140000}"/>
    <cellStyle name="_Zonewise Breakdown_Sheet9 2" xfId="3250" xr:uid="{00000000-0005-0000-0000-0000C9140000}"/>
    <cellStyle name="_Zonewise Breakdown_Sheet9 2 2" xfId="3251" xr:uid="{00000000-0005-0000-0000-0000CA140000}"/>
    <cellStyle name="_Zonewise Breakdown_Sheet9 3" xfId="3252" xr:uid="{00000000-0005-0000-0000-0000CB140000}"/>
    <cellStyle name="_Zonewise Breakdown_Zone Description" xfId="3253" xr:uid="{00000000-0005-0000-0000-0000CC140000}"/>
    <cellStyle name="_Zonewise Breakdown_Zone Description 2" xfId="3254" xr:uid="{00000000-0005-0000-0000-0000CD140000}"/>
    <cellStyle name="_Zonewise Breakdown_Zone Description 2 2" xfId="3255" xr:uid="{00000000-0005-0000-0000-0000CE140000}"/>
    <cellStyle name="_Zonewise Breakdown_Zone Description 3" xfId="3256" xr:uid="{00000000-0005-0000-0000-0000CF140000}"/>
    <cellStyle name="_Zonewise Breakdown_Zone Wise Breakdown" xfId="3257" xr:uid="{00000000-0005-0000-0000-0000D0140000}"/>
    <cellStyle name="_Zonewise Breakdown_Zone Wise Breakdown 2" xfId="3258" xr:uid="{00000000-0005-0000-0000-0000D1140000}"/>
    <cellStyle name="_Zonewise Breakdown_Zone Wise Breakdown 2 2" xfId="3259" xr:uid="{00000000-0005-0000-0000-0000D2140000}"/>
    <cellStyle name="_Zonewise Breakdown_Zone Wise Breakdown 3" xfId="3260" xr:uid="{00000000-0005-0000-0000-0000D3140000}"/>
    <cellStyle name="_Zonewise Breakdown_Zone wise traffic distrib fc" xfId="3261" xr:uid="{00000000-0005-0000-0000-0000D4140000}"/>
    <cellStyle name="_Zonewise Breakdown_Zone wise traffic distrib fc 2" xfId="3262" xr:uid="{00000000-0005-0000-0000-0000D5140000}"/>
    <cellStyle name="_Zonewise Breakdown_Zone wise traffic distrib fc 2 2" xfId="3263" xr:uid="{00000000-0005-0000-0000-0000D6140000}"/>
    <cellStyle name="_Zonewise Breakdown_Zone wise traffic distrib fc 3" xfId="3264" xr:uid="{00000000-0005-0000-0000-0000D7140000}"/>
    <cellStyle name="_Zonewise Breakdown_Zonewise Breakdown Y'08-09" xfId="3265" xr:uid="{00000000-0005-0000-0000-0000D8140000}"/>
    <cellStyle name="_Zonewise Breakdown_Zonewise Breakdown Y'08-09 2" xfId="3266" xr:uid="{00000000-0005-0000-0000-0000D9140000}"/>
    <cellStyle name="_Zonewise Breakdown_Zonewise Breakdown Y'08-09 2 2" xfId="3267" xr:uid="{00000000-0005-0000-0000-0000DA140000}"/>
    <cellStyle name="_Zonewise Breakdown_Zonewise Breakdown Y'08-09 3" xfId="3268" xr:uid="{00000000-0005-0000-0000-0000DB140000}"/>
    <cellStyle name="_ZXJ10后台配置模板4.9En_20031119" xfId="3269" xr:uid="{00000000-0005-0000-0000-0000DC140000}"/>
    <cellStyle name="_ZXJ10电源配置" xfId="3270" xr:uid="{00000000-0005-0000-0000-0000DD140000}"/>
    <cellStyle name="_ZXJ10配置模板V4.22En" xfId="3271" xr:uid="{00000000-0005-0000-0000-0000DE140000}"/>
    <cellStyle name="_ZXJ10配置计算模板4.81_20040130" xfId="3272" xr:uid="{00000000-0005-0000-0000-0000DF140000}"/>
    <cellStyle name="_中国移动数据业务N610-22机柜报价和配置指导V1.0 051101" xfId="3273" xr:uid="{00000000-0005-0000-0000-0000E0140000}"/>
    <cellStyle name="_中国移动数据业务机柜配置051020" xfId="3274" xr:uid="{00000000-0005-0000-0000-0000E1140000}"/>
    <cellStyle name="_仰光OMC配置20040312" xfId="3275" xr:uid="{00000000-0005-0000-0000-0000E2140000}"/>
    <cellStyle name="_仰光OMC配置20040316 (1)" xfId="3276" xr:uid="{00000000-0005-0000-0000-0000E3140000}"/>
    <cellStyle name="_分项比率表（无线海外）20051125" xfId="3277" xr:uid="{00000000-0005-0000-0000-0000E4140000}"/>
    <cellStyle name="_参数区" xfId="3278" xr:uid="{00000000-0005-0000-0000-0000E5140000}"/>
    <cellStyle name="_参数区 2" xfId="3279" xr:uid="{00000000-0005-0000-0000-0000E6140000}"/>
    <cellStyle name="_参数区 2 2" xfId="3280" xr:uid="{00000000-0005-0000-0000-0000E7140000}"/>
    <cellStyle name="_参数区 3" xfId="3281" xr:uid="{00000000-0005-0000-0000-0000E8140000}"/>
    <cellStyle name="_国内CDMA含折扣L2和L3-BTS" xfId="3282" xr:uid="{00000000-0005-0000-0000-0000E9140000}"/>
    <cellStyle name="_基站模板" xfId="3283" xr:uid="{00000000-0005-0000-0000-0000EA140000}"/>
    <cellStyle name="_基站模板 2" xfId="3284" xr:uid="{00000000-0005-0000-0000-0000EB140000}"/>
    <cellStyle name="_基站模板 2 2" xfId="3285" xr:uid="{00000000-0005-0000-0000-0000EC140000}"/>
    <cellStyle name="_基站模板 3" xfId="3286" xr:uid="{00000000-0005-0000-0000-0000ED140000}"/>
    <cellStyle name="_基站模板 3 2" xfId="3287" xr:uid="{00000000-0005-0000-0000-0000EE140000}"/>
    <cellStyle name="_基站模板 4" xfId="3288" xr:uid="{00000000-0005-0000-0000-0000EF140000}"/>
    <cellStyle name="_基站模板_2G BSS BoQ" xfId="3289" xr:uid="{00000000-0005-0000-0000-0000F0140000}"/>
    <cellStyle name="_基站模板_2G BSS BoQ 2" xfId="3290" xr:uid="{00000000-0005-0000-0000-0000F1140000}"/>
    <cellStyle name="_基站模板_2G BSS BoQ 2 2" xfId="3291" xr:uid="{00000000-0005-0000-0000-0000F2140000}"/>
    <cellStyle name="_基站模板_2G BSS BoQ 3" xfId="3292" xr:uid="{00000000-0005-0000-0000-0000F3140000}"/>
    <cellStyle name="_基站模板_2G BSS BoQ 3 2" xfId="3293" xr:uid="{00000000-0005-0000-0000-0000F4140000}"/>
    <cellStyle name="_基站模板_2G BSS BoQ 4" xfId="3294" xr:uid="{00000000-0005-0000-0000-0000F5140000}"/>
    <cellStyle name="_基站模板_2G BSS BoQ_2G BSS BoQ" xfId="3295" xr:uid="{00000000-0005-0000-0000-0000F6140000}"/>
    <cellStyle name="_基站模板_2G BSS BoQ_2G BSS BoQ 2" xfId="3296" xr:uid="{00000000-0005-0000-0000-0000F7140000}"/>
    <cellStyle name="_基站模板_2G BSS BoQ_2G BSS BoQ 2 2" xfId="3297" xr:uid="{00000000-0005-0000-0000-0000F8140000}"/>
    <cellStyle name="_基站模板_2G BSS BoQ_2G BSS BoQ 3" xfId="3298" xr:uid="{00000000-0005-0000-0000-0000F9140000}"/>
    <cellStyle name="_基站模板_2G BSS BoQ_2G BSS BoQ 3 2" xfId="3299" xr:uid="{00000000-0005-0000-0000-0000FA140000}"/>
    <cellStyle name="_基站模板_2G BSS BoQ_2G BSS BoQ 4" xfId="3300" xr:uid="{00000000-0005-0000-0000-0000FB140000}"/>
    <cellStyle name="_基站模板_2G BSS BoQ_2G service V5" xfId="3301" xr:uid="{00000000-0005-0000-0000-0000FC140000}"/>
    <cellStyle name="_基站模板_2G BSS BoQ_2G service V5 2" xfId="3302" xr:uid="{00000000-0005-0000-0000-0000FD140000}"/>
    <cellStyle name="_基站模板_2G BSS BoQ_2G service V5 2 2" xfId="3303" xr:uid="{00000000-0005-0000-0000-0000FE140000}"/>
    <cellStyle name="_基站模板_2G BSS BoQ_2G service V5 3" xfId="3304" xr:uid="{00000000-0005-0000-0000-0000FF140000}"/>
    <cellStyle name="_基站模板_2G BSS BoQ_2G service V5 3 2" xfId="3305" xr:uid="{00000000-0005-0000-0000-000000150000}"/>
    <cellStyle name="_基站模板_2G BSS BoQ_2G service V5 4" xfId="3306" xr:uid="{00000000-0005-0000-0000-000001150000}"/>
    <cellStyle name="_基站模板_2G BSS BoQ_2G Service(20071104)benchmark" xfId="3307" xr:uid="{00000000-0005-0000-0000-000002150000}"/>
    <cellStyle name="_基站模板_2G BSS BoQ_2G Service(20071104)benchmark 2" xfId="3308" xr:uid="{00000000-0005-0000-0000-000003150000}"/>
    <cellStyle name="_基站模板_2G BSS BoQ_2G Service(20071104)benchmark 2 2" xfId="3309" xr:uid="{00000000-0005-0000-0000-000004150000}"/>
    <cellStyle name="_基站模板_2G BSS BoQ_2G Service(20071104)benchmark 3" xfId="3310" xr:uid="{00000000-0005-0000-0000-000005150000}"/>
    <cellStyle name="_基站模板_2G BSS BoQ_2G Service(20071104)benchmark 3 2" xfId="3311" xr:uid="{00000000-0005-0000-0000-000006150000}"/>
    <cellStyle name="_基站模板_2G BSS BoQ_2G Service(20071104)benchmark 4" xfId="3312" xr:uid="{00000000-0005-0000-0000-000007150000}"/>
    <cellStyle name="_基站模板_2G BSS BoQ_2G_BoQ" xfId="3313" xr:uid="{00000000-0005-0000-0000-000008150000}"/>
    <cellStyle name="_基站模板_2G BSS BoQ_2G_BoQ 2" xfId="3314" xr:uid="{00000000-0005-0000-0000-000009150000}"/>
    <cellStyle name="_基站模板_2G BSS BoQ_2G_BoQ 2 2" xfId="3315" xr:uid="{00000000-0005-0000-0000-00000A150000}"/>
    <cellStyle name="_基站模板_2G BSS BoQ_2G_BoQ 3" xfId="3316" xr:uid="{00000000-0005-0000-0000-00000B150000}"/>
    <cellStyle name="_基站模板_2G BSS BoQ_2G_BoQ 3 2" xfId="3317" xr:uid="{00000000-0005-0000-0000-00000C150000}"/>
    <cellStyle name="_基站模板_2G BSS BoQ_2G_BoQ 4" xfId="3318" xr:uid="{00000000-0005-0000-0000-00000D150000}"/>
    <cellStyle name="_基站模板_2G BSS BoQ_2G_BoQ Apple2" xfId="3319" xr:uid="{00000000-0005-0000-0000-00000E150000}"/>
    <cellStyle name="_基站模板_2G BSS BoQ_2G_BoQ Apple2 2" xfId="3320" xr:uid="{00000000-0005-0000-0000-00000F150000}"/>
    <cellStyle name="_基站模板_2G BSS BoQ_2G_BoQ Apple2 2 2" xfId="3321" xr:uid="{00000000-0005-0000-0000-000010150000}"/>
    <cellStyle name="_基站模板_2G BSS BoQ_2G_BoQ Apple2 3" xfId="3322" xr:uid="{00000000-0005-0000-0000-000011150000}"/>
    <cellStyle name="_基站模板_2G BSS BoQ_2G_BoQ Apple2 3 2" xfId="3323" xr:uid="{00000000-0005-0000-0000-000012150000}"/>
    <cellStyle name="_基站模板_2G BSS BoQ_2G_BoQ Apple2 4" xfId="3324" xr:uid="{00000000-0005-0000-0000-000013150000}"/>
    <cellStyle name="_基站模板_2G BSS BoQ_2G_BoQ Model" xfId="3325" xr:uid="{00000000-0005-0000-0000-000014150000}"/>
    <cellStyle name="_基站模板_2G BSS BoQ_2G_BoQ Model 2" xfId="3326" xr:uid="{00000000-0005-0000-0000-000015150000}"/>
    <cellStyle name="_基站模板_2G BSS BoQ_2G_BoQ Model 2 2" xfId="3327" xr:uid="{00000000-0005-0000-0000-000016150000}"/>
    <cellStyle name="_基站模板_2G BSS BoQ_2G_BoQ Model 3" xfId="3328" xr:uid="{00000000-0005-0000-0000-000017150000}"/>
    <cellStyle name="_基站模板_2G BSS BoQ_2G_BoQ Model 3 2" xfId="3329" xr:uid="{00000000-0005-0000-0000-000018150000}"/>
    <cellStyle name="_基站模板_2G BSS BoQ_2G_BoQ Model 4" xfId="3330" xr:uid="{00000000-0005-0000-0000-000019150000}"/>
    <cellStyle name="_基站模板_2G BSS BoQ_2G_BoQ P03 Model" xfId="3331" xr:uid="{00000000-0005-0000-0000-00001A150000}"/>
    <cellStyle name="_基站模板_2G BSS BoQ_2G_BoQ P03 Model 2" xfId="3332" xr:uid="{00000000-0005-0000-0000-00001B150000}"/>
    <cellStyle name="_基站模板_2G BSS BoQ_2G_BoQ P03 Model 2 2" xfId="3333" xr:uid="{00000000-0005-0000-0000-00001C150000}"/>
    <cellStyle name="_基站模板_2G BSS BoQ_2G_BoQ P03 Model 3" xfId="3334" xr:uid="{00000000-0005-0000-0000-00001D150000}"/>
    <cellStyle name="_基站模板_2G BSS BoQ_2G_BoQ P03 Model 3 2" xfId="3335" xr:uid="{00000000-0005-0000-0000-00001E150000}"/>
    <cellStyle name="_基站模板_2G BSS BoQ_2G_BoQ P03 Model 4" xfId="3336" xr:uid="{00000000-0005-0000-0000-00001F150000}"/>
    <cellStyle name="_基站模板_2G BSS BoQ_2G_BoQ v2" xfId="3337" xr:uid="{00000000-0005-0000-0000-000020150000}"/>
    <cellStyle name="_基站模板_2G BSS BoQ_2G_BoQ v2 2" xfId="3338" xr:uid="{00000000-0005-0000-0000-000021150000}"/>
    <cellStyle name="_基站模板_2G BSS BoQ_2G_BoQ v2 2 2" xfId="3339" xr:uid="{00000000-0005-0000-0000-000022150000}"/>
    <cellStyle name="_基站模板_2G BSS BoQ_2G_BoQ v2 3" xfId="3340" xr:uid="{00000000-0005-0000-0000-000023150000}"/>
    <cellStyle name="_基站模板_2G BSS BoQ_2G_BoQ v2 3 2" xfId="3341" xr:uid="{00000000-0005-0000-0000-000024150000}"/>
    <cellStyle name="_基站模板_2G BSS BoQ_2G_BoQ v2 4" xfId="3342" xr:uid="{00000000-0005-0000-0000-000025150000}"/>
    <cellStyle name="_基站模板_2G BSS BoQ_2G_BoQ_v2" xfId="3343" xr:uid="{00000000-0005-0000-0000-000026150000}"/>
    <cellStyle name="_基站模板_2G BSS BoQ_2G_BoQ_v2 2" xfId="3344" xr:uid="{00000000-0005-0000-0000-000027150000}"/>
    <cellStyle name="_基站模板_2G BSS BoQ_2G_BoQ_v2 2 2" xfId="3345" xr:uid="{00000000-0005-0000-0000-000028150000}"/>
    <cellStyle name="_基站模板_2G BSS BoQ_2G_BoQ_v2 3" xfId="3346" xr:uid="{00000000-0005-0000-0000-000029150000}"/>
    <cellStyle name="_基站模板_2G BSS BoQ_2G_BoQ_v2 3 2" xfId="3347" xr:uid="{00000000-0005-0000-0000-00002A150000}"/>
    <cellStyle name="_基站模板_2G BSS BoQ_2G_BoQ_v2 4" xfId="3348" xr:uid="{00000000-0005-0000-0000-00002B150000}"/>
    <cellStyle name="_基站模板_2G BSS BoQ_Book2" xfId="3349" xr:uid="{00000000-0005-0000-0000-00002C150000}"/>
    <cellStyle name="_基站模板_2G BSS BoQ_Book2 2" xfId="3350" xr:uid="{00000000-0005-0000-0000-00002D150000}"/>
    <cellStyle name="_基站模板_2G BSS BoQ_Book2 2 2" xfId="3351" xr:uid="{00000000-0005-0000-0000-00002E150000}"/>
    <cellStyle name="_基站模板_2G BSS BoQ_Book2 3" xfId="3352" xr:uid="{00000000-0005-0000-0000-00002F150000}"/>
    <cellStyle name="_基站模板_2G BSS BoQ_Book2 3 2" xfId="3353" xr:uid="{00000000-0005-0000-0000-000030150000}"/>
    <cellStyle name="_基站模板_2G BSS BoQ_Book2 4" xfId="3354" xr:uid="{00000000-0005-0000-0000-000031150000}"/>
    <cellStyle name="_基站模板_2G BSS BoQ_Revised 2G_BoQ" xfId="3355" xr:uid="{00000000-0005-0000-0000-000032150000}"/>
    <cellStyle name="_基站模板_2G BSS BoQ_Revised 2G_BoQ 2" xfId="3356" xr:uid="{00000000-0005-0000-0000-000033150000}"/>
    <cellStyle name="_基站模板_2G BSS BoQ_Revised 2G_BoQ 2 2" xfId="3357" xr:uid="{00000000-0005-0000-0000-000034150000}"/>
    <cellStyle name="_基站模板_2G BSS BoQ_Revised 2G_BoQ 3" xfId="3358" xr:uid="{00000000-0005-0000-0000-000035150000}"/>
    <cellStyle name="_基站模板_2G BSS BoQ_Revised 2G_BoQ 3 2" xfId="3359" xr:uid="{00000000-0005-0000-0000-000036150000}"/>
    <cellStyle name="_基站模板_2G BSS BoQ_Revised 2G_BoQ 4" xfId="3360" xr:uid="{00000000-0005-0000-0000-000037150000}"/>
    <cellStyle name="_基站模板_2G BSS BoQ_Revised 2G_BoQ P03 Model" xfId="3361" xr:uid="{00000000-0005-0000-0000-000038150000}"/>
    <cellStyle name="_基站模板_2G BSS BoQ_Revised 2G_BoQ P03 Model 2" xfId="3362" xr:uid="{00000000-0005-0000-0000-000039150000}"/>
    <cellStyle name="_基站模板_2G BSS BoQ_Revised 2G_BoQ P03 Model 2 2" xfId="3363" xr:uid="{00000000-0005-0000-0000-00003A150000}"/>
    <cellStyle name="_基站模板_2G BSS BoQ_Revised 2G_BoQ P03 Model 3" xfId="3364" xr:uid="{00000000-0005-0000-0000-00003B150000}"/>
    <cellStyle name="_基站模板_2G BSS BoQ_Revised 2G_BoQ P03 Model 3 2" xfId="3365" xr:uid="{00000000-0005-0000-0000-00003C150000}"/>
    <cellStyle name="_基站模板_2G BSS BoQ_Revised 2G_BoQ P03 Model 4" xfId="3366" xr:uid="{00000000-0005-0000-0000-00003D150000}"/>
    <cellStyle name="_基站模板_2G BSS BoQ_服务文件Benchmark V13(for Customer)" xfId="3367" xr:uid="{00000000-0005-0000-0000-00003E150000}"/>
    <cellStyle name="_基站模板_2G BSS BoQ_服务文件Benchmark V13(for Customer) 2" xfId="3368" xr:uid="{00000000-0005-0000-0000-00003F150000}"/>
    <cellStyle name="_基站模板_2G BSS BoQ_服务文件Benchmark V13(for Customer) 2 2" xfId="3369" xr:uid="{00000000-0005-0000-0000-000040150000}"/>
    <cellStyle name="_基站模板_2G BSS BoQ_服务文件Benchmark V13(for Customer) 3" xfId="3370" xr:uid="{00000000-0005-0000-0000-000041150000}"/>
    <cellStyle name="_基站模板_2G BSS BoQ_服务文件Benchmark V13(for Customer) 3 2" xfId="3371" xr:uid="{00000000-0005-0000-0000-000042150000}"/>
    <cellStyle name="_基站模板_2G BSS BoQ_服务文件Benchmark V13(for Customer) 4" xfId="3372" xr:uid="{00000000-0005-0000-0000-000043150000}"/>
    <cellStyle name="_基站模板_2G BSS BoQ_服务文件Benchmark V5" xfId="3373" xr:uid="{00000000-0005-0000-0000-000044150000}"/>
    <cellStyle name="_基站模板_2G BSS BoQ_服务文件Benchmark V5 2" xfId="3374" xr:uid="{00000000-0005-0000-0000-000045150000}"/>
    <cellStyle name="_基站模板_2G BSS BoQ_服务文件Benchmark V5 2 2" xfId="3375" xr:uid="{00000000-0005-0000-0000-000046150000}"/>
    <cellStyle name="_基站模板_2G BSS BoQ_服务文件Benchmark V5 3" xfId="3376" xr:uid="{00000000-0005-0000-0000-000047150000}"/>
    <cellStyle name="_基站模板_2G BSS BoQ_服务文件Benchmark V5 3 2" xfId="3377" xr:uid="{00000000-0005-0000-0000-000048150000}"/>
    <cellStyle name="_基站模板_2G BSS BoQ_服务文件Benchmark V5 4" xfId="3378" xr:uid="{00000000-0005-0000-0000-000049150000}"/>
    <cellStyle name="_基站模板_2G Core BoQ" xfId="3379" xr:uid="{00000000-0005-0000-0000-00004A150000}"/>
    <cellStyle name="_基站模板_2G Core BoQ 2" xfId="3380" xr:uid="{00000000-0005-0000-0000-00004B150000}"/>
    <cellStyle name="_基站模板_2G Core BoQ 2 2" xfId="3381" xr:uid="{00000000-0005-0000-0000-00004C150000}"/>
    <cellStyle name="_基站模板_2G Core BoQ 3" xfId="3382" xr:uid="{00000000-0005-0000-0000-00004D150000}"/>
    <cellStyle name="_基站模板_2G Core BoQ 3 2" xfId="3383" xr:uid="{00000000-0005-0000-0000-00004E150000}"/>
    <cellStyle name="_基站模板_2G Core BoQ 4" xfId="3384" xr:uid="{00000000-0005-0000-0000-00004F150000}"/>
    <cellStyle name="_基站模板_2G Core BoQ_2G service V5" xfId="3385" xr:uid="{00000000-0005-0000-0000-000050150000}"/>
    <cellStyle name="_基站模板_2G Core BoQ_2G service V5 2" xfId="3386" xr:uid="{00000000-0005-0000-0000-000051150000}"/>
    <cellStyle name="_基站模板_2G Core BoQ_2G service V5 2 2" xfId="3387" xr:uid="{00000000-0005-0000-0000-000052150000}"/>
    <cellStyle name="_基站模板_2G Core BoQ_2G service V5 3" xfId="3388" xr:uid="{00000000-0005-0000-0000-000053150000}"/>
    <cellStyle name="_基站模板_2G Core BoQ_2G service V5 3 2" xfId="3389" xr:uid="{00000000-0005-0000-0000-000054150000}"/>
    <cellStyle name="_基站模板_2G Core BoQ_2G service V5 4" xfId="3390" xr:uid="{00000000-0005-0000-0000-000055150000}"/>
    <cellStyle name="_基站模板_2G Core BoQ_2G Service(20071104)benchmark" xfId="3391" xr:uid="{00000000-0005-0000-0000-000056150000}"/>
    <cellStyle name="_基站模板_2G Core BoQ_2G Service(20071104)benchmark 2" xfId="3392" xr:uid="{00000000-0005-0000-0000-000057150000}"/>
    <cellStyle name="_基站模板_2G Core BoQ_2G Service(20071104)benchmark 2 2" xfId="3393" xr:uid="{00000000-0005-0000-0000-000058150000}"/>
    <cellStyle name="_基站模板_2G Core BoQ_2G Service(20071104)benchmark 3" xfId="3394" xr:uid="{00000000-0005-0000-0000-000059150000}"/>
    <cellStyle name="_基站模板_2G Core BoQ_2G Service(20071104)benchmark 3 2" xfId="3395" xr:uid="{00000000-0005-0000-0000-00005A150000}"/>
    <cellStyle name="_基站模板_2G Core BoQ_2G Service(20071104)benchmark 4" xfId="3396" xr:uid="{00000000-0005-0000-0000-00005B150000}"/>
    <cellStyle name="_基站模板_2G Core BoQ_2G_BoQ" xfId="3397" xr:uid="{00000000-0005-0000-0000-00005C150000}"/>
    <cellStyle name="_基站模板_2G Core BoQ_2G_BoQ 2" xfId="3398" xr:uid="{00000000-0005-0000-0000-00005D150000}"/>
    <cellStyle name="_基站模板_2G Core BoQ_2G_BoQ 2 2" xfId="3399" xr:uid="{00000000-0005-0000-0000-00005E150000}"/>
    <cellStyle name="_基站模板_2G Core BoQ_2G_BoQ 3" xfId="3400" xr:uid="{00000000-0005-0000-0000-00005F150000}"/>
    <cellStyle name="_基站模板_2G Core BoQ_2G_BoQ 3 2" xfId="3401" xr:uid="{00000000-0005-0000-0000-000060150000}"/>
    <cellStyle name="_基站模板_2G Core BoQ_2G_BoQ 4" xfId="3402" xr:uid="{00000000-0005-0000-0000-000061150000}"/>
    <cellStyle name="_基站模板_2G Core BoQ_2G_BoQ Apple2" xfId="3403" xr:uid="{00000000-0005-0000-0000-000062150000}"/>
    <cellStyle name="_基站模板_2G Core BoQ_2G_BoQ Apple2 2" xfId="3404" xr:uid="{00000000-0005-0000-0000-000063150000}"/>
    <cellStyle name="_基站模板_2G Core BoQ_2G_BoQ Apple2 2 2" xfId="3405" xr:uid="{00000000-0005-0000-0000-000064150000}"/>
    <cellStyle name="_基站模板_2G Core BoQ_2G_BoQ Apple2 3" xfId="3406" xr:uid="{00000000-0005-0000-0000-000065150000}"/>
    <cellStyle name="_基站模板_2G Core BoQ_2G_BoQ Apple2 3 2" xfId="3407" xr:uid="{00000000-0005-0000-0000-000066150000}"/>
    <cellStyle name="_基站模板_2G Core BoQ_2G_BoQ Apple2 4" xfId="3408" xr:uid="{00000000-0005-0000-0000-000067150000}"/>
    <cellStyle name="_基站模板_2G Core BoQ_2G_BoQ Model" xfId="3409" xr:uid="{00000000-0005-0000-0000-000068150000}"/>
    <cellStyle name="_基站模板_2G Core BoQ_2G_BoQ Model 2" xfId="3410" xr:uid="{00000000-0005-0000-0000-000069150000}"/>
    <cellStyle name="_基站模板_2G Core BoQ_2G_BoQ Model 2 2" xfId="3411" xr:uid="{00000000-0005-0000-0000-00006A150000}"/>
    <cellStyle name="_基站模板_2G Core BoQ_2G_BoQ Model 3" xfId="3412" xr:uid="{00000000-0005-0000-0000-00006B150000}"/>
    <cellStyle name="_基站模板_2G Core BoQ_2G_BoQ Model 3 2" xfId="3413" xr:uid="{00000000-0005-0000-0000-00006C150000}"/>
    <cellStyle name="_基站模板_2G Core BoQ_2G_BoQ Model 4" xfId="3414" xr:uid="{00000000-0005-0000-0000-00006D150000}"/>
    <cellStyle name="_基站模板_2G Core BoQ_2G_BoQ P03 Model" xfId="3415" xr:uid="{00000000-0005-0000-0000-00006E150000}"/>
    <cellStyle name="_基站模板_2G Core BoQ_2G_BoQ P03 Model 2" xfId="3416" xr:uid="{00000000-0005-0000-0000-00006F150000}"/>
    <cellStyle name="_基站模板_2G Core BoQ_2G_BoQ P03 Model 2 2" xfId="3417" xr:uid="{00000000-0005-0000-0000-000070150000}"/>
    <cellStyle name="_基站模板_2G Core BoQ_2G_BoQ P03 Model 3" xfId="3418" xr:uid="{00000000-0005-0000-0000-000071150000}"/>
    <cellStyle name="_基站模板_2G Core BoQ_2G_BoQ P03 Model 3 2" xfId="3419" xr:uid="{00000000-0005-0000-0000-000072150000}"/>
    <cellStyle name="_基站模板_2G Core BoQ_2G_BoQ P03 Model 4" xfId="3420" xr:uid="{00000000-0005-0000-0000-000073150000}"/>
    <cellStyle name="_基站模板_2G Core BoQ_2G_BoQ v2" xfId="3421" xr:uid="{00000000-0005-0000-0000-000074150000}"/>
    <cellStyle name="_基站模板_2G Core BoQ_2G_BoQ v2 2" xfId="3422" xr:uid="{00000000-0005-0000-0000-000075150000}"/>
    <cellStyle name="_基站模板_2G Core BoQ_2G_BoQ v2 2 2" xfId="3423" xr:uid="{00000000-0005-0000-0000-000076150000}"/>
    <cellStyle name="_基站模板_2G Core BoQ_2G_BoQ v2 3" xfId="3424" xr:uid="{00000000-0005-0000-0000-000077150000}"/>
    <cellStyle name="_基站模板_2G Core BoQ_2G_BoQ v2 3 2" xfId="3425" xr:uid="{00000000-0005-0000-0000-000078150000}"/>
    <cellStyle name="_基站模板_2G Core BoQ_2G_BoQ v2 4" xfId="3426" xr:uid="{00000000-0005-0000-0000-000079150000}"/>
    <cellStyle name="_基站模板_2G Core BoQ_2G_BoQ_v2" xfId="3427" xr:uid="{00000000-0005-0000-0000-00007A150000}"/>
    <cellStyle name="_基站模板_2G Core BoQ_2G_BoQ_v2 2" xfId="3428" xr:uid="{00000000-0005-0000-0000-00007B150000}"/>
    <cellStyle name="_基站模板_2G Core BoQ_2G_BoQ_v2 2 2" xfId="3429" xr:uid="{00000000-0005-0000-0000-00007C150000}"/>
    <cellStyle name="_基站模板_2G Core BoQ_2G_BoQ_v2 3" xfId="3430" xr:uid="{00000000-0005-0000-0000-00007D150000}"/>
    <cellStyle name="_基站模板_2G Core BoQ_2G_BoQ_v2 3 2" xfId="3431" xr:uid="{00000000-0005-0000-0000-00007E150000}"/>
    <cellStyle name="_基站模板_2G Core BoQ_2G_BoQ_v2 4" xfId="3432" xr:uid="{00000000-0005-0000-0000-00007F150000}"/>
    <cellStyle name="_基站模板_2G Core BoQ_Book2" xfId="3433" xr:uid="{00000000-0005-0000-0000-000080150000}"/>
    <cellStyle name="_基站模板_2G Core BoQ_Book2 2" xfId="3434" xr:uid="{00000000-0005-0000-0000-000081150000}"/>
    <cellStyle name="_基站模板_2G Core BoQ_Book2 2 2" xfId="3435" xr:uid="{00000000-0005-0000-0000-000082150000}"/>
    <cellStyle name="_基站模板_2G Core BoQ_Book2 3" xfId="3436" xr:uid="{00000000-0005-0000-0000-000083150000}"/>
    <cellStyle name="_基站模板_2G Core BoQ_Book2 3 2" xfId="3437" xr:uid="{00000000-0005-0000-0000-000084150000}"/>
    <cellStyle name="_基站模板_2G Core BoQ_Book2 4" xfId="3438" xr:uid="{00000000-0005-0000-0000-000085150000}"/>
    <cellStyle name="_基站模板_2G Core BoQ_Revised 2G_BoQ" xfId="3439" xr:uid="{00000000-0005-0000-0000-000086150000}"/>
    <cellStyle name="_基站模板_2G Core BoQ_Revised 2G_BoQ 2" xfId="3440" xr:uid="{00000000-0005-0000-0000-000087150000}"/>
    <cellStyle name="_基站模板_2G Core BoQ_Revised 2G_BoQ 2 2" xfId="3441" xr:uid="{00000000-0005-0000-0000-000088150000}"/>
    <cellStyle name="_基站模板_2G Core BoQ_Revised 2G_BoQ 3" xfId="3442" xr:uid="{00000000-0005-0000-0000-000089150000}"/>
    <cellStyle name="_基站模板_2G Core BoQ_Revised 2G_BoQ 3 2" xfId="3443" xr:uid="{00000000-0005-0000-0000-00008A150000}"/>
    <cellStyle name="_基站模板_2G Core BoQ_Revised 2G_BoQ 4" xfId="3444" xr:uid="{00000000-0005-0000-0000-00008B150000}"/>
    <cellStyle name="_基站模板_2G Core BoQ_Revised 2G_BoQ P03 Model" xfId="3445" xr:uid="{00000000-0005-0000-0000-00008C150000}"/>
    <cellStyle name="_基站模板_2G Core BoQ_Revised 2G_BoQ P03 Model 2" xfId="3446" xr:uid="{00000000-0005-0000-0000-00008D150000}"/>
    <cellStyle name="_基站模板_2G Core BoQ_Revised 2G_BoQ P03 Model 2 2" xfId="3447" xr:uid="{00000000-0005-0000-0000-00008E150000}"/>
    <cellStyle name="_基站模板_2G Core BoQ_Revised 2G_BoQ P03 Model 3" xfId="3448" xr:uid="{00000000-0005-0000-0000-00008F150000}"/>
    <cellStyle name="_基站模板_2G Core BoQ_Revised 2G_BoQ P03 Model 3 2" xfId="3449" xr:uid="{00000000-0005-0000-0000-000090150000}"/>
    <cellStyle name="_基站模板_2G Core BoQ_Revised 2G_BoQ P03 Model 4" xfId="3450" xr:uid="{00000000-0005-0000-0000-000091150000}"/>
    <cellStyle name="_基站模板_2G Core BoQ_服务文件Benchmark V13(for Customer)" xfId="3451" xr:uid="{00000000-0005-0000-0000-000092150000}"/>
    <cellStyle name="_基站模板_2G Core BoQ_服务文件Benchmark V13(for Customer) 2" xfId="3452" xr:uid="{00000000-0005-0000-0000-000093150000}"/>
    <cellStyle name="_基站模板_2G Core BoQ_服务文件Benchmark V13(for Customer) 2 2" xfId="3453" xr:uid="{00000000-0005-0000-0000-000094150000}"/>
    <cellStyle name="_基站模板_2G Core BoQ_服务文件Benchmark V13(for Customer) 3" xfId="3454" xr:uid="{00000000-0005-0000-0000-000095150000}"/>
    <cellStyle name="_基站模板_2G Core BoQ_服务文件Benchmark V13(for Customer) 3 2" xfId="3455" xr:uid="{00000000-0005-0000-0000-000096150000}"/>
    <cellStyle name="_基站模板_2G Core BoQ_服务文件Benchmark V13(for Customer) 4" xfId="3456" xr:uid="{00000000-0005-0000-0000-000097150000}"/>
    <cellStyle name="_基站模板_2G Core BoQ_服务文件Benchmark V5" xfId="3457" xr:uid="{00000000-0005-0000-0000-000098150000}"/>
    <cellStyle name="_基站模板_2G Core BoQ_服务文件Benchmark V5 2" xfId="3458" xr:uid="{00000000-0005-0000-0000-000099150000}"/>
    <cellStyle name="_基站模板_2G Core BoQ_服务文件Benchmark V5 2 2" xfId="3459" xr:uid="{00000000-0005-0000-0000-00009A150000}"/>
    <cellStyle name="_基站模板_2G Core BoQ_服务文件Benchmark V5 3" xfId="3460" xr:uid="{00000000-0005-0000-0000-00009B150000}"/>
    <cellStyle name="_基站模板_2G Core BoQ_服务文件Benchmark V5 3 2" xfId="3461" xr:uid="{00000000-0005-0000-0000-00009C150000}"/>
    <cellStyle name="_基站模板_2G Core BoQ_服务文件Benchmark V5 4" xfId="3462" xr:uid="{00000000-0005-0000-0000-00009D150000}"/>
    <cellStyle name="_基站模板_2G Core BoQ1" xfId="3463" xr:uid="{00000000-0005-0000-0000-00009E150000}"/>
    <cellStyle name="_基站模板_2G Core BoQ1 2" xfId="3464" xr:uid="{00000000-0005-0000-0000-00009F150000}"/>
    <cellStyle name="_基站模板_2G Core BoQ1 2 2" xfId="3465" xr:uid="{00000000-0005-0000-0000-0000A0150000}"/>
    <cellStyle name="_基站模板_2G Core BoQ1 3" xfId="3466" xr:uid="{00000000-0005-0000-0000-0000A1150000}"/>
    <cellStyle name="_基站模板_2G Core BoQ1 3 2" xfId="3467" xr:uid="{00000000-0005-0000-0000-0000A2150000}"/>
    <cellStyle name="_基站模板_2G Core BoQ1 4" xfId="3468" xr:uid="{00000000-0005-0000-0000-0000A3150000}"/>
    <cellStyle name="_基站模板_2G Core BoQ1_2G service V5" xfId="3469" xr:uid="{00000000-0005-0000-0000-0000A4150000}"/>
    <cellStyle name="_基站模板_2G Core BoQ1_2G service V5 2" xfId="3470" xr:uid="{00000000-0005-0000-0000-0000A5150000}"/>
    <cellStyle name="_基站模板_2G Core BoQ1_2G service V5 2 2" xfId="3471" xr:uid="{00000000-0005-0000-0000-0000A6150000}"/>
    <cellStyle name="_基站模板_2G Core BoQ1_2G service V5 3" xfId="3472" xr:uid="{00000000-0005-0000-0000-0000A7150000}"/>
    <cellStyle name="_基站模板_2G Core BoQ1_2G service V5 3 2" xfId="3473" xr:uid="{00000000-0005-0000-0000-0000A8150000}"/>
    <cellStyle name="_基站模板_2G Core BoQ1_2G service V5 4" xfId="3474" xr:uid="{00000000-0005-0000-0000-0000A9150000}"/>
    <cellStyle name="_基站模板_2G Core BoQ1_2G Service(20071104)benchmark" xfId="3475" xr:uid="{00000000-0005-0000-0000-0000AA150000}"/>
    <cellStyle name="_基站模板_2G Core BoQ1_2G Service(20071104)benchmark 2" xfId="3476" xr:uid="{00000000-0005-0000-0000-0000AB150000}"/>
    <cellStyle name="_基站模板_2G Core BoQ1_2G Service(20071104)benchmark 2 2" xfId="3477" xr:uid="{00000000-0005-0000-0000-0000AC150000}"/>
    <cellStyle name="_基站模板_2G Core BoQ1_2G Service(20071104)benchmark 3" xfId="3478" xr:uid="{00000000-0005-0000-0000-0000AD150000}"/>
    <cellStyle name="_基站模板_2G Core BoQ1_2G Service(20071104)benchmark 3 2" xfId="3479" xr:uid="{00000000-0005-0000-0000-0000AE150000}"/>
    <cellStyle name="_基站模板_2G Core BoQ1_2G Service(20071104)benchmark 4" xfId="3480" xr:uid="{00000000-0005-0000-0000-0000AF150000}"/>
    <cellStyle name="_基站模板_2G Core BoQ1_2G_BoQ" xfId="3481" xr:uid="{00000000-0005-0000-0000-0000B0150000}"/>
    <cellStyle name="_基站模板_2G Core BoQ1_2G_BoQ 2" xfId="3482" xr:uid="{00000000-0005-0000-0000-0000B1150000}"/>
    <cellStyle name="_基站模板_2G Core BoQ1_2G_BoQ 2 2" xfId="3483" xr:uid="{00000000-0005-0000-0000-0000B2150000}"/>
    <cellStyle name="_基站模板_2G Core BoQ1_2G_BoQ 3" xfId="3484" xr:uid="{00000000-0005-0000-0000-0000B3150000}"/>
    <cellStyle name="_基站模板_2G Core BoQ1_2G_BoQ 3 2" xfId="3485" xr:uid="{00000000-0005-0000-0000-0000B4150000}"/>
    <cellStyle name="_基站模板_2G Core BoQ1_2G_BoQ 4" xfId="3486" xr:uid="{00000000-0005-0000-0000-0000B5150000}"/>
    <cellStyle name="_基站模板_2G Core BoQ1_2G_BoQ Apple2" xfId="3487" xr:uid="{00000000-0005-0000-0000-0000B6150000}"/>
    <cellStyle name="_基站模板_2G Core BoQ1_2G_BoQ Apple2 2" xfId="3488" xr:uid="{00000000-0005-0000-0000-0000B7150000}"/>
    <cellStyle name="_基站模板_2G Core BoQ1_2G_BoQ Apple2 2 2" xfId="3489" xr:uid="{00000000-0005-0000-0000-0000B8150000}"/>
    <cellStyle name="_基站模板_2G Core BoQ1_2G_BoQ Apple2 3" xfId="3490" xr:uid="{00000000-0005-0000-0000-0000B9150000}"/>
    <cellStyle name="_基站模板_2G Core BoQ1_2G_BoQ Apple2 3 2" xfId="3491" xr:uid="{00000000-0005-0000-0000-0000BA150000}"/>
    <cellStyle name="_基站模板_2G Core BoQ1_2G_BoQ Apple2 4" xfId="3492" xr:uid="{00000000-0005-0000-0000-0000BB150000}"/>
    <cellStyle name="_基站模板_2G Core BoQ1_2G_BoQ Model" xfId="3493" xr:uid="{00000000-0005-0000-0000-0000BC150000}"/>
    <cellStyle name="_基站模板_2G Core BoQ1_2G_BoQ Model 2" xfId="3494" xr:uid="{00000000-0005-0000-0000-0000BD150000}"/>
    <cellStyle name="_基站模板_2G Core BoQ1_2G_BoQ Model 2 2" xfId="3495" xr:uid="{00000000-0005-0000-0000-0000BE150000}"/>
    <cellStyle name="_基站模板_2G Core BoQ1_2G_BoQ Model 3" xfId="3496" xr:uid="{00000000-0005-0000-0000-0000BF150000}"/>
    <cellStyle name="_基站模板_2G Core BoQ1_2G_BoQ Model 3 2" xfId="3497" xr:uid="{00000000-0005-0000-0000-0000C0150000}"/>
    <cellStyle name="_基站模板_2G Core BoQ1_2G_BoQ Model 4" xfId="3498" xr:uid="{00000000-0005-0000-0000-0000C1150000}"/>
    <cellStyle name="_基站模板_2G Core BoQ1_2G_BoQ P03 Model" xfId="3499" xr:uid="{00000000-0005-0000-0000-0000C2150000}"/>
    <cellStyle name="_基站模板_2G Core BoQ1_2G_BoQ P03 Model 2" xfId="3500" xr:uid="{00000000-0005-0000-0000-0000C3150000}"/>
    <cellStyle name="_基站模板_2G Core BoQ1_2G_BoQ P03 Model 2 2" xfId="3501" xr:uid="{00000000-0005-0000-0000-0000C4150000}"/>
    <cellStyle name="_基站模板_2G Core BoQ1_2G_BoQ P03 Model 3" xfId="3502" xr:uid="{00000000-0005-0000-0000-0000C5150000}"/>
    <cellStyle name="_基站模板_2G Core BoQ1_2G_BoQ P03 Model 3 2" xfId="3503" xr:uid="{00000000-0005-0000-0000-0000C6150000}"/>
    <cellStyle name="_基站模板_2G Core BoQ1_2G_BoQ P03 Model 4" xfId="3504" xr:uid="{00000000-0005-0000-0000-0000C7150000}"/>
    <cellStyle name="_基站模板_2G Core BoQ1_2G_BoQ v2" xfId="3505" xr:uid="{00000000-0005-0000-0000-0000C8150000}"/>
    <cellStyle name="_基站模板_2G Core BoQ1_2G_BoQ v2 2" xfId="3506" xr:uid="{00000000-0005-0000-0000-0000C9150000}"/>
    <cellStyle name="_基站模板_2G Core BoQ1_2G_BoQ v2 2 2" xfId="3507" xr:uid="{00000000-0005-0000-0000-0000CA150000}"/>
    <cellStyle name="_基站模板_2G Core BoQ1_2G_BoQ v2 3" xfId="3508" xr:uid="{00000000-0005-0000-0000-0000CB150000}"/>
    <cellStyle name="_基站模板_2G Core BoQ1_2G_BoQ v2 3 2" xfId="3509" xr:uid="{00000000-0005-0000-0000-0000CC150000}"/>
    <cellStyle name="_基站模板_2G Core BoQ1_2G_BoQ v2 4" xfId="3510" xr:uid="{00000000-0005-0000-0000-0000CD150000}"/>
    <cellStyle name="_基站模板_2G Core BoQ1_2G_BoQ_v2" xfId="3511" xr:uid="{00000000-0005-0000-0000-0000CE150000}"/>
    <cellStyle name="_基站模板_2G Core BoQ1_2G_BoQ_v2 2" xfId="3512" xr:uid="{00000000-0005-0000-0000-0000CF150000}"/>
    <cellStyle name="_基站模板_2G Core BoQ1_2G_BoQ_v2 2 2" xfId="3513" xr:uid="{00000000-0005-0000-0000-0000D0150000}"/>
    <cellStyle name="_基站模板_2G Core BoQ1_2G_BoQ_v2 3" xfId="3514" xr:uid="{00000000-0005-0000-0000-0000D1150000}"/>
    <cellStyle name="_基站模板_2G Core BoQ1_2G_BoQ_v2 3 2" xfId="3515" xr:uid="{00000000-0005-0000-0000-0000D2150000}"/>
    <cellStyle name="_基站模板_2G Core BoQ1_2G_BoQ_v2 4" xfId="3516" xr:uid="{00000000-0005-0000-0000-0000D3150000}"/>
    <cellStyle name="_基站模板_2G Core BoQ1_Book2" xfId="3517" xr:uid="{00000000-0005-0000-0000-0000D4150000}"/>
    <cellStyle name="_基站模板_2G Core BoQ1_Book2 2" xfId="3518" xr:uid="{00000000-0005-0000-0000-0000D5150000}"/>
    <cellStyle name="_基站模板_2G Core BoQ1_Book2 2 2" xfId="3519" xr:uid="{00000000-0005-0000-0000-0000D6150000}"/>
    <cellStyle name="_基站模板_2G Core BoQ1_Book2 3" xfId="3520" xr:uid="{00000000-0005-0000-0000-0000D7150000}"/>
    <cellStyle name="_基站模板_2G Core BoQ1_Book2 3 2" xfId="3521" xr:uid="{00000000-0005-0000-0000-0000D8150000}"/>
    <cellStyle name="_基站模板_2G Core BoQ1_Book2 4" xfId="3522" xr:uid="{00000000-0005-0000-0000-0000D9150000}"/>
    <cellStyle name="_基站模板_2G Core BoQ1_Revised 2G_BoQ" xfId="3523" xr:uid="{00000000-0005-0000-0000-0000DA150000}"/>
    <cellStyle name="_基站模板_2G Core BoQ1_Revised 2G_BoQ 2" xfId="3524" xr:uid="{00000000-0005-0000-0000-0000DB150000}"/>
    <cellStyle name="_基站模板_2G Core BoQ1_Revised 2G_BoQ 2 2" xfId="3525" xr:uid="{00000000-0005-0000-0000-0000DC150000}"/>
    <cellStyle name="_基站模板_2G Core BoQ1_Revised 2G_BoQ 3" xfId="3526" xr:uid="{00000000-0005-0000-0000-0000DD150000}"/>
    <cellStyle name="_基站模板_2G Core BoQ1_Revised 2G_BoQ 3 2" xfId="3527" xr:uid="{00000000-0005-0000-0000-0000DE150000}"/>
    <cellStyle name="_基站模板_2G Core BoQ1_Revised 2G_BoQ 4" xfId="3528" xr:uid="{00000000-0005-0000-0000-0000DF150000}"/>
    <cellStyle name="_基站模板_2G Core BoQ1_Revised 2G_BoQ P03 Model" xfId="3529" xr:uid="{00000000-0005-0000-0000-0000E0150000}"/>
    <cellStyle name="_基站模板_2G Core BoQ1_Revised 2G_BoQ P03 Model 2" xfId="3530" xr:uid="{00000000-0005-0000-0000-0000E1150000}"/>
    <cellStyle name="_基站模板_2G Core BoQ1_Revised 2G_BoQ P03 Model 2 2" xfId="3531" xr:uid="{00000000-0005-0000-0000-0000E2150000}"/>
    <cellStyle name="_基站模板_2G Core BoQ1_Revised 2G_BoQ P03 Model 3" xfId="3532" xr:uid="{00000000-0005-0000-0000-0000E3150000}"/>
    <cellStyle name="_基站模板_2G Core BoQ1_Revised 2G_BoQ P03 Model 3 2" xfId="3533" xr:uid="{00000000-0005-0000-0000-0000E4150000}"/>
    <cellStyle name="_基站模板_2G Core BoQ1_Revised 2G_BoQ P03 Model 4" xfId="3534" xr:uid="{00000000-0005-0000-0000-0000E5150000}"/>
    <cellStyle name="_基站模板_2G Core BoQ1_服务文件Benchmark V13(for Customer)" xfId="3535" xr:uid="{00000000-0005-0000-0000-0000E6150000}"/>
    <cellStyle name="_基站模板_2G Core BoQ1_服务文件Benchmark V13(for Customer) 2" xfId="3536" xr:uid="{00000000-0005-0000-0000-0000E7150000}"/>
    <cellStyle name="_基站模板_2G Core BoQ1_服务文件Benchmark V13(for Customer) 2 2" xfId="3537" xr:uid="{00000000-0005-0000-0000-0000E8150000}"/>
    <cellStyle name="_基站模板_2G Core BoQ1_服务文件Benchmark V13(for Customer) 3" xfId="3538" xr:uid="{00000000-0005-0000-0000-0000E9150000}"/>
    <cellStyle name="_基站模板_2G Core BoQ1_服务文件Benchmark V13(for Customer) 3 2" xfId="3539" xr:uid="{00000000-0005-0000-0000-0000EA150000}"/>
    <cellStyle name="_基站模板_2G Core BoQ1_服务文件Benchmark V13(for Customer) 4" xfId="3540" xr:uid="{00000000-0005-0000-0000-0000EB150000}"/>
    <cellStyle name="_基站模板_2G Core BoQ1_服务文件Benchmark V5" xfId="3541" xr:uid="{00000000-0005-0000-0000-0000EC150000}"/>
    <cellStyle name="_基站模板_2G Core BoQ1_服务文件Benchmark V5 2" xfId="3542" xr:uid="{00000000-0005-0000-0000-0000ED150000}"/>
    <cellStyle name="_基站模板_2G Core BoQ1_服务文件Benchmark V5 2 2" xfId="3543" xr:uid="{00000000-0005-0000-0000-0000EE150000}"/>
    <cellStyle name="_基站模板_2G Core BoQ1_服务文件Benchmark V5 3" xfId="3544" xr:uid="{00000000-0005-0000-0000-0000EF150000}"/>
    <cellStyle name="_基站模板_2G Core BoQ1_服务文件Benchmark V5 3 2" xfId="3545" xr:uid="{00000000-0005-0000-0000-0000F0150000}"/>
    <cellStyle name="_基站模板_2G Core BoQ1_服务文件Benchmark V5 4" xfId="3546" xr:uid="{00000000-0005-0000-0000-0000F1150000}"/>
    <cellStyle name="_基站模板_2G Service BoQ" xfId="3547" xr:uid="{00000000-0005-0000-0000-0000F2150000}"/>
    <cellStyle name="_基站模板_2G Service BoQ 2" xfId="3548" xr:uid="{00000000-0005-0000-0000-0000F3150000}"/>
    <cellStyle name="_基站模板_2G Service BoQ 2 2" xfId="3549" xr:uid="{00000000-0005-0000-0000-0000F4150000}"/>
    <cellStyle name="_基站模板_2G Service BoQ 3" xfId="3550" xr:uid="{00000000-0005-0000-0000-0000F5150000}"/>
    <cellStyle name="_基站模板_2G Service BoQ 3 2" xfId="3551" xr:uid="{00000000-0005-0000-0000-0000F6150000}"/>
    <cellStyle name="_基站模板_2G Service BoQ 4" xfId="3552" xr:uid="{00000000-0005-0000-0000-0000F7150000}"/>
    <cellStyle name="_基站模板_2G Service BoQ_2G service V5" xfId="3553" xr:uid="{00000000-0005-0000-0000-0000F8150000}"/>
    <cellStyle name="_基站模板_2G Service BoQ_2G service V5 2" xfId="3554" xr:uid="{00000000-0005-0000-0000-0000F9150000}"/>
    <cellStyle name="_基站模板_2G Service BoQ_2G service V5 2 2" xfId="3555" xr:uid="{00000000-0005-0000-0000-0000FA150000}"/>
    <cellStyle name="_基站模板_2G Service BoQ_2G service V5 3" xfId="3556" xr:uid="{00000000-0005-0000-0000-0000FB150000}"/>
    <cellStyle name="_基站模板_2G Service BoQ_2G service V5 3 2" xfId="3557" xr:uid="{00000000-0005-0000-0000-0000FC150000}"/>
    <cellStyle name="_基站模板_2G Service BoQ_2G service V5 4" xfId="3558" xr:uid="{00000000-0005-0000-0000-0000FD150000}"/>
    <cellStyle name="_基站模板_2G Service BoQ_2G Service(20071104)benchmark" xfId="3559" xr:uid="{00000000-0005-0000-0000-0000FE150000}"/>
    <cellStyle name="_基站模板_2G Service BoQ_2G Service(20071104)benchmark 2" xfId="3560" xr:uid="{00000000-0005-0000-0000-0000FF150000}"/>
    <cellStyle name="_基站模板_2G Service BoQ_2G Service(20071104)benchmark 2 2" xfId="3561" xr:uid="{00000000-0005-0000-0000-000000160000}"/>
    <cellStyle name="_基站模板_2G Service BoQ_2G Service(20071104)benchmark 3" xfId="3562" xr:uid="{00000000-0005-0000-0000-000001160000}"/>
    <cellStyle name="_基站模板_2G Service BoQ_2G Service(20071104)benchmark 3 2" xfId="3563" xr:uid="{00000000-0005-0000-0000-000002160000}"/>
    <cellStyle name="_基站模板_2G Service BoQ_2G Service(20071104)benchmark 4" xfId="3564" xr:uid="{00000000-0005-0000-0000-000003160000}"/>
    <cellStyle name="_基站模板_2G Service BoQ_2G_BoQ" xfId="3565" xr:uid="{00000000-0005-0000-0000-000004160000}"/>
    <cellStyle name="_基站模板_2G Service BoQ_2G_BoQ 2" xfId="3566" xr:uid="{00000000-0005-0000-0000-000005160000}"/>
    <cellStyle name="_基站模板_2G Service BoQ_2G_BoQ 2 2" xfId="3567" xr:uid="{00000000-0005-0000-0000-000006160000}"/>
    <cellStyle name="_基站模板_2G Service BoQ_2G_BoQ 3" xfId="3568" xr:uid="{00000000-0005-0000-0000-000007160000}"/>
    <cellStyle name="_基站模板_2G Service BoQ_2G_BoQ 3 2" xfId="3569" xr:uid="{00000000-0005-0000-0000-000008160000}"/>
    <cellStyle name="_基站模板_2G Service BoQ_2G_BoQ 4" xfId="3570" xr:uid="{00000000-0005-0000-0000-000009160000}"/>
    <cellStyle name="_基站模板_2G Service BoQ_2G_BoQ Apple2" xfId="3571" xr:uid="{00000000-0005-0000-0000-00000A160000}"/>
    <cellStyle name="_基站模板_2G Service BoQ_2G_BoQ Apple2 2" xfId="3572" xr:uid="{00000000-0005-0000-0000-00000B160000}"/>
    <cellStyle name="_基站模板_2G Service BoQ_2G_BoQ Apple2 2 2" xfId="3573" xr:uid="{00000000-0005-0000-0000-00000C160000}"/>
    <cellStyle name="_基站模板_2G Service BoQ_2G_BoQ Apple2 3" xfId="3574" xr:uid="{00000000-0005-0000-0000-00000D160000}"/>
    <cellStyle name="_基站模板_2G Service BoQ_2G_BoQ Apple2 3 2" xfId="3575" xr:uid="{00000000-0005-0000-0000-00000E160000}"/>
    <cellStyle name="_基站模板_2G Service BoQ_2G_BoQ Apple2 4" xfId="3576" xr:uid="{00000000-0005-0000-0000-00000F160000}"/>
    <cellStyle name="_基站模板_2G Service BoQ_2G_BoQ Model" xfId="3577" xr:uid="{00000000-0005-0000-0000-000010160000}"/>
    <cellStyle name="_基站模板_2G Service BoQ_2G_BoQ Model 2" xfId="3578" xr:uid="{00000000-0005-0000-0000-000011160000}"/>
    <cellStyle name="_基站模板_2G Service BoQ_2G_BoQ Model 2 2" xfId="3579" xr:uid="{00000000-0005-0000-0000-000012160000}"/>
    <cellStyle name="_基站模板_2G Service BoQ_2G_BoQ Model 3" xfId="3580" xr:uid="{00000000-0005-0000-0000-000013160000}"/>
    <cellStyle name="_基站模板_2G Service BoQ_2G_BoQ Model 3 2" xfId="3581" xr:uid="{00000000-0005-0000-0000-000014160000}"/>
    <cellStyle name="_基站模板_2G Service BoQ_2G_BoQ Model 4" xfId="3582" xr:uid="{00000000-0005-0000-0000-000015160000}"/>
    <cellStyle name="_基站模板_2G Service BoQ_2G_BoQ P03 Model" xfId="3583" xr:uid="{00000000-0005-0000-0000-000016160000}"/>
    <cellStyle name="_基站模板_2G Service BoQ_2G_BoQ P03 Model 2" xfId="3584" xr:uid="{00000000-0005-0000-0000-000017160000}"/>
    <cellStyle name="_基站模板_2G Service BoQ_2G_BoQ P03 Model 2 2" xfId="3585" xr:uid="{00000000-0005-0000-0000-000018160000}"/>
    <cellStyle name="_基站模板_2G Service BoQ_2G_BoQ P03 Model 3" xfId="3586" xr:uid="{00000000-0005-0000-0000-000019160000}"/>
    <cellStyle name="_基站模板_2G Service BoQ_2G_BoQ P03 Model 3 2" xfId="3587" xr:uid="{00000000-0005-0000-0000-00001A160000}"/>
    <cellStyle name="_基站模板_2G Service BoQ_2G_BoQ P03 Model 4" xfId="3588" xr:uid="{00000000-0005-0000-0000-00001B160000}"/>
    <cellStyle name="_基站模板_2G Service BoQ_2G_BoQ v2" xfId="3589" xr:uid="{00000000-0005-0000-0000-00001C160000}"/>
    <cellStyle name="_基站模板_2G Service BoQ_2G_BoQ v2 2" xfId="3590" xr:uid="{00000000-0005-0000-0000-00001D160000}"/>
    <cellStyle name="_基站模板_2G Service BoQ_2G_BoQ v2 2 2" xfId="3591" xr:uid="{00000000-0005-0000-0000-00001E160000}"/>
    <cellStyle name="_基站模板_2G Service BoQ_2G_BoQ v2 3" xfId="3592" xr:uid="{00000000-0005-0000-0000-00001F160000}"/>
    <cellStyle name="_基站模板_2G Service BoQ_2G_BoQ v2 3 2" xfId="3593" xr:uid="{00000000-0005-0000-0000-000020160000}"/>
    <cellStyle name="_基站模板_2G Service BoQ_2G_BoQ v2 4" xfId="3594" xr:uid="{00000000-0005-0000-0000-000021160000}"/>
    <cellStyle name="_基站模板_2G Service BoQ_2G_BoQ_v2" xfId="3595" xr:uid="{00000000-0005-0000-0000-000022160000}"/>
    <cellStyle name="_基站模板_2G Service BoQ_2G_BoQ_v2 2" xfId="3596" xr:uid="{00000000-0005-0000-0000-000023160000}"/>
    <cellStyle name="_基站模板_2G Service BoQ_2G_BoQ_v2 2 2" xfId="3597" xr:uid="{00000000-0005-0000-0000-000024160000}"/>
    <cellStyle name="_基站模板_2G Service BoQ_2G_BoQ_v2 3" xfId="3598" xr:uid="{00000000-0005-0000-0000-000025160000}"/>
    <cellStyle name="_基站模板_2G Service BoQ_2G_BoQ_v2 3 2" xfId="3599" xr:uid="{00000000-0005-0000-0000-000026160000}"/>
    <cellStyle name="_基站模板_2G Service BoQ_2G_BoQ_v2 4" xfId="3600" xr:uid="{00000000-0005-0000-0000-000027160000}"/>
    <cellStyle name="_基站模板_2G Service BoQ_Book2" xfId="3601" xr:uid="{00000000-0005-0000-0000-000028160000}"/>
    <cellStyle name="_基站模板_2G Service BoQ_Book2 2" xfId="3602" xr:uid="{00000000-0005-0000-0000-000029160000}"/>
    <cellStyle name="_基站模板_2G Service BoQ_Book2 2 2" xfId="3603" xr:uid="{00000000-0005-0000-0000-00002A160000}"/>
    <cellStyle name="_基站模板_2G Service BoQ_Book2 3" xfId="3604" xr:uid="{00000000-0005-0000-0000-00002B160000}"/>
    <cellStyle name="_基站模板_2G Service BoQ_Book2 3 2" xfId="3605" xr:uid="{00000000-0005-0000-0000-00002C160000}"/>
    <cellStyle name="_基站模板_2G Service BoQ_Book2 4" xfId="3606" xr:uid="{00000000-0005-0000-0000-00002D160000}"/>
    <cellStyle name="_基站模板_2G Service BoQ_Revised 2G_BoQ" xfId="3607" xr:uid="{00000000-0005-0000-0000-00002E160000}"/>
    <cellStyle name="_基站模板_2G Service BoQ_Revised 2G_BoQ 2" xfId="3608" xr:uid="{00000000-0005-0000-0000-00002F160000}"/>
    <cellStyle name="_基站模板_2G Service BoQ_Revised 2G_BoQ 2 2" xfId="3609" xr:uid="{00000000-0005-0000-0000-000030160000}"/>
    <cellStyle name="_基站模板_2G Service BoQ_Revised 2G_BoQ 3" xfId="3610" xr:uid="{00000000-0005-0000-0000-000031160000}"/>
    <cellStyle name="_基站模板_2G Service BoQ_Revised 2G_BoQ 3 2" xfId="3611" xr:uid="{00000000-0005-0000-0000-000032160000}"/>
    <cellStyle name="_基站模板_2G Service BoQ_Revised 2G_BoQ 4" xfId="3612" xr:uid="{00000000-0005-0000-0000-000033160000}"/>
    <cellStyle name="_基站模板_2G Service BoQ_Revised 2G_BoQ P03 Model" xfId="3613" xr:uid="{00000000-0005-0000-0000-000034160000}"/>
    <cellStyle name="_基站模板_2G Service BoQ_Revised 2G_BoQ P03 Model 2" xfId="3614" xr:uid="{00000000-0005-0000-0000-000035160000}"/>
    <cellStyle name="_基站模板_2G Service BoQ_Revised 2G_BoQ P03 Model 2 2" xfId="3615" xr:uid="{00000000-0005-0000-0000-000036160000}"/>
    <cellStyle name="_基站模板_2G Service BoQ_Revised 2G_BoQ P03 Model 3" xfId="3616" xr:uid="{00000000-0005-0000-0000-000037160000}"/>
    <cellStyle name="_基站模板_2G Service BoQ_Revised 2G_BoQ P03 Model 3 2" xfId="3617" xr:uid="{00000000-0005-0000-0000-000038160000}"/>
    <cellStyle name="_基站模板_2G Service BoQ_Revised 2G_BoQ P03 Model 4" xfId="3618" xr:uid="{00000000-0005-0000-0000-000039160000}"/>
    <cellStyle name="_基站模板_2G Service BoQ_服务文件Benchmark V13(for Customer)" xfId="3619" xr:uid="{00000000-0005-0000-0000-00003A160000}"/>
    <cellStyle name="_基站模板_2G Service BoQ_服务文件Benchmark V13(for Customer) 2" xfId="3620" xr:uid="{00000000-0005-0000-0000-00003B160000}"/>
    <cellStyle name="_基站模板_2G Service BoQ_服务文件Benchmark V13(for Customer) 2 2" xfId="3621" xr:uid="{00000000-0005-0000-0000-00003C160000}"/>
    <cellStyle name="_基站模板_2G Service BoQ_服务文件Benchmark V13(for Customer) 3" xfId="3622" xr:uid="{00000000-0005-0000-0000-00003D160000}"/>
    <cellStyle name="_基站模板_2G Service BoQ_服务文件Benchmark V13(for Customer) 3 2" xfId="3623" xr:uid="{00000000-0005-0000-0000-00003E160000}"/>
    <cellStyle name="_基站模板_2G Service BoQ_服务文件Benchmark V13(for Customer) 4" xfId="3624" xr:uid="{00000000-0005-0000-0000-00003F160000}"/>
    <cellStyle name="_基站模板_2G Service BoQ_服务文件Benchmark V5" xfId="3625" xr:uid="{00000000-0005-0000-0000-000040160000}"/>
    <cellStyle name="_基站模板_2G Service BoQ_服务文件Benchmark V5 2" xfId="3626" xr:uid="{00000000-0005-0000-0000-000041160000}"/>
    <cellStyle name="_基站模板_2G Service BoQ_服务文件Benchmark V5 2 2" xfId="3627" xr:uid="{00000000-0005-0000-0000-000042160000}"/>
    <cellStyle name="_基站模板_2G Service BoQ_服务文件Benchmark V5 3" xfId="3628" xr:uid="{00000000-0005-0000-0000-000043160000}"/>
    <cellStyle name="_基站模板_2G Service BoQ_服务文件Benchmark V5 3 2" xfId="3629" xr:uid="{00000000-0005-0000-0000-000044160000}"/>
    <cellStyle name="_基站模板_2G Service BoQ_服务文件Benchmark V5 4" xfId="3630" xr:uid="{00000000-0005-0000-0000-000045160000}"/>
    <cellStyle name="_基站模板_2G_BoQ" xfId="3631" xr:uid="{00000000-0005-0000-0000-000046160000}"/>
    <cellStyle name="_基站模板_2G_BoQ 2" xfId="3632" xr:uid="{00000000-0005-0000-0000-000047160000}"/>
    <cellStyle name="_基站模板_2G_BoQ 2 2" xfId="3633" xr:uid="{00000000-0005-0000-0000-000048160000}"/>
    <cellStyle name="_基站模板_2G_BoQ 3" xfId="3634" xr:uid="{00000000-0005-0000-0000-000049160000}"/>
    <cellStyle name="_基站模板_2G_BoQ 3 2" xfId="3635" xr:uid="{00000000-0005-0000-0000-00004A160000}"/>
    <cellStyle name="_基站模板_2G_BoQ 4" xfId="3636" xr:uid="{00000000-0005-0000-0000-00004B160000}"/>
    <cellStyle name="_基站模板_2G_BoQ_2G service V5" xfId="3637" xr:uid="{00000000-0005-0000-0000-00004C160000}"/>
    <cellStyle name="_基站模板_2G_BoQ_2G service V5 2" xfId="3638" xr:uid="{00000000-0005-0000-0000-00004D160000}"/>
    <cellStyle name="_基站模板_2G_BoQ_2G service V5 2 2" xfId="3639" xr:uid="{00000000-0005-0000-0000-00004E160000}"/>
    <cellStyle name="_基站模板_2G_BoQ_2G service V5 3" xfId="3640" xr:uid="{00000000-0005-0000-0000-00004F160000}"/>
    <cellStyle name="_基站模板_2G_BoQ_2G service V5 3 2" xfId="3641" xr:uid="{00000000-0005-0000-0000-000050160000}"/>
    <cellStyle name="_基站模板_2G_BoQ_2G service V5 4" xfId="3642" xr:uid="{00000000-0005-0000-0000-000051160000}"/>
    <cellStyle name="_基站模板_2G_BoQ_2G Service(20071104)benchmark" xfId="3643" xr:uid="{00000000-0005-0000-0000-000052160000}"/>
    <cellStyle name="_基站模板_2G_BoQ_2G Service(20071104)benchmark 2" xfId="3644" xr:uid="{00000000-0005-0000-0000-000053160000}"/>
    <cellStyle name="_基站模板_2G_BoQ_2G Service(20071104)benchmark 2 2" xfId="3645" xr:uid="{00000000-0005-0000-0000-000054160000}"/>
    <cellStyle name="_基站模板_2G_BoQ_2G Service(20071104)benchmark 3" xfId="3646" xr:uid="{00000000-0005-0000-0000-000055160000}"/>
    <cellStyle name="_基站模板_2G_BoQ_2G Service(20071104)benchmark 3 2" xfId="3647" xr:uid="{00000000-0005-0000-0000-000056160000}"/>
    <cellStyle name="_基站模板_2G_BoQ_2G Service(20071104)benchmark 4" xfId="3648" xr:uid="{00000000-0005-0000-0000-000057160000}"/>
    <cellStyle name="_基站模板_2G_BoQ_2G_BoQ" xfId="3649" xr:uid="{00000000-0005-0000-0000-000058160000}"/>
    <cellStyle name="_基站模板_2G_BoQ_2G_BoQ 2" xfId="3650" xr:uid="{00000000-0005-0000-0000-000059160000}"/>
    <cellStyle name="_基站模板_2G_BoQ_2G_BoQ 2 2" xfId="3651" xr:uid="{00000000-0005-0000-0000-00005A160000}"/>
    <cellStyle name="_基站模板_2G_BoQ_2G_BoQ 3" xfId="3652" xr:uid="{00000000-0005-0000-0000-00005B160000}"/>
    <cellStyle name="_基站模板_2G_BoQ_2G_BoQ 3 2" xfId="3653" xr:uid="{00000000-0005-0000-0000-00005C160000}"/>
    <cellStyle name="_基站模板_2G_BoQ_2G_BoQ 4" xfId="3654" xr:uid="{00000000-0005-0000-0000-00005D160000}"/>
    <cellStyle name="_基站模板_2G_BoQ_2G_BoQ Apple2" xfId="3655" xr:uid="{00000000-0005-0000-0000-00005E160000}"/>
    <cellStyle name="_基站模板_2G_BoQ_2G_BoQ Apple2 2" xfId="3656" xr:uid="{00000000-0005-0000-0000-00005F160000}"/>
    <cellStyle name="_基站模板_2G_BoQ_2G_BoQ Apple2 2 2" xfId="3657" xr:uid="{00000000-0005-0000-0000-000060160000}"/>
    <cellStyle name="_基站模板_2G_BoQ_2G_BoQ Apple2 3" xfId="3658" xr:uid="{00000000-0005-0000-0000-000061160000}"/>
    <cellStyle name="_基站模板_2G_BoQ_2G_BoQ Apple2 3 2" xfId="3659" xr:uid="{00000000-0005-0000-0000-000062160000}"/>
    <cellStyle name="_基站模板_2G_BoQ_2G_BoQ Apple2 4" xfId="3660" xr:uid="{00000000-0005-0000-0000-000063160000}"/>
    <cellStyle name="_基站模板_2G_BoQ_2G_BoQ Model" xfId="3661" xr:uid="{00000000-0005-0000-0000-000064160000}"/>
    <cellStyle name="_基站模板_2G_BoQ_2G_BoQ Model 2" xfId="3662" xr:uid="{00000000-0005-0000-0000-000065160000}"/>
    <cellStyle name="_基站模板_2G_BoQ_2G_BoQ Model 2 2" xfId="3663" xr:uid="{00000000-0005-0000-0000-000066160000}"/>
    <cellStyle name="_基站模板_2G_BoQ_2G_BoQ Model 3" xfId="3664" xr:uid="{00000000-0005-0000-0000-000067160000}"/>
    <cellStyle name="_基站模板_2G_BoQ_2G_BoQ Model 3 2" xfId="3665" xr:uid="{00000000-0005-0000-0000-000068160000}"/>
    <cellStyle name="_基站模板_2G_BoQ_2G_BoQ Model 4" xfId="3666" xr:uid="{00000000-0005-0000-0000-000069160000}"/>
    <cellStyle name="_基站模板_2G_BoQ_2G_BoQ P03 Model" xfId="3667" xr:uid="{00000000-0005-0000-0000-00006A160000}"/>
    <cellStyle name="_基站模板_2G_BoQ_2G_BoQ P03 Model 2" xfId="3668" xr:uid="{00000000-0005-0000-0000-00006B160000}"/>
    <cellStyle name="_基站模板_2G_BoQ_2G_BoQ P03 Model 2 2" xfId="3669" xr:uid="{00000000-0005-0000-0000-00006C160000}"/>
    <cellStyle name="_基站模板_2G_BoQ_2G_BoQ P03 Model 3" xfId="3670" xr:uid="{00000000-0005-0000-0000-00006D160000}"/>
    <cellStyle name="_基站模板_2G_BoQ_2G_BoQ P03 Model 3 2" xfId="3671" xr:uid="{00000000-0005-0000-0000-00006E160000}"/>
    <cellStyle name="_基站模板_2G_BoQ_2G_BoQ P03 Model 4" xfId="3672" xr:uid="{00000000-0005-0000-0000-00006F160000}"/>
    <cellStyle name="_基站模板_2G_BoQ_2G_BoQ v2" xfId="3673" xr:uid="{00000000-0005-0000-0000-000070160000}"/>
    <cellStyle name="_基站模板_2G_BoQ_2G_BoQ v2 2" xfId="3674" xr:uid="{00000000-0005-0000-0000-000071160000}"/>
    <cellStyle name="_基站模板_2G_BoQ_2G_BoQ v2 2 2" xfId="3675" xr:uid="{00000000-0005-0000-0000-000072160000}"/>
    <cellStyle name="_基站模板_2G_BoQ_2G_BoQ v2 3" xfId="3676" xr:uid="{00000000-0005-0000-0000-000073160000}"/>
    <cellStyle name="_基站模板_2G_BoQ_2G_BoQ v2 3 2" xfId="3677" xr:uid="{00000000-0005-0000-0000-000074160000}"/>
    <cellStyle name="_基站模板_2G_BoQ_2G_BoQ v2 4" xfId="3678" xr:uid="{00000000-0005-0000-0000-000075160000}"/>
    <cellStyle name="_基站模板_2G_BoQ_2G_BoQ_v2" xfId="3679" xr:uid="{00000000-0005-0000-0000-000076160000}"/>
    <cellStyle name="_基站模板_2G_BoQ_2G_BoQ_v2 2" xfId="3680" xr:uid="{00000000-0005-0000-0000-000077160000}"/>
    <cellStyle name="_基站模板_2G_BoQ_2G_BoQ_v2 2 2" xfId="3681" xr:uid="{00000000-0005-0000-0000-000078160000}"/>
    <cellStyle name="_基站模板_2G_BoQ_2G_BoQ_v2 3" xfId="3682" xr:uid="{00000000-0005-0000-0000-000079160000}"/>
    <cellStyle name="_基站模板_2G_BoQ_2G_BoQ_v2 3 2" xfId="3683" xr:uid="{00000000-0005-0000-0000-00007A160000}"/>
    <cellStyle name="_基站模板_2G_BoQ_2G_BoQ_v2 4" xfId="3684" xr:uid="{00000000-0005-0000-0000-00007B160000}"/>
    <cellStyle name="_基站模板_2G_BoQ_Book2" xfId="3685" xr:uid="{00000000-0005-0000-0000-00007C160000}"/>
    <cellStyle name="_基站模板_2G_BoQ_Book2 2" xfId="3686" xr:uid="{00000000-0005-0000-0000-00007D160000}"/>
    <cellStyle name="_基站模板_2G_BoQ_Book2 2 2" xfId="3687" xr:uid="{00000000-0005-0000-0000-00007E160000}"/>
    <cellStyle name="_基站模板_2G_BoQ_Book2 3" xfId="3688" xr:uid="{00000000-0005-0000-0000-00007F160000}"/>
    <cellStyle name="_基站模板_2G_BoQ_Book2 3 2" xfId="3689" xr:uid="{00000000-0005-0000-0000-000080160000}"/>
    <cellStyle name="_基站模板_2G_BoQ_Book2 4" xfId="3690" xr:uid="{00000000-0005-0000-0000-000081160000}"/>
    <cellStyle name="_基站模板_2G_BoQ_Revised 2G_BoQ" xfId="3691" xr:uid="{00000000-0005-0000-0000-000082160000}"/>
    <cellStyle name="_基站模板_2G_BoQ_Revised 2G_BoQ 2" xfId="3692" xr:uid="{00000000-0005-0000-0000-000083160000}"/>
    <cellStyle name="_基站模板_2G_BoQ_Revised 2G_BoQ 2 2" xfId="3693" xr:uid="{00000000-0005-0000-0000-000084160000}"/>
    <cellStyle name="_基站模板_2G_BoQ_Revised 2G_BoQ 3" xfId="3694" xr:uid="{00000000-0005-0000-0000-000085160000}"/>
    <cellStyle name="_基站模板_2G_BoQ_Revised 2G_BoQ 3 2" xfId="3695" xr:uid="{00000000-0005-0000-0000-000086160000}"/>
    <cellStyle name="_基站模板_2G_BoQ_Revised 2G_BoQ 4" xfId="3696" xr:uid="{00000000-0005-0000-0000-000087160000}"/>
    <cellStyle name="_基站模板_2G_BoQ_Revised 2G_BoQ P03 Model" xfId="3697" xr:uid="{00000000-0005-0000-0000-000088160000}"/>
    <cellStyle name="_基站模板_2G_BoQ_Revised 2G_BoQ P03 Model 2" xfId="3698" xr:uid="{00000000-0005-0000-0000-000089160000}"/>
    <cellStyle name="_基站模板_2G_BoQ_Revised 2G_BoQ P03 Model 2 2" xfId="3699" xr:uid="{00000000-0005-0000-0000-00008A160000}"/>
    <cellStyle name="_基站模板_2G_BoQ_Revised 2G_BoQ P03 Model 3" xfId="3700" xr:uid="{00000000-0005-0000-0000-00008B160000}"/>
    <cellStyle name="_基站模板_2G_BoQ_Revised 2G_BoQ P03 Model 3 2" xfId="3701" xr:uid="{00000000-0005-0000-0000-00008C160000}"/>
    <cellStyle name="_基站模板_2G_BoQ_Revised 2G_BoQ P03 Model 4" xfId="3702" xr:uid="{00000000-0005-0000-0000-00008D160000}"/>
    <cellStyle name="_基站模板_2G_BoQ_服务文件Benchmark V13(for Customer)" xfId="3703" xr:uid="{00000000-0005-0000-0000-00008E160000}"/>
    <cellStyle name="_基站模板_2G_BoQ_服务文件Benchmark V13(for Customer) 2" xfId="3704" xr:uid="{00000000-0005-0000-0000-00008F160000}"/>
    <cellStyle name="_基站模板_2G_BoQ_服务文件Benchmark V13(for Customer) 2 2" xfId="3705" xr:uid="{00000000-0005-0000-0000-000090160000}"/>
    <cellStyle name="_基站模板_2G_BoQ_服务文件Benchmark V13(for Customer) 3" xfId="3706" xr:uid="{00000000-0005-0000-0000-000091160000}"/>
    <cellStyle name="_基站模板_2G_BoQ_服务文件Benchmark V13(for Customer) 3 2" xfId="3707" xr:uid="{00000000-0005-0000-0000-000092160000}"/>
    <cellStyle name="_基站模板_2G_BoQ_服务文件Benchmark V13(for Customer) 4" xfId="3708" xr:uid="{00000000-0005-0000-0000-000093160000}"/>
    <cellStyle name="_基站模板_2G_BoQ_服务文件Benchmark V5" xfId="3709" xr:uid="{00000000-0005-0000-0000-000094160000}"/>
    <cellStyle name="_基站模板_2G_BoQ_服务文件Benchmark V5 2" xfId="3710" xr:uid="{00000000-0005-0000-0000-000095160000}"/>
    <cellStyle name="_基站模板_2G_BoQ_服务文件Benchmark V5 2 2" xfId="3711" xr:uid="{00000000-0005-0000-0000-000096160000}"/>
    <cellStyle name="_基站模板_2G_BoQ_服务文件Benchmark V5 3" xfId="3712" xr:uid="{00000000-0005-0000-0000-000097160000}"/>
    <cellStyle name="_基站模板_2G_BoQ_服务文件Benchmark V5 3 2" xfId="3713" xr:uid="{00000000-0005-0000-0000-000098160000}"/>
    <cellStyle name="_基站模板_2G_BoQ_服务文件Benchmark V5 4" xfId="3714" xr:uid="{00000000-0005-0000-0000-000099160000}"/>
    <cellStyle name="_基站模板_Annual Software Upgrade Fee" xfId="3715" xr:uid="{00000000-0005-0000-0000-00009A160000}"/>
    <cellStyle name="_基站模板_Annual Software Upgrade Fee 2" xfId="3716" xr:uid="{00000000-0005-0000-0000-00009B160000}"/>
    <cellStyle name="_基站模板_Annual Software Upgrade Fee 2 2" xfId="3717" xr:uid="{00000000-0005-0000-0000-00009C160000}"/>
    <cellStyle name="_基站模板_Annual Software Upgrade Fee 3" xfId="3718" xr:uid="{00000000-0005-0000-0000-00009D160000}"/>
    <cellStyle name="_基站模板_Annual Software Upgrade Fee 3 2" xfId="3719" xr:uid="{00000000-0005-0000-0000-00009E160000}"/>
    <cellStyle name="_基站模板_Annual Software Upgrade Fee 4" xfId="3720" xr:uid="{00000000-0005-0000-0000-00009F160000}"/>
    <cellStyle name="_基站模板_Annual Software Upgrade Fee for Service" xfId="3721" xr:uid="{00000000-0005-0000-0000-0000A0160000}"/>
    <cellStyle name="_基站模板_Annual Software Upgrade Fee for Service 2" xfId="3722" xr:uid="{00000000-0005-0000-0000-0000A1160000}"/>
    <cellStyle name="_基站模板_Annual Software Upgrade Fee for Service 2 2" xfId="3723" xr:uid="{00000000-0005-0000-0000-0000A2160000}"/>
    <cellStyle name="_基站模板_Annual Software Upgrade Fee for Service 3" xfId="3724" xr:uid="{00000000-0005-0000-0000-0000A3160000}"/>
    <cellStyle name="_基站模板_Annual Software Upgrade Fee for Service 3 2" xfId="3725" xr:uid="{00000000-0005-0000-0000-0000A4160000}"/>
    <cellStyle name="_基站模板_Annual Software Upgrade Fee for Service 4" xfId="3726" xr:uid="{00000000-0005-0000-0000-0000A5160000}"/>
    <cellStyle name="_基站模板_Annual Software Upgrade Fee for Service_2G service V5" xfId="3727" xr:uid="{00000000-0005-0000-0000-0000A6160000}"/>
    <cellStyle name="_基站模板_Annual Software Upgrade Fee for Service_2G service V5 2" xfId="3728" xr:uid="{00000000-0005-0000-0000-0000A7160000}"/>
    <cellStyle name="_基站模板_Annual Software Upgrade Fee for Service_2G service V5 2 2" xfId="3729" xr:uid="{00000000-0005-0000-0000-0000A8160000}"/>
    <cellStyle name="_基站模板_Annual Software Upgrade Fee for Service_2G service V5 3" xfId="3730" xr:uid="{00000000-0005-0000-0000-0000A9160000}"/>
    <cellStyle name="_基站模板_Annual Software Upgrade Fee for Service_2G service V5 3 2" xfId="3731" xr:uid="{00000000-0005-0000-0000-0000AA160000}"/>
    <cellStyle name="_基站模板_Annual Software Upgrade Fee for Service_2G service V5 4" xfId="3732" xr:uid="{00000000-0005-0000-0000-0000AB160000}"/>
    <cellStyle name="_基站模板_Annual Software Upgrade Fee for Service_2G Service(20071104)benchmark" xfId="3733" xr:uid="{00000000-0005-0000-0000-0000AC160000}"/>
    <cellStyle name="_基站模板_Annual Software Upgrade Fee for Service_2G Service(20071104)benchmark 2" xfId="3734" xr:uid="{00000000-0005-0000-0000-0000AD160000}"/>
    <cellStyle name="_基站模板_Annual Software Upgrade Fee for Service_2G Service(20071104)benchmark 2 2" xfId="3735" xr:uid="{00000000-0005-0000-0000-0000AE160000}"/>
    <cellStyle name="_基站模板_Annual Software Upgrade Fee for Service_2G Service(20071104)benchmark 3" xfId="3736" xr:uid="{00000000-0005-0000-0000-0000AF160000}"/>
    <cellStyle name="_基站模板_Annual Software Upgrade Fee for Service_2G Service(20071104)benchmark 3 2" xfId="3737" xr:uid="{00000000-0005-0000-0000-0000B0160000}"/>
    <cellStyle name="_基站模板_Annual Software Upgrade Fee for Service_2G Service(20071104)benchmark 4" xfId="3738" xr:uid="{00000000-0005-0000-0000-0000B1160000}"/>
    <cellStyle name="_基站模板_Annual Software Upgrade Fee for Service_2G_BoQ" xfId="3739" xr:uid="{00000000-0005-0000-0000-0000B2160000}"/>
    <cellStyle name="_基站模板_Annual Software Upgrade Fee for Service_2G_BoQ 2" xfId="3740" xr:uid="{00000000-0005-0000-0000-0000B3160000}"/>
    <cellStyle name="_基站模板_Annual Software Upgrade Fee for Service_2G_BoQ 2 2" xfId="3741" xr:uid="{00000000-0005-0000-0000-0000B4160000}"/>
    <cellStyle name="_基站模板_Annual Software Upgrade Fee for Service_2G_BoQ 3" xfId="3742" xr:uid="{00000000-0005-0000-0000-0000B5160000}"/>
    <cellStyle name="_基站模板_Annual Software Upgrade Fee for Service_2G_BoQ 3 2" xfId="3743" xr:uid="{00000000-0005-0000-0000-0000B6160000}"/>
    <cellStyle name="_基站模板_Annual Software Upgrade Fee for Service_2G_BoQ 4" xfId="3744" xr:uid="{00000000-0005-0000-0000-0000B7160000}"/>
    <cellStyle name="_基站模板_Annual Software Upgrade Fee for Service_2G_BoQ Apple2" xfId="3745" xr:uid="{00000000-0005-0000-0000-0000B8160000}"/>
    <cellStyle name="_基站模板_Annual Software Upgrade Fee for Service_2G_BoQ Apple2 2" xfId="3746" xr:uid="{00000000-0005-0000-0000-0000B9160000}"/>
    <cellStyle name="_基站模板_Annual Software Upgrade Fee for Service_2G_BoQ Apple2 2 2" xfId="3747" xr:uid="{00000000-0005-0000-0000-0000BA160000}"/>
    <cellStyle name="_基站模板_Annual Software Upgrade Fee for Service_2G_BoQ Apple2 3" xfId="3748" xr:uid="{00000000-0005-0000-0000-0000BB160000}"/>
    <cellStyle name="_基站模板_Annual Software Upgrade Fee for Service_2G_BoQ Apple2 3 2" xfId="3749" xr:uid="{00000000-0005-0000-0000-0000BC160000}"/>
    <cellStyle name="_基站模板_Annual Software Upgrade Fee for Service_2G_BoQ Apple2 4" xfId="3750" xr:uid="{00000000-0005-0000-0000-0000BD160000}"/>
    <cellStyle name="_基站模板_Annual Software Upgrade Fee for Service_2G_BoQ Model" xfId="3751" xr:uid="{00000000-0005-0000-0000-0000BE160000}"/>
    <cellStyle name="_基站模板_Annual Software Upgrade Fee for Service_2G_BoQ Model 2" xfId="3752" xr:uid="{00000000-0005-0000-0000-0000BF160000}"/>
    <cellStyle name="_基站模板_Annual Software Upgrade Fee for Service_2G_BoQ Model 2 2" xfId="3753" xr:uid="{00000000-0005-0000-0000-0000C0160000}"/>
    <cellStyle name="_基站模板_Annual Software Upgrade Fee for Service_2G_BoQ Model 3" xfId="3754" xr:uid="{00000000-0005-0000-0000-0000C1160000}"/>
    <cellStyle name="_基站模板_Annual Software Upgrade Fee for Service_2G_BoQ Model 3 2" xfId="3755" xr:uid="{00000000-0005-0000-0000-0000C2160000}"/>
    <cellStyle name="_基站模板_Annual Software Upgrade Fee for Service_2G_BoQ Model 4" xfId="3756" xr:uid="{00000000-0005-0000-0000-0000C3160000}"/>
    <cellStyle name="_基站模板_Annual Software Upgrade Fee for Service_2G_BoQ P03 Model" xfId="3757" xr:uid="{00000000-0005-0000-0000-0000C4160000}"/>
    <cellStyle name="_基站模板_Annual Software Upgrade Fee for Service_2G_BoQ P03 Model 2" xfId="3758" xr:uid="{00000000-0005-0000-0000-0000C5160000}"/>
    <cellStyle name="_基站模板_Annual Software Upgrade Fee for Service_2G_BoQ P03 Model 2 2" xfId="3759" xr:uid="{00000000-0005-0000-0000-0000C6160000}"/>
    <cellStyle name="_基站模板_Annual Software Upgrade Fee for Service_2G_BoQ P03 Model 3" xfId="3760" xr:uid="{00000000-0005-0000-0000-0000C7160000}"/>
    <cellStyle name="_基站模板_Annual Software Upgrade Fee for Service_2G_BoQ P03 Model 3 2" xfId="3761" xr:uid="{00000000-0005-0000-0000-0000C8160000}"/>
    <cellStyle name="_基站模板_Annual Software Upgrade Fee for Service_2G_BoQ P03 Model 4" xfId="3762" xr:uid="{00000000-0005-0000-0000-0000C9160000}"/>
    <cellStyle name="_基站模板_Annual Software Upgrade Fee for Service_2G_BoQ v2" xfId="3763" xr:uid="{00000000-0005-0000-0000-0000CA160000}"/>
    <cellStyle name="_基站模板_Annual Software Upgrade Fee for Service_2G_BoQ v2 2" xfId="3764" xr:uid="{00000000-0005-0000-0000-0000CB160000}"/>
    <cellStyle name="_基站模板_Annual Software Upgrade Fee for Service_2G_BoQ v2 2 2" xfId="3765" xr:uid="{00000000-0005-0000-0000-0000CC160000}"/>
    <cellStyle name="_基站模板_Annual Software Upgrade Fee for Service_2G_BoQ v2 3" xfId="3766" xr:uid="{00000000-0005-0000-0000-0000CD160000}"/>
    <cellStyle name="_基站模板_Annual Software Upgrade Fee for Service_2G_BoQ v2 3 2" xfId="3767" xr:uid="{00000000-0005-0000-0000-0000CE160000}"/>
    <cellStyle name="_基站模板_Annual Software Upgrade Fee for Service_2G_BoQ v2 4" xfId="3768" xr:uid="{00000000-0005-0000-0000-0000CF160000}"/>
    <cellStyle name="_基站模板_Annual Software Upgrade Fee for Service_2G_BoQ_v2" xfId="3769" xr:uid="{00000000-0005-0000-0000-0000D0160000}"/>
    <cellStyle name="_基站模板_Annual Software Upgrade Fee for Service_2G_BoQ_v2 2" xfId="3770" xr:uid="{00000000-0005-0000-0000-0000D1160000}"/>
    <cellStyle name="_基站模板_Annual Software Upgrade Fee for Service_2G_BoQ_v2 2 2" xfId="3771" xr:uid="{00000000-0005-0000-0000-0000D2160000}"/>
    <cellStyle name="_基站模板_Annual Software Upgrade Fee for Service_2G_BoQ_v2 3" xfId="3772" xr:uid="{00000000-0005-0000-0000-0000D3160000}"/>
    <cellStyle name="_基站模板_Annual Software Upgrade Fee for Service_2G_BoQ_v2 3 2" xfId="3773" xr:uid="{00000000-0005-0000-0000-0000D4160000}"/>
    <cellStyle name="_基站模板_Annual Software Upgrade Fee for Service_2G_BoQ_v2 4" xfId="3774" xr:uid="{00000000-0005-0000-0000-0000D5160000}"/>
    <cellStyle name="_基站模板_Annual Software Upgrade Fee for Service_Book2" xfId="3775" xr:uid="{00000000-0005-0000-0000-0000D6160000}"/>
    <cellStyle name="_基站模板_Annual Software Upgrade Fee for Service_Book2 2" xfId="3776" xr:uid="{00000000-0005-0000-0000-0000D7160000}"/>
    <cellStyle name="_基站模板_Annual Software Upgrade Fee for Service_Book2 2 2" xfId="3777" xr:uid="{00000000-0005-0000-0000-0000D8160000}"/>
    <cellStyle name="_基站模板_Annual Software Upgrade Fee for Service_Book2 3" xfId="3778" xr:uid="{00000000-0005-0000-0000-0000D9160000}"/>
    <cellStyle name="_基站模板_Annual Software Upgrade Fee for Service_Book2 3 2" xfId="3779" xr:uid="{00000000-0005-0000-0000-0000DA160000}"/>
    <cellStyle name="_基站模板_Annual Software Upgrade Fee for Service_Book2 4" xfId="3780" xr:uid="{00000000-0005-0000-0000-0000DB160000}"/>
    <cellStyle name="_基站模板_Annual Software Upgrade Fee for Service_Revised 2G_BoQ" xfId="3781" xr:uid="{00000000-0005-0000-0000-0000DC160000}"/>
    <cellStyle name="_基站模板_Annual Software Upgrade Fee for Service_Revised 2G_BoQ 2" xfId="3782" xr:uid="{00000000-0005-0000-0000-0000DD160000}"/>
    <cellStyle name="_基站模板_Annual Software Upgrade Fee for Service_Revised 2G_BoQ 2 2" xfId="3783" xr:uid="{00000000-0005-0000-0000-0000DE160000}"/>
    <cellStyle name="_基站模板_Annual Software Upgrade Fee for Service_Revised 2G_BoQ 3" xfId="3784" xr:uid="{00000000-0005-0000-0000-0000DF160000}"/>
    <cellStyle name="_基站模板_Annual Software Upgrade Fee for Service_Revised 2G_BoQ 3 2" xfId="3785" xr:uid="{00000000-0005-0000-0000-0000E0160000}"/>
    <cellStyle name="_基站模板_Annual Software Upgrade Fee for Service_Revised 2G_BoQ 4" xfId="3786" xr:uid="{00000000-0005-0000-0000-0000E1160000}"/>
    <cellStyle name="_基站模板_Annual Software Upgrade Fee for Service_Revised 2G_BoQ P03 Model" xfId="3787" xr:uid="{00000000-0005-0000-0000-0000E2160000}"/>
    <cellStyle name="_基站模板_Annual Software Upgrade Fee for Service_Revised 2G_BoQ P03 Model 2" xfId="3788" xr:uid="{00000000-0005-0000-0000-0000E3160000}"/>
    <cellStyle name="_基站模板_Annual Software Upgrade Fee for Service_Revised 2G_BoQ P03 Model 2 2" xfId="3789" xr:uid="{00000000-0005-0000-0000-0000E4160000}"/>
    <cellStyle name="_基站模板_Annual Software Upgrade Fee for Service_Revised 2G_BoQ P03 Model 3" xfId="3790" xr:uid="{00000000-0005-0000-0000-0000E5160000}"/>
    <cellStyle name="_基站模板_Annual Software Upgrade Fee for Service_Revised 2G_BoQ P03 Model 3 2" xfId="3791" xr:uid="{00000000-0005-0000-0000-0000E6160000}"/>
    <cellStyle name="_基站模板_Annual Software Upgrade Fee for Service_Revised 2G_BoQ P03 Model 4" xfId="3792" xr:uid="{00000000-0005-0000-0000-0000E7160000}"/>
    <cellStyle name="_基站模板_Annual Software Upgrade Fee for Service_服务文件Benchmark V13(for Customer)" xfId="3793" xr:uid="{00000000-0005-0000-0000-0000E8160000}"/>
    <cellStyle name="_基站模板_Annual Software Upgrade Fee for Service_服务文件Benchmark V13(for Customer) 2" xfId="3794" xr:uid="{00000000-0005-0000-0000-0000E9160000}"/>
    <cellStyle name="_基站模板_Annual Software Upgrade Fee for Service_服务文件Benchmark V13(for Customer) 2 2" xfId="3795" xr:uid="{00000000-0005-0000-0000-0000EA160000}"/>
    <cellStyle name="_基站模板_Annual Software Upgrade Fee for Service_服务文件Benchmark V13(for Customer) 3" xfId="3796" xr:uid="{00000000-0005-0000-0000-0000EB160000}"/>
    <cellStyle name="_基站模板_Annual Software Upgrade Fee for Service_服务文件Benchmark V13(for Customer) 3 2" xfId="3797" xr:uid="{00000000-0005-0000-0000-0000EC160000}"/>
    <cellStyle name="_基站模板_Annual Software Upgrade Fee for Service_服务文件Benchmark V13(for Customer) 4" xfId="3798" xr:uid="{00000000-0005-0000-0000-0000ED160000}"/>
    <cellStyle name="_基站模板_Annual Software Upgrade Fee for Service_服务文件Benchmark V5" xfId="3799" xr:uid="{00000000-0005-0000-0000-0000EE160000}"/>
    <cellStyle name="_基站模板_Annual Software Upgrade Fee for Service_服务文件Benchmark V5 2" xfId="3800" xr:uid="{00000000-0005-0000-0000-0000EF160000}"/>
    <cellStyle name="_基站模板_Annual Software Upgrade Fee for Service_服务文件Benchmark V5 2 2" xfId="3801" xr:uid="{00000000-0005-0000-0000-0000F0160000}"/>
    <cellStyle name="_基站模板_Annual Software Upgrade Fee for Service_服务文件Benchmark V5 3" xfId="3802" xr:uid="{00000000-0005-0000-0000-0000F1160000}"/>
    <cellStyle name="_基站模板_Annual Software Upgrade Fee for Service_服务文件Benchmark V5 3 2" xfId="3803" xr:uid="{00000000-0005-0000-0000-0000F2160000}"/>
    <cellStyle name="_基站模板_Annual Software Upgrade Fee for Service_服务文件Benchmark V5 4" xfId="3804" xr:uid="{00000000-0005-0000-0000-0000F3160000}"/>
    <cellStyle name="_基站模板_Annual Software Upgrade Fee_2G service V5" xfId="3805" xr:uid="{00000000-0005-0000-0000-0000F4160000}"/>
    <cellStyle name="_基站模板_Annual Software Upgrade Fee_2G service V5 2" xfId="3806" xr:uid="{00000000-0005-0000-0000-0000F5160000}"/>
    <cellStyle name="_基站模板_Annual Software Upgrade Fee_2G service V5 2 2" xfId="3807" xr:uid="{00000000-0005-0000-0000-0000F6160000}"/>
    <cellStyle name="_基站模板_Annual Software Upgrade Fee_2G service V5 3" xfId="3808" xr:uid="{00000000-0005-0000-0000-0000F7160000}"/>
    <cellStyle name="_基站模板_Annual Software Upgrade Fee_2G service V5 3 2" xfId="3809" xr:uid="{00000000-0005-0000-0000-0000F8160000}"/>
    <cellStyle name="_基站模板_Annual Software Upgrade Fee_2G service V5 4" xfId="3810" xr:uid="{00000000-0005-0000-0000-0000F9160000}"/>
    <cellStyle name="_基站模板_Annual Software Upgrade Fee_2G Service(20071104)benchmark" xfId="3811" xr:uid="{00000000-0005-0000-0000-0000FA160000}"/>
    <cellStyle name="_基站模板_Annual Software Upgrade Fee_2G Service(20071104)benchmark 2" xfId="3812" xr:uid="{00000000-0005-0000-0000-0000FB160000}"/>
    <cellStyle name="_基站模板_Annual Software Upgrade Fee_2G Service(20071104)benchmark 2 2" xfId="3813" xr:uid="{00000000-0005-0000-0000-0000FC160000}"/>
    <cellStyle name="_基站模板_Annual Software Upgrade Fee_2G Service(20071104)benchmark 3" xfId="3814" xr:uid="{00000000-0005-0000-0000-0000FD160000}"/>
    <cellStyle name="_基站模板_Annual Software Upgrade Fee_2G Service(20071104)benchmark 3 2" xfId="3815" xr:uid="{00000000-0005-0000-0000-0000FE160000}"/>
    <cellStyle name="_基站模板_Annual Software Upgrade Fee_2G Service(20071104)benchmark 4" xfId="3816" xr:uid="{00000000-0005-0000-0000-0000FF160000}"/>
    <cellStyle name="_基站模板_Annual Software Upgrade Fee_2G_BoQ" xfId="3817" xr:uid="{00000000-0005-0000-0000-000000170000}"/>
    <cellStyle name="_基站模板_Annual Software Upgrade Fee_2G_BoQ 2" xfId="3818" xr:uid="{00000000-0005-0000-0000-000001170000}"/>
    <cellStyle name="_基站模板_Annual Software Upgrade Fee_2G_BoQ 2 2" xfId="3819" xr:uid="{00000000-0005-0000-0000-000002170000}"/>
    <cellStyle name="_基站模板_Annual Software Upgrade Fee_2G_BoQ 3" xfId="3820" xr:uid="{00000000-0005-0000-0000-000003170000}"/>
    <cellStyle name="_基站模板_Annual Software Upgrade Fee_2G_BoQ 3 2" xfId="3821" xr:uid="{00000000-0005-0000-0000-000004170000}"/>
    <cellStyle name="_基站模板_Annual Software Upgrade Fee_2G_BoQ 4" xfId="3822" xr:uid="{00000000-0005-0000-0000-000005170000}"/>
    <cellStyle name="_基站模板_Annual Software Upgrade Fee_2G_BoQ Apple2" xfId="3823" xr:uid="{00000000-0005-0000-0000-000006170000}"/>
    <cellStyle name="_基站模板_Annual Software Upgrade Fee_2G_BoQ Apple2 2" xfId="3824" xr:uid="{00000000-0005-0000-0000-000007170000}"/>
    <cellStyle name="_基站模板_Annual Software Upgrade Fee_2G_BoQ Apple2 2 2" xfId="3825" xr:uid="{00000000-0005-0000-0000-000008170000}"/>
    <cellStyle name="_基站模板_Annual Software Upgrade Fee_2G_BoQ Apple2 3" xfId="3826" xr:uid="{00000000-0005-0000-0000-000009170000}"/>
    <cellStyle name="_基站模板_Annual Software Upgrade Fee_2G_BoQ Apple2 3 2" xfId="3827" xr:uid="{00000000-0005-0000-0000-00000A170000}"/>
    <cellStyle name="_基站模板_Annual Software Upgrade Fee_2G_BoQ Apple2 4" xfId="3828" xr:uid="{00000000-0005-0000-0000-00000B170000}"/>
    <cellStyle name="_基站模板_Annual Software Upgrade Fee_2G_BoQ Model" xfId="3829" xr:uid="{00000000-0005-0000-0000-00000C170000}"/>
    <cellStyle name="_基站模板_Annual Software Upgrade Fee_2G_BoQ Model 2" xfId="3830" xr:uid="{00000000-0005-0000-0000-00000D170000}"/>
    <cellStyle name="_基站模板_Annual Software Upgrade Fee_2G_BoQ Model 2 2" xfId="3831" xr:uid="{00000000-0005-0000-0000-00000E170000}"/>
    <cellStyle name="_基站模板_Annual Software Upgrade Fee_2G_BoQ Model 3" xfId="3832" xr:uid="{00000000-0005-0000-0000-00000F170000}"/>
    <cellStyle name="_基站模板_Annual Software Upgrade Fee_2G_BoQ Model 3 2" xfId="3833" xr:uid="{00000000-0005-0000-0000-000010170000}"/>
    <cellStyle name="_基站模板_Annual Software Upgrade Fee_2G_BoQ Model 4" xfId="3834" xr:uid="{00000000-0005-0000-0000-000011170000}"/>
    <cellStyle name="_基站模板_Annual Software Upgrade Fee_2G_BoQ P03 Model" xfId="3835" xr:uid="{00000000-0005-0000-0000-000012170000}"/>
    <cellStyle name="_基站模板_Annual Software Upgrade Fee_2G_BoQ P03 Model 2" xfId="3836" xr:uid="{00000000-0005-0000-0000-000013170000}"/>
    <cellStyle name="_基站模板_Annual Software Upgrade Fee_2G_BoQ P03 Model 2 2" xfId="3837" xr:uid="{00000000-0005-0000-0000-000014170000}"/>
    <cellStyle name="_基站模板_Annual Software Upgrade Fee_2G_BoQ P03 Model 3" xfId="3838" xr:uid="{00000000-0005-0000-0000-000015170000}"/>
    <cellStyle name="_基站模板_Annual Software Upgrade Fee_2G_BoQ P03 Model 3 2" xfId="3839" xr:uid="{00000000-0005-0000-0000-000016170000}"/>
    <cellStyle name="_基站模板_Annual Software Upgrade Fee_2G_BoQ P03 Model 4" xfId="3840" xr:uid="{00000000-0005-0000-0000-000017170000}"/>
    <cellStyle name="_基站模板_Annual Software Upgrade Fee_2G_BoQ v2" xfId="3841" xr:uid="{00000000-0005-0000-0000-000018170000}"/>
    <cellStyle name="_基站模板_Annual Software Upgrade Fee_2G_BoQ v2 2" xfId="3842" xr:uid="{00000000-0005-0000-0000-000019170000}"/>
    <cellStyle name="_基站模板_Annual Software Upgrade Fee_2G_BoQ v2 2 2" xfId="3843" xr:uid="{00000000-0005-0000-0000-00001A170000}"/>
    <cellStyle name="_基站模板_Annual Software Upgrade Fee_2G_BoQ v2 3" xfId="3844" xr:uid="{00000000-0005-0000-0000-00001B170000}"/>
    <cellStyle name="_基站模板_Annual Software Upgrade Fee_2G_BoQ v2 3 2" xfId="3845" xr:uid="{00000000-0005-0000-0000-00001C170000}"/>
    <cellStyle name="_基站模板_Annual Software Upgrade Fee_2G_BoQ v2 4" xfId="3846" xr:uid="{00000000-0005-0000-0000-00001D170000}"/>
    <cellStyle name="_基站模板_Annual Software Upgrade Fee_2G_BoQ_v2" xfId="3847" xr:uid="{00000000-0005-0000-0000-00001E170000}"/>
    <cellStyle name="_基站模板_Annual Software Upgrade Fee_2G_BoQ_v2 2" xfId="3848" xr:uid="{00000000-0005-0000-0000-00001F170000}"/>
    <cellStyle name="_基站模板_Annual Software Upgrade Fee_2G_BoQ_v2 2 2" xfId="3849" xr:uid="{00000000-0005-0000-0000-000020170000}"/>
    <cellStyle name="_基站模板_Annual Software Upgrade Fee_2G_BoQ_v2 3" xfId="3850" xr:uid="{00000000-0005-0000-0000-000021170000}"/>
    <cellStyle name="_基站模板_Annual Software Upgrade Fee_2G_BoQ_v2 3 2" xfId="3851" xr:uid="{00000000-0005-0000-0000-000022170000}"/>
    <cellStyle name="_基站模板_Annual Software Upgrade Fee_2G_BoQ_v2 4" xfId="3852" xr:uid="{00000000-0005-0000-0000-000023170000}"/>
    <cellStyle name="_基站模板_Annual Software Upgrade Fee_Book2" xfId="3853" xr:uid="{00000000-0005-0000-0000-000024170000}"/>
    <cellStyle name="_基站模板_Annual Software Upgrade Fee_Book2 2" xfId="3854" xr:uid="{00000000-0005-0000-0000-000025170000}"/>
    <cellStyle name="_基站模板_Annual Software Upgrade Fee_Book2 2 2" xfId="3855" xr:uid="{00000000-0005-0000-0000-000026170000}"/>
    <cellStyle name="_基站模板_Annual Software Upgrade Fee_Book2 3" xfId="3856" xr:uid="{00000000-0005-0000-0000-000027170000}"/>
    <cellStyle name="_基站模板_Annual Software Upgrade Fee_Book2 3 2" xfId="3857" xr:uid="{00000000-0005-0000-0000-000028170000}"/>
    <cellStyle name="_基站模板_Annual Software Upgrade Fee_Book2 4" xfId="3858" xr:uid="{00000000-0005-0000-0000-000029170000}"/>
    <cellStyle name="_基站模板_Annual Software Upgrade Fee_Revised 2G_BoQ" xfId="3859" xr:uid="{00000000-0005-0000-0000-00002A170000}"/>
    <cellStyle name="_基站模板_Annual Software Upgrade Fee_Revised 2G_BoQ 2" xfId="3860" xr:uid="{00000000-0005-0000-0000-00002B170000}"/>
    <cellStyle name="_基站模板_Annual Software Upgrade Fee_Revised 2G_BoQ 2 2" xfId="3861" xr:uid="{00000000-0005-0000-0000-00002C170000}"/>
    <cellStyle name="_基站模板_Annual Software Upgrade Fee_Revised 2G_BoQ 3" xfId="3862" xr:uid="{00000000-0005-0000-0000-00002D170000}"/>
    <cellStyle name="_基站模板_Annual Software Upgrade Fee_Revised 2G_BoQ 3 2" xfId="3863" xr:uid="{00000000-0005-0000-0000-00002E170000}"/>
    <cellStyle name="_基站模板_Annual Software Upgrade Fee_Revised 2G_BoQ 4" xfId="3864" xr:uid="{00000000-0005-0000-0000-00002F170000}"/>
    <cellStyle name="_基站模板_Annual Software Upgrade Fee_Revised 2G_BoQ P03 Model" xfId="3865" xr:uid="{00000000-0005-0000-0000-000030170000}"/>
    <cellStyle name="_基站模板_Annual Software Upgrade Fee_Revised 2G_BoQ P03 Model 2" xfId="3866" xr:uid="{00000000-0005-0000-0000-000031170000}"/>
    <cellStyle name="_基站模板_Annual Software Upgrade Fee_Revised 2G_BoQ P03 Model 2 2" xfId="3867" xr:uid="{00000000-0005-0000-0000-000032170000}"/>
    <cellStyle name="_基站模板_Annual Software Upgrade Fee_Revised 2G_BoQ P03 Model 3" xfId="3868" xr:uid="{00000000-0005-0000-0000-000033170000}"/>
    <cellStyle name="_基站模板_Annual Software Upgrade Fee_Revised 2G_BoQ P03 Model 3 2" xfId="3869" xr:uid="{00000000-0005-0000-0000-000034170000}"/>
    <cellStyle name="_基站模板_Annual Software Upgrade Fee_Revised 2G_BoQ P03 Model 4" xfId="3870" xr:uid="{00000000-0005-0000-0000-000035170000}"/>
    <cellStyle name="_基站模板_Annual Software Upgrade Fee_服务文件Benchmark V13(for Customer)" xfId="3871" xr:uid="{00000000-0005-0000-0000-000036170000}"/>
    <cellStyle name="_基站模板_Annual Software Upgrade Fee_服务文件Benchmark V13(for Customer) 2" xfId="3872" xr:uid="{00000000-0005-0000-0000-000037170000}"/>
    <cellStyle name="_基站模板_Annual Software Upgrade Fee_服务文件Benchmark V13(for Customer) 2 2" xfId="3873" xr:uid="{00000000-0005-0000-0000-000038170000}"/>
    <cellStyle name="_基站模板_Annual Software Upgrade Fee_服务文件Benchmark V13(for Customer) 3" xfId="3874" xr:uid="{00000000-0005-0000-0000-000039170000}"/>
    <cellStyle name="_基站模板_Annual Software Upgrade Fee_服务文件Benchmark V13(for Customer) 3 2" xfId="3875" xr:uid="{00000000-0005-0000-0000-00003A170000}"/>
    <cellStyle name="_基站模板_Annual Software Upgrade Fee_服务文件Benchmark V13(for Customer) 4" xfId="3876" xr:uid="{00000000-0005-0000-0000-00003B170000}"/>
    <cellStyle name="_基站模板_Annual Software Upgrade Fee_服务文件Benchmark V5" xfId="3877" xr:uid="{00000000-0005-0000-0000-00003C170000}"/>
    <cellStyle name="_基站模板_Annual Software Upgrade Fee_服务文件Benchmark V5 2" xfId="3878" xr:uid="{00000000-0005-0000-0000-00003D170000}"/>
    <cellStyle name="_基站模板_Annual Software Upgrade Fee_服务文件Benchmark V5 2 2" xfId="3879" xr:uid="{00000000-0005-0000-0000-00003E170000}"/>
    <cellStyle name="_基站模板_Annual Software Upgrade Fee_服务文件Benchmark V5 3" xfId="3880" xr:uid="{00000000-0005-0000-0000-00003F170000}"/>
    <cellStyle name="_基站模板_Annual Software Upgrade Fee_服务文件Benchmark V5 3 2" xfId="3881" xr:uid="{00000000-0005-0000-0000-000040170000}"/>
    <cellStyle name="_基站模板_Annual Software Upgrade Fee_服务文件Benchmark V5 4" xfId="3882" xr:uid="{00000000-0005-0000-0000-000041170000}"/>
    <cellStyle name="_基站模板_MW" xfId="3883" xr:uid="{00000000-0005-0000-0000-000042170000}"/>
    <cellStyle name="_基站模板_MW 2" xfId="3884" xr:uid="{00000000-0005-0000-0000-000043170000}"/>
    <cellStyle name="_基站模板_MW 2 2" xfId="3885" xr:uid="{00000000-0005-0000-0000-000044170000}"/>
    <cellStyle name="_基站模板_MW 3" xfId="3886" xr:uid="{00000000-0005-0000-0000-000045170000}"/>
    <cellStyle name="_基站模板_MW 3 2" xfId="3887" xr:uid="{00000000-0005-0000-0000-000046170000}"/>
    <cellStyle name="_基站模板_MW 4" xfId="3888" xr:uid="{00000000-0005-0000-0000-000047170000}"/>
    <cellStyle name="_基站模板_MW_2G service V5" xfId="3889" xr:uid="{00000000-0005-0000-0000-000048170000}"/>
    <cellStyle name="_基站模板_MW_2G service V5 2" xfId="3890" xr:uid="{00000000-0005-0000-0000-000049170000}"/>
    <cellStyle name="_基站模板_MW_2G service V5 2 2" xfId="3891" xr:uid="{00000000-0005-0000-0000-00004A170000}"/>
    <cellStyle name="_基站模板_MW_2G service V5 3" xfId="3892" xr:uid="{00000000-0005-0000-0000-00004B170000}"/>
    <cellStyle name="_基站模板_MW_2G service V5 3 2" xfId="3893" xr:uid="{00000000-0005-0000-0000-00004C170000}"/>
    <cellStyle name="_基站模板_MW_2G service V5 4" xfId="3894" xr:uid="{00000000-0005-0000-0000-00004D170000}"/>
    <cellStyle name="_基站模板_MW_2G Service(20071104)benchmark" xfId="3895" xr:uid="{00000000-0005-0000-0000-00004E170000}"/>
    <cellStyle name="_基站模板_MW_2G Service(20071104)benchmark 2" xfId="3896" xr:uid="{00000000-0005-0000-0000-00004F170000}"/>
    <cellStyle name="_基站模板_MW_2G Service(20071104)benchmark 2 2" xfId="3897" xr:uid="{00000000-0005-0000-0000-000050170000}"/>
    <cellStyle name="_基站模板_MW_2G Service(20071104)benchmark 3" xfId="3898" xr:uid="{00000000-0005-0000-0000-000051170000}"/>
    <cellStyle name="_基站模板_MW_2G Service(20071104)benchmark 3 2" xfId="3899" xr:uid="{00000000-0005-0000-0000-000052170000}"/>
    <cellStyle name="_基站模板_MW_2G Service(20071104)benchmark 4" xfId="3900" xr:uid="{00000000-0005-0000-0000-000053170000}"/>
    <cellStyle name="_基站模板_MW_2G_BoQ" xfId="3901" xr:uid="{00000000-0005-0000-0000-000054170000}"/>
    <cellStyle name="_基站模板_MW_2G_BoQ 2" xfId="3902" xr:uid="{00000000-0005-0000-0000-000055170000}"/>
    <cellStyle name="_基站模板_MW_2G_BoQ 2 2" xfId="3903" xr:uid="{00000000-0005-0000-0000-000056170000}"/>
    <cellStyle name="_基站模板_MW_2G_BoQ 3" xfId="3904" xr:uid="{00000000-0005-0000-0000-000057170000}"/>
    <cellStyle name="_基站模板_MW_2G_BoQ 3 2" xfId="3905" xr:uid="{00000000-0005-0000-0000-000058170000}"/>
    <cellStyle name="_基站模板_MW_2G_BoQ 4" xfId="3906" xr:uid="{00000000-0005-0000-0000-000059170000}"/>
    <cellStyle name="_基站模板_MW_2G_BoQ Apple2" xfId="3907" xr:uid="{00000000-0005-0000-0000-00005A170000}"/>
    <cellStyle name="_基站模板_MW_2G_BoQ Apple2 2" xfId="3908" xr:uid="{00000000-0005-0000-0000-00005B170000}"/>
    <cellStyle name="_基站模板_MW_2G_BoQ Apple2 2 2" xfId="3909" xr:uid="{00000000-0005-0000-0000-00005C170000}"/>
    <cellStyle name="_基站模板_MW_2G_BoQ Apple2 3" xfId="3910" xr:uid="{00000000-0005-0000-0000-00005D170000}"/>
    <cellStyle name="_基站模板_MW_2G_BoQ Apple2 3 2" xfId="3911" xr:uid="{00000000-0005-0000-0000-00005E170000}"/>
    <cellStyle name="_基站模板_MW_2G_BoQ Apple2 4" xfId="3912" xr:uid="{00000000-0005-0000-0000-00005F170000}"/>
    <cellStyle name="_基站模板_MW_2G_BoQ Model" xfId="3913" xr:uid="{00000000-0005-0000-0000-000060170000}"/>
    <cellStyle name="_基站模板_MW_2G_BoQ Model 2" xfId="3914" xr:uid="{00000000-0005-0000-0000-000061170000}"/>
    <cellStyle name="_基站模板_MW_2G_BoQ Model 2 2" xfId="3915" xr:uid="{00000000-0005-0000-0000-000062170000}"/>
    <cellStyle name="_基站模板_MW_2G_BoQ Model 3" xfId="3916" xr:uid="{00000000-0005-0000-0000-000063170000}"/>
    <cellStyle name="_基站模板_MW_2G_BoQ Model 3 2" xfId="3917" xr:uid="{00000000-0005-0000-0000-000064170000}"/>
    <cellStyle name="_基站模板_MW_2G_BoQ Model 4" xfId="3918" xr:uid="{00000000-0005-0000-0000-000065170000}"/>
    <cellStyle name="_基站模板_MW_2G_BoQ P03 Model" xfId="3919" xr:uid="{00000000-0005-0000-0000-000066170000}"/>
    <cellStyle name="_基站模板_MW_2G_BoQ P03 Model 2" xfId="3920" xr:uid="{00000000-0005-0000-0000-000067170000}"/>
    <cellStyle name="_基站模板_MW_2G_BoQ P03 Model 2 2" xfId="3921" xr:uid="{00000000-0005-0000-0000-000068170000}"/>
    <cellStyle name="_基站模板_MW_2G_BoQ P03 Model 3" xfId="3922" xr:uid="{00000000-0005-0000-0000-000069170000}"/>
    <cellStyle name="_基站模板_MW_2G_BoQ P03 Model 3 2" xfId="3923" xr:uid="{00000000-0005-0000-0000-00006A170000}"/>
    <cellStyle name="_基站模板_MW_2G_BoQ P03 Model 4" xfId="3924" xr:uid="{00000000-0005-0000-0000-00006B170000}"/>
    <cellStyle name="_基站模板_MW_2G_BoQ v2" xfId="3925" xr:uid="{00000000-0005-0000-0000-00006C170000}"/>
    <cellStyle name="_基站模板_MW_2G_BoQ v2 2" xfId="3926" xr:uid="{00000000-0005-0000-0000-00006D170000}"/>
    <cellStyle name="_基站模板_MW_2G_BoQ v2 2 2" xfId="3927" xr:uid="{00000000-0005-0000-0000-00006E170000}"/>
    <cellStyle name="_基站模板_MW_2G_BoQ v2 3" xfId="3928" xr:uid="{00000000-0005-0000-0000-00006F170000}"/>
    <cellStyle name="_基站模板_MW_2G_BoQ v2 3 2" xfId="3929" xr:uid="{00000000-0005-0000-0000-000070170000}"/>
    <cellStyle name="_基站模板_MW_2G_BoQ v2 4" xfId="3930" xr:uid="{00000000-0005-0000-0000-000071170000}"/>
    <cellStyle name="_基站模板_MW_2G_BoQ_v2" xfId="3931" xr:uid="{00000000-0005-0000-0000-000072170000}"/>
    <cellStyle name="_基站模板_MW_2G_BoQ_v2 2" xfId="3932" xr:uid="{00000000-0005-0000-0000-000073170000}"/>
    <cellStyle name="_基站模板_MW_2G_BoQ_v2 2 2" xfId="3933" xr:uid="{00000000-0005-0000-0000-000074170000}"/>
    <cellStyle name="_基站模板_MW_2G_BoQ_v2 3" xfId="3934" xr:uid="{00000000-0005-0000-0000-000075170000}"/>
    <cellStyle name="_基站模板_MW_2G_BoQ_v2 3 2" xfId="3935" xr:uid="{00000000-0005-0000-0000-000076170000}"/>
    <cellStyle name="_基站模板_MW_2G_BoQ_v2 4" xfId="3936" xr:uid="{00000000-0005-0000-0000-000077170000}"/>
    <cellStyle name="_基站模板_MW_Book2" xfId="3937" xr:uid="{00000000-0005-0000-0000-000078170000}"/>
    <cellStyle name="_基站模板_MW_Book2 2" xfId="3938" xr:uid="{00000000-0005-0000-0000-000079170000}"/>
    <cellStyle name="_基站模板_MW_Book2 2 2" xfId="3939" xr:uid="{00000000-0005-0000-0000-00007A170000}"/>
    <cellStyle name="_基站模板_MW_Book2 3" xfId="3940" xr:uid="{00000000-0005-0000-0000-00007B170000}"/>
    <cellStyle name="_基站模板_MW_Book2 3 2" xfId="3941" xr:uid="{00000000-0005-0000-0000-00007C170000}"/>
    <cellStyle name="_基站模板_MW_Book2 4" xfId="3942" xr:uid="{00000000-0005-0000-0000-00007D170000}"/>
    <cellStyle name="_基站模板_MW_Revised 2G_BoQ" xfId="3943" xr:uid="{00000000-0005-0000-0000-00007E170000}"/>
    <cellStyle name="_基站模板_MW_Revised 2G_BoQ 2" xfId="3944" xr:uid="{00000000-0005-0000-0000-00007F170000}"/>
    <cellStyle name="_基站模板_MW_Revised 2G_BoQ 2 2" xfId="3945" xr:uid="{00000000-0005-0000-0000-000080170000}"/>
    <cellStyle name="_基站模板_MW_Revised 2G_BoQ 3" xfId="3946" xr:uid="{00000000-0005-0000-0000-000081170000}"/>
    <cellStyle name="_基站模板_MW_Revised 2G_BoQ 3 2" xfId="3947" xr:uid="{00000000-0005-0000-0000-000082170000}"/>
    <cellStyle name="_基站模板_MW_Revised 2G_BoQ 4" xfId="3948" xr:uid="{00000000-0005-0000-0000-000083170000}"/>
    <cellStyle name="_基站模板_MW_Revised 2G_BoQ P03 Model" xfId="3949" xr:uid="{00000000-0005-0000-0000-000084170000}"/>
    <cellStyle name="_基站模板_MW_Revised 2G_BoQ P03 Model 2" xfId="3950" xr:uid="{00000000-0005-0000-0000-000085170000}"/>
    <cellStyle name="_基站模板_MW_Revised 2G_BoQ P03 Model 2 2" xfId="3951" xr:uid="{00000000-0005-0000-0000-000086170000}"/>
    <cellStyle name="_基站模板_MW_Revised 2G_BoQ P03 Model 3" xfId="3952" xr:uid="{00000000-0005-0000-0000-000087170000}"/>
    <cellStyle name="_基站模板_MW_Revised 2G_BoQ P03 Model 3 2" xfId="3953" xr:uid="{00000000-0005-0000-0000-000088170000}"/>
    <cellStyle name="_基站模板_MW_Revised 2G_BoQ P03 Model 4" xfId="3954" xr:uid="{00000000-0005-0000-0000-000089170000}"/>
    <cellStyle name="_基站模板_MW_服务文件Benchmark V13(for Customer)" xfId="3955" xr:uid="{00000000-0005-0000-0000-00008A170000}"/>
    <cellStyle name="_基站模板_MW_服务文件Benchmark V13(for Customer) 2" xfId="3956" xr:uid="{00000000-0005-0000-0000-00008B170000}"/>
    <cellStyle name="_基站模板_MW_服务文件Benchmark V13(for Customer) 2 2" xfId="3957" xr:uid="{00000000-0005-0000-0000-00008C170000}"/>
    <cellStyle name="_基站模板_MW_服务文件Benchmark V13(for Customer) 3" xfId="3958" xr:uid="{00000000-0005-0000-0000-00008D170000}"/>
    <cellStyle name="_基站模板_MW_服务文件Benchmark V13(for Customer) 3 2" xfId="3959" xr:uid="{00000000-0005-0000-0000-00008E170000}"/>
    <cellStyle name="_基站模板_MW_服务文件Benchmark V13(for Customer) 4" xfId="3960" xr:uid="{00000000-0005-0000-0000-00008F170000}"/>
    <cellStyle name="_基站模板_MW_服务文件Benchmark V5" xfId="3961" xr:uid="{00000000-0005-0000-0000-000090170000}"/>
    <cellStyle name="_基站模板_MW_服务文件Benchmark V5 2" xfId="3962" xr:uid="{00000000-0005-0000-0000-000091170000}"/>
    <cellStyle name="_基站模板_MW_服务文件Benchmark V5 2 2" xfId="3963" xr:uid="{00000000-0005-0000-0000-000092170000}"/>
    <cellStyle name="_基站模板_MW_服务文件Benchmark V5 3" xfId="3964" xr:uid="{00000000-0005-0000-0000-000093170000}"/>
    <cellStyle name="_基站模板_MW_服务文件Benchmark V5 3 2" xfId="3965" xr:uid="{00000000-0005-0000-0000-000094170000}"/>
    <cellStyle name="_基站模板_MW_服务文件Benchmark V5 4" xfId="3966" xr:uid="{00000000-0005-0000-0000-000095170000}"/>
    <cellStyle name="_成都BSS2设备清单－替换" xfId="3967" xr:uid="{00000000-0005-0000-0000-000096170000}"/>
    <cellStyle name="_排队机单板清单050508" xfId="3968" xr:uid="{00000000-0005-0000-0000-000097170000}"/>
    <cellStyle name="_数据业务机柜配置大全051020" xfId="3969" xr:uid="{00000000-0005-0000-0000-000098170000}"/>
    <cellStyle name="_模板" xfId="3970" xr:uid="{00000000-0005-0000-0000-000099170000}"/>
    <cellStyle name="_移动ICD报价模板V3.0（B排，20050301,HP）" xfId="3971" xr:uid="{00000000-0005-0000-0000-00009A170000}"/>
    <cellStyle name="_第三册：报价格式-汇总表-华为V1" xfId="3972" xr:uid="{00000000-0005-0000-0000-00009B170000}"/>
    <cellStyle name="_绵阳BSS设备清单－替换" xfId="3973" xr:uid="{00000000-0005-0000-0000-00009C170000}"/>
    <cellStyle name="_莱芜BSS-900M" xfId="3974" xr:uid="{00000000-0005-0000-0000-00009D170000}"/>
    <cellStyle name="_莱芜BSS-900M 2" xfId="3975" xr:uid="{00000000-0005-0000-0000-00009E170000}"/>
    <cellStyle name="_莱芜BSS-900M 2 2" xfId="3976" xr:uid="{00000000-0005-0000-0000-00009F170000}"/>
    <cellStyle name="_莱芜BSS-900M 3" xfId="3977" xr:uid="{00000000-0005-0000-0000-0000A0170000}"/>
    <cellStyle name="_莱芜BSS-900M 3 2" xfId="3978" xr:uid="{00000000-0005-0000-0000-0000A1170000}"/>
    <cellStyle name="_莱芜BSS-900M 4" xfId="3979" xr:uid="{00000000-0005-0000-0000-0000A2170000}"/>
    <cellStyle name="_莱芜BSS-900M_2G BSS BoQ" xfId="3980" xr:uid="{00000000-0005-0000-0000-0000A3170000}"/>
    <cellStyle name="_莱芜BSS-900M_2G BSS BoQ 2" xfId="3981" xr:uid="{00000000-0005-0000-0000-0000A4170000}"/>
    <cellStyle name="_莱芜BSS-900M_2G BSS BoQ 2 2" xfId="3982" xr:uid="{00000000-0005-0000-0000-0000A5170000}"/>
    <cellStyle name="_莱芜BSS-900M_2G BSS BoQ 3" xfId="3983" xr:uid="{00000000-0005-0000-0000-0000A6170000}"/>
    <cellStyle name="_莱芜BSS-900M_2G BSS BoQ 3 2" xfId="3984" xr:uid="{00000000-0005-0000-0000-0000A7170000}"/>
    <cellStyle name="_莱芜BSS-900M_2G BSS BoQ 4" xfId="3985" xr:uid="{00000000-0005-0000-0000-0000A8170000}"/>
    <cellStyle name="_莱芜BSS-900M_2G BSS BoQ_2G BSS BoQ" xfId="3986" xr:uid="{00000000-0005-0000-0000-0000A9170000}"/>
    <cellStyle name="_莱芜BSS-900M_2G BSS BoQ_2G BSS BoQ 2" xfId="3987" xr:uid="{00000000-0005-0000-0000-0000AA170000}"/>
    <cellStyle name="_莱芜BSS-900M_2G BSS BoQ_2G BSS BoQ 2 2" xfId="3988" xr:uid="{00000000-0005-0000-0000-0000AB170000}"/>
    <cellStyle name="_莱芜BSS-900M_2G BSS BoQ_2G BSS BoQ 3" xfId="3989" xr:uid="{00000000-0005-0000-0000-0000AC170000}"/>
    <cellStyle name="_莱芜BSS-900M_2G BSS BoQ_2G BSS BoQ 3 2" xfId="3990" xr:uid="{00000000-0005-0000-0000-0000AD170000}"/>
    <cellStyle name="_莱芜BSS-900M_2G BSS BoQ_2G BSS BoQ 4" xfId="3991" xr:uid="{00000000-0005-0000-0000-0000AE170000}"/>
    <cellStyle name="_莱芜BSS-900M_2G BSS BoQ_2G service V5" xfId="3992" xr:uid="{00000000-0005-0000-0000-0000AF170000}"/>
    <cellStyle name="_莱芜BSS-900M_2G BSS BoQ_2G service V5 2" xfId="3993" xr:uid="{00000000-0005-0000-0000-0000B0170000}"/>
    <cellStyle name="_莱芜BSS-900M_2G BSS BoQ_2G service V5 2 2" xfId="3994" xr:uid="{00000000-0005-0000-0000-0000B1170000}"/>
    <cellStyle name="_莱芜BSS-900M_2G BSS BoQ_2G service V5 3" xfId="3995" xr:uid="{00000000-0005-0000-0000-0000B2170000}"/>
    <cellStyle name="_莱芜BSS-900M_2G BSS BoQ_2G service V5 3 2" xfId="3996" xr:uid="{00000000-0005-0000-0000-0000B3170000}"/>
    <cellStyle name="_莱芜BSS-900M_2G BSS BoQ_2G service V5 4" xfId="3997" xr:uid="{00000000-0005-0000-0000-0000B4170000}"/>
    <cellStyle name="_莱芜BSS-900M_2G BSS BoQ_2G Service(20071104)benchmark" xfId="3998" xr:uid="{00000000-0005-0000-0000-0000B5170000}"/>
    <cellStyle name="_莱芜BSS-900M_2G BSS BoQ_2G Service(20071104)benchmark 2" xfId="3999" xr:uid="{00000000-0005-0000-0000-0000B6170000}"/>
    <cellStyle name="_莱芜BSS-900M_2G BSS BoQ_2G Service(20071104)benchmark 2 2" xfId="4000" xr:uid="{00000000-0005-0000-0000-0000B7170000}"/>
    <cellStyle name="_莱芜BSS-900M_2G BSS BoQ_2G Service(20071104)benchmark 3" xfId="4001" xr:uid="{00000000-0005-0000-0000-0000B8170000}"/>
    <cellStyle name="_莱芜BSS-900M_2G BSS BoQ_2G Service(20071104)benchmark 3 2" xfId="4002" xr:uid="{00000000-0005-0000-0000-0000B9170000}"/>
    <cellStyle name="_莱芜BSS-900M_2G BSS BoQ_2G Service(20071104)benchmark 4" xfId="4003" xr:uid="{00000000-0005-0000-0000-0000BA170000}"/>
    <cellStyle name="_莱芜BSS-900M_2G BSS BoQ_2G_BoQ" xfId="4004" xr:uid="{00000000-0005-0000-0000-0000BB170000}"/>
    <cellStyle name="_莱芜BSS-900M_2G BSS BoQ_2G_BoQ 2" xfId="4005" xr:uid="{00000000-0005-0000-0000-0000BC170000}"/>
    <cellStyle name="_莱芜BSS-900M_2G BSS BoQ_2G_BoQ 2 2" xfId="4006" xr:uid="{00000000-0005-0000-0000-0000BD170000}"/>
    <cellStyle name="_莱芜BSS-900M_2G BSS BoQ_2G_BoQ 3" xfId="4007" xr:uid="{00000000-0005-0000-0000-0000BE170000}"/>
    <cellStyle name="_莱芜BSS-900M_2G BSS BoQ_2G_BoQ 3 2" xfId="4008" xr:uid="{00000000-0005-0000-0000-0000BF170000}"/>
    <cellStyle name="_莱芜BSS-900M_2G BSS BoQ_2G_BoQ 4" xfId="4009" xr:uid="{00000000-0005-0000-0000-0000C0170000}"/>
    <cellStyle name="_莱芜BSS-900M_2G BSS BoQ_2G_BoQ Apple2" xfId="4010" xr:uid="{00000000-0005-0000-0000-0000C1170000}"/>
    <cellStyle name="_莱芜BSS-900M_2G BSS BoQ_2G_BoQ Apple2 2" xfId="4011" xr:uid="{00000000-0005-0000-0000-0000C2170000}"/>
    <cellStyle name="_莱芜BSS-900M_2G BSS BoQ_2G_BoQ Apple2 2 2" xfId="4012" xr:uid="{00000000-0005-0000-0000-0000C3170000}"/>
    <cellStyle name="_莱芜BSS-900M_2G BSS BoQ_2G_BoQ Apple2 3" xfId="4013" xr:uid="{00000000-0005-0000-0000-0000C4170000}"/>
    <cellStyle name="_莱芜BSS-900M_2G BSS BoQ_2G_BoQ Apple2 3 2" xfId="4014" xr:uid="{00000000-0005-0000-0000-0000C5170000}"/>
    <cellStyle name="_莱芜BSS-900M_2G BSS BoQ_2G_BoQ Apple2 4" xfId="4015" xr:uid="{00000000-0005-0000-0000-0000C6170000}"/>
    <cellStyle name="_莱芜BSS-900M_2G BSS BoQ_2G_BoQ Model" xfId="4016" xr:uid="{00000000-0005-0000-0000-0000C7170000}"/>
    <cellStyle name="_莱芜BSS-900M_2G BSS BoQ_2G_BoQ Model 2" xfId="4017" xr:uid="{00000000-0005-0000-0000-0000C8170000}"/>
    <cellStyle name="_莱芜BSS-900M_2G BSS BoQ_2G_BoQ Model 2 2" xfId="4018" xr:uid="{00000000-0005-0000-0000-0000C9170000}"/>
    <cellStyle name="_莱芜BSS-900M_2G BSS BoQ_2G_BoQ Model 3" xfId="4019" xr:uid="{00000000-0005-0000-0000-0000CA170000}"/>
    <cellStyle name="_莱芜BSS-900M_2G BSS BoQ_2G_BoQ Model 3 2" xfId="4020" xr:uid="{00000000-0005-0000-0000-0000CB170000}"/>
    <cellStyle name="_莱芜BSS-900M_2G BSS BoQ_2G_BoQ Model 4" xfId="4021" xr:uid="{00000000-0005-0000-0000-0000CC170000}"/>
    <cellStyle name="_莱芜BSS-900M_2G BSS BoQ_2G_BoQ P03 Model" xfId="4022" xr:uid="{00000000-0005-0000-0000-0000CD170000}"/>
    <cellStyle name="_莱芜BSS-900M_2G BSS BoQ_2G_BoQ P03 Model 2" xfId="4023" xr:uid="{00000000-0005-0000-0000-0000CE170000}"/>
    <cellStyle name="_莱芜BSS-900M_2G BSS BoQ_2G_BoQ P03 Model 2 2" xfId="4024" xr:uid="{00000000-0005-0000-0000-0000CF170000}"/>
    <cellStyle name="_莱芜BSS-900M_2G BSS BoQ_2G_BoQ P03 Model 3" xfId="4025" xr:uid="{00000000-0005-0000-0000-0000D0170000}"/>
    <cellStyle name="_莱芜BSS-900M_2G BSS BoQ_2G_BoQ P03 Model 3 2" xfId="4026" xr:uid="{00000000-0005-0000-0000-0000D1170000}"/>
    <cellStyle name="_莱芜BSS-900M_2G BSS BoQ_2G_BoQ P03 Model 4" xfId="4027" xr:uid="{00000000-0005-0000-0000-0000D2170000}"/>
    <cellStyle name="_莱芜BSS-900M_2G BSS BoQ_2G_BoQ v2" xfId="4028" xr:uid="{00000000-0005-0000-0000-0000D3170000}"/>
    <cellStyle name="_莱芜BSS-900M_2G BSS BoQ_2G_BoQ v2 2" xfId="4029" xr:uid="{00000000-0005-0000-0000-0000D4170000}"/>
    <cellStyle name="_莱芜BSS-900M_2G BSS BoQ_2G_BoQ v2 2 2" xfId="4030" xr:uid="{00000000-0005-0000-0000-0000D5170000}"/>
    <cellStyle name="_莱芜BSS-900M_2G BSS BoQ_2G_BoQ v2 3" xfId="4031" xr:uid="{00000000-0005-0000-0000-0000D6170000}"/>
    <cellStyle name="_莱芜BSS-900M_2G BSS BoQ_2G_BoQ v2 3 2" xfId="4032" xr:uid="{00000000-0005-0000-0000-0000D7170000}"/>
    <cellStyle name="_莱芜BSS-900M_2G BSS BoQ_2G_BoQ v2 4" xfId="4033" xr:uid="{00000000-0005-0000-0000-0000D8170000}"/>
    <cellStyle name="_莱芜BSS-900M_2G BSS BoQ_2G_BoQ_v2" xfId="4034" xr:uid="{00000000-0005-0000-0000-0000D9170000}"/>
    <cellStyle name="_莱芜BSS-900M_2G BSS BoQ_2G_BoQ_v2 2" xfId="4035" xr:uid="{00000000-0005-0000-0000-0000DA170000}"/>
    <cellStyle name="_莱芜BSS-900M_2G BSS BoQ_2G_BoQ_v2 2 2" xfId="4036" xr:uid="{00000000-0005-0000-0000-0000DB170000}"/>
    <cellStyle name="_莱芜BSS-900M_2G BSS BoQ_2G_BoQ_v2 3" xfId="4037" xr:uid="{00000000-0005-0000-0000-0000DC170000}"/>
    <cellStyle name="_莱芜BSS-900M_2G BSS BoQ_2G_BoQ_v2 3 2" xfId="4038" xr:uid="{00000000-0005-0000-0000-0000DD170000}"/>
    <cellStyle name="_莱芜BSS-900M_2G BSS BoQ_2G_BoQ_v2 4" xfId="4039" xr:uid="{00000000-0005-0000-0000-0000DE170000}"/>
    <cellStyle name="_莱芜BSS-900M_2G BSS BoQ_Book2" xfId="4040" xr:uid="{00000000-0005-0000-0000-0000DF170000}"/>
    <cellStyle name="_莱芜BSS-900M_2G BSS BoQ_Book2 2" xfId="4041" xr:uid="{00000000-0005-0000-0000-0000E0170000}"/>
    <cellStyle name="_莱芜BSS-900M_2G BSS BoQ_Book2 2 2" xfId="4042" xr:uid="{00000000-0005-0000-0000-0000E1170000}"/>
    <cellStyle name="_莱芜BSS-900M_2G BSS BoQ_Book2 3" xfId="4043" xr:uid="{00000000-0005-0000-0000-0000E2170000}"/>
    <cellStyle name="_莱芜BSS-900M_2G BSS BoQ_Book2 3 2" xfId="4044" xr:uid="{00000000-0005-0000-0000-0000E3170000}"/>
    <cellStyle name="_莱芜BSS-900M_2G BSS BoQ_Book2 4" xfId="4045" xr:uid="{00000000-0005-0000-0000-0000E4170000}"/>
    <cellStyle name="_莱芜BSS-900M_2G BSS BoQ_Revised 2G_BoQ" xfId="4046" xr:uid="{00000000-0005-0000-0000-0000E5170000}"/>
    <cellStyle name="_莱芜BSS-900M_2G BSS BoQ_Revised 2G_BoQ 2" xfId="4047" xr:uid="{00000000-0005-0000-0000-0000E6170000}"/>
    <cellStyle name="_莱芜BSS-900M_2G BSS BoQ_Revised 2G_BoQ 2 2" xfId="4048" xr:uid="{00000000-0005-0000-0000-0000E7170000}"/>
    <cellStyle name="_莱芜BSS-900M_2G BSS BoQ_Revised 2G_BoQ 3" xfId="4049" xr:uid="{00000000-0005-0000-0000-0000E8170000}"/>
    <cellStyle name="_莱芜BSS-900M_2G BSS BoQ_Revised 2G_BoQ 3 2" xfId="4050" xr:uid="{00000000-0005-0000-0000-0000E9170000}"/>
    <cellStyle name="_莱芜BSS-900M_2G BSS BoQ_Revised 2G_BoQ 4" xfId="4051" xr:uid="{00000000-0005-0000-0000-0000EA170000}"/>
    <cellStyle name="_莱芜BSS-900M_2G BSS BoQ_Revised 2G_BoQ P03 Model" xfId="4052" xr:uid="{00000000-0005-0000-0000-0000EB170000}"/>
    <cellStyle name="_莱芜BSS-900M_2G BSS BoQ_Revised 2G_BoQ P03 Model 2" xfId="4053" xr:uid="{00000000-0005-0000-0000-0000EC170000}"/>
    <cellStyle name="_莱芜BSS-900M_2G BSS BoQ_Revised 2G_BoQ P03 Model 2 2" xfId="4054" xr:uid="{00000000-0005-0000-0000-0000ED170000}"/>
    <cellStyle name="_莱芜BSS-900M_2G BSS BoQ_Revised 2G_BoQ P03 Model 3" xfId="4055" xr:uid="{00000000-0005-0000-0000-0000EE170000}"/>
    <cellStyle name="_莱芜BSS-900M_2G BSS BoQ_Revised 2G_BoQ P03 Model 3 2" xfId="4056" xr:uid="{00000000-0005-0000-0000-0000EF170000}"/>
    <cellStyle name="_莱芜BSS-900M_2G BSS BoQ_Revised 2G_BoQ P03 Model 4" xfId="4057" xr:uid="{00000000-0005-0000-0000-0000F0170000}"/>
    <cellStyle name="_莱芜BSS-900M_2G BSS BoQ_服务文件Benchmark V13(for Customer)" xfId="4058" xr:uid="{00000000-0005-0000-0000-0000F1170000}"/>
    <cellStyle name="_莱芜BSS-900M_2G BSS BoQ_服务文件Benchmark V13(for Customer) 2" xfId="4059" xr:uid="{00000000-0005-0000-0000-0000F2170000}"/>
    <cellStyle name="_莱芜BSS-900M_2G BSS BoQ_服务文件Benchmark V13(for Customer) 2 2" xfId="4060" xr:uid="{00000000-0005-0000-0000-0000F3170000}"/>
    <cellStyle name="_莱芜BSS-900M_2G BSS BoQ_服务文件Benchmark V13(for Customer) 3" xfId="4061" xr:uid="{00000000-0005-0000-0000-0000F4170000}"/>
    <cellStyle name="_莱芜BSS-900M_2G BSS BoQ_服务文件Benchmark V13(for Customer) 3 2" xfId="4062" xr:uid="{00000000-0005-0000-0000-0000F5170000}"/>
    <cellStyle name="_莱芜BSS-900M_2G BSS BoQ_服务文件Benchmark V13(for Customer) 4" xfId="4063" xr:uid="{00000000-0005-0000-0000-0000F6170000}"/>
    <cellStyle name="_莱芜BSS-900M_2G BSS BoQ_服务文件Benchmark V5" xfId="4064" xr:uid="{00000000-0005-0000-0000-0000F7170000}"/>
    <cellStyle name="_莱芜BSS-900M_2G BSS BoQ_服务文件Benchmark V5 2" xfId="4065" xr:uid="{00000000-0005-0000-0000-0000F8170000}"/>
    <cellStyle name="_莱芜BSS-900M_2G BSS BoQ_服务文件Benchmark V5 2 2" xfId="4066" xr:uid="{00000000-0005-0000-0000-0000F9170000}"/>
    <cellStyle name="_莱芜BSS-900M_2G BSS BoQ_服务文件Benchmark V5 3" xfId="4067" xr:uid="{00000000-0005-0000-0000-0000FA170000}"/>
    <cellStyle name="_莱芜BSS-900M_2G BSS BoQ_服务文件Benchmark V5 3 2" xfId="4068" xr:uid="{00000000-0005-0000-0000-0000FB170000}"/>
    <cellStyle name="_莱芜BSS-900M_2G BSS BoQ_服务文件Benchmark V5 4" xfId="4069" xr:uid="{00000000-0005-0000-0000-0000FC170000}"/>
    <cellStyle name="_莱芜BSS-900M_2G Core BoQ" xfId="4070" xr:uid="{00000000-0005-0000-0000-0000FD170000}"/>
    <cellStyle name="_莱芜BSS-900M_2G Core BoQ 2" xfId="4071" xr:uid="{00000000-0005-0000-0000-0000FE170000}"/>
    <cellStyle name="_莱芜BSS-900M_2G Core BoQ 2 2" xfId="4072" xr:uid="{00000000-0005-0000-0000-0000FF170000}"/>
    <cellStyle name="_莱芜BSS-900M_2G Core BoQ 3" xfId="4073" xr:uid="{00000000-0005-0000-0000-000000180000}"/>
    <cellStyle name="_莱芜BSS-900M_2G Core BoQ 3 2" xfId="4074" xr:uid="{00000000-0005-0000-0000-000001180000}"/>
    <cellStyle name="_莱芜BSS-900M_2G Core BoQ 4" xfId="4075" xr:uid="{00000000-0005-0000-0000-000002180000}"/>
    <cellStyle name="_莱芜BSS-900M_2G Core BoQ_2G service V5" xfId="4076" xr:uid="{00000000-0005-0000-0000-000003180000}"/>
    <cellStyle name="_莱芜BSS-900M_2G Core BoQ_2G service V5 2" xfId="4077" xr:uid="{00000000-0005-0000-0000-000004180000}"/>
    <cellStyle name="_莱芜BSS-900M_2G Core BoQ_2G service V5 2 2" xfId="4078" xr:uid="{00000000-0005-0000-0000-000005180000}"/>
    <cellStyle name="_莱芜BSS-900M_2G Core BoQ_2G service V5 3" xfId="4079" xr:uid="{00000000-0005-0000-0000-000006180000}"/>
    <cellStyle name="_莱芜BSS-900M_2G Core BoQ_2G service V5 3 2" xfId="4080" xr:uid="{00000000-0005-0000-0000-000007180000}"/>
    <cellStyle name="_莱芜BSS-900M_2G Core BoQ_2G service V5 4" xfId="4081" xr:uid="{00000000-0005-0000-0000-000008180000}"/>
    <cellStyle name="_莱芜BSS-900M_2G Core BoQ_2G Service(20071104)benchmark" xfId="4082" xr:uid="{00000000-0005-0000-0000-000009180000}"/>
    <cellStyle name="_莱芜BSS-900M_2G Core BoQ_2G Service(20071104)benchmark 2" xfId="4083" xr:uid="{00000000-0005-0000-0000-00000A180000}"/>
    <cellStyle name="_莱芜BSS-900M_2G Core BoQ_2G Service(20071104)benchmark 2 2" xfId="4084" xr:uid="{00000000-0005-0000-0000-00000B180000}"/>
    <cellStyle name="_莱芜BSS-900M_2G Core BoQ_2G Service(20071104)benchmark 3" xfId="4085" xr:uid="{00000000-0005-0000-0000-00000C180000}"/>
    <cellStyle name="_莱芜BSS-900M_2G Core BoQ_2G Service(20071104)benchmark 3 2" xfId="4086" xr:uid="{00000000-0005-0000-0000-00000D180000}"/>
    <cellStyle name="_莱芜BSS-900M_2G Core BoQ_2G Service(20071104)benchmark 4" xfId="4087" xr:uid="{00000000-0005-0000-0000-00000E180000}"/>
    <cellStyle name="_莱芜BSS-900M_2G Core BoQ_2G_BoQ" xfId="4088" xr:uid="{00000000-0005-0000-0000-00000F180000}"/>
    <cellStyle name="_莱芜BSS-900M_2G Core BoQ_2G_BoQ 2" xfId="4089" xr:uid="{00000000-0005-0000-0000-000010180000}"/>
    <cellStyle name="_莱芜BSS-900M_2G Core BoQ_2G_BoQ 2 2" xfId="4090" xr:uid="{00000000-0005-0000-0000-000011180000}"/>
    <cellStyle name="_莱芜BSS-900M_2G Core BoQ_2G_BoQ 3" xfId="4091" xr:uid="{00000000-0005-0000-0000-000012180000}"/>
    <cellStyle name="_莱芜BSS-900M_2G Core BoQ_2G_BoQ 3 2" xfId="4092" xr:uid="{00000000-0005-0000-0000-000013180000}"/>
    <cellStyle name="_莱芜BSS-900M_2G Core BoQ_2G_BoQ 4" xfId="4093" xr:uid="{00000000-0005-0000-0000-000014180000}"/>
    <cellStyle name="_莱芜BSS-900M_2G Core BoQ_2G_BoQ Apple2" xfId="4094" xr:uid="{00000000-0005-0000-0000-000015180000}"/>
    <cellStyle name="_莱芜BSS-900M_2G Core BoQ_2G_BoQ Apple2 2" xfId="4095" xr:uid="{00000000-0005-0000-0000-000016180000}"/>
    <cellStyle name="_莱芜BSS-900M_2G Core BoQ_2G_BoQ Apple2 2 2" xfId="4096" xr:uid="{00000000-0005-0000-0000-000017180000}"/>
    <cellStyle name="_莱芜BSS-900M_2G Core BoQ_2G_BoQ Apple2 3" xfId="4097" xr:uid="{00000000-0005-0000-0000-000018180000}"/>
    <cellStyle name="_莱芜BSS-900M_2G Core BoQ_2G_BoQ Apple2 3 2" xfId="4098" xr:uid="{00000000-0005-0000-0000-000019180000}"/>
    <cellStyle name="_莱芜BSS-900M_2G Core BoQ_2G_BoQ Apple2 4" xfId="4099" xr:uid="{00000000-0005-0000-0000-00001A180000}"/>
    <cellStyle name="_莱芜BSS-900M_2G Core BoQ_2G_BoQ Model" xfId="4100" xr:uid="{00000000-0005-0000-0000-00001B180000}"/>
    <cellStyle name="_莱芜BSS-900M_2G Core BoQ_2G_BoQ Model 2" xfId="4101" xr:uid="{00000000-0005-0000-0000-00001C180000}"/>
    <cellStyle name="_莱芜BSS-900M_2G Core BoQ_2G_BoQ Model 2 2" xfId="4102" xr:uid="{00000000-0005-0000-0000-00001D180000}"/>
    <cellStyle name="_莱芜BSS-900M_2G Core BoQ_2G_BoQ Model 3" xfId="4103" xr:uid="{00000000-0005-0000-0000-00001E180000}"/>
    <cellStyle name="_莱芜BSS-900M_2G Core BoQ_2G_BoQ Model 3 2" xfId="4104" xr:uid="{00000000-0005-0000-0000-00001F180000}"/>
    <cellStyle name="_莱芜BSS-900M_2G Core BoQ_2G_BoQ Model 4" xfId="4105" xr:uid="{00000000-0005-0000-0000-000020180000}"/>
    <cellStyle name="_莱芜BSS-900M_2G Core BoQ_2G_BoQ P03 Model" xfId="4106" xr:uid="{00000000-0005-0000-0000-000021180000}"/>
    <cellStyle name="_莱芜BSS-900M_2G Core BoQ_2G_BoQ P03 Model 2" xfId="4107" xr:uid="{00000000-0005-0000-0000-000022180000}"/>
    <cellStyle name="_莱芜BSS-900M_2G Core BoQ_2G_BoQ P03 Model 2 2" xfId="4108" xr:uid="{00000000-0005-0000-0000-000023180000}"/>
    <cellStyle name="_莱芜BSS-900M_2G Core BoQ_2G_BoQ P03 Model 3" xfId="4109" xr:uid="{00000000-0005-0000-0000-000024180000}"/>
    <cellStyle name="_莱芜BSS-900M_2G Core BoQ_2G_BoQ P03 Model 3 2" xfId="4110" xr:uid="{00000000-0005-0000-0000-000025180000}"/>
    <cellStyle name="_莱芜BSS-900M_2G Core BoQ_2G_BoQ P03 Model 4" xfId="4111" xr:uid="{00000000-0005-0000-0000-000026180000}"/>
    <cellStyle name="_莱芜BSS-900M_2G Core BoQ_2G_BoQ v2" xfId="4112" xr:uid="{00000000-0005-0000-0000-000027180000}"/>
    <cellStyle name="_莱芜BSS-900M_2G Core BoQ_2G_BoQ v2 2" xfId="4113" xr:uid="{00000000-0005-0000-0000-000028180000}"/>
    <cellStyle name="_莱芜BSS-900M_2G Core BoQ_2G_BoQ v2 2 2" xfId="4114" xr:uid="{00000000-0005-0000-0000-000029180000}"/>
    <cellStyle name="_莱芜BSS-900M_2G Core BoQ_2G_BoQ v2 3" xfId="4115" xr:uid="{00000000-0005-0000-0000-00002A180000}"/>
    <cellStyle name="_莱芜BSS-900M_2G Core BoQ_2G_BoQ v2 3 2" xfId="4116" xr:uid="{00000000-0005-0000-0000-00002B180000}"/>
    <cellStyle name="_莱芜BSS-900M_2G Core BoQ_2G_BoQ v2 4" xfId="4117" xr:uid="{00000000-0005-0000-0000-00002C180000}"/>
    <cellStyle name="_莱芜BSS-900M_2G Core BoQ_2G_BoQ_v2" xfId="4118" xr:uid="{00000000-0005-0000-0000-00002D180000}"/>
    <cellStyle name="_莱芜BSS-900M_2G Core BoQ_2G_BoQ_v2 2" xfId="4119" xr:uid="{00000000-0005-0000-0000-00002E180000}"/>
    <cellStyle name="_莱芜BSS-900M_2G Core BoQ_2G_BoQ_v2 2 2" xfId="4120" xr:uid="{00000000-0005-0000-0000-00002F180000}"/>
    <cellStyle name="_莱芜BSS-900M_2G Core BoQ_2G_BoQ_v2 3" xfId="4121" xr:uid="{00000000-0005-0000-0000-000030180000}"/>
    <cellStyle name="_莱芜BSS-900M_2G Core BoQ_2G_BoQ_v2 3 2" xfId="4122" xr:uid="{00000000-0005-0000-0000-000031180000}"/>
    <cellStyle name="_莱芜BSS-900M_2G Core BoQ_2G_BoQ_v2 4" xfId="4123" xr:uid="{00000000-0005-0000-0000-000032180000}"/>
    <cellStyle name="_莱芜BSS-900M_2G Core BoQ_Book2" xfId="4124" xr:uid="{00000000-0005-0000-0000-000033180000}"/>
    <cellStyle name="_莱芜BSS-900M_2G Core BoQ_Book2 2" xfId="4125" xr:uid="{00000000-0005-0000-0000-000034180000}"/>
    <cellStyle name="_莱芜BSS-900M_2G Core BoQ_Book2 2 2" xfId="4126" xr:uid="{00000000-0005-0000-0000-000035180000}"/>
    <cellStyle name="_莱芜BSS-900M_2G Core BoQ_Book2 3" xfId="4127" xr:uid="{00000000-0005-0000-0000-000036180000}"/>
    <cellStyle name="_莱芜BSS-900M_2G Core BoQ_Book2 3 2" xfId="4128" xr:uid="{00000000-0005-0000-0000-000037180000}"/>
    <cellStyle name="_莱芜BSS-900M_2G Core BoQ_Book2 4" xfId="4129" xr:uid="{00000000-0005-0000-0000-000038180000}"/>
    <cellStyle name="_莱芜BSS-900M_2G Core BoQ_Revised 2G_BoQ" xfId="4130" xr:uid="{00000000-0005-0000-0000-000039180000}"/>
    <cellStyle name="_莱芜BSS-900M_2G Core BoQ_Revised 2G_BoQ 2" xfId="4131" xr:uid="{00000000-0005-0000-0000-00003A180000}"/>
    <cellStyle name="_莱芜BSS-900M_2G Core BoQ_Revised 2G_BoQ 2 2" xfId="4132" xr:uid="{00000000-0005-0000-0000-00003B180000}"/>
    <cellStyle name="_莱芜BSS-900M_2G Core BoQ_Revised 2G_BoQ 3" xfId="4133" xr:uid="{00000000-0005-0000-0000-00003C180000}"/>
    <cellStyle name="_莱芜BSS-900M_2G Core BoQ_Revised 2G_BoQ 3 2" xfId="4134" xr:uid="{00000000-0005-0000-0000-00003D180000}"/>
    <cellStyle name="_莱芜BSS-900M_2G Core BoQ_Revised 2G_BoQ 4" xfId="4135" xr:uid="{00000000-0005-0000-0000-00003E180000}"/>
    <cellStyle name="_莱芜BSS-900M_2G Core BoQ_Revised 2G_BoQ P03 Model" xfId="4136" xr:uid="{00000000-0005-0000-0000-00003F180000}"/>
    <cellStyle name="_莱芜BSS-900M_2G Core BoQ_Revised 2G_BoQ P03 Model 2" xfId="4137" xr:uid="{00000000-0005-0000-0000-000040180000}"/>
    <cellStyle name="_莱芜BSS-900M_2G Core BoQ_Revised 2G_BoQ P03 Model 2 2" xfId="4138" xr:uid="{00000000-0005-0000-0000-000041180000}"/>
    <cellStyle name="_莱芜BSS-900M_2G Core BoQ_Revised 2G_BoQ P03 Model 3" xfId="4139" xr:uid="{00000000-0005-0000-0000-000042180000}"/>
    <cellStyle name="_莱芜BSS-900M_2G Core BoQ_Revised 2G_BoQ P03 Model 3 2" xfId="4140" xr:uid="{00000000-0005-0000-0000-000043180000}"/>
    <cellStyle name="_莱芜BSS-900M_2G Core BoQ_Revised 2G_BoQ P03 Model 4" xfId="4141" xr:uid="{00000000-0005-0000-0000-000044180000}"/>
    <cellStyle name="_莱芜BSS-900M_2G Core BoQ_服务文件Benchmark V13(for Customer)" xfId="4142" xr:uid="{00000000-0005-0000-0000-000045180000}"/>
    <cellStyle name="_莱芜BSS-900M_2G Core BoQ_服务文件Benchmark V13(for Customer) 2" xfId="4143" xr:uid="{00000000-0005-0000-0000-000046180000}"/>
    <cellStyle name="_莱芜BSS-900M_2G Core BoQ_服务文件Benchmark V13(for Customer) 2 2" xfId="4144" xr:uid="{00000000-0005-0000-0000-000047180000}"/>
    <cellStyle name="_莱芜BSS-900M_2G Core BoQ_服务文件Benchmark V13(for Customer) 3" xfId="4145" xr:uid="{00000000-0005-0000-0000-000048180000}"/>
    <cellStyle name="_莱芜BSS-900M_2G Core BoQ_服务文件Benchmark V13(for Customer) 3 2" xfId="4146" xr:uid="{00000000-0005-0000-0000-000049180000}"/>
    <cellStyle name="_莱芜BSS-900M_2G Core BoQ_服务文件Benchmark V13(for Customer) 4" xfId="4147" xr:uid="{00000000-0005-0000-0000-00004A180000}"/>
    <cellStyle name="_莱芜BSS-900M_2G Core BoQ_服务文件Benchmark V5" xfId="4148" xr:uid="{00000000-0005-0000-0000-00004B180000}"/>
    <cellStyle name="_莱芜BSS-900M_2G Core BoQ_服务文件Benchmark V5 2" xfId="4149" xr:uid="{00000000-0005-0000-0000-00004C180000}"/>
    <cellStyle name="_莱芜BSS-900M_2G Core BoQ_服务文件Benchmark V5 2 2" xfId="4150" xr:uid="{00000000-0005-0000-0000-00004D180000}"/>
    <cellStyle name="_莱芜BSS-900M_2G Core BoQ_服务文件Benchmark V5 3" xfId="4151" xr:uid="{00000000-0005-0000-0000-00004E180000}"/>
    <cellStyle name="_莱芜BSS-900M_2G Core BoQ_服务文件Benchmark V5 3 2" xfId="4152" xr:uid="{00000000-0005-0000-0000-00004F180000}"/>
    <cellStyle name="_莱芜BSS-900M_2G Core BoQ_服务文件Benchmark V5 4" xfId="4153" xr:uid="{00000000-0005-0000-0000-000050180000}"/>
    <cellStyle name="_莱芜BSS-900M_2G Core BoQ1" xfId="4154" xr:uid="{00000000-0005-0000-0000-000051180000}"/>
    <cellStyle name="_莱芜BSS-900M_2G Core BoQ1 2" xfId="4155" xr:uid="{00000000-0005-0000-0000-000052180000}"/>
    <cellStyle name="_莱芜BSS-900M_2G Core BoQ1 2 2" xfId="4156" xr:uid="{00000000-0005-0000-0000-000053180000}"/>
    <cellStyle name="_莱芜BSS-900M_2G Core BoQ1 3" xfId="4157" xr:uid="{00000000-0005-0000-0000-000054180000}"/>
    <cellStyle name="_莱芜BSS-900M_2G Core BoQ1 3 2" xfId="4158" xr:uid="{00000000-0005-0000-0000-000055180000}"/>
    <cellStyle name="_莱芜BSS-900M_2G Core BoQ1 4" xfId="4159" xr:uid="{00000000-0005-0000-0000-000056180000}"/>
    <cellStyle name="_莱芜BSS-900M_2G Core BoQ1_2G service V5" xfId="4160" xr:uid="{00000000-0005-0000-0000-000057180000}"/>
    <cellStyle name="_莱芜BSS-900M_2G Core BoQ1_2G service V5 2" xfId="4161" xr:uid="{00000000-0005-0000-0000-000058180000}"/>
    <cellStyle name="_莱芜BSS-900M_2G Core BoQ1_2G service V5 2 2" xfId="4162" xr:uid="{00000000-0005-0000-0000-000059180000}"/>
    <cellStyle name="_莱芜BSS-900M_2G Core BoQ1_2G service V5 3" xfId="4163" xr:uid="{00000000-0005-0000-0000-00005A180000}"/>
    <cellStyle name="_莱芜BSS-900M_2G Core BoQ1_2G service V5 3 2" xfId="4164" xr:uid="{00000000-0005-0000-0000-00005B180000}"/>
    <cellStyle name="_莱芜BSS-900M_2G Core BoQ1_2G service V5 4" xfId="4165" xr:uid="{00000000-0005-0000-0000-00005C180000}"/>
    <cellStyle name="_莱芜BSS-900M_2G Core BoQ1_2G Service(20071104)benchmark" xfId="4166" xr:uid="{00000000-0005-0000-0000-00005D180000}"/>
    <cellStyle name="_莱芜BSS-900M_2G Core BoQ1_2G Service(20071104)benchmark 2" xfId="4167" xr:uid="{00000000-0005-0000-0000-00005E180000}"/>
    <cellStyle name="_莱芜BSS-900M_2G Core BoQ1_2G Service(20071104)benchmark 2 2" xfId="4168" xr:uid="{00000000-0005-0000-0000-00005F180000}"/>
    <cellStyle name="_莱芜BSS-900M_2G Core BoQ1_2G Service(20071104)benchmark 3" xfId="4169" xr:uid="{00000000-0005-0000-0000-000060180000}"/>
    <cellStyle name="_莱芜BSS-900M_2G Core BoQ1_2G Service(20071104)benchmark 3 2" xfId="4170" xr:uid="{00000000-0005-0000-0000-000061180000}"/>
    <cellStyle name="_莱芜BSS-900M_2G Core BoQ1_2G Service(20071104)benchmark 4" xfId="4171" xr:uid="{00000000-0005-0000-0000-000062180000}"/>
    <cellStyle name="_莱芜BSS-900M_2G Core BoQ1_2G_BoQ" xfId="4172" xr:uid="{00000000-0005-0000-0000-000063180000}"/>
    <cellStyle name="_莱芜BSS-900M_2G Core BoQ1_2G_BoQ 2" xfId="4173" xr:uid="{00000000-0005-0000-0000-000064180000}"/>
    <cellStyle name="_莱芜BSS-900M_2G Core BoQ1_2G_BoQ 2 2" xfId="4174" xr:uid="{00000000-0005-0000-0000-000065180000}"/>
    <cellStyle name="_莱芜BSS-900M_2G Core BoQ1_2G_BoQ 3" xfId="4175" xr:uid="{00000000-0005-0000-0000-000066180000}"/>
    <cellStyle name="_莱芜BSS-900M_2G Core BoQ1_2G_BoQ 3 2" xfId="4176" xr:uid="{00000000-0005-0000-0000-000067180000}"/>
    <cellStyle name="_莱芜BSS-900M_2G Core BoQ1_2G_BoQ 4" xfId="4177" xr:uid="{00000000-0005-0000-0000-000068180000}"/>
    <cellStyle name="_莱芜BSS-900M_2G Core BoQ1_2G_BoQ Apple2" xfId="4178" xr:uid="{00000000-0005-0000-0000-000069180000}"/>
    <cellStyle name="_莱芜BSS-900M_2G Core BoQ1_2G_BoQ Apple2 2" xfId="4179" xr:uid="{00000000-0005-0000-0000-00006A180000}"/>
    <cellStyle name="_莱芜BSS-900M_2G Core BoQ1_2G_BoQ Apple2 2 2" xfId="4180" xr:uid="{00000000-0005-0000-0000-00006B180000}"/>
    <cellStyle name="_莱芜BSS-900M_2G Core BoQ1_2G_BoQ Apple2 3" xfId="4181" xr:uid="{00000000-0005-0000-0000-00006C180000}"/>
    <cellStyle name="_莱芜BSS-900M_2G Core BoQ1_2G_BoQ Apple2 3 2" xfId="4182" xr:uid="{00000000-0005-0000-0000-00006D180000}"/>
    <cellStyle name="_莱芜BSS-900M_2G Core BoQ1_2G_BoQ Apple2 4" xfId="4183" xr:uid="{00000000-0005-0000-0000-00006E180000}"/>
    <cellStyle name="_莱芜BSS-900M_2G Core BoQ1_2G_BoQ Model" xfId="4184" xr:uid="{00000000-0005-0000-0000-00006F180000}"/>
    <cellStyle name="_莱芜BSS-900M_2G Core BoQ1_2G_BoQ Model 2" xfId="4185" xr:uid="{00000000-0005-0000-0000-000070180000}"/>
    <cellStyle name="_莱芜BSS-900M_2G Core BoQ1_2G_BoQ Model 2 2" xfId="4186" xr:uid="{00000000-0005-0000-0000-000071180000}"/>
    <cellStyle name="_莱芜BSS-900M_2G Core BoQ1_2G_BoQ Model 3" xfId="4187" xr:uid="{00000000-0005-0000-0000-000072180000}"/>
    <cellStyle name="_莱芜BSS-900M_2G Core BoQ1_2G_BoQ Model 3 2" xfId="4188" xr:uid="{00000000-0005-0000-0000-000073180000}"/>
    <cellStyle name="_莱芜BSS-900M_2G Core BoQ1_2G_BoQ Model 4" xfId="4189" xr:uid="{00000000-0005-0000-0000-000074180000}"/>
    <cellStyle name="_莱芜BSS-900M_2G Core BoQ1_2G_BoQ P03 Model" xfId="4190" xr:uid="{00000000-0005-0000-0000-000075180000}"/>
    <cellStyle name="_莱芜BSS-900M_2G Core BoQ1_2G_BoQ P03 Model 2" xfId="4191" xr:uid="{00000000-0005-0000-0000-000076180000}"/>
    <cellStyle name="_莱芜BSS-900M_2G Core BoQ1_2G_BoQ P03 Model 2 2" xfId="4192" xr:uid="{00000000-0005-0000-0000-000077180000}"/>
    <cellStyle name="_莱芜BSS-900M_2G Core BoQ1_2G_BoQ P03 Model 3" xfId="4193" xr:uid="{00000000-0005-0000-0000-000078180000}"/>
    <cellStyle name="_莱芜BSS-900M_2G Core BoQ1_2G_BoQ P03 Model 3 2" xfId="4194" xr:uid="{00000000-0005-0000-0000-000079180000}"/>
    <cellStyle name="_莱芜BSS-900M_2G Core BoQ1_2G_BoQ P03 Model 4" xfId="4195" xr:uid="{00000000-0005-0000-0000-00007A180000}"/>
    <cellStyle name="_莱芜BSS-900M_2G Core BoQ1_2G_BoQ v2" xfId="4196" xr:uid="{00000000-0005-0000-0000-00007B180000}"/>
    <cellStyle name="_莱芜BSS-900M_2G Core BoQ1_2G_BoQ v2 2" xfId="4197" xr:uid="{00000000-0005-0000-0000-00007C180000}"/>
    <cellStyle name="_莱芜BSS-900M_2G Core BoQ1_2G_BoQ v2 2 2" xfId="4198" xr:uid="{00000000-0005-0000-0000-00007D180000}"/>
    <cellStyle name="_莱芜BSS-900M_2G Core BoQ1_2G_BoQ v2 3" xfId="4199" xr:uid="{00000000-0005-0000-0000-00007E180000}"/>
    <cellStyle name="_莱芜BSS-900M_2G Core BoQ1_2G_BoQ v2 3 2" xfId="4200" xr:uid="{00000000-0005-0000-0000-00007F180000}"/>
    <cellStyle name="_莱芜BSS-900M_2G Core BoQ1_2G_BoQ v2 4" xfId="4201" xr:uid="{00000000-0005-0000-0000-000080180000}"/>
    <cellStyle name="_莱芜BSS-900M_2G Core BoQ1_2G_BoQ_v2" xfId="4202" xr:uid="{00000000-0005-0000-0000-000081180000}"/>
    <cellStyle name="_莱芜BSS-900M_2G Core BoQ1_2G_BoQ_v2 2" xfId="4203" xr:uid="{00000000-0005-0000-0000-000082180000}"/>
    <cellStyle name="_莱芜BSS-900M_2G Core BoQ1_2G_BoQ_v2 2 2" xfId="4204" xr:uid="{00000000-0005-0000-0000-000083180000}"/>
    <cellStyle name="_莱芜BSS-900M_2G Core BoQ1_2G_BoQ_v2 3" xfId="4205" xr:uid="{00000000-0005-0000-0000-000084180000}"/>
    <cellStyle name="_莱芜BSS-900M_2G Core BoQ1_2G_BoQ_v2 3 2" xfId="4206" xr:uid="{00000000-0005-0000-0000-000085180000}"/>
    <cellStyle name="_莱芜BSS-900M_2G Core BoQ1_2G_BoQ_v2 4" xfId="4207" xr:uid="{00000000-0005-0000-0000-000086180000}"/>
    <cellStyle name="_莱芜BSS-900M_2G Core BoQ1_Book2" xfId="4208" xr:uid="{00000000-0005-0000-0000-000087180000}"/>
    <cellStyle name="_莱芜BSS-900M_2G Core BoQ1_Book2 2" xfId="4209" xr:uid="{00000000-0005-0000-0000-000088180000}"/>
    <cellStyle name="_莱芜BSS-900M_2G Core BoQ1_Book2 2 2" xfId="4210" xr:uid="{00000000-0005-0000-0000-000089180000}"/>
    <cellStyle name="_莱芜BSS-900M_2G Core BoQ1_Book2 3" xfId="4211" xr:uid="{00000000-0005-0000-0000-00008A180000}"/>
    <cellStyle name="_莱芜BSS-900M_2G Core BoQ1_Book2 3 2" xfId="4212" xr:uid="{00000000-0005-0000-0000-00008B180000}"/>
    <cellStyle name="_莱芜BSS-900M_2G Core BoQ1_Book2 4" xfId="4213" xr:uid="{00000000-0005-0000-0000-00008C180000}"/>
    <cellStyle name="_莱芜BSS-900M_2G Core BoQ1_Revised 2G_BoQ" xfId="4214" xr:uid="{00000000-0005-0000-0000-00008D180000}"/>
    <cellStyle name="_莱芜BSS-900M_2G Core BoQ1_Revised 2G_BoQ 2" xfId="4215" xr:uid="{00000000-0005-0000-0000-00008E180000}"/>
    <cellStyle name="_莱芜BSS-900M_2G Core BoQ1_Revised 2G_BoQ 2 2" xfId="4216" xr:uid="{00000000-0005-0000-0000-00008F180000}"/>
    <cellStyle name="_莱芜BSS-900M_2G Core BoQ1_Revised 2G_BoQ 3" xfId="4217" xr:uid="{00000000-0005-0000-0000-000090180000}"/>
    <cellStyle name="_莱芜BSS-900M_2G Core BoQ1_Revised 2G_BoQ 3 2" xfId="4218" xr:uid="{00000000-0005-0000-0000-000091180000}"/>
    <cellStyle name="_莱芜BSS-900M_2G Core BoQ1_Revised 2G_BoQ 4" xfId="4219" xr:uid="{00000000-0005-0000-0000-000092180000}"/>
    <cellStyle name="_莱芜BSS-900M_2G Core BoQ1_Revised 2G_BoQ P03 Model" xfId="4220" xr:uid="{00000000-0005-0000-0000-000093180000}"/>
    <cellStyle name="_莱芜BSS-900M_2G Core BoQ1_Revised 2G_BoQ P03 Model 2" xfId="4221" xr:uid="{00000000-0005-0000-0000-000094180000}"/>
    <cellStyle name="_莱芜BSS-900M_2G Core BoQ1_Revised 2G_BoQ P03 Model 2 2" xfId="4222" xr:uid="{00000000-0005-0000-0000-000095180000}"/>
    <cellStyle name="_莱芜BSS-900M_2G Core BoQ1_Revised 2G_BoQ P03 Model 3" xfId="4223" xr:uid="{00000000-0005-0000-0000-000096180000}"/>
    <cellStyle name="_莱芜BSS-900M_2G Core BoQ1_Revised 2G_BoQ P03 Model 3 2" xfId="4224" xr:uid="{00000000-0005-0000-0000-000097180000}"/>
    <cellStyle name="_莱芜BSS-900M_2G Core BoQ1_Revised 2G_BoQ P03 Model 4" xfId="4225" xr:uid="{00000000-0005-0000-0000-000098180000}"/>
    <cellStyle name="_莱芜BSS-900M_2G Core BoQ1_服务文件Benchmark V13(for Customer)" xfId="4226" xr:uid="{00000000-0005-0000-0000-000099180000}"/>
    <cellStyle name="_莱芜BSS-900M_2G Core BoQ1_服务文件Benchmark V13(for Customer) 2" xfId="4227" xr:uid="{00000000-0005-0000-0000-00009A180000}"/>
    <cellStyle name="_莱芜BSS-900M_2G Core BoQ1_服务文件Benchmark V13(for Customer) 2 2" xfId="4228" xr:uid="{00000000-0005-0000-0000-00009B180000}"/>
    <cellStyle name="_莱芜BSS-900M_2G Core BoQ1_服务文件Benchmark V13(for Customer) 3" xfId="4229" xr:uid="{00000000-0005-0000-0000-00009C180000}"/>
    <cellStyle name="_莱芜BSS-900M_2G Core BoQ1_服务文件Benchmark V13(for Customer) 3 2" xfId="4230" xr:uid="{00000000-0005-0000-0000-00009D180000}"/>
    <cellStyle name="_莱芜BSS-900M_2G Core BoQ1_服务文件Benchmark V13(for Customer) 4" xfId="4231" xr:uid="{00000000-0005-0000-0000-00009E180000}"/>
    <cellStyle name="_莱芜BSS-900M_2G Core BoQ1_服务文件Benchmark V5" xfId="4232" xr:uid="{00000000-0005-0000-0000-00009F180000}"/>
    <cellStyle name="_莱芜BSS-900M_2G Core BoQ1_服务文件Benchmark V5 2" xfId="4233" xr:uid="{00000000-0005-0000-0000-0000A0180000}"/>
    <cellStyle name="_莱芜BSS-900M_2G Core BoQ1_服务文件Benchmark V5 2 2" xfId="4234" xr:uid="{00000000-0005-0000-0000-0000A1180000}"/>
    <cellStyle name="_莱芜BSS-900M_2G Core BoQ1_服务文件Benchmark V5 3" xfId="4235" xr:uid="{00000000-0005-0000-0000-0000A2180000}"/>
    <cellStyle name="_莱芜BSS-900M_2G Core BoQ1_服务文件Benchmark V5 3 2" xfId="4236" xr:uid="{00000000-0005-0000-0000-0000A3180000}"/>
    <cellStyle name="_莱芜BSS-900M_2G Core BoQ1_服务文件Benchmark V5 4" xfId="4237" xr:uid="{00000000-0005-0000-0000-0000A4180000}"/>
    <cellStyle name="_莱芜BSS-900M_2G Service BoQ" xfId="4238" xr:uid="{00000000-0005-0000-0000-0000A5180000}"/>
    <cellStyle name="_莱芜BSS-900M_2G Service BoQ 2" xfId="4239" xr:uid="{00000000-0005-0000-0000-0000A6180000}"/>
    <cellStyle name="_莱芜BSS-900M_2G Service BoQ 2 2" xfId="4240" xr:uid="{00000000-0005-0000-0000-0000A7180000}"/>
    <cellStyle name="_莱芜BSS-900M_2G Service BoQ 3" xfId="4241" xr:uid="{00000000-0005-0000-0000-0000A8180000}"/>
    <cellStyle name="_莱芜BSS-900M_2G Service BoQ 3 2" xfId="4242" xr:uid="{00000000-0005-0000-0000-0000A9180000}"/>
    <cellStyle name="_莱芜BSS-900M_2G Service BoQ 4" xfId="4243" xr:uid="{00000000-0005-0000-0000-0000AA180000}"/>
    <cellStyle name="_莱芜BSS-900M_2G Service BoQ_2G service V5" xfId="4244" xr:uid="{00000000-0005-0000-0000-0000AB180000}"/>
    <cellStyle name="_莱芜BSS-900M_2G Service BoQ_2G service V5 2" xfId="4245" xr:uid="{00000000-0005-0000-0000-0000AC180000}"/>
    <cellStyle name="_莱芜BSS-900M_2G Service BoQ_2G service V5 2 2" xfId="4246" xr:uid="{00000000-0005-0000-0000-0000AD180000}"/>
    <cellStyle name="_莱芜BSS-900M_2G Service BoQ_2G service V5 3" xfId="4247" xr:uid="{00000000-0005-0000-0000-0000AE180000}"/>
    <cellStyle name="_莱芜BSS-900M_2G Service BoQ_2G service V5 3 2" xfId="4248" xr:uid="{00000000-0005-0000-0000-0000AF180000}"/>
    <cellStyle name="_莱芜BSS-900M_2G Service BoQ_2G service V5 4" xfId="4249" xr:uid="{00000000-0005-0000-0000-0000B0180000}"/>
    <cellStyle name="_莱芜BSS-900M_2G Service BoQ_2G Service(20071104)benchmark" xfId="4250" xr:uid="{00000000-0005-0000-0000-0000B1180000}"/>
    <cellStyle name="_莱芜BSS-900M_2G Service BoQ_2G Service(20071104)benchmark 2" xfId="4251" xr:uid="{00000000-0005-0000-0000-0000B2180000}"/>
    <cellStyle name="_莱芜BSS-900M_2G Service BoQ_2G Service(20071104)benchmark 2 2" xfId="4252" xr:uid="{00000000-0005-0000-0000-0000B3180000}"/>
    <cellStyle name="_莱芜BSS-900M_2G Service BoQ_2G Service(20071104)benchmark 3" xfId="4253" xr:uid="{00000000-0005-0000-0000-0000B4180000}"/>
    <cellStyle name="_莱芜BSS-900M_2G Service BoQ_2G Service(20071104)benchmark 3 2" xfId="4254" xr:uid="{00000000-0005-0000-0000-0000B5180000}"/>
    <cellStyle name="_莱芜BSS-900M_2G Service BoQ_2G Service(20071104)benchmark 4" xfId="4255" xr:uid="{00000000-0005-0000-0000-0000B6180000}"/>
    <cellStyle name="_莱芜BSS-900M_2G Service BoQ_2G_BoQ" xfId="4256" xr:uid="{00000000-0005-0000-0000-0000B7180000}"/>
    <cellStyle name="_莱芜BSS-900M_2G Service BoQ_2G_BoQ 2" xfId="4257" xr:uid="{00000000-0005-0000-0000-0000B8180000}"/>
    <cellStyle name="_莱芜BSS-900M_2G Service BoQ_2G_BoQ 2 2" xfId="4258" xr:uid="{00000000-0005-0000-0000-0000B9180000}"/>
    <cellStyle name="_莱芜BSS-900M_2G Service BoQ_2G_BoQ 3" xfId="4259" xr:uid="{00000000-0005-0000-0000-0000BA180000}"/>
    <cellStyle name="_莱芜BSS-900M_2G Service BoQ_2G_BoQ 3 2" xfId="4260" xr:uid="{00000000-0005-0000-0000-0000BB180000}"/>
    <cellStyle name="_莱芜BSS-900M_2G Service BoQ_2G_BoQ 4" xfId="4261" xr:uid="{00000000-0005-0000-0000-0000BC180000}"/>
    <cellStyle name="_莱芜BSS-900M_2G Service BoQ_2G_BoQ Apple2" xfId="4262" xr:uid="{00000000-0005-0000-0000-0000BD180000}"/>
    <cellStyle name="_莱芜BSS-900M_2G Service BoQ_2G_BoQ Apple2 2" xfId="4263" xr:uid="{00000000-0005-0000-0000-0000BE180000}"/>
    <cellStyle name="_莱芜BSS-900M_2G Service BoQ_2G_BoQ Apple2 2 2" xfId="4264" xr:uid="{00000000-0005-0000-0000-0000BF180000}"/>
    <cellStyle name="_莱芜BSS-900M_2G Service BoQ_2G_BoQ Apple2 3" xfId="4265" xr:uid="{00000000-0005-0000-0000-0000C0180000}"/>
    <cellStyle name="_莱芜BSS-900M_2G Service BoQ_2G_BoQ Apple2 3 2" xfId="4266" xr:uid="{00000000-0005-0000-0000-0000C1180000}"/>
    <cellStyle name="_莱芜BSS-900M_2G Service BoQ_2G_BoQ Apple2 4" xfId="4267" xr:uid="{00000000-0005-0000-0000-0000C2180000}"/>
    <cellStyle name="_莱芜BSS-900M_2G Service BoQ_2G_BoQ Model" xfId="4268" xr:uid="{00000000-0005-0000-0000-0000C3180000}"/>
    <cellStyle name="_莱芜BSS-900M_2G Service BoQ_2G_BoQ Model 2" xfId="4269" xr:uid="{00000000-0005-0000-0000-0000C4180000}"/>
    <cellStyle name="_莱芜BSS-900M_2G Service BoQ_2G_BoQ Model 2 2" xfId="4270" xr:uid="{00000000-0005-0000-0000-0000C5180000}"/>
    <cellStyle name="_莱芜BSS-900M_2G Service BoQ_2G_BoQ Model 3" xfId="4271" xr:uid="{00000000-0005-0000-0000-0000C6180000}"/>
    <cellStyle name="_莱芜BSS-900M_2G Service BoQ_2G_BoQ Model 3 2" xfId="4272" xr:uid="{00000000-0005-0000-0000-0000C7180000}"/>
    <cellStyle name="_莱芜BSS-900M_2G Service BoQ_2G_BoQ Model 4" xfId="4273" xr:uid="{00000000-0005-0000-0000-0000C8180000}"/>
    <cellStyle name="_莱芜BSS-900M_2G Service BoQ_2G_BoQ P03 Model" xfId="4274" xr:uid="{00000000-0005-0000-0000-0000C9180000}"/>
    <cellStyle name="_莱芜BSS-900M_2G Service BoQ_2G_BoQ P03 Model 2" xfId="4275" xr:uid="{00000000-0005-0000-0000-0000CA180000}"/>
    <cellStyle name="_莱芜BSS-900M_2G Service BoQ_2G_BoQ P03 Model 2 2" xfId="4276" xr:uid="{00000000-0005-0000-0000-0000CB180000}"/>
    <cellStyle name="_莱芜BSS-900M_2G Service BoQ_2G_BoQ P03 Model 3" xfId="4277" xr:uid="{00000000-0005-0000-0000-0000CC180000}"/>
    <cellStyle name="_莱芜BSS-900M_2G Service BoQ_2G_BoQ P03 Model 3 2" xfId="4278" xr:uid="{00000000-0005-0000-0000-0000CD180000}"/>
    <cellStyle name="_莱芜BSS-900M_2G Service BoQ_2G_BoQ P03 Model 4" xfId="4279" xr:uid="{00000000-0005-0000-0000-0000CE180000}"/>
    <cellStyle name="_莱芜BSS-900M_2G Service BoQ_2G_BoQ v2" xfId="4280" xr:uid="{00000000-0005-0000-0000-0000CF180000}"/>
    <cellStyle name="_莱芜BSS-900M_2G Service BoQ_2G_BoQ v2 2" xfId="4281" xr:uid="{00000000-0005-0000-0000-0000D0180000}"/>
    <cellStyle name="_莱芜BSS-900M_2G Service BoQ_2G_BoQ v2 2 2" xfId="4282" xr:uid="{00000000-0005-0000-0000-0000D1180000}"/>
    <cellStyle name="_莱芜BSS-900M_2G Service BoQ_2G_BoQ v2 3" xfId="4283" xr:uid="{00000000-0005-0000-0000-0000D2180000}"/>
    <cellStyle name="_莱芜BSS-900M_2G Service BoQ_2G_BoQ v2 3 2" xfId="4284" xr:uid="{00000000-0005-0000-0000-0000D3180000}"/>
    <cellStyle name="_莱芜BSS-900M_2G Service BoQ_2G_BoQ v2 4" xfId="4285" xr:uid="{00000000-0005-0000-0000-0000D4180000}"/>
    <cellStyle name="_莱芜BSS-900M_2G Service BoQ_2G_BoQ_v2" xfId="4286" xr:uid="{00000000-0005-0000-0000-0000D5180000}"/>
    <cellStyle name="_莱芜BSS-900M_2G Service BoQ_2G_BoQ_v2 2" xfId="4287" xr:uid="{00000000-0005-0000-0000-0000D6180000}"/>
    <cellStyle name="_莱芜BSS-900M_2G Service BoQ_2G_BoQ_v2 2 2" xfId="4288" xr:uid="{00000000-0005-0000-0000-0000D7180000}"/>
    <cellStyle name="_莱芜BSS-900M_2G Service BoQ_2G_BoQ_v2 3" xfId="4289" xr:uid="{00000000-0005-0000-0000-0000D8180000}"/>
    <cellStyle name="_莱芜BSS-900M_2G Service BoQ_2G_BoQ_v2 3 2" xfId="4290" xr:uid="{00000000-0005-0000-0000-0000D9180000}"/>
    <cellStyle name="_莱芜BSS-900M_2G Service BoQ_2G_BoQ_v2 4" xfId="4291" xr:uid="{00000000-0005-0000-0000-0000DA180000}"/>
    <cellStyle name="_莱芜BSS-900M_2G Service BoQ_Book2" xfId="4292" xr:uid="{00000000-0005-0000-0000-0000DB180000}"/>
    <cellStyle name="_莱芜BSS-900M_2G Service BoQ_Book2 2" xfId="4293" xr:uid="{00000000-0005-0000-0000-0000DC180000}"/>
    <cellStyle name="_莱芜BSS-900M_2G Service BoQ_Book2 2 2" xfId="4294" xr:uid="{00000000-0005-0000-0000-0000DD180000}"/>
    <cellStyle name="_莱芜BSS-900M_2G Service BoQ_Book2 3" xfId="4295" xr:uid="{00000000-0005-0000-0000-0000DE180000}"/>
    <cellStyle name="_莱芜BSS-900M_2G Service BoQ_Book2 3 2" xfId="4296" xr:uid="{00000000-0005-0000-0000-0000DF180000}"/>
    <cellStyle name="_莱芜BSS-900M_2G Service BoQ_Book2 4" xfId="4297" xr:uid="{00000000-0005-0000-0000-0000E0180000}"/>
    <cellStyle name="_莱芜BSS-900M_2G Service BoQ_Revised 2G_BoQ" xfId="4298" xr:uid="{00000000-0005-0000-0000-0000E1180000}"/>
    <cellStyle name="_莱芜BSS-900M_2G Service BoQ_Revised 2G_BoQ 2" xfId="4299" xr:uid="{00000000-0005-0000-0000-0000E2180000}"/>
    <cellStyle name="_莱芜BSS-900M_2G Service BoQ_Revised 2G_BoQ 2 2" xfId="4300" xr:uid="{00000000-0005-0000-0000-0000E3180000}"/>
    <cellStyle name="_莱芜BSS-900M_2G Service BoQ_Revised 2G_BoQ 3" xfId="4301" xr:uid="{00000000-0005-0000-0000-0000E4180000}"/>
    <cellStyle name="_莱芜BSS-900M_2G Service BoQ_Revised 2G_BoQ 3 2" xfId="4302" xr:uid="{00000000-0005-0000-0000-0000E5180000}"/>
    <cellStyle name="_莱芜BSS-900M_2G Service BoQ_Revised 2G_BoQ 4" xfId="4303" xr:uid="{00000000-0005-0000-0000-0000E6180000}"/>
    <cellStyle name="_莱芜BSS-900M_2G Service BoQ_Revised 2G_BoQ P03 Model" xfId="4304" xr:uid="{00000000-0005-0000-0000-0000E7180000}"/>
    <cellStyle name="_莱芜BSS-900M_2G Service BoQ_Revised 2G_BoQ P03 Model 2" xfId="4305" xr:uid="{00000000-0005-0000-0000-0000E8180000}"/>
    <cellStyle name="_莱芜BSS-900M_2G Service BoQ_Revised 2G_BoQ P03 Model 2 2" xfId="4306" xr:uid="{00000000-0005-0000-0000-0000E9180000}"/>
    <cellStyle name="_莱芜BSS-900M_2G Service BoQ_Revised 2G_BoQ P03 Model 3" xfId="4307" xr:uid="{00000000-0005-0000-0000-0000EA180000}"/>
    <cellStyle name="_莱芜BSS-900M_2G Service BoQ_Revised 2G_BoQ P03 Model 3 2" xfId="4308" xr:uid="{00000000-0005-0000-0000-0000EB180000}"/>
    <cellStyle name="_莱芜BSS-900M_2G Service BoQ_Revised 2G_BoQ P03 Model 4" xfId="4309" xr:uid="{00000000-0005-0000-0000-0000EC180000}"/>
    <cellStyle name="_莱芜BSS-900M_2G Service BoQ_服务文件Benchmark V13(for Customer)" xfId="4310" xr:uid="{00000000-0005-0000-0000-0000ED180000}"/>
    <cellStyle name="_莱芜BSS-900M_2G Service BoQ_服务文件Benchmark V13(for Customer) 2" xfId="4311" xr:uid="{00000000-0005-0000-0000-0000EE180000}"/>
    <cellStyle name="_莱芜BSS-900M_2G Service BoQ_服务文件Benchmark V13(for Customer) 2 2" xfId="4312" xr:uid="{00000000-0005-0000-0000-0000EF180000}"/>
    <cellStyle name="_莱芜BSS-900M_2G Service BoQ_服务文件Benchmark V13(for Customer) 3" xfId="4313" xr:uid="{00000000-0005-0000-0000-0000F0180000}"/>
    <cellStyle name="_莱芜BSS-900M_2G Service BoQ_服务文件Benchmark V13(for Customer) 3 2" xfId="4314" xr:uid="{00000000-0005-0000-0000-0000F1180000}"/>
    <cellStyle name="_莱芜BSS-900M_2G Service BoQ_服务文件Benchmark V13(for Customer) 4" xfId="4315" xr:uid="{00000000-0005-0000-0000-0000F2180000}"/>
    <cellStyle name="_莱芜BSS-900M_2G Service BoQ_服务文件Benchmark V5" xfId="4316" xr:uid="{00000000-0005-0000-0000-0000F3180000}"/>
    <cellStyle name="_莱芜BSS-900M_2G Service BoQ_服务文件Benchmark V5 2" xfId="4317" xr:uid="{00000000-0005-0000-0000-0000F4180000}"/>
    <cellStyle name="_莱芜BSS-900M_2G Service BoQ_服务文件Benchmark V5 2 2" xfId="4318" xr:uid="{00000000-0005-0000-0000-0000F5180000}"/>
    <cellStyle name="_莱芜BSS-900M_2G Service BoQ_服务文件Benchmark V5 3" xfId="4319" xr:uid="{00000000-0005-0000-0000-0000F6180000}"/>
    <cellStyle name="_莱芜BSS-900M_2G Service BoQ_服务文件Benchmark V5 3 2" xfId="4320" xr:uid="{00000000-0005-0000-0000-0000F7180000}"/>
    <cellStyle name="_莱芜BSS-900M_2G Service BoQ_服务文件Benchmark V5 4" xfId="4321" xr:uid="{00000000-0005-0000-0000-0000F8180000}"/>
    <cellStyle name="_莱芜BSS-900M_2G_BoQ" xfId="4322" xr:uid="{00000000-0005-0000-0000-0000F9180000}"/>
    <cellStyle name="_莱芜BSS-900M_2G_BoQ 2" xfId="4323" xr:uid="{00000000-0005-0000-0000-0000FA180000}"/>
    <cellStyle name="_莱芜BSS-900M_2G_BoQ 2 2" xfId="4324" xr:uid="{00000000-0005-0000-0000-0000FB180000}"/>
    <cellStyle name="_莱芜BSS-900M_2G_BoQ 3" xfId="4325" xr:uid="{00000000-0005-0000-0000-0000FC180000}"/>
    <cellStyle name="_莱芜BSS-900M_2G_BoQ 3 2" xfId="4326" xr:uid="{00000000-0005-0000-0000-0000FD180000}"/>
    <cellStyle name="_莱芜BSS-900M_2G_BoQ 4" xfId="4327" xr:uid="{00000000-0005-0000-0000-0000FE180000}"/>
    <cellStyle name="_莱芜BSS-900M_2G_BoQ_2G service V5" xfId="4328" xr:uid="{00000000-0005-0000-0000-0000FF180000}"/>
    <cellStyle name="_莱芜BSS-900M_2G_BoQ_2G service V5 2" xfId="4329" xr:uid="{00000000-0005-0000-0000-000000190000}"/>
    <cellStyle name="_莱芜BSS-900M_2G_BoQ_2G service V5 2 2" xfId="4330" xr:uid="{00000000-0005-0000-0000-000001190000}"/>
    <cellStyle name="_莱芜BSS-900M_2G_BoQ_2G service V5 3" xfId="4331" xr:uid="{00000000-0005-0000-0000-000002190000}"/>
    <cellStyle name="_莱芜BSS-900M_2G_BoQ_2G service V5 3 2" xfId="4332" xr:uid="{00000000-0005-0000-0000-000003190000}"/>
    <cellStyle name="_莱芜BSS-900M_2G_BoQ_2G service V5 4" xfId="4333" xr:uid="{00000000-0005-0000-0000-000004190000}"/>
    <cellStyle name="_莱芜BSS-900M_2G_BoQ_2G Service(20071104)benchmark" xfId="4334" xr:uid="{00000000-0005-0000-0000-000005190000}"/>
    <cellStyle name="_莱芜BSS-900M_2G_BoQ_2G Service(20071104)benchmark 2" xfId="4335" xr:uid="{00000000-0005-0000-0000-000006190000}"/>
    <cellStyle name="_莱芜BSS-900M_2G_BoQ_2G Service(20071104)benchmark 2 2" xfId="4336" xr:uid="{00000000-0005-0000-0000-000007190000}"/>
    <cellStyle name="_莱芜BSS-900M_2G_BoQ_2G Service(20071104)benchmark 3" xfId="4337" xr:uid="{00000000-0005-0000-0000-000008190000}"/>
    <cellStyle name="_莱芜BSS-900M_2G_BoQ_2G Service(20071104)benchmark 3 2" xfId="4338" xr:uid="{00000000-0005-0000-0000-000009190000}"/>
    <cellStyle name="_莱芜BSS-900M_2G_BoQ_2G Service(20071104)benchmark 4" xfId="4339" xr:uid="{00000000-0005-0000-0000-00000A190000}"/>
    <cellStyle name="_莱芜BSS-900M_2G_BoQ_2G_BoQ" xfId="4340" xr:uid="{00000000-0005-0000-0000-00000B190000}"/>
    <cellStyle name="_莱芜BSS-900M_2G_BoQ_2G_BoQ 2" xfId="4341" xr:uid="{00000000-0005-0000-0000-00000C190000}"/>
    <cellStyle name="_莱芜BSS-900M_2G_BoQ_2G_BoQ 2 2" xfId="4342" xr:uid="{00000000-0005-0000-0000-00000D190000}"/>
    <cellStyle name="_莱芜BSS-900M_2G_BoQ_2G_BoQ 3" xfId="4343" xr:uid="{00000000-0005-0000-0000-00000E190000}"/>
    <cellStyle name="_莱芜BSS-900M_2G_BoQ_2G_BoQ 3 2" xfId="4344" xr:uid="{00000000-0005-0000-0000-00000F190000}"/>
    <cellStyle name="_莱芜BSS-900M_2G_BoQ_2G_BoQ 4" xfId="4345" xr:uid="{00000000-0005-0000-0000-000010190000}"/>
    <cellStyle name="_莱芜BSS-900M_2G_BoQ_2G_BoQ Apple2" xfId="4346" xr:uid="{00000000-0005-0000-0000-000011190000}"/>
    <cellStyle name="_莱芜BSS-900M_2G_BoQ_2G_BoQ Apple2 2" xfId="4347" xr:uid="{00000000-0005-0000-0000-000012190000}"/>
    <cellStyle name="_莱芜BSS-900M_2G_BoQ_2G_BoQ Apple2 2 2" xfId="4348" xr:uid="{00000000-0005-0000-0000-000013190000}"/>
    <cellStyle name="_莱芜BSS-900M_2G_BoQ_2G_BoQ Apple2 3" xfId="4349" xr:uid="{00000000-0005-0000-0000-000014190000}"/>
    <cellStyle name="_莱芜BSS-900M_2G_BoQ_2G_BoQ Apple2 3 2" xfId="4350" xr:uid="{00000000-0005-0000-0000-000015190000}"/>
    <cellStyle name="_莱芜BSS-900M_2G_BoQ_2G_BoQ Apple2 4" xfId="4351" xr:uid="{00000000-0005-0000-0000-000016190000}"/>
    <cellStyle name="_莱芜BSS-900M_2G_BoQ_2G_BoQ Model" xfId="4352" xr:uid="{00000000-0005-0000-0000-000017190000}"/>
    <cellStyle name="_莱芜BSS-900M_2G_BoQ_2G_BoQ Model 2" xfId="4353" xr:uid="{00000000-0005-0000-0000-000018190000}"/>
    <cellStyle name="_莱芜BSS-900M_2G_BoQ_2G_BoQ Model 2 2" xfId="4354" xr:uid="{00000000-0005-0000-0000-000019190000}"/>
    <cellStyle name="_莱芜BSS-900M_2G_BoQ_2G_BoQ Model 3" xfId="4355" xr:uid="{00000000-0005-0000-0000-00001A190000}"/>
    <cellStyle name="_莱芜BSS-900M_2G_BoQ_2G_BoQ Model 3 2" xfId="4356" xr:uid="{00000000-0005-0000-0000-00001B190000}"/>
    <cellStyle name="_莱芜BSS-900M_2G_BoQ_2G_BoQ Model 4" xfId="4357" xr:uid="{00000000-0005-0000-0000-00001C190000}"/>
    <cellStyle name="_莱芜BSS-900M_2G_BoQ_2G_BoQ P03 Model" xfId="4358" xr:uid="{00000000-0005-0000-0000-00001D190000}"/>
    <cellStyle name="_莱芜BSS-900M_2G_BoQ_2G_BoQ P03 Model 2" xfId="4359" xr:uid="{00000000-0005-0000-0000-00001E190000}"/>
    <cellStyle name="_莱芜BSS-900M_2G_BoQ_2G_BoQ P03 Model 2 2" xfId="4360" xr:uid="{00000000-0005-0000-0000-00001F190000}"/>
    <cellStyle name="_莱芜BSS-900M_2G_BoQ_2G_BoQ P03 Model 3" xfId="4361" xr:uid="{00000000-0005-0000-0000-000020190000}"/>
    <cellStyle name="_莱芜BSS-900M_2G_BoQ_2G_BoQ P03 Model 3 2" xfId="4362" xr:uid="{00000000-0005-0000-0000-000021190000}"/>
    <cellStyle name="_莱芜BSS-900M_2G_BoQ_2G_BoQ P03 Model 4" xfId="4363" xr:uid="{00000000-0005-0000-0000-000022190000}"/>
    <cellStyle name="_莱芜BSS-900M_2G_BoQ_2G_BoQ v2" xfId="4364" xr:uid="{00000000-0005-0000-0000-000023190000}"/>
    <cellStyle name="_莱芜BSS-900M_2G_BoQ_2G_BoQ v2 2" xfId="4365" xr:uid="{00000000-0005-0000-0000-000024190000}"/>
    <cellStyle name="_莱芜BSS-900M_2G_BoQ_2G_BoQ v2 2 2" xfId="4366" xr:uid="{00000000-0005-0000-0000-000025190000}"/>
    <cellStyle name="_莱芜BSS-900M_2G_BoQ_2G_BoQ v2 3" xfId="4367" xr:uid="{00000000-0005-0000-0000-000026190000}"/>
    <cellStyle name="_莱芜BSS-900M_2G_BoQ_2G_BoQ v2 3 2" xfId="4368" xr:uid="{00000000-0005-0000-0000-000027190000}"/>
    <cellStyle name="_莱芜BSS-900M_2G_BoQ_2G_BoQ v2 4" xfId="4369" xr:uid="{00000000-0005-0000-0000-000028190000}"/>
    <cellStyle name="_莱芜BSS-900M_2G_BoQ_2G_BoQ_v2" xfId="4370" xr:uid="{00000000-0005-0000-0000-000029190000}"/>
    <cellStyle name="_莱芜BSS-900M_2G_BoQ_2G_BoQ_v2 2" xfId="4371" xr:uid="{00000000-0005-0000-0000-00002A190000}"/>
    <cellStyle name="_莱芜BSS-900M_2G_BoQ_2G_BoQ_v2 2 2" xfId="4372" xr:uid="{00000000-0005-0000-0000-00002B190000}"/>
    <cellStyle name="_莱芜BSS-900M_2G_BoQ_2G_BoQ_v2 3" xfId="4373" xr:uid="{00000000-0005-0000-0000-00002C190000}"/>
    <cellStyle name="_莱芜BSS-900M_2G_BoQ_2G_BoQ_v2 3 2" xfId="4374" xr:uid="{00000000-0005-0000-0000-00002D190000}"/>
    <cellStyle name="_莱芜BSS-900M_2G_BoQ_2G_BoQ_v2 4" xfId="4375" xr:uid="{00000000-0005-0000-0000-00002E190000}"/>
    <cellStyle name="_莱芜BSS-900M_2G_BoQ_Book2" xfId="4376" xr:uid="{00000000-0005-0000-0000-00002F190000}"/>
    <cellStyle name="_莱芜BSS-900M_2G_BoQ_Book2 2" xfId="4377" xr:uid="{00000000-0005-0000-0000-000030190000}"/>
    <cellStyle name="_莱芜BSS-900M_2G_BoQ_Book2 2 2" xfId="4378" xr:uid="{00000000-0005-0000-0000-000031190000}"/>
    <cellStyle name="_莱芜BSS-900M_2G_BoQ_Book2 3" xfId="4379" xr:uid="{00000000-0005-0000-0000-000032190000}"/>
    <cellStyle name="_莱芜BSS-900M_2G_BoQ_Book2 3 2" xfId="4380" xr:uid="{00000000-0005-0000-0000-000033190000}"/>
    <cellStyle name="_莱芜BSS-900M_2G_BoQ_Book2 4" xfId="4381" xr:uid="{00000000-0005-0000-0000-000034190000}"/>
    <cellStyle name="_莱芜BSS-900M_2G_BoQ_Revised 2G_BoQ" xfId="4382" xr:uid="{00000000-0005-0000-0000-000035190000}"/>
    <cellStyle name="_莱芜BSS-900M_2G_BoQ_Revised 2G_BoQ 2" xfId="4383" xr:uid="{00000000-0005-0000-0000-000036190000}"/>
    <cellStyle name="_莱芜BSS-900M_2G_BoQ_Revised 2G_BoQ 2 2" xfId="4384" xr:uid="{00000000-0005-0000-0000-000037190000}"/>
    <cellStyle name="_莱芜BSS-900M_2G_BoQ_Revised 2G_BoQ 3" xfId="4385" xr:uid="{00000000-0005-0000-0000-000038190000}"/>
    <cellStyle name="_莱芜BSS-900M_2G_BoQ_Revised 2G_BoQ 3 2" xfId="4386" xr:uid="{00000000-0005-0000-0000-000039190000}"/>
    <cellStyle name="_莱芜BSS-900M_2G_BoQ_Revised 2G_BoQ 4" xfId="4387" xr:uid="{00000000-0005-0000-0000-00003A190000}"/>
    <cellStyle name="_莱芜BSS-900M_2G_BoQ_Revised 2G_BoQ P03 Model" xfId="4388" xr:uid="{00000000-0005-0000-0000-00003B190000}"/>
    <cellStyle name="_莱芜BSS-900M_2G_BoQ_Revised 2G_BoQ P03 Model 2" xfId="4389" xr:uid="{00000000-0005-0000-0000-00003C190000}"/>
    <cellStyle name="_莱芜BSS-900M_2G_BoQ_Revised 2G_BoQ P03 Model 2 2" xfId="4390" xr:uid="{00000000-0005-0000-0000-00003D190000}"/>
    <cellStyle name="_莱芜BSS-900M_2G_BoQ_Revised 2G_BoQ P03 Model 3" xfId="4391" xr:uid="{00000000-0005-0000-0000-00003E190000}"/>
    <cellStyle name="_莱芜BSS-900M_2G_BoQ_Revised 2G_BoQ P03 Model 3 2" xfId="4392" xr:uid="{00000000-0005-0000-0000-00003F190000}"/>
    <cellStyle name="_莱芜BSS-900M_2G_BoQ_Revised 2G_BoQ P03 Model 4" xfId="4393" xr:uid="{00000000-0005-0000-0000-000040190000}"/>
    <cellStyle name="_莱芜BSS-900M_2G_BoQ_服务文件Benchmark V13(for Customer)" xfId="4394" xr:uid="{00000000-0005-0000-0000-000041190000}"/>
    <cellStyle name="_莱芜BSS-900M_2G_BoQ_服务文件Benchmark V13(for Customer) 2" xfId="4395" xr:uid="{00000000-0005-0000-0000-000042190000}"/>
    <cellStyle name="_莱芜BSS-900M_2G_BoQ_服务文件Benchmark V13(for Customer) 2 2" xfId="4396" xr:uid="{00000000-0005-0000-0000-000043190000}"/>
    <cellStyle name="_莱芜BSS-900M_2G_BoQ_服务文件Benchmark V13(for Customer) 3" xfId="4397" xr:uid="{00000000-0005-0000-0000-000044190000}"/>
    <cellStyle name="_莱芜BSS-900M_2G_BoQ_服务文件Benchmark V13(for Customer) 3 2" xfId="4398" xr:uid="{00000000-0005-0000-0000-000045190000}"/>
    <cellStyle name="_莱芜BSS-900M_2G_BoQ_服务文件Benchmark V13(for Customer) 4" xfId="4399" xr:uid="{00000000-0005-0000-0000-000046190000}"/>
    <cellStyle name="_莱芜BSS-900M_2G_BoQ_服务文件Benchmark V5" xfId="4400" xr:uid="{00000000-0005-0000-0000-000047190000}"/>
    <cellStyle name="_莱芜BSS-900M_2G_BoQ_服务文件Benchmark V5 2" xfId="4401" xr:uid="{00000000-0005-0000-0000-000048190000}"/>
    <cellStyle name="_莱芜BSS-900M_2G_BoQ_服务文件Benchmark V5 2 2" xfId="4402" xr:uid="{00000000-0005-0000-0000-000049190000}"/>
    <cellStyle name="_莱芜BSS-900M_2G_BoQ_服务文件Benchmark V5 3" xfId="4403" xr:uid="{00000000-0005-0000-0000-00004A190000}"/>
    <cellStyle name="_莱芜BSS-900M_2G_BoQ_服务文件Benchmark V5 3 2" xfId="4404" xr:uid="{00000000-0005-0000-0000-00004B190000}"/>
    <cellStyle name="_莱芜BSS-900M_2G_BoQ_服务文件Benchmark V5 4" xfId="4405" xr:uid="{00000000-0005-0000-0000-00004C190000}"/>
    <cellStyle name="_莱芜BSS-900M_Annex 22 P01 Price-2G(sheet-Support&amp;Operation) 20070920" xfId="4406" xr:uid="{00000000-0005-0000-0000-00004D190000}"/>
    <cellStyle name="_莱芜BSS-900M_Annex 22 P01 Price-2G(sheet-Support&amp;Operation) 20070920 2" xfId="4407" xr:uid="{00000000-0005-0000-0000-00004E190000}"/>
    <cellStyle name="_莱芜BSS-900M_Annex 22 P01 Price-2G(sheet-Support&amp;Operation) 20070920 2 2" xfId="4408" xr:uid="{00000000-0005-0000-0000-00004F190000}"/>
    <cellStyle name="_莱芜BSS-900M_Annex 22 P01 Price-2G(sheet-Support&amp;Operation) 20070920 3" xfId="4409" xr:uid="{00000000-0005-0000-0000-000050190000}"/>
    <cellStyle name="_莱芜BSS-900M_Annex 22 P01 Price-2G(sheet-Support&amp;Operation) 20070920 3 2" xfId="4410" xr:uid="{00000000-0005-0000-0000-000051190000}"/>
    <cellStyle name="_莱芜BSS-900M_Annex 22 P01 Price-2G(sheet-Support&amp;Operation) 20070920 4" xfId="4411" xr:uid="{00000000-0005-0000-0000-000052190000}"/>
    <cellStyle name="_莱芜BSS-900M_Annex 22 P01 Price-2G(sheet-Support&amp;Operation) 20071030" xfId="4412" xr:uid="{00000000-0005-0000-0000-000053190000}"/>
    <cellStyle name="_莱芜BSS-900M_Annex 22 P01 Price-2G(sheet-Support&amp;Operation) 20071030 2" xfId="4413" xr:uid="{00000000-0005-0000-0000-000054190000}"/>
    <cellStyle name="_莱芜BSS-900M_Annex 22 P01 Price-2G(sheet-Support&amp;Operation) 20071030 2 2" xfId="4414" xr:uid="{00000000-0005-0000-0000-000055190000}"/>
    <cellStyle name="_莱芜BSS-900M_Annex 22 P01 Price-2G(sheet-Support&amp;Operation) 20071030 3" xfId="4415" xr:uid="{00000000-0005-0000-0000-000056190000}"/>
    <cellStyle name="_莱芜BSS-900M_Annex 22 P01 Price-2G(sheet-Support&amp;Operation) 20071030 3 2" xfId="4416" xr:uid="{00000000-0005-0000-0000-000057190000}"/>
    <cellStyle name="_莱芜BSS-900M_Annex 22 P01 Price-2G(sheet-Support&amp;Operation) 20071030 4" xfId="4417" xr:uid="{00000000-0005-0000-0000-000058190000}"/>
    <cellStyle name="_莱芜BSS-900M_Annual Software Upgrade Fee" xfId="4418" xr:uid="{00000000-0005-0000-0000-000059190000}"/>
    <cellStyle name="_莱芜BSS-900M_Annual Software Upgrade Fee 2" xfId="4419" xr:uid="{00000000-0005-0000-0000-00005A190000}"/>
    <cellStyle name="_莱芜BSS-900M_Annual Software Upgrade Fee 2 2" xfId="4420" xr:uid="{00000000-0005-0000-0000-00005B190000}"/>
    <cellStyle name="_莱芜BSS-900M_Annual Software Upgrade Fee 3" xfId="4421" xr:uid="{00000000-0005-0000-0000-00005C190000}"/>
    <cellStyle name="_莱芜BSS-900M_Annual Software Upgrade Fee 3 2" xfId="4422" xr:uid="{00000000-0005-0000-0000-00005D190000}"/>
    <cellStyle name="_莱芜BSS-900M_Annual Software Upgrade Fee 4" xfId="4423" xr:uid="{00000000-0005-0000-0000-00005E190000}"/>
    <cellStyle name="_莱芜BSS-900M_Annual Software Upgrade Fee for Service" xfId="4424" xr:uid="{00000000-0005-0000-0000-00005F190000}"/>
    <cellStyle name="_莱芜BSS-900M_Annual Software Upgrade Fee for Service 2" xfId="4425" xr:uid="{00000000-0005-0000-0000-000060190000}"/>
    <cellStyle name="_莱芜BSS-900M_Annual Software Upgrade Fee for Service 2 2" xfId="4426" xr:uid="{00000000-0005-0000-0000-000061190000}"/>
    <cellStyle name="_莱芜BSS-900M_Annual Software Upgrade Fee for Service 3" xfId="4427" xr:uid="{00000000-0005-0000-0000-000062190000}"/>
    <cellStyle name="_莱芜BSS-900M_Annual Software Upgrade Fee for Service 3 2" xfId="4428" xr:uid="{00000000-0005-0000-0000-000063190000}"/>
    <cellStyle name="_莱芜BSS-900M_Annual Software Upgrade Fee for Service 4" xfId="4429" xr:uid="{00000000-0005-0000-0000-000064190000}"/>
    <cellStyle name="_莱芜BSS-900M_Annual Software Upgrade Fee for Service_2G service V5" xfId="4430" xr:uid="{00000000-0005-0000-0000-000065190000}"/>
    <cellStyle name="_莱芜BSS-900M_Annual Software Upgrade Fee for Service_2G service V5 2" xfId="4431" xr:uid="{00000000-0005-0000-0000-000066190000}"/>
    <cellStyle name="_莱芜BSS-900M_Annual Software Upgrade Fee for Service_2G service V5 2 2" xfId="4432" xr:uid="{00000000-0005-0000-0000-000067190000}"/>
    <cellStyle name="_莱芜BSS-900M_Annual Software Upgrade Fee for Service_2G service V5 3" xfId="4433" xr:uid="{00000000-0005-0000-0000-000068190000}"/>
    <cellStyle name="_莱芜BSS-900M_Annual Software Upgrade Fee for Service_2G service V5 3 2" xfId="4434" xr:uid="{00000000-0005-0000-0000-000069190000}"/>
    <cellStyle name="_莱芜BSS-900M_Annual Software Upgrade Fee for Service_2G service V5 4" xfId="4435" xr:uid="{00000000-0005-0000-0000-00006A190000}"/>
    <cellStyle name="_莱芜BSS-900M_Annual Software Upgrade Fee for Service_2G Service(20071104)benchmark" xfId="4436" xr:uid="{00000000-0005-0000-0000-00006B190000}"/>
    <cellStyle name="_莱芜BSS-900M_Annual Software Upgrade Fee for Service_2G Service(20071104)benchmark 2" xfId="4437" xr:uid="{00000000-0005-0000-0000-00006C190000}"/>
    <cellStyle name="_莱芜BSS-900M_Annual Software Upgrade Fee for Service_2G Service(20071104)benchmark 2 2" xfId="4438" xr:uid="{00000000-0005-0000-0000-00006D190000}"/>
    <cellStyle name="_莱芜BSS-900M_Annual Software Upgrade Fee for Service_2G Service(20071104)benchmark 3" xfId="4439" xr:uid="{00000000-0005-0000-0000-00006E190000}"/>
    <cellStyle name="_莱芜BSS-900M_Annual Software Upgrade Fee for Service_2G Service(20071104)benchmark 3 2" xfId="4440" xr:uid="{00000000-0005-0000-0000-00006F190000}"/>
    <cellStyle name="_莱芜BSS-900M_Annual Software Upgrade Fee for Service_2G Service(20071104)benchmark 4" xfId="4441" xr:uid="{00000000-0005-0000-0000-000070190000}"/>
    <cellStyle name="_莱芜BSS-900M_Annual Software Upgrade Fee for Service_2G_BoQ" xfId="4442" xr:uid="{00000000-0005-0000-0000-000071190000}"/>
    <cellStyle name="_莱芜BSS-900M_Annual Software Upgrade Fee for Service_2G_BoQ 2" xfId="4443" xr:uid="{00000000-0005-0000-0000-000072190000}"/>
    <cellStyle name="_莱芜BSS-900M_Annual Software Upgrade Fee for Service_2G_BoQ 2 2" xfId="4444" xr:uid="{00000000-0005-0000-0000-000073190000}"/>
    <cellStyle name="_莱芜BSS-900M_Annual Software Upgrade Fee for Service_2G_BoQ 3" xfId="4445" xr:uid="{00000000-0005-0000-0000-000074190000}"/>
    <cellStyle name="_莱芜BSS-900M_Annual Software Upgrade Fee for Service_2G_BoQ 3 2" xfId="4446" xr:uid="{00000000-0005-0000-0000-000075190000}"/>
    <cellStyle name="_莱芜BSS-900M_Annual Software Upgrade Fee for Service_2G_BoQ 4" xfId="4447" xr:uid="{00000000-0005-0000-0000-000076190000}"/>
    <cellStyle name="_莱芜BSS-900M_Annual Software Upgrade Fee for Service_2G_BoQ Apple2" xfId="4448" xr:uid="{00000000-0005-0000-0000-000077190000}"/>
    <cellStyle name="_莱芜BSS-900M_Annual Software Upgrade Fee for Service_2G_BoQ Apple2 2" xfId="4449" xr:uid="{00000000-0005-0000-0000-000078190000}"/>
    <cellStyle name="_莱芜BSS-900M_Annual Software Upgrade Fee for Service_2G_BoQ Apple2 2 2" xfId="4450" xr:uid="{00000000-0005-0000-0000-000079190000}"/>
    <cellStyle name="_莱芜BSS-900M_Annual Software Upgrade Fee for Service_2G_BoQ Apple2 3" xfId="4451" xr:uid="{00000000-0005-0000-0000-00007A190000}"/>
    <cellStyle name="_莱芜BSS-900M_Annual Software Upgrade Fee for Service_2G_BoQ Apple2 3 2" xfId="4452" xr:uid="{00000000-0005-0000-0000-00007B190000}"/>
    <cellStyle name="_莱芜BSS-900M_Annual Software Upgrade Fee for Service_2G_BoQ Apple2 4" xfId="4453" xr:uid="{00000000-0005-0000-0000-00007C190000}"/>
    <cellStyle name="_莱芜BSS-900M_Annual Software Upgrade Fee for Service_2G_BoQ Model" xfId="4454" xr:uid="{00000000-0005-0000-0000-00007D190000}"/>
    <cellStyle name="_莱芜BSS-900M_Annual Software Upgrade Fee for Service_2G_BoQ Model 2" xfId="4455" xr:uid="{00000000-0005-0000-0000-00007E190000}"/>
    <cellStyle name="_莱芜BSS-900M_Annual Software Upgrade Fee for Service_2G_BoQ Model 2 2" xfId="4456" xr:uid="{00000000-0005-0000-0000-00007F190000}"/>
    <cellStyle name="_莱芜BSS-900M_Annual Software Upgrade Fee for Service_2G_BoQ Model 3" xfId="4457" xr:uid="{00000000-0005-0000-0000-000080190000}"/>
    <cellStyle name="_莱芜BSS-900M_Annual Software Upgrade Fee for Service_2G_BoQ Model 3 2" xfId="4458" xr:uid="{00000000-0005-0000-0000-000081190000}"/>
    <cellStyle name="_莱芜BSS-900M_Annual Software Upgrade Fee for Service_2G_BoQ Model 4" xfId="4459" xr:uid="{00000000-0005-0000-0000-000082190000}"/>
    <cellStyle name="_莱芜BSS-900M_Annual Software Upgrade Fee for Service_2G_BoQ P03 Model" xfId="4460" xr:uid="{00000000-0005-0000-0000-000083190000}"/>
    <cellStyle name="_莱芜BSS-900M_Annual Software Upgrade Fee for Service_2G_BoQ P03 Model 2" xfId="4461" xr:uid="{00000000-0005-0000-0000-000084190000}"/>
    <cellStyle name="_莱芜BSS-900M_Annual Software Upgrade Fee for Service_2G_BoQ P03 Model 2 2" xfId="4462" xr:uid="{00000000-0005-0000-0000-000085190000}"/>
    <cellStyle name="_莱芜BSS-900M_Annual Software Upgrade Fee for Service_2G_BoQ P03 Model 3" xfId="4463" xr:uid="{00000000-0005-0000-0000-000086190000}"/>
    <cellStyle name="_莱芜BSS-900M_Annual Software Upgrade Fee for Service_2G_BoQ P03 Model 3 2" xfId="4464" xr:uid="{00000000-0005-0000-0000-000087190000}"/>
    <cellStyle name="_莱芜BSS-900M_Annual Software Upgrade Fee for Service_2G_BoQ P03 Model 4" xfId="4465" xr:uid="{00000000-0005-0000-0000-000088190000}"/>
    <cellStyle name="_莱芜BSS-900M_Annual Software Upgrade Fee for Service_2G_BoQ v2" xfId="4466" xr:uid="{00000000-0005-0000-0000-000089190000}"/>
    <cellStyle name="_莱芜BSS-900M_Annual Software Upgrade Fee for Service_2G_BoQ v2 2" xfId="4467" xr:uid="{00000000-0005-0000-0000-00008A190000}"/>
    <cellStyle name="_莱芜BSS-900M_Annual Software Upgrade Fee for Service_2G_BoQ v2 2 2" xfId="4468" xr:uid="{00000000-0005-0000-0000-00008B190000}"/>
    <cellStyle name="_莱芜BSS-900M_Annual Software Upgrade Fee for Service_2G_BoQ v2 3" xfId="4469" xr:uid="{00000000-0005-0000-0000-00008C190000}"/>
    <cellStyle name="_莱芜BSS-900M_Annual Software Upgrade Fee for Service_2G_BoQ v2 3 2" xfId="4470" xr:uid="{00000000-0005-0000-0000-00008D190000}"/>
    <cellStyle name="_莱芜BSS-900M_Annual Software Upgrade Fee for Service_2G_BoQ v2 4" xfId="4471" xr:uid="{00000000-0005-0000-0000-00008E190000}"/>
    <cellStyle name="_莱芜BSS-900M_Annual Software Upgrade Fee for Service_2G_BoQ_v2" xfId="4472" xr:uid="{00000000-0005-0000-0000-00008F190000}"/>
    <cellStyle name="_莱芜BSS-900M_Annual Software Upgrade Fee for Service_2G_BoQ_v2 2" xfId="4473" xr:uid="{00000000-0005-0000-0000-000090190000}"/>
    <cellStyle name="_莱芜BSS-900M_Annual Software Upgrade Fee for Service_2G_BoQ_v2 2 2" xfId="4474" xr:uid="{00000000-0005-0000-0000-000091190000}"/>
    <cellStyle name="_莱芜BSS-900M_Annual Software Upgrade Fee for Service_2G_BoQ_v2 3" xfId="4475" xr:uid="{00000000-0005-0000-0000-000092190000}"/>
    <cellStyle name="_莱芜BSS-900M_Annual Software Upgrade Fee for Service_2G_BoQ_v2 3 2" xfId="4476" xr:uid="{00000000-0005-0000-0000-000093190000}"/>
    <cellStyle name="_莱芜BSS-900M_Annual Software Upgrade Fee for Service_2G_BoQ_v2 4" xfId="4477" xr:uid="{00000000-0005-0000-0000-000094190000}"/>
    <cellStyle name="_莱芜BSS-900M_Annual Software Upgrade Fee for Service_Book2" xfId="4478" xr:uid="{00000000-0005-0000-0000-000095190000}"/>
    <cellStyle name="_莱芜BSS-900M_Annual Software Upgrade Fee for Service_Book2 2" xfId="4479" xr:uid="{00000000-0005-0000-0000-000096190000}"/>
    <cellStyle name="_莱芜BSS-900M_Annual Software Upgrade Fee for Service_Book2 2 2" xfId="4480" xr:uid="{00000000-0005-0000-0000-000097190000}"/>
    <cellStyle name="_莱芜BSS-900M_Annual Software Upgrade Fee for Service_Book2 3" xfId="4481" xr:uid="{00000000-0005-0000-0000-000098190000}"/>
    <cellStyle name="_莱芜BSS-900M_Annual Software Upgrade Fee for Service_Book2 3 2" xfId="4482" xr:uid="{00000000-0005-0000-0000-000099190000}"/>
    <cellStyle name="_莱芜BSS-900M_Annual Software Upgrade Fee for Service_Book2 4" xfId="4483" xr:uid="{00000000-0005-0000-0000-00009A190000}"/>
    <cellStyle name="_莱芜BSS-900M_Annual Software Upgrade Fee for Service_Revised 2G_BoQ" xfId="4484" xr:uid="{00000000-0005-0000-0000-00009B190000}"/>
    <cellStyle name="_莱芜BSS-900M_Annual Software Upgrade Fee for Service_Revised 2G_BoQ 2" xfId="4485" xr:uid="{00000000-0005-0000-0000-00009C190000}"/>
    <cellStyle name="_莱芜BSS-900M_Annual Software Upgrade Fee for Service_Revised 2G_BoQ 2 2" xfId="4486" xr:uid="{00000000-0005-0000-0000-00009D190000}"/>
    <cellStyle name="_莱芜BSS-900M_Annual Software Upgrade Fee for Service_Revised 2G_BoQ 3" xfId="4487" xr:uid="{00000000-0005-0000-0000-00009E190000}"/>
    <cellStyle name="_莱芜BSS-900M_Annual Software Upgrade Fee for Service_Revised 2G_BoQ 3 2" xfId="4488" xr:uid="{00000000-0005-0000-0000-00009F190000}"/>
    <cellStyle name="_莱芜BSS-900M_Annual Software Upgrade Fee for Service_Revised 2G_BoQ 4" xfId="4489" xr:uid="{00000000-0005-0000-0000-0000A0190000}"/>
    <cellStyle name="_莱芜BSS-900M_Annual Software Upgrade Fee for Service_Revised 2G_BoQ P03 Model" xfId="4490" xr:uid="{00000000-0005-0000-0000-0000A1190000}"/>
    <cellStyle name="_莱芜BSS-900M_Annual Software Upgrade Fee for Service_Revised 2G_BoQ P03 Model 2" xfId="4491" xr:uid="{00000000-0005-0000-0000-0000A2190000}"/>
    <cellStyle name="_莱芜BSS-900M_Annual Software Upgrade Fee for Service_Revised 2G_BoQ P03 Model 2 2" xfId="4492" xr:uid="{00000000-0005-0000-0000-0000A3190000}"/>
    <cellStyle name="_莱芜BSS-900M_Annual Software Upgrade Fee for Service_Revised 2G_BoQ P03 Model 3" xfId="4493" xr:uid="{00000000-0005-0000-0000-0000A4190000}"/>
    <cellStyle name="_莱芜BSS-900M_Annual Software Upgrade Fee for Service_Revised 2G_BoQ P03 Model 3 2" xfId="4494" xr:uid="{00000000-0005-0000-0000-0000A5190000}"/>
    <cellStyle name="_莱芜BSS-900M_Annual Software Upgrade Fee for Service_Revised 2G_BoQ P03 Model 4" xfId="4495" xr:uid="{00000000-0005-0000-0000-0000A6190000}"/>
    <cellStyle name="_莱芜BSS-900M_Annual Software Upgrade Fee for Service_服务文件Benchmark V13(for Customer)" xfId="4496" xr:uid="{00000000-0005-0000-0000-0000A7190000}"/>
    <cellStyle name="_莱芜BSS-900M_Annual Software Upgrade Fee for Service_服务文件Benchmark V13(for Customer) 2" xfId="4497" xr:uid="{00000000-0005-0000-0000-0000A8190000}"/>
    <cellStyle name="_莱芜BSS-900M_Annual Software Upgrade Fee for Service_服务文件Benchmark V13(for Customer) 2 2" xfId="4498" xr:uid="{00000000-0005-0000-0000-0000A9190000}"/>
    <cellStyle name="_莱芜BSS-900M_Annual Software Upgrade Fee for Service_服务文件Benchmark V13(for Customer) 3" xfId="4499" xr:uid="{00000000-0005-0000-0000-0000AA190000}"/>
    <cellStyle name="_莱芜BSS-900M_Annual Software Upgrade Fee for Service_服务文件Benchmark V13(for Customer) 3 2" xfId="4500" xr:uid="{00000000-0005-0000-0000-0000AB190000}"/>
    <cellStyle name="_莱芜BSS-900M_Annual Software Upgrade Fee for Service_服务文件Benchmark V13(for Customer) 4" xfId="4501" xr:uid="{00000000-0005-0000-0000-0000AC190000}"/>
    <cellStyle name="_莱芜BSS-900M_Annual Software Upgrade Fee for Service_服务文件Benchmark V5" xfId="4502" xr:uid="{00000000-0005-0000-0000-0000AD190000}"/>
    <cellStyle name="_莱芜BSS-900M_Annual Software Upgrade Fee for Service_服务文件Benchmark V5 2" xfId="4503" xr:uid="{00000000-0005-0000-0000-0000AE190000}"/>
    <cellStyle name="_莱芜BSS-900M_Annual Software Upgrade Fee for Service_服务文件Benchmark V5 2 2" xfId="4504" xr:uid="{00000000-0005-0000-0000-0000AF190000}"/>
    <cellStyle name="_莱芜BSS-900M_Annual Software Upgrade Fee for Service_服务文件Benchmark V5 3" xfId="4505" xr:uid="{00000000-0005-0000-0000-0000B0190000}"/>
    <cellStyle name="_莱芜BSS-900M_Annual Software Upgrade Fee for Service_服务文件Benchmark V5 3 2" xfId="4506" xr:uid="{00000000-0005-0000-0000-0000B1190000}"/>
    <cellStyle name="_莱芜BSS-900M_Annual Software Upgrade Fee for Service_服务文件Benchmark V5 4" xfId="4507" xr:uid="{00000000-0005-0000-0000-0000B2190000}"/>
    <cellStyle name="_莱芜BSS-900M_Annual Software Upgrade Fee_2G service V5" xfId="4508" xr:uid="{00000000-0005-0000-0000-0000B3190000}"/>
    <cellStyle name="_莱芜BSS-900M_Annual Software Upgrade Fee_2G service V5 2" xfId="4509" xr:uid="{00000000-0005-0000-0000-0000B4190000}"/>
    <cellStyle name="_莱芜BSS-900M_Annual Software Upgrade Fee_2G service V5 2 2" xfId="4510" xr:uid="{00000000-0005-0000-0000-0000B5190000}"/>
    <cellStyle name="_莱芜BSS-900M_Annual Software Upgrade Fee_2G service V5 3" xfId="4511" xr:uid="{00000000-0005-0000-0000-0000B6190000}"/>
    <cellStyle name="_莱芜BSS-900M_Annual Software Upgrade Fee_2G service V5 3 2" xfId="4512" xr:uid="{00000000-0005-0000-0000-0000B7190000}"/>
    <cellStyle name="_莱芜BSS-900M_Annual Software Upgrade Fee_2G service V5 4" xfId="4513" xr:uid="{00000000-0005-0000-0000-0000B8190000}"/>
    <cellStyle name="_莱芜BSS-900M_Annual Software Upgrade Fee_2G Service(20071104)benchmark" xfId="4514" xr:uid="{00000000-0005-0000-0000-0000B9190000}"/>
    <cellStyle name="_莱芜BSS-900M_Annual Software Upgrade Fee_2G Service(20071104)benchmark 2" xfId="4515" xr:uid="{00000000-0005-0000-0000-0000BA190000}"/>
    <cellStyle name="_莱芜BSS-900M_Annual Software Upgrade Fee_2G Service(20071104)benchmark 2 2" xfId="4516" xr:uid="{00000000-0005-0000-0000-0000BB190000}"/>
    <cellStyle name="_莱芜BSS-900M_Annual Software Upgrade Fee_2G Service(20071104)benchmark 3" xfId="4517" xr:uid="{00000000-0005-0000-0000-0000BC190000}"/>
    <cellStyle name="_莱芜BSS-900M_Annual Software Upgrade Fee_2G Service(20071104)benchmark 3 2" xfId="4518" xr:uid="{00000000-0005-0000-0000-0000BD190000}"/>
    <cellStyle name="_莱芜BSS-900M_Annual Software Upgrade Fee_2G Service(20071104)benchmark 4" xfId="4519" xr:uid="{00000000-0005-0000-0000-0000BE190000}"/>
    <cellStyle name="_莱芜BSS-900M_Annual Software Upgrade Fee_2G_BoQ" xfId="4520" xr:uid="{00000000-0005-0000-0000-0000BF190000}"/>
    <cellStyle name="_莱芜BSS-900M_Annual Software Upgrade Fee_2G_BoQ 2" xfId="4521" xr:uid="{00000000-0005-0000-0000-0000C0190000}"/>
    <cellStyle name="_莱芜BSS-900M_Annual Software Upgrade Fee_2G_BoQ 2 2" xfId="4522" xr:uid="{00000000-0005-0000-0000-0000C1190000}"/>
    <cellStyle name="_莱芜BSS-900M_Annual Software Upgrade Fee_2G_BoQ 3" xfId="4523" xr:uid="{00000000-0005-0000-0000-0000C2190000}"/>
    <cellStyle name="_莱芜BSS-900M_Annual Software Upgrade Fee_2G_BoQ 3 2" xfId="4524" xr:uid="{00000000-0005-0000-0000-0000C3190000}"/>
    <cellStyle name="_莱芜BSS-900M_Annual Software Upgrade Fee_2G_BoQ 4" xfId="4525" xr:uid="{00000000-0005-0000-0000-0000C4190000}"/>
    <cellStyle name="_莱芜BSS-900M_Annual Software Upgrade Fee_2G_BoQ Apple2" xfId="4526" xr:uid="{00000000-0005-0000-0000-0000C5190000}"/>
    <cellStyle name="_莱芜BSS-900M_Annual Software Upgrade Fee_2G_BoQ Apple2 2" xfId="4527" xr:uid="{00000000-0005-0000-0000-0000C6190000}"/>
    <cellStyle name="_莱芜BSS-900M_Annual Software Upgrade Fee_2G_BoQ Apple2 2 2" xfId="4528" xr:uid="{00000000-0005-0000-0000-0000C7190000}"/>
    <cellStyle name="_莱芜BSS-900M_Annual Software Upgrade Fee_2G_BoQ Apple2 3" xfId="4529" xr:uid="{00000000-0005-0000-0000-0000C8190000}"/>
    <cellStyle name="_莱芜BSS-900M_Annual Software Upgrade Fee_2G_BoQ Apple2 3 2" xfId="4530" xr:uid="{00000000-0005-0000-0000-0000C9190000}"/>
    <cellStyle name="_莱芜BSS-900M_Annual Software Upgrade Fee_2G_BoQ Apple2 4" xfId="4531" xr:uid="{00000000-0005-0000-0000-0000CA190000}"/>
    <cellStyle name="_莱芜BSS-900M_Annual Software Upgrade Fee_2G_BoQ Model" xfId="4532" xr:uid="{00000000-0005-0000-0000-0000CB190000}"/>
    <cellStyle name="_莱芜BSS-900M_Annual Software Upgrade Fee_2G_BoQ Model 2" xfId="4533" xr:uid="{00000000-0005-0000-0000-0000CC190000}"/>
    <cellStyle name="_莱芜BSS-900M_Annual Software Upgrade Fee_2G_BoQ Model 2 2" xfId="4534" xr:uid="{00000000-0005-0000-0000-0000CD190000}"/>
    <cellStyle name="_莱芜BSS-900M_Annual Software Upgrade Fee_2G_BoQ Model 3" xfId="4535" xr:uid="{00000000-0005-0000-0000-0000CE190000}"/>
    <cellStyle name="_莱芜BSS-900M_Annual Software Upgrade Fee_2G_BoQ Model 3 2" xfId="4536" xr:uid="{00000000-0005-0000-0000-0000CF190000}"/>
    <cellStyle name="_莱芜BSS-900M_Annual Software Upgrade Fee_2G_BoQ Model 4" xfId="4537" xr:uid="{00000000-0005-0000-0000-0000D0190000}"/>
    <cellStyle name="_莱芜BSS-900M_Annual Software Upgrade Fee_2G_BoQ P03 Model" xfId="4538" xr:uid="{00000000-0005-0000-0000-0000D1190000}"/>
    <cellStyle name="_莱芜BSS-900M_Annual Software Upgrade Fee_2G_BoQ P03 Model 2" xfId="4539" xr:uid="{00000000-0005-0000-0000-0000D2190000}"/>
    <cellStyle name="_莱芜BSS-900M_Annual Software Upgrade Fee_2G_BoQ P03 Model 2 2" xfId="4540" xr:uid="{00000000-0005-0000-0000-0000D3190000}"/>
    <cellStyle name="_莱芜BSS-900M_Annual Software Upgrade Fee_2G_BoQ P03 Model 3" xfId="4541" xr:uid="{00000000-0005-0000-0000-0000D4190000}"/>
    <cellStyle name="_莱芜BSS-900M_Annual Software Upgrade Fee_2G_BoQ P03 Model 3 2" xfId="4542" xr:uid="{00000000-0005-0000-0000-0000D5190000}"/>
    <cellStyle name="_莱芜BSS-900M_Annual Software Upgrade Fee_2G_BoQ P03 Model 4" xfId="4543" xr:uid="{00000000-0005-0000-0000-0000D6190000}"/>
    <cellStyle name="_莱芜BSS-900M_Annual Software Upgrade Fee_2G_BoQ v2" xfId="4544" xr:uid="{00000000-0005-0000-0000-0000D7190000}"/>
    <cellStyle name="_莱芜BSS-900M_Annual Software Upgrade Fee_2G_BoQ v2 2" xfId="4545" xr:uid="{00000000-0005-0000-0000-0000D8190000}"/>
    <cellStyle name="_莱芜BSS-900M_Annual Software Upgrade Fee_2G_BoQ v2 2 2" xfId="4546" xr:uid="{00000000-0005-0000-0000-0000D9190000}"/>
    <cellStyle name="_莱芜BSS-900M_Annual Software Upgrade Fee_2G_BoQ v2 3" xfId="4547" xr:uid="{00000000-0005-0000-0000-0000DA190000}"/>
    <cellStyle name="_莱芜BSS-900M_Annual Software Upgrade Fee_2G_BoQ v2 3 2" xfId="4548" xr:uid="{00000000-0005-0000-0000-0000DB190000}"/>
    <cellStyle name="_莱芜BSS-900M_Annual Software Upgrade Fee_2G_BoQ v2 4" xfId="4549" xr:uid="{00000000-0005-0000-0000-0000DC190000}"/>
    <cellStyle name="_莱芜BSS-900M_Annual Software Upgrade Fee_2G_BoQ_v2" xfId="4550" xr:uid="{00000000-0005-0000-0000-0000DD190000}"/>
    <cellStyle name="_莱芜BSS-900M_Annual Software Upgrade Fee_2G_BoQ_v2 2" xfId="4551" xr:uid="{00000000-0005-0000-0000-0000DE190000}"/>
    <cellStyle name="_莱芜BSS-900M_Annual Software Upgrade Fee_2G_BoQ_v2 2 2" xfId="4552" xr:uid="{00000000-0005-0000-0000-0000DF190000}"/>
    <cellStyle name="_莱芜BSS-900M_Annual Software Upgrade Fee_2G_BoQ_v2 3" xfId="4553" xr:uid="{00000000-0005-0000-0000-0000E0190000}"/>
    <cellStyle name="_莱芜BSS-900M_Annual Software Upgrade Fee_2G_BoQ_v2 3 2" xfId="4554" xr:uid="{00000000-0005-0000-0000-0000E1190000}"/>
    <cellStyle name="_莱芜BSS-900M_Annual Software Upgrade Fee_2G_BoQ_v2 4" xfId="4555" xr:uid="{00000000-0005-0000-0000-0000E2190000}"/>
    <cellStyle name="_莱芜BSS-900M_Annual Software Upgrade Fee_Book2" xfId="4556" xr:uid="{00000000-0005-0000-0000-0000E3190000}"/>
    <cellStyle name="_莱芜BSS-900M_Annual Software Upgrade Fee_Book2 2" xfId="4557" xr:uid="{00000000-0005-0000-0000-0000E4190000}"/>
    <cellStyle name="_莱芜BSS-900M_Annual Software Upgrade Fee_Book2 2 2" xfId="4558" xr:uid="{00000000-0005-0000-0000-0000E5190000}"/>
    <cellStyle name="_莱芜BSS-900M_Annual Software Upgrade Fee_Book2 3" xfId="4559" xr:uid="{00000000-0005-0000-0000-0000E6190000}"/>
    <cellStyle name="_莱芜BSS-900M_Annual Software Upgrade Fee_Book2 3 2" xfId="4560" xr:uid="{00000000-0005-0000-0000-0000E7190000}"/>
    <cellStyle name="_莱芜BSS-900M_Annual Software Upgrade Fee_Book2 4" xfId="4561" xr:uid="{00000000-0005-0000-0000-0000E8190000}"/>
    <cellStyle name="_莱芜BSS-900M_Annual Software Upgrade Fee_Revised 2G_BoQ" xfId="4562" xr:uid="{00000000-0005-0000-0000-0000E9190000}"/>
    <cellStyle name="_莱芜BSS-900M_Annual Software Upgrade Fee_Revised 2G_BoQ 2" xfId="4563" xr:uid="{00000000-0005-0000-0000-0000EA190000}"/>
    <cellStyle name="_莱芜BSS-900M_Annual Software Upgrade Fee_Revised 2G_BoQ 2 2" xfId="4564" xr:uid="{00000000-0005-0000-0000-0000EB190000}"/>
    <cellStyle name="_莱芜BSS-900M_Annual Software Upgrade Fee_Revised 2G_BoQ 3" xfId="4565" xr:uid="{00000000-0005-0000-0000-0000EC190000}"/>
    <cellStyle name="_莱芜BSS-900M_Annual Software Upgrade Fee_Revised 2G_BoQ 3 2" xfId="4566" xr:uid="{00000000-0005-0000-0000-0000ED190000}"/>
    <cellStyle name="_莱芜BSS-900M_Annual Software Upgrade Fee_Revised 2G_BoQ 4" xfId="4567" xr:uid="{00000000-0005-0000-0000-0000EE190000}"/>
    <cellStyle name="_莱芜BSS-900M_Annual Software Upgrade Fee_Revised 2G_BoQ P03 Model" xfId="4568" xr:uid="{00000000-0005-0000-0000-0000EF190000}"/>
    <cellStyle name="_莱芜BSS-900M_Annual Software Upgrade Fee_Revised 2G_BoQ P03 Model 2" xfId="4569" xr:uid="{00000000-0005-0000-0000-0000F0190000}"/>
    <cellStyle name="_莱芜BSS-900M_Annual Software Upgrade Fee_Revised 2G_BoQ P03 Model 2 2" xfId="4570" xr:uid="{00000000-0005-0000-0000-0000F1190000}"/>
    <cellStyle name="_莱芜BSS-900M_Annual Software Upgrade Fee_Revised 2G_BoQ P03 Model 3" xfId="4571" xr:uid="{00000000-0005-0000-0000-0000F2190000}"/>
    <cellStyle name="_莱芜BSS-900M_Annual Software Upgrade Fee_Revised 2G_BoQ P03 Model 3 2" xfId="4572" xr:uid="{00000000-0005-0000-0000-0000F3190000}"/>
    <cellStyle name="_莱芜BSS-900M_Annual Software Upgrade Fee_Revised 2G_BoQ P03 Model 4" xfId="4573" xr:uid="{00000000-0005-0000-0000-0000F4190000}"/>
    <cellStyle name="_莱芜BSS-900M_Annual Software Upgrade Fee_服务文件Benchmark V13(for Customer)" xfId="4574" xr:uid="{00000000-0005-0000-0000-0000F5190000}"/>
    <cellStyle name="_莱芜BSS-900M_Annual Software Upgrade Fee_服务文件Benchmark V13(for Customer) 2" xfId="4575" xr:uid="{00000000-0005-0000-0000-0000F6190000}"/>
    <cellStyle name="_莱芜BSS-900M_Annual Software Upgrade Fee_服务文件Benchmark V13(for Customer) 2 2" xfId="4576" xr:uid="{00000000-0005-0000-0000-0000F7190000}"/>
    <cellStyle name="_莱芜BSS-900M_Annual Software Upgrade Fee_服务文件Benchmark V13(for Customer) 3" xfId="4577" xr:uid="{00000000-0005-0000-0000-0000F8190000}"/>
    <cellStyle name="_莱芜BSS-900M_Annual Software Upgrade Fee_服务文件Benchmark V13(for Customer) 3 2" xfId="4578" xr:uid="{00000000-0005-0000-0000-0000F9190000}"/>
    <cellStyle name="_莱芜BSS-900M_Annual Software Upgrade Fee_服务文件Benchmark V13(for Customer) 4" xfId="4579" xr:uid="{00000000-0005-0000-0000-0000FA190000}"/>
    <cellStyle name="_莱芜BSS-900M_Annual Software Upgrade Fee_服务文件Benchmark V5" xfId="4580" xr:uid="{00000000-0005-0000-0000-0000FB190000}"/>
    <cellStyle name="_莱芜BSS-900M_Annual Software Upgrade Fee_服务文件Benchmark V5 2" xfId="4581" xr:uid="{00000000-0005-0000-0000-0000FC190000}"/>
    <cellStyle name="_莱芜BSS-900M_Annual Software Upgrade Fee_服务文件Benchmark V5 2 2" xfId="4582" xr:uid="{00000000-0005-0000-0000-0000FD190000}"/>
    <cellStyle name="_莱芜BSS-900M_Annual Software Upgrade Fee_服务文件Benchmark V5 3" xfId="4583" xr:uid="{00000000-0005-0000-0000-0000FE190000}"/>
    <cellStyle name="_莱芜BSS-900M_Annual Software Upgrade Fee_服务文件Benchmark V5 3 2" xfId="4584" xr:uid="{00000000-0005-0000-0000-0000FF190000}"/>
    <cellStyle name="_莱芜BSS-900M_Annual Software Upgrade Fee_服务文件Benchmark V5 4" xfId="4585" xr:uid="{00000000-0005-0000-0000-0000001A0000}"/>
    <cellStyle name="_莱芜BSS-900M_MW" xfId="4586" xr:uid="{00000000-0005-0000-0000-0000011A0000}"/>
    <cellStyle name="_莱芜BSS-900M_MW 2" xfId="4587" xr:uid="{00000000-0005-0000-0000-0000021A0000}"/>
    <cellStyle name="_莱芜BSS-900M_MW 2 2" xfId="4588" xr:uid="{00000000-0005-0000-0000-0000031A0000}"/>
    <cellStyle name="_莱芜BSS-900M_MW 3" xfId="4589" xr:uid="{00000000-0005-0000-0000-0000041A0000}"/>
    <cellStyle name="_莱芜BSS-900M_MW 3 2" xfId="4590" xr:uid="{00000000-0005-0000-0000-0000051A0000}"/>
    <cellStyle name="_莱芜BSS-900M_MW 4" xfId="4591" xr:uid="{00000000-0005-0000-0000-0000061A0000}"/>
    <cellStyle name="_莱芜BSS-900M_MW_2G service V5" xfId="4592" xr:uid="{00000000-0005-0000-0000-0000071A0000}"/>
    <cellStyle name="_莱芜BSS-900M_MW_2G service V5 2" xfId="4593" xr:uid="{00000000-0005-0000-0000-0000081A0000}"/>
    <cellStyle name="_莱芜BSS-900M_MW_2G service V5 2 2" xfId="4594" xr:uid="{00000000-0005-0000-0000-0000091A0000}"/>
    <cellStyle name="_莱芜BSS-900M_MW_2G service V5 3" xfId="4595" xr:uid="{00000000-0005-0000-0000-00000A1A0000}"/>
    <cellStyle name="_莱芜BSS-900M_MW_2G service V5 3 2" xfId="4596" xr:uid="{00000000-0005-0000-0000-00000B1A0000}"/>
    <cellStyle name="_莱芜BSS-900M_MW_2G service V5 4" xfId="4597" xr:uid="{00000000-0005-0000-0000-00000C1A0000}"/>
    <cellStyle name="_莱芜BSS-900M_MW_2G Service(20071104)benchmark" xfId="4598" xr:uid="{00000000-0005-0000-0000-00000D1A0000}"/>
    <cellStyle name="_莱芜BSS-900M_MW_2G Service(20071104)benchmark 2" xfId="4599" xr:uid="{00000000-0005-0000-0000-00000E1A0000}"/>
    <cellStyle name="_莱芜BSS-900M_MW_2G Service(20071104)benchmark 2 2" xfId="4600" xr:uid="{00000000-0005-0000-0000-00000F1A0000}"/>
    <cellStyle name="_莱芜BSS-900M_MW_2G Service(20071104)benchmark 3" xfId="4601" xr:uid="{00000000-0005-0000-0000-0000101A0000}"/>
    <cellStyle name="_莱芜BSS-900M_MW_2G Service(20071104)benchmark 3 2" xfId="4602" xr:uid="{00000000-0005-0000-0000-0000111A0000}"/>
    <cellStyle name="_莱芜BSS-900M_MW_2G Service(20071104)benchmark 4" xfId="4603" xr:uid="{00000000-0005-0000-0000-0000121A0000}"/>
    <cellStyle name="_莱芜BSS-900M_MW_2G_BoQ" xfId="4604" xr:uid="{00000000-0005-0000-0000-0000131A0000}"/>
    <cellStyle name="_莱芜BSS-900M_MW_2G_BoQ 2" xfId="4605" xr:uid="{00000000-0005-0000-0000-0000141A0000}"/>
    <cellStyle name="_莱芜BSS-900M_MW_2G_BoQ 2 2" xfId="4606" xr:uid="{00000000-0005-0000-0000-0000151A0000}"/>
    <cellStyle name="_莱芜BSS-900M_MW_2G_BoQ 3" xfId="4607" xr:uid="{00000000-0005-0000-0000-0000161A0000}"/>
    <cellStyle name="_莱芜BSS-900M_MW_2G_BoQ 3 2" xfId="4608" xr:uid="{00000000-0005-0000-0000-0000171A0000}"/>
    <cellStyle name="_莱芜BSS-900M_MW_2G_BoQ 4" xfId="4609" xr:uid="{00000000-0005-0000-0000-0000181A0000}"/>
    <cellStyle name="_莱芜BSS-900M_MW_2G_BoQ Apple2" xfId="4610" xr:uid="{00000000-0005-0000-0000-0000191A0000}"/>
    <cellStyle name="_莱芜BSS-900M_MW_2G_BoQ Apple2 2" xfId="4611" xr:uid="{00000000-0005-0000-0000-00001A1A0000}"/>
    <cellStyle name="_莱芜BSS-900M_MW_2G_BoQ Apple2 2 2" xfId="4612" xr:uid="{00000000-0005-0000-0000-00001B1A0000}"/>
    <cellStyle name="_莱芜BSS-900M_MW_2G_BoQ Apple2 3" xfId="4613" xr:uid="{00000000-0005-0000-0000-00001C1A0000}"/>
    <cellStyle name="_莱芜BSS-900M_MW_2G_BoQ Apple2 3 2" xfId="4614" xr:uid="{00000000-0005-0000-0000-00001D1A0000}"/>
    <cellStyle name="_莱芜BSS-900M_MW_2G_BoQ Apple2 4" xfId="4615" xr:uid="{00000000-0005-0000-0000-00001E1A0000}"/>
    <cellStyle name="_莱芜BSS-900M_MW_2G_BoQ Model" xfId="4616" xr:uid="{00000000-0005-0000-0000-00001F1A0000}"/>
    <cellStyle name="_莱芜BSS-900M_MW_2G_BoQ Model 2" xfId="4617" xr:uid="{00000000-0005-0000-0000-0000201A0000}"/>
    <cellStyle name="_莱芜BSS-900M_MW_2G_BoQ Model 2 2" xfId="4618" xr:uid="{00000000-0005-0000-0000-0000211A0000}"/>
    <cellStyle name="_莱芜BSS-900M_MW_2G_BoQ Model 3" xfId="4619" xr:uid="{00000000-0005-0000-0000-0000221A0000}"/>
    <cellStyle name="_莱芜BSS-900M_MW_2G_BoQ Model 3 2" xfId="4620" xr:uid="{00000000-0005-0000-0000-0000231A0000}"/>
    <cellStyle name="_莱芜BSS-900M_MW_2G_BoQ Model 4" xfId="4621" xr:uid="{00000000-0005-0000-0000-0000241A0000}"/>
    <cellStyle name="_莱芜BSS-900M_MW_2G_BoQ P03 Model" xfId="4622" xr:uid="{00000000-0005-0000-0000-0000251A0000}"/>
    <cellStyle name="_莱芜BSS-900M_MW_2G_BoQ P03 Model 2" xfId="4623" xr:uid="{00000000-0005-0000-0000-0000261A0000}"/>
    <cellStyle name="_莱芜BSS-900M_MW_2G_BoQ P03 Model 2 2" xfId="4624" xr:uid="{00000000-0005-0000-0000-0000271A0000}"/>
    <cellStyle name="_莱芜BSS-900M_MW_2G_BoQ P03 Model 3" xfId="4625" xr:uid="{00000000-0005-0000-0000-0000281A0000}"/>
    <cellStyle name="_莱芜BSS-900M_MW_2G_BoQ P03 Model 3 2" xfId="4626" xr:uid="{00000000-0005-0000-0000-0000291A0000}"/>
    <cellStyle name="_莱芜BSS-900M_MW_2G_BoQ P03 Model 4" xfId="4627" xr:uid="{00000000-0005-0000-0000-00002A1A0000}"/>
    <cellStyle name="_莱芜BSS-900M_MW_2G_BoQ v2" xfId="4628" xr:uid="{00000000-0005-0000-0000-00002B1A0000}"/>
    <cellStyle name="_莱芜BSS-900M_MW_2G_BoQ v2 2" xfId="4629" xr:uid="{00000000-0005-0000-0000-00002C1A0000}"/>
    <cellStyle name="_莱芜BSS-900M_MW_2G_BoQ v2 2 2" xfId="4630" xr:uid="{00000000-0005-0000-0000-00002D1A0000}"/>
    <cellStyle name="_莱芜BSS-900M_MW_2G_BoQ v2 3" xfId="4631" xr:uid="{00000000-0005-0000-0000-00002E1A0000}"/>
    <cellStyle name="_莱芜BSS-900M_MW_2G_BoQ v2 3 2" xfId="4632" xr:uid="{00000000-0005-0000-0000-00002F1A0000}"/>
    <cellStyle name="_莱芜BSS-900M_MW_2G_BoQ v2 4" xfId="4633" xr:uid="{00000000-0005-0000-0000-0000301A0000}"/>
    <cellStyle name="_莱芜BSS-900M_MW_2G_BoQ_v2" xfId="4634" xr:uid="{00000000-0005-0000-0000-0000311A0000}"/>
    <cellStyle name="_莱芜BSS-900M_MW_2G_BoQ_v2 2" xfId="4635" xr:uid="{00000000-0005-0000-0000-0000321A0000}"/>
    <cellStyle name="_莱芜BSS-900M_MW_2G_BoQ_v2 2 2" xfId="4636" xr:uid="{00000000-0005-0000-0000-0000331A0000}"/>
    <cellStyle name="_莱芜BSS-900M_MW_2G_BoQ_v2 3" xfId="4637" xr:uid="{00000000-0005-0000-0000-0000341A0000}"/>
    <cellStyle name="_莱芜BSS-900M_MW_2G_BoQ_v2 3 2" xfId="4638" xr:uid="{00000000-0005-0000-0000-0000351A0000}"/>
    <cellStyle name="_莱芜BSS-900M_MW_2G_BoQ_v2 4" xfId="4639" xr:uid="{00000000-0005-0000-0000-0000361A0000}"/>
    <cellStyle name="_莱芜BSS-900M_MW_Book2" xfId="4640" xr:uid="{00000000-0005-0000-0000-0000371A0000}"/>
    <cellStyle name="_莱芜BSS-900M_MW_Book2 2" xfId="4641" xr:uid="{00000000-0005-0000-0000-0000381A0000}"/>
    <cellStyle name="_莱芜BSS-900M_MW_Book2 2 2" xfId="4642" xr:uid="{00000000-0005-0000-0000-0000391A0000}"/>
    <cellStyle name="_莱芜BSS-900M_MW_Book2 3" xfId="4643" xr:uid="{00000000-0005-0000-0000-00003A1A0000}"/>
    <cellStyle name="_莱芜BSS-900M_MW_Book2 3 2" xfId="4644" xr:uid="{00000000-0005-0000-0000-00003B1A0000}"/>
    <cellStyle name="_莱芜BSS-900M_MW_Book2 4" xfId="4645" xr:uid="{00000000-0005-0000-0000-00003C1A0000}"/>
    <cellStyle name="_莱芜BSS-900M_MW_Revised 2G_BoQ" xfId="4646" xr:uid="{00000000-0005-0000-0000-00003D1A0000}"/>
    <cellStyle name="_莱芜BSS-900M_MW_Revised 2G_BoQ 2" xfId="4647" xr:uid="{00000000-0005-0000-0000-00003E1A0000}"/>
    <cellStyle name="_莱芜BSS-900M_MW_Revised 2G_BoQ 2 2" xfId="4648" xr:uid="{00000000-0005-0000-0000-00003F1A0000}"/>
    <cellStyle name="_莱芜BSS-900M_MW_Revised 2G_BoQ 3" xfId="4649" xr:uid="{00000000-0005-0000-0000-0000401A0000}"/>
    <cellStyle name="_莱芜BSS-900M_MW_Revised 2G_BoQ 3 2" xfId="4650" xr:uid="{00000000-0005-0000-0000-0000411A0000}"/>
    <cellStyle name="_莱芜BSS-900M_MW_Revised 2G_BoQ 4" xfId="4651" xr:uid="{00000000-0005-0000-0000-0000421A0000}"/>
    <cellStyle name="_莱芜BSS-900M_MW_Revised 2G_BoQ P03 Model" xfId="4652" xr:uid="{00000000-0005-0000-0000-0000431A0000}"/>
    <cellStyle name="_莱芜BSS-900M_MW_Revised 2G_BoQ P03 Model 2" xfId="4653" xr:uid="{00000000-0005-0000-0000-0000441A0000}"/>
    <cellStyle name="_莱芜BSS-900M_MW_Revised 2G_BoQ P03 Model 2 2" xfId="4654" xr:uid="{00000000-0005-0000-0000-0000451A0000}"/>
    <cellStyle name="_莱芜BSS-900M_MW_Revised 2G_BoQ P03 Model 3" xfId="4655" xr:uid="{00000000-0005-0000-0000-0000461A0000}"/>
    <cellStyle name="_莱芜BSS-900M_MW_Revised 2G_BoQ P03 Model 3 2" xfId="4656" xr:uid="{00000000-0005-0000-0000-0000471A0000}"/>
    <cellStyle name="_莱芜BSS-900M_MW_Revised 2G_BoQ P03 Model 4" xfId="4657" xr:uid="{00000000-0005-0000-0000-0000481A0000}"/>
    <cellStyle name="_莱芜BSS-900M_MW_服务文件Benchmark V13(for Customer)" xfId="4658" xr:uid="{00000000-0005-0000-0000-0000491A0000}"/>
    <cellStyle name="_莱芜BSS-900M_MW_服务文件Benchmark V13(for Customer) 2" xfId="4659" xr:uid="{00000000-0005-0000-0000-00004A1A0000}"/>
    <cellStyle name="_莱芜BSS-900M_MW_服务文件Benchmark V13(for Customer) 2 2" xfId="4660" xr:uid="{00000000-0005-0000-0000-00004B1A0000}"/>
    <cellStyle name="_莱芜BSS-900M_MW_服务文件Benchmark V13(for Customer) 3" xfId="4661" xr:uid="{00000000-0005-0000-0000-00004C1A0000}"/>
    <cellStyle name="_莱芜BSS-900M_MW_服务文件Benchmark V13(for Customer) 3 2" xfId="4662" xr:uid="{00000000-0005-0000-0000-00004D1A0000}"/>
    <cellStyle name="_莱芜BSS-900M_MW_服务文件Benchmark V13(for Customer) 4" xfId="4663" xr:uid="{00000000-0005-0000-0000-00004E1A0000}"/>
    <cellStyle name="_莱芜BSS-900M_MW_服务文件Benchmark V5" xfId="4664" xr:uid="{00000000-0005-0000-0000-00004F1A0000}"/>
    <cellStyle name="_莱芜BSS-900M_MW_服务文件Benchmark V5 2" xfId="4665" xr:uid="{00000000-0005-0000-0000-0000501A0000}"/>
    <cellStyle name="_莱芜BSS-900M_MW_服务文件Benchmark V5 2 2" xfId="4666" xr:uid="{00000000-0005-0000-0000-0000511A0000}"/>
    <cellStyle name="_莱芜BSS-900M_MW_服务文件Benchmark V5 3" xfId="4667" xr:uid="{00000000-0005-0000-0000-0000521A0000}"/>
    <cellStyle name="_莱芜BSS-900M_MW_服务文件Benchmark V5 3 2" xfId="4668" xr:uid="{00000000-0005-0000-0000-0000531A0000}"/>
    <cellStyle name="_莱芜BSS-900M_MW_服务文件Benchmark V5 4" xfId="4669" xr:uid="{00000000-0005-0000-0000-0000541A0000}"/>
    <cellStyle name="_阿坝BSS设备清单－替换" xfId="4670" xr:uid="{00000000-0005-0000-0000-0000551A0000}"/>
    <cellStyle name="=C:\WINNT\SYSTEM32\COMMAND.COM" xfId="6742" xr:uid="{00000000-0005-0000-0000-0000561A0000}"/>
    <cellStyle name="=C:\WINNT\SYSTEM32\COMMAND.COM 10" xfId="6743" xr:uid="{00000000-0005-0000-0000-0000571A0000}"/>
    <cellStyle name="=C:\WINNT\SYSTEM32\COMMAND.COM 10 2" xfId="6744" xr:uid="{00000000-0005-0000-0000-0000581A0000}"/>
    <cellStyle name="=C:\WINNT\SYSTEM32\COMMAND.COM 11" xfId="6745" xr:uid="{00000000-0005-0000-0000-0000591A0000}"/>
    <cellStyle name="=C:\WINNT\SYSTEM32\COMMAND.COM 2" xfId="6746" xr:uid="{00000000-0005-0000-0000-00005A1A0000}"/>
    <cellStyle name="=C:\WINNT\SYSTEM32\COMMAND.COM 2 2" xfId="6747" xr:uid="{00000000-0005-0000-0000-00005B1A0000}"/>
    <cellStyle name="=C:\WINNT\SYSTEM32\COMMAND.COM 2 2 2" xfId="6748" xr:uid="{00000000-0005-0000-0000-00005C1A0000}"/>
    <cellStyle name="=C:\WINNT\SYSTEM32\COMMAND.COM 2 3" xfId="6749" xr:uid="{00000000-0005-0000-0000-00005D1A0000}"/>
    <cellStyle name="=C:\WINNT\SYSTEM32\COMMAND.COM 3" xfId="6750" xr:uid="{00000000-0005-0000-0000-00005E1A0000}"/>
    <cellStyle name="=C:\WINNT\SYSTEM32\COMMAND.COM 3 2" xfId="6751" xr:uid="{00000000-0005-0000-0000-00005F1A0000}"/>
    <cellStyle name="=C:\WINNT\SYSTEM32\COMMAND.COM 3 2 2" xfId="6752" xr:uid="{00000000-0005-0000-0000-0000601A0000}"/>
    <cellStyle name="=C:\WINNT\SYSTEM32\COMMAND.COM 3 3" xfId="6753" xr:uid="{00000000-0005-0000-0000-0000611A0000}"/>
    <cellStyle name="=C:\WINNT\SYSTEM32\COMMAND.COM 4" xfId="6754" xr:uid="{00000000-0005-0000-0000-0000621A0000}"/>
    <cellStyle name="=C:\WINNT\SYSTEM32\COMMAND.COM 4 2" xfId="6755" xr:uid="{00000000-0005-0000-0000-0000631A0000}"/>
    <cellStyle name="=C:\WINNT\SYSTEM32\COMMAND.COM 4 2 2" xfId="6756" xr:uid="{00000000-0005-0000-0000-0000641A0000}"/>
    <cellStyle name="=C:\WINNT\SYSTEM32\COMMAND.COM 4 3" xfId="6757" xr:uid="{00000000-0005-0000-0000-0000651A0000}"/>
    <cellStyle name="=C:\WINNT\SYSTEM32\COMMAND.COM 5" xfId="6758" xr:uid="{00000000-0005-0000-0000-0000661A0000}"/>
    <cellStyle name="=C:\WINNT\SYSTEM32\COMMAND.COM 5 2" xfId="6759" xr:uid="{00000000-0005-0000-0000-0000671A0000}"/>
    <cellStyle name="=C:\WINNT\SYSTEM32\COMMAND.COM 5 2 2" xfId="6760" xr:uid="{00000000-0005-0000-0000-0000681A0000}"/>
    <cellStyle name="=C:\WINNT\SYSTEM32\COMMAND.COM 5 3" xfId="6761" xr:uid="{00000000-0005-0000-0000-0000691A0000}"/>
    <cellStyle name="=C:\WINNT\SYSTEM32\COMMAND.COM 6" xfId="6762" xr:uid="{00000000-0005-0000-0000-00006A1A0000}"/>
    <cellStyle name="=C:\WINNT\SYSTEM32\COMMAND.COM 6 2" xfId="6763" xr:uid="{00000000-0005-0000-0000-00006B1A0000}"/>
    <cellStyle name="=C:\WINNT\SYSTEM32\COMMAND.COM 6 2 2" xfId="6764" xr:uid="{00000000-0005-0000-0000-00006C1A0000}"/>
    <cellStyle name="=C:\WINNT\SYSTEM32\COMMAND.COM 6 3" xfId="6765" xr:uid="{00000000-0005-0000-0000-00006D1A0000}"/>
    <cellStyle name="=C:\WINNT\SYSTEM32\COMMAND.COM 7" xfId="6766" xr:uid="{00000000-0005-0000-0000-00006E1A0000}"/>
    <cellStyle name="=C:\WINNT\SYSTEM32\COMMAND.COM 7 2" xfId="6767" xr:uid="{00000000-0005-0000-0000-00006F1A0000}"/>
    <cellStyle name="=C:\WINNT\SYSTEM32\COMMAND.COM 7 2 2" xfId="6768" xr:uid="{00000000-0005-0000-0000-0000701A0000}"/>
    <cellStyle name="=C:\WINNT\SYSTEM32\COMMAND.COM 7 3" xfId="6769" xr:uid="{00000000-0005-0000-0000-0000711A0000}"/>
    <cellStyle name="=C:\WINNT\SYSTEM32\COMMAND.COM 8" xfId="6770" xr:uid="{00000000-0005-0000-0000-0000721A0000}"/>
    <cellStyle name="=C:\WINNT\SYSTEM32\COMMAND.COM 8 2" xfId="6771" xr:uid="{00000000-0005-0000-0000-0000731A0000}"/>
    <cellStyle name="=C:\WINNT\SYSTEM32\COMMAND.COM 9" xfId="6772" xr:uid="{00000000-0005-0000-0000-0000741A0000}"/>
    <cellStyle name="=C:\WINNT\SYSTEM32\COMMAND.COM 9 2" xfId="6773" xr:uid="{00000000-0005-0000-0000-0000751A0000}"/>
    <cellStyle name="=C:\WINNT\SYSTEM32\COMMAND.COM_IT_CAPEX_FC3 4 pm 05 Jul 09_020709 Latest" xfId="6774" xr:uid="{00000000-0005-0000-0000-0000761A0000}"/>
    <cellStyle name="=C:\WINNT35\SYSTEM32\COMMAND.COM" xfId="6775" xr:uid="{00000000-0005-0000-0000-0000771A0000}"/>
    <cellStyle name="=C:\WINNT35\SYSTEM32\COMMAND.COM 2" xfId="6776" xr:uid="{00000000-0005-0000-0000-0000781A0000}"/>
    <cellStyle name="=C:\WINNT35\SYSTEM32\COMMAND.COM 2 2" xfId="6777" xr:uid="{00000000-0005-0000-0000-0000791A0000}"/>
    <cellStyle name="=C:\WINNT35\SYSTEM32\COMMAND.COM 3" xfId="6778" xr:uid="{00000000-0005-0000-0000-00007A1A0000}"/>
    <cellStyle name="=C:\WINNT35\SYSTEM32\COMMAND.COM 3 2" xfId="6779" xr:uid="{00000000-0005-0000-0000-00007B1A0000}"/>
    <cellStyle name="=C:\WINNT35\SYSTEM32\COMMAND.COM 4" xfId="6780" xr:uid="{00000000-0005-0000-0000-00007C1A0000}"/>
    <cellStyle name="=C:\WINNT35\SYSTEM32\COMMAND.COM_Discounts(Core)" xfId="6781" xr:uid="{00000000-0005-0000-0000-00007D1A0000}"/>
    <cellStyle name="µÚ¿¡ ¿À´Â ÇÏÀÌÆÛ¸µÅ©" xfId="30997" xr:uid="{00000000-0005-0000-0000-00007E1A0000}"/>
    <cellStyle name="µÚ¿¡ ¿À´Â ÇÏÀÌÆÛ¸µÅ© 2" xfId="30998" xr:uid="{00000000-0005-0000-0000-00007F1A0000}"/>
    <cellStyle name="µÚ¿¡ ¿À´Â ÇÏÀÌÆÛ¸µÅ© 2 2" xfId="30999" xr:uid="{00000000-0005-0000-0000-0000801A0000}"/>
    <cellStyle name="µÚ¿¡ ¿À´Â ÇÏÀÌÆÛ¸µÅ© 3" xfId="31000" xr:uid="{00000000-0005-0000-0000-0000811A0000}"/>
    <cellStyle name="W_¶YÝÏä" xfId="30894" xr:uid="{00000000-0005-0000-0000-0000821A0000}"/>
    <cellStyle name="0" xfId="6785" xr:uid="{00000000-0005-0000-0000-0000831A0000}"/>
    <cellStyle name="0,0" xfId="7027" xr:uid="{00000000-0005-0000-0000-0000841A0000}"/>
    <cellStyle name="0,0_x000a__x000a_NA_x000a__x000a_" xfId="7028" xr:uid="{00000000-0005-0000-0000-0000851A0000}"/>
    <cellStyle name="0,0_x000d__x000a_NA_x000d__x000a_" xfId="7029" xr:uid="{00000000-0005-0000-0000-0000861A0000}"/>
    <cellStyle name="0,0_x000d__x000a_NA_x000d__x000a_ 10" xfId="7030" xr:uid="{00000000-0005-0000-0000-0000871A0000}"/>
    <cellStyle name="0,0_x000d__x000a_NA_x000d__x000a_ 11" xfId="7031" xr:uid="{00000000-0005-0000-0000-0000881A0000}"/>
    <cellStyle name="0,0_x000d__x000a_NA_x000d__x000a_ 12" xfId="7032" xr:uid="{00000000-0005-0000-0000-0000891A0000}"/>
    <cellStyle name="0,0_x000d__x000a_NA_x000d__x000a_ 13" xfId="7033" xr:uid="{00000000-0005-0000-0000-00008A1A0000}"/>
    <cellStyle name="0,0_x000d__x000a_NA_x000d__x000a_ 14" xfId="7034" xr:uid="{00000000-0005-0000-0000-00008B1A0000}"/>
    <cellStyle name="0,0_x000d__x000a_NA_x000d__x000a_ 15" xfId="7035" xr:uid="{00000000-0005-0000-0000-00008C1A0000}"/>
    <cellStyle name="0,0_x000d__x000a_NA_x000d__x000a_ 16" xfId="7036" xr:uid="{00000000-0005-0000-0000-00008D1A0000}"/>
    <cellStyle name="0,0_x000d__x000a_NA_x000d__x000a_ 17" xfId="7037" xr:uid="{00000000-0005-0000-0000-00008E1A0000}"/>
    <cellStyle name="0,0_x000d__x000a_NA_x000d__x000a_ 18" xfId="7038" xr:uid="{00000000-0005-0000-0000-00008F1A0000}"/>
    <cellStyle name="0,0_x000d__x000a_NA_x000d__x000a_ 19" xfId="7039" xr:uid="{00000000-0005-0000-0000-0000901A0000}"/>
    <cellStyle name="0,0_x000d__x000a_NA_x000d__x000a_ 2" xfId="7040" xr:uid="{00000000-0005-0000-0000-0000911A0000}"/>
    <cellStyle name="0,0_x000d__x000a_NA_x000d__x000a_ 2 10" xfId="7041" xr:uid="{00000000-0005-0000-0000-0000921A0000}"/>
    <cellStyle name="0,0_x000d__x000a_NA_x000d__x000a_ 2 11" xfId="7042" xr:uid="{00000000-0005-0000-0000-0000931A0000}"/>
    <cellStyle name="0,0_x000d__x000a_NA_x000d__x000a_ 2 12" xfId="7043" xr:uid="{00000000-0005-0000-0000-0000941A0000}"/>
    <cellStyle name="0,0_x000d__x000a_NA_x000d__x000a_ 2 13" xfId="7044" xr:uid="{00000000-0005-0000-0000-0000951A0000}"/>
    <cellStyle name="0,0_x000d__x000a_NA_x000d__x000a_ 2 14" xfId="7045" xr:uid="{00000000-0005-0000-0000-0000961A0000}"/>
    <cellStyle name="0,0_x000d__x000a_NA_x000d__x000a_ 2 15" xfId="7046" xr:uid="{00000000-0005-0000-0000-0000971A0000}"/>
    <cellStyle name="0,0_x000d__x000a_NA_x000d__x000a_ 2 16" xfId="7047" xr:uid="{00000000-0005-0000-0000-0000981A0000}"/>
    <cellStyle name="0,0_x000d__x000a_NA_x000d__x000a_ 2 17" xfId="7048" xr:uid="{00000000-0005-0000-0000-0000991A0000}"/>
    <cellStyle name="0,0_x000d__x000a_NA_x000d__x000a_ 2 18" xfId="7049" xr:uid="{00000000-0005-0000-0000-00009A1A0000}"/>
    <cellStyle name="0,0_x000d__x000a_NA_x000d__x000a_ 2 19" xfId="7050" xr:uid="{00000000-0005-0000-0000-00009B1A0000}"/>
    <cellStyle name="0,0_x000d__x000a_NA_x000d__x000a_ 2 2" xfId="7051" xr:uid="{00000000-0005-0000-0000-00009C1A0000}"/>
    <cellStyle name="0,0_x000d__x000a_NA_x000d__x000a_ 2 2 2" xfId="7052" xr:uid="{00000000-0005-0000-0000-00009D1A0000}"/>
    <cellStyle name="0,0_x000d__x000a_NA_x000d__x000a_ 2 20" xfId="7053" xr:uid="{00000000-0005-0000-0000-00009E1A0000}"/>
    <cellStyle name="0,0_x000d__x000a_NA_x000d__x000a_ 2 21" xfId="7054" xr:uid="{00000000-0005-0000-0000-00009F1A0000}"/>
    <cellStyle name="0,0_x000d__x000a_NA_x000d__x000a_ 2 22" xfId="7055" xr:uid="{00000000-0005-0000-0000-0000A01A0000}"/>
    <cellStyle name="0,0_x000d__x000a_NA_x000d__x000a_ 2 23" xfId="7056" xr:uid="{00000000-0005-0000-0000-0000A11A0000}"/>
    <cellStyle name="0,0_x000d__x000a_NA_x000d__x000a_ 2 24" xfId="7057" xr:uid="{00000000-0005-0000-0000-0000A21A0000}"/>
    <cellStyle name="0,0_x000d__x000a_NA_x000d__x000a_ 2 25" xfId="7058" xr:uid="{00000000-0005-0000-0000-0000A31A0000}"/>
    <cellStyle name="0,0_x000d__x000a_NA_x000d__x000a_ 2 26" xfId="7059" xr:uid="{00000000-0005-0000-0000-0000A41A0000}"/>
    <cellStyle name="0,0_x000d__x000a_NA_x000d__x000a_ 2 27" xfId="7060" xr:uid="{00000000-0005-0000-0000-0000A51A0000}"/>
    <cellStyle name="0,0_x000d__x000a_NA_x000d__x000a_ 2 28" xfId="7061" xr:uid="{00000000-0005-0000-0000-0000A61A0000}"/>
    <cellStyle name="0,0_x000d__x000a_NA_x000d__x000a_ 2 29" xfId="7062" xr:uid="{00000000-0005-0000-0000-0000A71A0000}"/>
    <cellStyle name="0,0_x000d__x000a_NA_x000d__x000a_ 2 3" xfId="7063" xr:uid="{00000000-0005-0000-0000-0000A81A0000}"/>
    <cellStyle name="0,0_x000d__x000a_NA_x000d__x000a_ 2 3 2" xfId="7064" xr:uid="{00000000-0005-0000-0000-0000A91A0000}"/>
    <cellStyle name="0,0_x000d__x000a_NA_x000d__x000a_ 2 30" xfId="7065" xr:uid="{00000000-0005-0000-0000-0000AA1A0000}"/>
    <cellStyle name="0,0_x000d__x000a_NA_x000d__x000a_ 2 31" xfId="7066" xr:uid="{00000000-0005-0000-0000-0000AB1A0000}"/>
    <cellStyle name="0,0_x000d__x000a_NA_x000d__x000a_ 2 32" xfId="7067" xr:uid="{00000000-0005-0000-0000-0000AC1A0000}"/>
    <cellStyle name="0,0_x000d__x000a_NA_x000d__x000a_ 2 33" xfId="7068" xr:uid="{00000000-0005-0000-0000-0000AD1A0000}"/>
    <cellStyle name="0,0_x000d__x000a_NA_x000d__x000a_ 2 34" xfId="7069" xr:uid="{00000000-0005-0000-0000-0000AE1A0000}"/>
    <cellStyle name="0,0_x000d__x000a_NA_x000d__x000a_ 2 35" xfId="7070" xr:uid="{00000000-0005-0000-0000-0000AF1A0000}"/>
    <cellStyle name="0,0_x000d__x000a_NA_x000d__x000a_ 2 36" xfId="7071" xr:uid="{00000000-0005-0000-0000-0000B01A0000}"/>
    <cellStyle name="0,0_x000d__x000a_NA_x000d__x000a_ 2 37" xfId="7072" xr:uid="{00000000-0005-0000-0000-0000B11A0000}"/>
    <cellStyle name="0,0_x000d__x000a_NA_x000d__x000a_ 2 38" xfId="7073" xr:uid="{00000000-0005-0000-0000-0000B21A0000}"/>
    <cellStyle name="0,0_x000d__x000a_NA_x000d__x000a_ 2 39" xfId="7074" xr:uid="{00000000-0005-0000-0000-0000B31A0000}"/>
    <cellStyle name="0,0_x000d__x000a_NA_x000d__x000a_ 2 4" xfId="7075" xr:uid="{00000000-0005-0000-0000-0000B41A0000}"/>
    <cellStyle name="0,0_x000d__x000a_NA_x000d__x000a_ 2 40" xfId="7076" xr:uid="{00000000-0005-0000-0000-0000B51A0000}"/>
    <cellStyle name="0,0_x000d__x000a_NA_x000d__x000a_ 2 41" xfId="7077" xr:uid="{00000000-0005-0000-0000-0000B61A0000}"/>
    <cellStyle name="0,0_x000d__x000a_NA_x000d__x000a_ 2 42" xfId="7078" xr:uid="{00000000-0005-0000-0000-0000B71A0000}"/>
    <cellStyle name="0,0_x000d__x000a_NA_x000d__x000a_ 2 43" xfId="7079" xr:uid="{00000000-0005-0000-0000-0000B81A0000}"/>
    <cellStyle name="0,0_x000d__x000a_NA_x000d__x000a_ 2 44" xfId="7080" xr:uid="{00000000-0005-0000-0000-0000B91A0000}"/>
    <cellStyle name="0,0_x000d__x000a_NA_x000d__x000a_ 2 45" xfId="7081" xr:uid="{00000000-0005-0000-0000-0000BA1A0000}"/>
    <cellStyle name="0,0_x000d__x000a_NA_x000d__x000a_ 2 46" xfId="7082" xr:uid="{00000000-0005-0000-0000-0000BB1A0000}"/>
    <cellStyle name="0,0_x000d__x000a_NA_x000d__x000a_ 2 47" xfId="7083" xr:uid="{00000000-0005-0000-0000-0000BC1A0000}"/>
    <cellStyle name="0,0_x000d__x000a_NA_x000d__x000a_ 2 48" xfId="7084" xr:uid="{00000000-0005-0000-0000-0000BD1A0000}"/>
    <cellStyle name="0,0_x000d__x000a_NA_x000d__x000a_ 2 49" xfId="7085" xr:uid="{00000000-0005-0000-0000-0000BE1A0000}"/>
    <cellStyle name="0,0_x000d__x000a_NA_x000d__x000a_ 2 5" xfId="7086" xr:uid="{00000000-0005-0000-0000-0000BF1A0000}"/>
    <cellStyle name="0,0_x000d__x000a_NA_x000d__x000a_ 2 50" xfId="7087" xr:uid="{00000000-0005-0000-0000-0000C01A0000}"/>
    <cellStyle name="0,0_x000d__x000a_NA_x000d__x000a_ 2 51" xfId="7088" xr:uid="{00000000-0005-0000-0000-0000C11A0000}"/>
    <cellStyle name="0,0_x000d__x000a_NA_x000d__x000a_ 2 52" xfId="7089" xr:uid="{00000000-0005-0000-0000-0000C21A0000}"/>
    <cellStyle name="0,0_x000d__x000a_NA_x000d__x000a_ 2 53" xfId="7090" xr:uid="{00000000-0005-0000-0000-0000C31A0000}"/>
    <cellStyle name="0,0_x000d__x000a_NA_x000d__x000a_ 2 54" xfId="7091" xr:uid="{00000000-0005-0000-0000-0000C41A0000}"/>
    <cellStyle name="0,0_x000d__x000a_NA_x000d__x000a_ 2 55" xfId="7092" xr:uid="{00000000-0005-0000-0000-0000C51A0000}"/>
    <cellStyle name="0,0_x000d__x000a_NA_x000d__x000a_ 2 56" xfId="7093" xr:uid="{00000000-0005-0000-0000-0000C61A0000}"/>
    <cellStyle name="0,0_x000d__x000a_NA_x000d__x000a_ 2 57" xfId="7094" xr:uid="{00000000-0005-0000-0000-0000C71A0000}"/>
    <cellStyle name="0,0_x000d__x000a_NA_x000d__x000a_ 2 58" xfId="7095" xr:uid="{00000000-0005-0000-0000-0000C81A0000}"/>
    <cellStyle name="0,0_x000d__x000a_NA_x000d__x000a_ 2 59" xfId="7096" xr:uid="{00000000-0005-0000-0000-0000C91A0000}"/>
    <cellStyle name="0,0_x000d__x000a_NA_x000d__x000a_ 2 6" xfId="7097" xr:uid="{00000000-0005-0000-0000-0000CA1A0000}"/>
    <cellStyle name="0,0_x000d__x000a_NA_x000d__x000a_ 2 60" xfId="7098" xr:uid="{00000000-0005-0000-0000-0000CB1A0000}"/>
    <cellStyle name="0,0_x000d__x000a_NA_x000d__x000a_ 2 61" xfId="7099" xr:uid="{00000000-0005-0000-0000-0000CC1A0000}"/>
    <cellStyle name="0,0_x000d__x000a_NA_x000d__x000a_ 2 62" xfId="7100" xr:uid="{00000000-0005-0000-0000-0000CD1A0000}"/>
    <cellStyle name="0,0_x000d__x000a_NA_x000d__x000a_ 2 63" xfId="7101" xr:uid="{00000000-0005-0000-0000-0000CE1A0000}"/>
    <cellStyle name="0,0_x000d__x000a_NA_x000d__x000a_ 2 64" xfId="7102" xr:uid="{00000000-0005-0000-0000-0000CF1A0000}"/>
    <cellStyle name="0,0_x000d__x000a_NA_x000d__x000a_ 2 65" xfId="7103" xr:uid="{00000000-0005-0000-0000-0000D01A0000}"/>
    <cellStyle name="0,0_x000d__x000a_NA_x000d__x000a_ 2 66" xfId="7104" xr:uid="{00000000-0005-0000-0000-0000D11A0000}"/>
    <cellStyle name="0,0_x000d__x000a_NA_x000d__x000a_ 2 67" xfId="7105" xr:uid="{00000000-0005-0000-0000-0000D21A0000}"/>
    <cellStyle name="0,0_x000d__x000a_NA_x000d__x000a_ 2 68" xfId="7106" xr:uid="{00000000-0005-0000-0000-0000D31A0000}"/>
    <cellStyle name="0,0_x000d__x000a_NA_x000d__x000a_ 2 69" xfId="7107" xr:uid="{00000000-0005-0000-0000-0000D41A0000}"/>
    <cellStyle name="0,0_x000d__x000a_NA_x000d__x000a_ 2 7" xfId="7108" xr:uid="{00000000-0005-0000-0000-0000D51A0000}"/>
    <cellStyle name="0,0_x000d__x000a_NA_x000d__x000a_ 2 70" xfId="7109" xr:uid="{00000000-0005-0000-0000-0000D61A0000}"/>
    <cellStyle name="0,0_x000d__x000a_NA_x000d__x000a_ 2 71" xfId="7110" xr:uid="{00000000-0005-0000-0000-0000D71A0000}"/>
    <cellStyle name="0,0_x000d__x000a_NA_x000d__x000a_ 2 8" xfId="7111" xr:uid="{00000000-0005-0000-0000-0000D81A0000}"/>
    <cellStyle name="0,0_x000d__x000a_NA_x000d__x000a_ 2 9" xfId="7112" xr:uid="{00000000-0005-0000-0000-0000D91A0000}"/>
    <cellStyle name="0,0_x000d__x000a_NA_x000d__x000a_ 2_RAN12 特性映射表20101011 v2003" xfId="7113" xr:uid="{00000000-0005-0000-0000-0000DA1A0000}"/>
    <cellStyle name="0,0_x000d__x000a_NA_x000d__x000a_ 20" xfId="7114" xr:uid="{00000000-0005-0000-0000-0000DB1A0000}"/>
    <cellStyle name="0,0_x000d__x000a_NA_x000d__x000a_ 21" xfId="7115" xr:uid="{00000000-0005-0000-0000-0000DC1A0000}"/>
    <cellStyle name="0,0_x000d__x000a_NA_x000d__x000a_ 22" xfId="7116" xr:uid="{00000000-0005-0000-0000-0000DD1A0000}"/>
    <cellStyle name="0,0_x000d__x000a_NA_x000d__x000a_ 23" xfId="7117" xr:uid="{00000000-0005-0000-0000-0000DE1A0000}"/>
    <cellStyle name="0,0_x000d__x000a_NA_x000d__x000a_ 24" xfId="7118" xr:uid="{00000000-0005-0000-0000-0000DF1A0000}"/>
    <cellStyle name="0,0_x000d__x000a_NA_x000d__x000a_ 25" xfId="7119" xr:uid="{00000000-0005-0000-0000-0000E01A0000}"/>
    <cellStyle name="0,0_x000d__x000a_NA_x000d__x000a_ 26" xfId="7120" xr:uid="{00000000-0005-0000-0000-0000E11A0000}"/>
    <cellStyle name="0,0_x000d__x000a_NA_x000d__x000a_ 27" xfId="7121" xr:uid="{00000000-0005-0000-0000-0000E21A0000}"/>
    <cellStyle name="0,0_x000d__x000a_NA_x000d__x000a_ 28" xfId="7122" xr:uid="{00000000-0005-0000-0000-0000E31A0000}"/>
    <cellStyle name="0,0_x000d__x000a_NA_x000d__x000a_ 29" xfId="7123" xr:uid="{00000000-0005-0000-0000-0000E41A0000}"/>
    <cellStyle name="0,0_x000d__x000a_NA_x000d__x000a_ 3" xfId="7124" xr:uid="{00000000-0005-0000-0000-0000E51A0000}"/>
    <cellStyle name="0,0_x000d__x000a_NA_x000d__x000a_ 3 2" xfId="7125" xr:uid="{00000000-0005-0000-0000-0000E61A0000}"/>
    <cellStyle name="0,0_x000d__x000a_NA_x000d__x000a_ 30" xfId="7126" xr:uid="{00000000-0005-0000-0000-0000E71A0000}"/>
    <cellStyle name="0,0_x000d__x000a_NA_x000d__x000a_ 31" xfId="7127" xr:uid="{00000000-0005-0000-0000-0000E81A0000}"/>
    <cellStyle name="0,0_x000d__x000a_NA_x000d__x000a_ 32" xfId="7128" xr:uid="{00000000-0005-0000-0000-0000E91A0000}"/>
    <cellStyle name="0,0_x000d__x000a_NA_x000d__x000a_ 4" xfId="7129" xr:uid="{00000000-0005-0000-0000-0000EA1A0000}"/>
    <cellStyle name="0,0_x000d__x000a_NA_x000d__x000a_ 4 2" xfId="7130" xr:uid="{00000000-0005-0000-0000-0000EB1A0000}"/>
    <cellStyle name="0,0_x000d__x000a_NA_x000d__x000a_ 5" xfId="7131" xr:uid="{00000000-0005-0000-0000-0000EC1A0000}"/>
    <cellStyle name="0,0_x000d__x000a_NA_x000d__x000a_ 5 2" xfId="7132" xr:uid="{00000000-0005-0000-0000-0000ED1A0000}"/>
    <cellStyle name="0,0_x000d__x000a_NA_x000d__x000a_ 6" xfId="7133" xr:uid="{00000000-0005-0000-0000-0000EE1A0000}"/>
    <cellStyle name="0,0_x000d__x000a_NA_x000d__x000a_ 6 2" xfId="7134" xr:uid="{00000000-0005-0000-0000-0000EF1A0000}"/>
    <cellStyle name="0,0_x000d__x000a_NA_x000d__x000a_ 7" xfId="7135" xr:uid="{00000000-0005-0000-0000-0000F01A0000}"/>
    <cellStyle name="0,0_x000d__x000a_NA_x000d__x000a_ 7 2" xfId="7136" xr:uid="{00000000-0005-0000-0000-0000F11A0000}"/>
    <cellStyle name="0,0_x000d__x000a_NA_x000d__x000a_ 8" xfId="7137" xr:uid="{00000000-0005-0000-0000-0000F21A0000}"/>
    <cellStyle name="0,0_x000d__x000a_NA_x000d__x000a_ 9" xfId="7138" xr:uid="{00000000-0005-0000-0000-0000F31A0000}"/>
    <cellStyle name="0,0_x000d__x000a_NA_x000d__x000a__Annex 30 Part 1c (MNW Core)" xfId="7139" xr:uid="{00000000-0005-0000-0000-0000F41A0000}"/>
    <cellStyle name="0,0_ARPU - Voice Outgoing" xfId="7140" xr:uid="{00000000-0005-0000-0000-0000F51A0000}"/>
    <cellStyle name="0,00" xfId="7141" xr:uid="{00000000-0005-0000-0000-0000F61A0000}"/>
    <cellStyle name="0_2009 Details" xfId="6786" xr:uid="{00000000-0005-0000-0000-0000F71A0000}"/>
    <cellStyle name="0_2009 Details Plan" xfId="6787" xr:uid="{00000000-0005-0000-0000-0000F81A0000}"/>
    <cellStyle name="0_BP2" xfId="6788" xr:uid="{00000000-0005-0000-0000-0000F91A0000}"/>
    <cellStyle name="0_BP2.XLS" xfId="6789" xr:uid="{00000000-0005-0000-0000-0000FA1A0000}"/>
    <cellStyle name="0_BP2.XLS_ARPU - Voice Outgoing" xfId="6790" xr:uid="{00000000-0005-0000-0000-0000FB1A0000}"/>
    <cellStyle name="0_BP2.XLS_Book3" xfId="6791" xr:uid="{00000000-0005-0000-0000-0000FC1A0000}"/>
    <cellStyle name="0_BP2.XLS_Campaign " xfId="6792" xr:uid="{00000000-0005-0000-0000-0000FD1A0000}"/>
    <cellStyle name="0_BP2.XLS_Churn breakdown" xfId="6793" xr:uid="{00000000-0005-0000-0000-0000FE1A0000}"/>
    <cellStyle name="0_BP2.XLS_Core &amp;Sub base" xfId="6794" xr:uid="{00000000-0005-0000-0000-0000FF1A0000}"/>
    <cellStyle name="0_BP2.XLS_Details" xfId="6795" xr:uid="{00000000-0005-0000-0000-0000001B0000}"/>
    <cellStyle name="0_BP2.XLS_Details 2" xfId="6796" xr:uid="{00000000-0005-0000-0000-0000011B0000}"/>
    <cellStyle name="0_BP2.XLS_Details 3" xfId="6797" xr:uid="{00000000-0005-0000-0000-0000021B0000}"/>
    <cellStyle name="0_BP2.XLS_FC03'-9 Option 1" xfId="6798" xr:uid="{00000000-0005-0000-0000-0000031B0000}"/>
    <cellStyle name="0_BP2.XLS_FC03'-9 Option 1 2" xfId="6799" xr:uid="{00000000-0005-0000-0000-0000041B0000}"/>
    <cellStyle name="0_BP2.XLS_FC03'-9 Option 1 3" xfId="6800" xr:uid="{00000000-0005-0000-0000-0000051B0000}"/>
    <cellStyle name="0_BP2.XLS_FC03'-9 Option 1 4" xfId="6801" xr:uid="{00000000-0005-0000-0000-0000061B0000}"/>
    <cellStyle name="0_BP2.XLS_FC2 Rev" xfId="6802" xr:uid="{00000000-0005-0000-0000-0000071B0000}"/>
    <cellStyle name="0_BP2.XLS_FC2 Rev 2" xfId="6803" xr:uid="{00000000-0005-0000-0000-0000081B0000}"/>
    <cellStyle name="0_BP2.XLS_FC2 Rev 3" xfId="6804" xr:uid="{00000000-0005-0000-0000-0000091B0000}"/>
    <cellStyle name="0_BP2.XLS_FC2 Rev 4" xfId="6805" xr:uid="{00000000-0005-0000-0000-00000A1B0000}"/>
    <cellStyle name="0_BP2.XLS_Feedback to Finance    v1" xfId="6806" xr:uid="{00000000-0005-0000-0000-00000B1B0000}"/>
    <cellStyle name="0_BP2.XLS_Feedback to Finance (2)" xfId="6807" xr:uid="{00000000-0005-0000-0000-00000C1B0000}"/>
    <cellStyle name="0_BP2.XLS_GA breakdown" xfId="6808" xr:uid="{00000000-0005-0000-0000-00000D1B0000}"/>
    <cellStyle name="0_BP2.XLS_Munir Vhai" xfId="6809" xr:uid="{00000000-0005-0000-0000-00000E1B0000}"/>
    <cellStyle name="0_BP2.XLS_Munir Vhai 2" xfId="6810" xr:uid="{00000000-0005-0000-0000-00000F1B0000}"/>
    <cellStyle name="0_BP2.XLS_Munir Vhai 3" xfId="6811" xr:uid="{00000000-0005-0000-0000-0000101B0000}"/>
    <cellStyle name="0_BP2.XLS_Other Capex- Q1'10(v4)" xfId="6812" xr:uid="{00000000-0005-0000-0000-0000111B0000}"/>
    <cellStyle name="0_BP2.XLS_Other Rev." xfId="6813" xr:uid="{00000000-0005-0000-0000-0000121B0000}"/>
    <cellStyle name="0_BP2.XLS_P&amp;L" xfId="6814" xr:uid="{00000000-0005-0000-0000-0000131B0000}"/>
    <cellStyle name="0_BP2.XLS_Revenue Input" xfId="6815" xr:uid="{00000000-0005-0000-0000-0000141B0000}"/>
    <cellStyle name="0_BP2.XLS_Sheet1" xfId="6816" xr:uid="{00000000-0005-0000-0000-0000151B0000}"/>
    <cellStyle name="0_BP2.XLS_Sheet1 2" xfId="6817" xr:uid="{00000000-0005-0000-0000-0000161B0000}"/>
    <cellStyle name="0_BP2.XLS_Sheet1 3" xfId="6818" xr:uid="{00000000-0005-0000-0000-0000171B0000}"/>
    <cellStyle name="0_BP2.XLS_Sheet1 4" xfId="6819" xr:uid="{00000000-0005-0000-0000-0000181B0000}"/>
    <cellStyle name="0_BP2.XLS_Sheet2" xfId="6820" xr:uid="{00000000-0005-0000-0000-0000191B0000}"/>
    <cellStyle name="0_BP2.XLS_Sheet2 10" xfId="6821" xr:uid="{00000000-0005-0000-0000-00001A1B0000}"/>
    <cellStyle name="0_BP2.XLS_Sheet2 2" xfId="6822" xr:uid="{00000000-0005-0000-0000-00001B1B0000}"/>
    <cellStyle name="0_BP2.XLS_Sheet2 3" xfId="6823" xr:uid="{00000000-0005-0000-0000-00001C1B0000}"/>
    <cellStyle name="0_BP2.XLS_Sheet2 4" xfId="6824" xr:uid="{00000000-0005-0000-0000-00001D1B0000}"/>
    <cellStyle name="0_BP2.XLS_Sheet2 5" xfId="6825" xr:uid="{00000000-0005-0000-0000-00001E1B0000}"/>
    <cellStyle name="0_BP2.XLS_Sheet2 6" xfId="6826" xr:uid="{00000000-0005-0000-0000-00001F1B0000}"/>
    <cellStyle name="0_BP2.XLS_Sheet2 7" xfId="6827" xr:uid="{00000000-0005-0000-0000-0000201B0000}"/>
    <cellStyle name="0_BP2.XLS_Sheet2 8" xfId="6828" xr:uid="{00000000-0005-0000-0000-0000211B0000}"/>
    <cellStyle name="0_BP2.XLS_Sheet2 9" xfId="6829" xr:uid="{00000000-0005-0000-0000-0000221B0000}"/>
    <cellStyle name="0_BP2.XLS_Sheet3" xfId="6830" xr:uid="{00000000-0005-0000-0000-0000231B0000}"/>
    <cellStyle name="0_BP2.XLS_Sheet3 2" xfId="6831" xr:uid="{00000000-0005-0000-0000-0000241B0000}"/>
    <cellStyle name="0_BP2.XLS_Sheet3 3" xfId="6832" xr:uid="{00000000-0005-0000-0000-0000251B0000}"/>
    <cellStyle name="0_BP2.XLS_Sheet3 4" xfId="6833" xr:uid="{00000000-0005-0000-0000-0000261B0000}"/>
    <cellStyle name="0_BP2.XLS_Summary" xfId="6834" xr:uid="{00000000-0005-0000-0000-0000271B0000}"/>
    <cellStyle name="0_BP2.XLS_Summary - Option 2~4" xfId="6835" xr:uid="{00000000-0005-0000-0000-0000281B0000}"/>
    <cellStyle name="0_BP2.XLS_Summary - Option 2~4 2" xfId="6836" xr:uid="{00000000-0005-0000-0000-0000291B0000}"/>
    <cellStyle name="0_BP2.XLS_Summary - Option 2~4 3" xfId="6837" xr:uid="{00000000-0005-0000-0000-00002A1B0000}"/>
    <cellStyle name="0_BP2.XLS_Summary - Option 2~4 4" xfId="6838" xr:uid="{00000000-0005-0000-0000-00002B1B0000}"/>
    <cellStyle name="0_BP2.XLS_Summary 2" xfId="6839" xr:uid="{00000000-0005-0000-0000-00002C1B0000}"/>
    <cellStyle name="0_BP2.XLS_Summary 3" xfId="6840" xr:uid="{00000000-0005-0000-0000-00002D1B0000}"/>
    <cellStyle name="0_BP2.XLS_Summary_1" xfId="6841" xr:uid="{00000000-0005-0000-0000-00002E1B0000}"/>
    <cellStyle name="0_BP2.XLS_Summary_1 2" xfId="6842" xr:uid="{00000000-0005-0000-0000-00002F1B0000}"/>
    <cellStyle name="0_BP2.XLS_Summary_1 3" xfId="6843" xr:uid="{00000000-0005-0000-0000-0000301B0000}"/>
    <cellStyle name="0_BP2.XLS_Summary_1 4" xfId="6844" xr:uid="{00000000-0005-0000-0000-0000311B0000}"/>
    <cellStyle name="0_BP3" xfId="6845" xr:uid="{00000000-0005-0000-0000-0000321B0000}"/>
    <cellStyle name="0_BP3.XLS" xfId="6901" xr:uid="{00000000-0005-0000-0000-0000331B0000}"/>
    <cellStyle name="0_BP3.XLS_ARPU - Voice Outgoing" xfId="6902" xr:uid="{00000000-0005-0000-0000-0000341B0000}"/>
    <cellStyle name="0_BP3.XLS_Book3" xfId="6903" xr:uid="{00000000-0005-0000-0000-0000351B0000}"/>
    <cellStyle name="0_BP3.XLS_Campaign " xfId="6904" xr:uid="{00000000-0005-0000-0000-0000361B0000}"/>
    <cellStyle name="0_BP3.XLS_Churn breakdown" xfId="6905" xr:uid="{00000000-0005-0000-0000-0000371B0000}"/>
    <cellStyle name="0_BP3.XLS_Core &amp;Sub base" xfId="6906" xr:uid="{00000000-0005-0000-0000-0000381B0000}"/>
    <cellStyle name="0_BP3.XLS_Details" xfId="6907" xr:uid="{00000000-0005-0000-0000-0000391B0000}"/>
    <cellStyle name="0_BP3.XLS_Details 2" xfId="6908" xr:uid="{00000000-0005-0000-0000-00003A1B0000}"/>
    <cellStyle name="0_BP3.XLS_Details 3" xfId="6909" xr:uid="{00000000-0005-0000-0000-00003B1B0000}"/>
    <cellStyle name="0_BP3.XLS_FC03'-9 Option 1" xfId="6910" xr:uid="{00000000-0005-0000-0000-00003C1B0000}"/>
    <cellStyle name="0_BP3.XLS_FC03'-9 Option 1 2" xfId="6911" xr:uid="{00000000-0005-0000-0000-00003D1B0000}"/>
    <cellStyle name="0_BP3.XLS_FC03'-9 Option 1 3" xfId="6912" xr:uid="{00000000-0005-0000-0000-00003E1B0000}"/>
    <cellStyle name="0_BP3.XLS_FC03'-9 Option 1 4" xfId="6913" xr:uid="{00000000-0005-0000-0000-00003F1B0000}"/>
    <cellStyle name="0_BP3.XLS_FC2 Rev" xfId="6914" xr:uid="{00000000-0005-0000-0000-0000401B0000}"/>
    <cellStyle name="0_BP3.XLS_FC2 Rev 2" xfId="6915" xr:uid="{00000000-0005-0000-0000-0000411B0000}"/>
    <cellStyle name="0_BP3.XLS_FC2 Rev 3" xfId="6916" xr:uid="{00000000-0005-0000-0000-0000421B0000}"/>
    <cellStyle name="0_BP3.XLS_FC2 Rev 4" xfId="6917" xr:uid="{00000000-0005-0000-0000-0000431B0000}"/>
    <cellStyle name="0_BP3.XLS_Feedback to Finance    v1" xfId="6918" xr:uid="{00000000-0005-0000-0000-0000441B0000}"/>
    <cellStyle name="0_BP3.XLS_Feedback to Finance (2)" xfId="6919" xr:uid="{00000000-0005-0000-0000-0000451B0000}"/>
    <cellStyle name="0_BP3.XLS_GA breakdown" xfId="6920" xr:uid="{00000000-0005-0000-0000-0000461B0000}"/>
    <cellStyle name="0_BP3.XLS_Munir Vhai" xfId="6921" xr:uid="{00000000-0005-0000-0000-0000471B0000}"/>
    <cellStyle name="0_BP3.XLS_Munir Vhai 2" xfId="6922" xr:uid="{00000000-0005-0000-0000-0000481B0000}"/>
    <cellStyle name="0_BP3.XLS_Munir Vhai 3" xfId="6923" xr:uid="{00000000-0005-0000-0000-0000491B0000}"/>
    <cellStyle name="0_BP3.XLS_Other Capex- Q1'10(v4)" xfId="6924" xr:uid="{00000000-0005-0000-0000-00004A1B0000}"/>
    <cellStyle name="0_BP3.XLS_Other Rev." xfId="6925" xr:uid="{00000000-0005-0000-0000-00004B1B0000}"/>
    <cellStyle name="0_BP3.XLS_P&amp;L" xfId="6926" xr:uid="{00000000-0005-0000-0000-00004C1B0000}"/>
    <cellStyle name="0_BP3.XLS_Revenue Input" xfId="6927" xr:uid="{00000000-0005-0000-0000-00004D1B0000}"/>
    <cellStyle name="0_BP3.XLS_Sheet1" xfId="6928" xr:uid="{00000000-0005-0000-0000-00004E1B0000}"/>
    <cellStyle name="0_BP3.XLS_Sheet1 2" xfId="6929" xr:uid="{00000000-0005-0000-0000-00004F1B0000}"/>
    <cellStyle name="0_BP3.XLS_Sheet1 3" xfId="6930" xr:uid="{00000000-0005-0000-0000-0000501B0000}"/>
    <cellStyle name="0_BP3.XLS_Sheet1 4" xfId="6931" xr:uid="{00000000-0005-0000-0000-0000511B0000}"/>
    <cellStyle name="0_BP3.XLS_Sheet2" xfId="6932" xr:uid="{00000000-0005-0000-0000-0000521B0000}"/>
    <cellStyle name="0_BP3.XLS_Sheet2 10" xfId="6933" xr:uid="{00000000-0005-0000-0000-0000531B0000}"/>
    <cellStyle name="0_BP3.XLS_Sheet2 2" xfId="6934" xr:uid="{00000000-0005-0000-0000-0000541B0000}"/>
    <cellStyle name="0_BP3.XLS_Sheet2 3" xfId="6935" xr:uid="{00000000-0005-0000-0000-0000551B0000}"/>
    <cellStyle name="0_BP3.XLS_Sheet2 4" xfId="6936" xr:uid="{00000000-0005-0000-0000-0000561B0000}"/>
    <cellStyle name="0_BP3.XLS_Sheet2 5" xfId="6937" xr:uid="{00000000-0005-0000-0000-0000571B0000}"/>
    <cellStyle name="0_BP3.XLS_Sheet2 6" xfId="6938" xr:uid="{00000000-0005-0000-0000-0000581B0000}"/>
    <cellStyle name="0_BP3.XLS_Sheet2 7" xfId="6939" xr:uid="{00000000-0005-0000-0000-0000591B0000}"/>
    <cellStyle name="0_BP3.XLS_Sheet2 8" xfId="6940" xr:uid="{00000000-0005-0000-0000-00005A1B0000}"/>
    <cellStyle name="0_BP3.XLS_Sheet2 9" xfId="6941" xr:uid="{00000000-0005-0000-0000-00005B1B0000}"/>
    <cellStyle name="0_BP3.XLS_Sheet3" xfId="6942" xr:uid="{00000000-0005-0000-0000-00005C1B0000}"/>
    <cellStyle name="0_BP3.XLS_Sheet3 2" xfId="6943" xr:uid="{00000000-0005-0000-0000-00005D1B0000}"/>
    <cellStyle name="0_BP3.XLS_Sheet3 3" xfId="6944" xr:uid="{00000000-0005-0000-0000-00005E1B0000}"/>
    <cellStyle name="0_BP3.XLS_Sheet3 4" xfId="6945" xr:uid="{00000000-0005-0000-0000-00005F1B0000}"/>
    <cellStyle name="0_BP3.XLS_Summary" xfId="6946" xr:uid="{00000000-0005-0000-0000-0000601B0000}"/>
    <cellStyle name="0_BP3.XLS_Summary - Option 2~4" xfId="6947" xr:uid="{00000000-0005-0000-0000-0000611B0000}"/>
    <cellStyle name="0_BP3.XLS_Summary - Option 2~4 2" xfId="6948" xr:uid="{00000000-0005-0000-0000-0000621B0000}"/>
    <cellStyle name="0_BP3.XLS_Summary - Option 2~4 3" xfId="6949" xr:uid="{00000000-0005-0000-0000-0000631B0000}"/>
    <cellStyle name="0_BP3.XLS_Summary - Option 2~4 4" xfId="6950" xr:uid="{00000000-0005-0000-0000-0000641B0000}"/>
    <cellStyle name="0_BP3.XLS_Summary 2" xfId="6951" xr:uid="{00000000-0005-0000-0000-0000651B0000}"/>
    <cellStyle name="0_BP3.XLS_Summary 3" xfId="6952" xr:uid="{00000000-0005-0000-0000-0000661B0000}"/>
    <cellStyle name="0_BP3.XLS_Summary_1" xfId="6953" xr:uid="{00000000-0005-0000-0000-0000671B0000}"/>
    <cellStyle name="0_BP3.XLS_Summary_1 2" xfId="6954" xr:uid="{00000000-0005-0000-0000-0000681B0000}"/>
    <cellStyle name="0_BP3.XLS_Summary_1 3" xfId="6955" xr:uid="{00000000-0005-0000-0000-0000691B0000}"/>
    <cellStyle name="0_BP3.XLS_Summary_1 4" xfId="6956" xr:uid="{00000000-0005-0000-0000-00006A1B0000}"/>
    <cellStyle name="0_BP3_ARPU - Voice Outgoing" xfId="6846" xr:uid="{00000000-0005-0000-0000-00006B1B0000}"/>
    <cellStyle name="0_BP3_Book3" xfId="6847" xr:uid="{00000000-0005-0000-0000-00006C1B0000}"/>
    <cellStyle name="0_BP3_Campaign " xfId="6848" xr:uid="{00000000-0005-0000-0000-00006D1B0000}"/>
    <cellStyle name="0_BP3_Churn breakdown" xfId="6849" xr:uid="{00000000-0005-0000-0000-00006E1B0000}"/>
    <cellStyle name="0_BP3_Core &amp;Sub base" xfId="6850" xr:uid="{00000000-0005-0000-0000-00006F1B0000}"/>
    <cellStyle name="0_BP3_Details" xfId="6851" xr:uid="{00000000-0005-0000-0000-0000701B0000}"/>
    <cellStyle name="0_BP3_Details 2" xfId="6852" xr:uid="{00000000-0005-0000-0000-0000711B0000}"/>
    <cellStyle name="0_BP3_Details 3" xfId="6853" xr:uid="{00000000-0005-0000-0000-0000721B0000}"/>
    <cellStyle name="0_BP3_FC03'-9 Option 1" xfId="6854" xr:uid="{00000000-0005-0000-0000-0000731B0000}"/>
    <cellStyle name="0_BP3_FC03'-9 Option 1 2" xfId="6855" xr:uid="{00000000-0005-0000-0000-0000741B0000}"/>
    <cellStyle name="0_BP3_FC03'-9 Option 1 3" xfId="6856" xr:uid="{00000000-0005-0000-0000-0000751B0000}"/>
    <cellStyle name="0_BP3_FC03'-9 Option 1 4" xfId="6857" xr:uid="{00000000-0005-0000-0000-0000761B0000}"/>
    <cellStyle name="0_BP3_FC2 Rev" xfId="6858" xr:uid="{00000000-0005-0000-0000-0000771B0000}"/>
    <cellStyle name="0_BP3_FC2 Rev 2" xfId="6859" xr:uid="{00000000-0005-0000-0000-0000781B0000}"/>
    <cellStyle name="0_BP3_FC2 Rev 3" xfId="6860" xr:uid="{00000000-0005-0000-0000-0000791B0000}"/>
    <cellStyle name="0_BP3_FC2 Rev 4" xfId="6861" xr:uid="{00000000-0005-0000-0000-00007A1B0000}"/>
    <cellStyle name="0_BP3_Feedback to Finance    v1" xfId="6862" xr:uid="{00000000-0005-0000-0000-00007B1B0000}"/>
    <cellStyle name="0_BP3_Feedback to Finance (2)" xfId="6863" xr:uid="{00000000-0005-0000-0000-00007C1B0000}"/>
    <cellStyle name="0_BP3_GA breakdown" xfId="6864" xr:uid="{00000000-0005-0000-0000-00007D1B0000}"/>
    <cellStyle name="0_BP3_Munir Vhai" xfId="6865" xr:uid="{00000000-0005-0000-0000-00007E1B0000}"/>
    <cellStyle name="0_BP3_Munir Vhai 2" xfId="6866" xr:uid="{00000000-0005-0000-0000-00007F1B0000}"/>
    <cellStyle name="0_BP3_Munir Vhai 3" xfId="6867" xr:uid="{00000000-0005-0000-0000-0000801B0000}"/>
    <cellStyle name="0_BP3_Other Capex- Q1'10(v4)" xfId="6868" xr:uid="{00000000-0005-0000-0000-0000811B0000}"/>
    <cellStyle name="0_BP3_Other Rev." xfId="6869" xr:uid="{00000000-0005-0000-0000-0000821B0000}"/>
    <cellStyle name="0_BP3_P&amp;L" xfId="6870" xr:uid="{00000000-0005-0000-0000-0000831B0000}"/>
    <cellStyle name="0_BP3_Revenue Input" xfId="6871" xr:uid="{00000000-0005-0000-0000-0000841B0000}"/>
    <cellStyle name="0_BP3_Sheet1" xfId="6872" xr:uid="{00000000-0005-0000-0000-0000851B0000}"/>
    <cellStyle name="0_BP3_Sheet1 2" xfId="6873" xr:uid="{00000000-0005-0000-0000-0000861B0000}"/>
    <cellStyle name="0_BP3_Sheet1 3" xfId="6874" xr:uid="{00000000-0005-0000-0000-0000871B0000}"/>
    <cellStyle name="0_BP3_Sheet1 4" xfId="6875" xr:uid="{00000000-0005-0000-0000-0000881B0000}"/>
    <cellStyle name="0_BP3_Sheet2" xfId="6876" xr:uid="{00000000-0005-0000-0000-0000891B0000}"/>
    <cellStyle name="0_BP3_Sheet2 10" xfId="6877" xr:uid="{00000000-0005-0000-0000-00008A1B0000}"/>
    <cellStyle name="0_BP3_Sheet2 2" xfId="6878" xr:uid="{00000000-0005-0000-0000-00008B1B0000}"/>
    <cellStyle name="0_BP3_Sheet2 3" xfId="6879" xr:uid="{00000000-0005-0000-0000-00008C1B0000}"/>
    <cellStyle name="0_BP3_Sheet2 4" xfId="6880" xr:uid="{00000000-0005-0000-0000-00008D1B0000}"/>
    <cellStyle name="0_BP3_Sheet2 5" xfId="6881" xr:uid="{00000000-0005-0000-0000-00008E1B0000}"/>
    <cellStyle name="0_BP3_Sheet2 6" xfId="6882" xr:uid="{00000000-0005-0000-0000-00008F1B0000}"/>
    <cellStyle name="0_BP3_Sheet2 7" xfId="6883" xr:uid="{00000000-0005-0000-0000-0000901B0000}"/>
    <cellStyle name="0_BP3_Sheet2 8" xfId="6884" xr:uid="{00000000-0005-0000-0000-0000911B0000}"/>
    <cellStyle name="0_BP3_Sheet2 9" xfId="6885" xr:uid="{00000000-0005-0000-0000-0000921B0000}"/>
    <cellStyle name="0_BP3_Sheet3" xfId="6886" xr:uid="{00000000-0005-0000-0000-0000931B0000}"/>
    <cellStyle name="0_BP3_Sheet3 2" xfId="6887" xr:uid="{00000000-0005-0000-0000-0000941B0000}"/>
    <cellStyle name="0_BP3_Sheet3 3" xfId="6888" xr:uid="{00000000-0005-0000-0000-0000951B0000}"/>
    <cellStyle name="0_BP3_Sheet3 4" xfId="6889" xr:uid="{00000000-0005-0000-0000-0000961B0000}"/>
    <cellStyle name="0_BP3_Summary" xfId="6890" xr:uid="{00000000-0005-0000-0000-0000971B0000}"/>
    <cellStyle name="0_BP3_Summary - Option 2~4" xfId="6891" xr:uid="{00000000-0005-0000-0000-0000981B0000}"/>
    <cellStyle name="0_BP3_Summary - Option 2~4 2" xfId="6892" xr:uid="{00000000-0005-0000-0000-0000991B0000}"/>
    <cellStyle name="0_BP3_Summary - Option 2~4 3" xfId="6893" xr:uid="{00000000-0005-0000-0000-00009A1B0000}"/>
    <cellStyle name="0_BP3_Summary - Option 2~4 4" xfId="6894" xr:uid="{00000000-0005-0000-0000-00009B1B0000}"/>
    <cellStyle name="0_BP3_Summary 2" xfId="6895" xr:uid="{00000000-0005-0000-0000-00009C1B0000}"/>
    <cellStyle name="0_BP3_Summary 3" xfId="6896" xr:uid="{00000000-0005-0000-0000-00009D1B0000}"/>
    <cellStyle name="0_BP3_Summary_1" xfId="6897" xr:uid="{00000000-0005-0000-0000-00009E1B0000}"/>
    <cellStyle name="0_BP3_Summary_1 2" xfId="6898" xr:uid="{00000000-0005-0000-0000-00009F1B0000}"/>
    <cellStyle name="0_BP3_Summary_1 3" xfId="6899" xr:uid="{00000000-0005-0000-0000-0000A01B0000}"/>
    <cellStyle name="0_BP3_Summary_1 4" xfId="6900" xr:uid="{00000000-0005-0000-0000-0000A11B0000}"/>
    <cellStyle name="0_BP4.XLS" xfId="6957" xr:uid="{00000000-0005-0000-0000-0000A21B0000}"/>
    <cellStyle name="0_BP4.XLS_ARPU - Voice Outgoing" xfId="6958" xr:uid="{00000000-0005-0000-0000-0000A31B0000}"/>
    <cellStyle name="0_BP4.XLS_Book3" xfId="6959" xr:uid="{00000000-0005-0000-0000-0000A41B0000}"/>
    <cellStyle name="0_BP4.XLS_Campaign " xfId="6960" xr:uid="{00000000-0005-0000-0000-0000A51B0000}"/>
    <cellStyle name="0_BP4.XLS_Churn breakdown" xfId="6961" xr:uid="{00000000-0005-0000-0000-0000A61B0000}"/>
    <cellStyle name="0_BP4.XLS_Core &amp;Sub base" xfId="6962" xr:uid="{00000000-0005-0000-0000-0000A71B0000}"/>
    <cellStyle name="0_BP4.XLS_Details" xfId="6963" xr:uid="{00000000-0005-0000-0000-0000A81B0000}"/>
    <cellStyle name="0_BP4.XLS_Details 2" xfId="6964" xr:uid="{00000000-0005-0000-0000-0000A91B0000}"/>
    <cellStyle name="0_BP4.XLS_Details 3" xfId="6965" xr:uid="{00000000-0005-0000-0000-0000AA1B0000}"/>
    <cellStyle name="0_BP4.XLS_FC03'-9 Option 1" xfId="6966" xr:uid="{00000000-0005-0000-0000-0000AB1B0000}"/>
    <cellStyle name="0_BP4.XLS_FC03'-9 Option 1 2" xfId="6967" xr:uid="{00000000-0005-0000-0000-0000AC1B0000}"/>
    <cellStyle name="0_BP4.XLS_FC03'-9 Option 1 3" xfId="6968" xr:uid="{00000000-0005-0000-0000-0000AD1B0000}"/>
    <cellStyle name="0_BP4.XLS_FC03'-9 Option 1 4" xfId="6969" xr:uid="{00000000-0005-0000-0000-0000AE1B0000}"/>
    <cellStyle name="0_BP4.XLS_FC2 Rev" xfId="6970" xr:uid="{00000000-0005-0000-0000-0000AF1B0000}"/>
    <cellStyle name="0_BP4.XLS_FC2 Rev 2" xfId="6971" xr:uid="{00000000-0005-0000-0000-0000B01B0000}"/>
    <cellStyle name="0_BP4.XLS_FC2 Rev 3" xfId="6972" xr:uid="{00000000-0005-0000-0000-0000B11B0000}"/>
    <cellStyle name="0_BP4.XLS_FC2 Rev 4" xfId="6973" xr:uid="{00000000-0005-0000-0000-0000B21B0000}"/>
    <cellStyle name="0_BP4.XLS_Feedback to Finance    v1" xfId="6974" xr:uid="{00000000-0005-0000-0000-0000B31B0000}"/>
    <cellStyle name="0_BP4.XLS_Feedback to Finance (2)" xfId="6975" xr:uid="{00000000-0005-0000-0000-0000B41B0000}"/>
    <cellStyle name="0_BP4.XLS_GA breakdown" xfId="6976" xr:uid="{00000000-0005-0000-0000-0000B51B0000}"/>
    <cellStyle name="0_BP4.XLS_Munir Vhai" xfId="6977" xr:uid="{00000000-0005-0000-0000-0000B61B0000}"/>
    <cellStyle name="0_BP4.XLS_Munir Vhai 2" xfId="6978" xr:uid="{00000000-0005-0000-0000-0000B71B0000}"/>
    <cellStyle name="0_BP4.XLS_Munir Vhai 3" xfId="6979" xr:uid="{00000000-0005-0000-0000-0000B81B0000}"/>
    <cellStyle name="0_BP4.XLS_Other Capex- Q1'10(v4)" xfId="6980" xr:uid="{00000000-0005-0000-0000-0000B91B0000}"/>
    <cellStyle name="0_BP4.XLS_Other Rev." xfId="6981" xr:uid="{00000000-0005-0000-0000-0000BA1B0000}"/>
    <cellStyle name="0_BP4.XLS_P&amp;L" xfId="6982" xr:uid="{00000000-0005-0000-0000-0000BB1B0000}"/>
    <cellStyle name="0_BP4.XLS_Revenue Input" xfId="6983" xr:uid="{00000000-0005-0000-0000-0000BC1B0000}"/>
    <cellStyle name="0_BP4.XLS_Sheet1" xfId="6984" xr:uid="{00000000-0005-0000-0000-0000BD1B0000}"/>
    <cellStyle name="0_BP4.XLS_Sheet1 2" xfId="6985" xr:uid="{00000000-0005-0000-0000-0000BE1B0000}"/>
    <cellStyle name="0_BP4.XLS_Sheet1 3" xfId="6986" xr:uid="{00000000-0005-0000-0000-0000BF1B0000}"/>
    <cellStyle name="0_BP4.XLS_Sheet1 4" xfId="6987" xr:uid="{00000000-0005-0000-0000-0000C01B0000}"/>
    <cellStyle name="0_BP4.XLS_Sheet2" xfId="6988" xr:uid="{00000000-0005-0000-0000-0000C11B0000}"/>
    <cellStyle name="0_BP4.XLS_Sheet2 10" xfId="6989" xr:uid="{00000000-0005-0000-0000-0000C21B0000}"/>
    <cellStyle name="0_BP4.XLS_Sheet2 2" xfId="6990" xr:uid="{00000000-0005-0000-0000-0000C31B0000}"/>
    <cellStyle name="0_BP4.XLS_Sheet2 3" xfId="6991" xr:uid="{00000000-0005-0000-0000-0000C41B0000}"/>
    <cellStyle name="0_BP4.XLS_Sheet2 4" xfId="6992" xr:uid="{00000000-0005-0000-0000-0000C51B0000}"/>
    <cellStyle name="0_BP4.XLS_Sheet2 5" xfId="6993" xr:uid="{00000000-0005-0000-0000-0000C61B0000}"/>
    <cellStyle name="0_BP4.XLS_Sheet2 6" xfId="6994" xr:uid="{00000000-0005-0000-0000-0000C71B0000}"/>
    <cellStyle name="0_BP4.XLS_Sheet2 7" xfId="6995" xr:uid="{00000000-0005-0000-0000-0000C81B0000}"/>
    <cellStyle name="0_BP4.XLS_Sheet2 8" xfId="6996" xr:uid="{00000000-0005-0000-0000-0000C91B0000}"/>
    <cellStyle name="0_BP4.XLS_Sheet2 9" xfId="6997" xr:uid="{00000000-0005-0000-0000-0000CA1B0000}"/>
    <cellStyle name="0_BP4.XLS_Sheet3" xfId="6998" xr:uid="{00000000-0005-0000-0000-0000CB1B0000}"/>
    <cellStyle name="0_BP4.XLS_Sheet3 2" xfId="6999" xr:uid="{00000000-0005-0000-0000-0000CC1B0000}"/>
    <cellStyle name="0_BP4.XLS_Sheet3 3" xfId="7000" xr:uid="{00000000-0005-0000-0000-0000CD1B0000}"/>
    <cellStyle name="0_BP4.XLS_Sheet3 4" xfId="7001" xr:uid="{00000000-0005-0000-0000-0000CE1B0000}"/>
    <cellStyle name="0_BP4.XLS_Summary" xfId="7002" xr:uid="{00000000-0005-0000-0000-0000CF1B0000}"/>
    <cellStyle name="0_BP4.XLS_Summary - Option 2~4" xfId="7003" xr:uid="{00000000-0005-0000-0000-0000D01B0000}"/>
    <cellStyle name="0_BP4.XLS_Summary - Option 2~4 2" xfId="7004" xr:uid="{00000000-0005-0000-0000-0000D11B0000}"/>
    <cellStyle name="0_BP4.XLS_Summary - Option 2~4 3" xfId="7005" xr:uid="{00000000-0005-0000-0000-0000D21B0000}"/>
    <cellStyle name="0_BP4.XLS_Summary - Option 2~4 4" xfId="7006" xr:uid="{00000000-0005-0000-0000-0000D31B0000}"/>
    <cellStyle name="0_BP4.XLS_Summary 2" xfId="7007" xr:uid="{00000000-0005-0000-0000-0000D41B0000}"/>
    <cellStyle name="0_BP4.XLS_Summary 3" xfId="7008" xr:uid="{00000000-0005-0000-0000-0000D51B0000}"/>
    <cellStyle name="0_BP4.XLS_Summary_1" xfId="7009" xr:uid="{00000000-0005-0000-0000-0000D61B0000}"/>
    <cellStyle name="0_BP4.XLS_Summary_1 2" xfId="7010" xr:uid="{00000000-0005-0000-0000-0000D71B0000}"/>
    <cellStyle name="0_BP4.XLS_Summary_1 3" xfId="7011" xr:uid="{00000000-0005-0000-0000-0000D81B0000}"/>
    <cellStyle name="0_BP4.XLS_Summary_1 4" xfId="7012" xr:uid="{00000000-0005-0000-0000-0000D91B0000}"/>
    <cellStyle name="0_CG_BOM_Seb_032103" xfId="7013" xr:uid="{00000000-0005-0000-0000-0000DA1B0000}"/>
    <cellStyle name="0_CG_BOM_Seb_032103_GSN3 BOM" xfId="7014" xr:uid="{00000000-0005-0000-0000-0000DB1B0000}"/>
    <cellStyle name="0_CG_BOM_Seb_032103_Updated USP2 MPCN BOM 11-23-2005" xfId="7015" xr:uid="{00000000-0005-0000-0000-0000DC1B0000}"/>
    <cellStyle name="0_CG_BOM_Seb_032103_USP2 MPCN BOM 11-8-2005" xfId="7016" xr:uid="{00000000-0005-0000-0000-0000DD1B0000}"/>
    <cellStyle name="0_CG_BOM_v61" xfId="7017" xr:uid="{00000000-0005-0000-0000-0000DE1B0000}"/>
    <cellStyle name="0_CG_BOM_v61_GSN3 BOM" xfId="7018" xr:uid="{00000000-0005-0000-0000-0000DF1B0000}"/>
    <cellStyle name="0_CG_BOM_v61_Updated USP2 MPCN BOM 11-23-2005" xfId="7019" xr:uid="{00000000-0005-0000-0000-0000E01B0000}"/>
    <cellStyle name="0_CG_BOM_v61_USP2 MPCN BOM 11-8-2005" xfId="7020" xr:uid="{00000000-0005-0000-0000-0000E11B0000}"/>
    <cellStyle name="0_Details" xfId="7021" xr:uid="{00000000-0005-0000-0000-0000E21B0000}"/>
    <cellStyle name="0_Imp" xfId="7022" xr:uid="{00000000-0005-0000-0000-0000E31B0000}"/>
    <cellStyle name="0_Sheet1" xfId="7023" xr:uid="{00000000-0005-0000-0000-0000E41B0000}"/>
    <cellStyle name="0_Summary" xfId="7024" xr:uid="{00000000-0005-0000-0000-0000E51B0000}"/>
    <cellStyle name="0_Summary_2009 Details Plan" xfId="7025" xr:uid="{00000000-0005-0000-0000-0000E61B0000}"/>
    <cellStyle name="0_WIP" xfId="7026" xr:uid="{00000000-0005-0000-0000-0000E71B0000}"/>
    <cellStyle name="000 PN" xfId="7142" xr:uid="{00000000-0005-0000-0000-0000E81B0000}"/>
    <cellStyle name="1" xfId="7143" xr:uid="{00000000-0005-0000-0000-0000E91B0000}"/>
    <cellStyle name="¹éºÐÀ²_±âÅ¸" xfId="7144" xr:uid="{00000000-0005-0000-0000-0000EA1B0000}"/>
    <cellStyle name="20 % - Accent1" xfId="7145" xr:uid="{00000000-0005-0000-0000-0000EB1B0000}"/>
    <cellStyle name="20 % - Accent1 2" xfId="7146" xr:uid="{00000000-0005-0000-0000-0000EC1B0000}"/>
    <cellStyle name="20 % - Accent2" xfId="7147" xr:uid="{00000000-0005-0000-0000-0000ED1B0000}"/>
    <cellStyle name="20 % - Accent2 2" xfId="7148" xr:uid="{00000000-0005-0000-0000-0000EE1B0000}"/>
    <cellStyle name="20 % - Accent3" xfId="7149" xr:uid="{00000000-0005-0000-0000-0000EF1B0000}"/>
    <cellStyle name="20 % - Accent3 2" xfId="7150" xr:uid="{00000000-0005-0000-0000-0000F01B0000}"/>
    <cellStyle name="20 % - Accent4" xfId="7151" xr:uid="{00000000-0005-0000-0000-0000F11B0000}"/>
    <cellStyle name="20 % - Accent4 2" xfId="7152" xr:uid="{00000000-0005-0000-0000-0000F21B0000}"/>
    <cellStyle name="20 % - Accent5" xfId="7153" xr:uid="{00000000-0005-0000-0000-0000F31B0000}"/>
    <cellStyle name="20 % - Accent5 2" xfId="7154" xr:uid="{00000000-0005-0000-0000-0000F41B0000}"/>
    <cellStyle name="20 % - Accent6" xfId="7155" xr:uid="{00000000-0005-0000-0000-0000F51B0000}"/>
    <cellStyle name="20 % - Accent6 2" xfId="7156" xr:uid="{00000000-0005-0000-0000-0000F61B0000}"/>
    <cellStyle name="20% - ?????? 1 2" xfId="7157" xr:uid="{00000000-0005-0000-0000-0000F71B0000}"/>
    <cellStyle name="20% - ?????? 1 3" xfId="7158" xr:uid="{00000000-0005-0000-0000-0000F81B0000}"/>
    <cellStyle name="20% - ?????? 1 4" xfId="7159" xr:uid="{00000000-0005-0000-0000-0000F91B0000}"/>
    <cellStyle name="20% - ?????? 1 5" xfId="7160" xr:uid="{00000000-0005-0000-0000-0000FA1B0000}"/>
    <cellStyle name="20% - ?????? 2 2" xfId="7161" xr:uid="{00000000-0005-0000-0000-0000FB1B0000}"/>
    <cellStyle name="20% - ?????? 2 3" xfId="7162" xr:uid="{00000000-0005-0000-0000-0000FC1B0000}"/>
    <cellStyle name="20% - ?????? 2 4" xfId="7163" xr:uid="{00000000-0005-0000-0000-0000FD1B0000}"/>
    <cellStyle name="20% - ?????? 2 5" xfId="7164" xr:uid="{00000000-0005-0000-0000-0000FE1B0000}"/>
    <cellStyle name="20% - ?????? 3 2" xfId="7165" xr:uid="{00000000-0005-0000-0000-0000FF1B0000}"/>
    <cellStyle name="20% - ?????? 3 3" xfId="7166" xr:uid="{00000000-0005-0000-0000-0000001C0000}"/>
    <cellStyle name="20% - ?????? 3 4" xfId="7167" xr:uid="{00000000-0005-0000-0000-0000011C0000}"/>
    <cellStyle name="20% - ?????? 3 5" xfId="7168" xr:uid="{00000000-0005-0000-0000-0000021C0000}"/>
    <cellStyle name="20% - ?????? 4 2" xfId="7169" xr:uid="{00000000-0005-0000-0000-0000031C0000}"/>
    <cellStyle name="20% - ?????? 4 3" xfId="7170" xr:uid="{00000000-0005-0000-0000-0000041C0000}"/>
    <cellStyle name="20% - ?????? 4 4" xfId="7171" xr:uid="{00000000-0005-0000-0000-0000051C0000}"/>
    <cellStyle name="20% - ?????? 4 5" xfId="7172" xr:uid="{00000000-0005-0000-0000-0000061C0000}"/>
    <cellStyle name="20% - ?????? 5 2" xfId="7173" xr:uid="{00000000-0005-0000-0000-0000071C0000}"/>
    <cellStyle name="20% - ?????? 5 3" xfId="7174" xr:uid="{00000000-0005-0000-0000-0000081C0000}"/>
    <cellStyle name="20% - ?????? 5 4" xfId="7175" xr:uid="{00000000-0005-0000-0000-0000091C0000}"/>
    <cellStyle name="20% - ?????? 5 5" xfId="7176" xr:uid="{00000000-0005-0000-0000-00000A1C0000}"/>
    <cellStyle name="20% - ?????? 6 2" xfId="7177" xr:uid="{00000000-0005-0000-0000-00000B1C0000}"/>
    <cellStyle name="20% - ?????? 6 3" xfId="7178" xr:uid="{00000000-0005-0000-0000-00000C1C0000}"/>
    <cellStyle name="20% - ?????? 6 4" xfId="7179" xr:uid="{00000000-0005-0000-0000-00000D1C0000}"/>
    <cellStyle name="20% - ?????? 6 5" xfId="7180" xr:uid="{00000000-0005-0000-0000-00000E1C0000}"/>
    <cellStyle name="20% - Accent1 10" xfId="7181" xr:uid="{00000000-0005-0000-0000-00000F1C0000}"/>
    <cellStyle name="20% - Accent1 10 2" xfId="7182" xr:uid="{00000000-0005-0000-0000-0000101C0000}"/>
    <cellStyle name="20% - Accent1 11" xfId="7183" xr:uid="{00000000-0005-0000-0000-0000111C0000}"/>
    <cellStyle name="20% - Accent1 11 2" xfId="7184" xr:uid="{00000000-0005-0000-0000-0000121C0000}"/>
    <cellStyle name="20% - Accent1 12" xfId="7185" xr:uid="{00000000-0005-0000-0000-0000131C0000}"/>
    <cellStyle name="20% - Accent1 12 2" xfId="7186" xr:uid="{00000000-0005-0000-0000-0000141C0000}"/>
    <cellStyle name="20% - Accent1 13" xfId="7187" xr:uid="{00000000-0005-0000-0000-0000151C0000}"/>
    <cellStyle name="20% - Accent1 13 2" xfId="7188" xr:uid="{00000000-0005-0000-0000-0000161C0000}"/>
    <cellStyle name="20% - Accent1 14" xfId="7189" xr:uid="{00000000-0005-0000-0000-0000171C0000}"/>
    <cellStyle name="20% - Accent1 14 2" xfId="7190" xr:uid="{00000000-0005-0000-0000-0000181C0000}"/>
    <cellStyle name="20% - Accent1 15" xfId="7191" xr:uid="{00000000-0005-0000-0000-0000191C0000}"/>
    <cellStyle name="20% - Accent1 15 2" xfId="7192" xr:uid="{00000000-0005-0000-0000-00001A1C0000}"/>
    <cellStyle name="20% - Accent1 16" xfId="7193" xr:uid="{00000000-0005-0000-0000-00001B1C0000}"/>
    <cellStyle name="20% - Accent1 16 2" xfId="7194" xr:uid="{00000000-0005-0000-0000-00001C1C0000}"/>
    <cellStyle name="20% - Accent1 17" xfId="7195" xr:uid="{00000000-0005-0000-0000-00001D1C0000}"/>
    <cellStyle name="20% - Accent1 17 2" xfId="7196" xr:uid="{00000000-0005-0000-0000-00001E1C0000}"/>
    <cellStyle name="20% - Accent1 18" xfId="7197" xr:uid="{00000000-0005-0000-0000-00001F1C0000}"/>
    <cellStyle name="20% - Accent1 18 2" xfId="7198" xr:uid="{00000000-0005-0000-0000-0000201C0000}"/>
    <cellStyle name="20% - Accent1 19" xfId="7199" xr:uid="{00000000-0005-0000-0000-0000211C0000}"/>
    <cellStyle name="20% - Accent1 19 2" xfId="7200" xr:uid="{00000000-0005-0000-0000-0000221C0000}"/>
    <cellStyle name="20% - Accent1 2" xfId="7201" xr:uid="{00000000-0005-0000-0000-0000231C0000}"/>
    <cellStyle name="20% - Accent1 2 10" xfId="7202" xr:uid="{00000000-0005-0000-0000-0000241C0000}"/>
    <cellStyle name="20% - Accent1 2 10 2" xfId="7203" xr:uid="{00000000-0005-0000-0000-0000251C0000}"/>
    <cellStyle name="20% - Accent1 2 11" xfId="7204" xr:uid="{00000000-0005-0000-0000-0000261C0000}"/>
    <cellStyle name="20% - Accent1 2 11 2" xfId="7205" xr:uid="{00000000-0005-0000-0000-0000271C0000}"/>
    <cellStyle name="20% - Accent1 2 12" xfId="7206" xr:uid="{00000000-0005-0000-0000-0000281C0000}"/>
    <cellStyle name="20% - Accent1 2 12 2" xfId="7207" xr:uid="{00000000-0005-0000-0000-0000291C0000}"/>
    <cellStyle name="20% - Accent1 2 13" xfId="7208" xr:uid="{00000000-0005-0000-0000-00002A1C0000}"/>
    <cellStyle name="20% - Accent1 2 13 2" xfId="7209" xr:uid="{00000000-0005-0000-0000-00002B1C0000}"/>
    <cellStyle name="20% - Accent1 2 14" xfId="7210" xr:uid="{00000000-0005-0000-0000-00002C1C0000}"/>
    <cellStyle name="20% - Accent1 2 14 2" xfId="7211" xr:uid="{00000000-0005-0000-0000-00002D1C0000}"/>
    <cellStyle name="20% - Accent1 2 15" xfId="7212" xr:uid="{00000000-0005-0000-0000-00002E1C0000}"/>
    <cellStyle name="20% - Accent1 2 15 2" xfId="7213" xr:uid="{00000000-0005-0000-0000-00002F1C0000}"/>
    <cellStyle name="20% - Accent1 2 16" xfId="7214" xr:uid="{00000000-0005-0000-0000-0000301C0000}"/>
    <cellStyle name="20% - Accent1 2 16 2" xfId="7215" xr:uid="{00000000-0005-0000-0000-0000311C0000}"/>
    <cellStyle name="20% - Accent1 2 17" xfId="7216" xr:uid="{00000000-0005-0000-0000-0000321C0000}"/>
    <cellStyle name="20% - Accent1 2 17 2" xfId="7217" xr:uid="{00000000-0005-0000-0000-0000331C0000}"/>
    <cellStyle name="20% - Accent1 2 18" xfId="7218" xr:uid="{00000000-0005-0000-0000-0000341C0000}"/>
    <cellStyle name="20% - Accent1 2 18 2" xfId="7219" xr:uid="{00000000-0005-0000-0000-0000351C0000}"/>
    <cellStyle name="20% - Accent1 2 19" xfId="7220" xr:uid="{00000000-0005-0000-0000-0000361C0000}"/>
    <cellStyle name="20% - Accent1 2 19 2" xfId="7221" xr:uid="{00000000-0005-0000-0000-0000371C0000}"/>
    <cellStyle name="20% - Accent1 2 2" xfId="7222" xr:uid="{00000000-0005-0000-0000-0000381C0000}"/>
    <cellStyle name="20% - Accent1 2 2 2" xfId="7223" xr:uid="{00000000-0005-0000-0000-0000391C0000}"/>
    <cellStyle name="20% - Accent1 2 2 2 2" xfId="7224" xr:uid="{00000000-0005-0000-0000-00003A1C0000}"/>
    <cellStyle name="20% - Accent1 2 2 3" xfId="7225" xr:uid="{00000000-0005-0000-0000-00003B1C0000}"/>
    <cellStyle name="20% - Accent1 2 20" xfId="7226" xr:uid="{00000000-0005-0000-0000-00003C1C0000}"/>
    <cellStyle name="20% - Accent1 2 3" xfId="7227" xr:uid="{00000000-0005-0000-0000-00003D1C0000}"/>
    <cellStyle name="20% - Accent1 2 3 2" xfId="7228" xr:uid="{00000000-0005-0000-0000-00003E1C0000}"/>
    <cellStyle name="20% - Accent1 2 4" xfId="7229" xr:uid="{00000000-0005-0000-0000-00003F1C0000}"/>
    <cellStyle name="20% - Accent1 2 4 2" xfId="7230" xr:uid="{00000000-0005-0000-0000-0000401C0000}"/>
    <cellStyle name="20% - Accent1 2 5" xfId="7231" xr:uid="{00000000-0005-0000-0000-0000411C0000}"/>
    <cellStyle name="20% - Accent1 2 5 2" xfId="7232" xr:uid="{00000000-0005-0000-0000-0000421C0000}"/>
    <cellStyle name="20% - Accent1 2 6" xfId="7233" xr:uid="{00000000-0005-0000-0000-0000431C0000}"/>
    <cellStyle name="20% - Accent1 2 6 2" xfId="7234" xr:uid="{00000000-0005-0000-0000-0000441C0000}"/>
    <cellStyle name="20% - Accent1 2 7" xfId="7235" xr:uid="{00000000-0005-0000-0000-0000451C0000}"/>
    <cellStyle name="20% - Accent1 2 7 2" xfId="7236" xr:uid="{00000000-0005-0000-0000-0000461C0000}"/>
    <cellStyle name="20% - Accent1 2 8" xfId="7237" xr:uid="{00000000-0005-0000-0000-0000471C0000}"/>
    <cellStyle name="20% - Accent1 2 8 2" xfId="7238" xr:uid="{00000000-0005-0000-0000-0000481C0000}"/>
    <cellStyle name="20% - Accent1 2 9" xfId="7239" xr:uid="{00000000-0005-0000-0000-0000491C0000}"/>
    <cellStyle name="20% - Accent1 2 9 2" xfId="7240" xr:uid="{00000000-0005-0000-0000-00004A1C0000}"/>
    <cellStyle name="20% - Accent1 20" xfId="7241" xr:uid="{00000000-0005-0000-0000-00004B1C0000}"/>
    <cellStyle name="20% - Accent1 20 2" xfId="7242" xr:uid="{00000000-0005-0000-0000-00004C1C0000}"/>
    <cellStyle name="20% - Accent1 21" xfId="7243" xr:uid="{00000000-0005-0000-0000-00004D1C0000}"/>
    <cellStyle name="20% - Accent1 21 2" xfId="7244" xr:uid="{00000000-0005-0000-0000-00004E1C0000}"/>
    <cellStyle name="20% - Accent1 22" xfId="7245" xr:uid="{00000000-0005-0000-0000-00004F1C0000}"/>
    <cellStyle name="20% - Accent1 22 2" xfId="7246" xr:uid="{00000000-0005-0000-0000-0000501C0000}"/>
    <cellStyle name="20% - Accent1 23" xfId="7247" xr:uid="{00000000-0005-0000-0000-0000511C0000}"/>
    <cellStyle name="20% - Accent1 23 2" xfId="7248" xr:uid="{00000000-0005-0000-0000-0000521C0000}"/>
    <cellStyle name="20% - Accent1 24" xfId="7249" xr:uid="{00000000-0005-0000-0000-0000531C0000}"/>
    <cellStyle name="20% - Accent1 24 2" xfId="7250" xr:uid="{00000000-0005-0000-0000-0000541C0000}"/>
    <cellStyle name="20% - Accent1 25" xfId="7251" xr:uid="{00000000-0005-0000-0000-0000551C0000}"/>
    <cellStyle name="20% - Accent1 25 2" xfId="7252" xr:uid="{00000000-0005-0000-0000-0000561C0000}"/>
    <cellStyle name="20% - Accent1 26" xfId="7253" xr:uid="{00000000-0005-0000-0000-0000571C0000}"/>
    <cellStyle name="20% - Accent1 26 2" xfId="7254" xr:uid="{00000000-0005-0000-0000-0000581C0000}"/>
    <cellStyle name="20% - Accent1 27" xfId="7255" xr:uid="{00000000-0005-0000-0000-0000591C0000}"/>
    <cellStyle name="20% - Accent1 27 2" xfId="7256" xr:uid="{00000000-0005-0000-0000-00005A1C0000}"/>
    <cellStyle name="20% - Accent1 3" xfId="7257" xr:uid="{00000000-0005-0000-0000-00005B1C0000}"/>
    <cellStyle name="20% - Accent1 3 2" xfId="7258" xr:uid="{00000000-0005-0000-0000-00005C1C0000}"/>
    <cellStyle name="20% - Accent1 3 2 2" xfId="7259" xr:uid="{00000000-0005-0000-0000-00005D1C0000}"/>
    <cellStyle name="20% - Accent1 3 3" xfId="7260" xr:uid="{00000000-0005-0000-0000-00005E1C0000}"/>
    <cellStyle name="20% - Accent1 4" xfId="7261" xr:uid="{00000000-0005-0000-0000-00005F1C0000}"/>
    <cellStyle name="20% - Accent1 4 2" xfId="7262" xr:uid="{00000000-0005-0000-0000-0000601C0000}"/>
    <cellStyle name="20% - Accent1 4 2 2" xfId="7263" xr:uid="{00000000-0005-0000-0000-0000611C0000}"/>
    <cellStyle name="20% - Accent1 4 3" xfId="7264" xr:uid="{00000000-0005-0000-0000-0000621C0000}"/>
    <cellStyle name="20% - Accent1 4 3 2" xfId="7265" xr:uid="{00000000-0005-0000-0000-0000631C0000}"/>
    <cellStyle name="20% - Accent1 4 4" xfId="7266" xr:uid="{00000000-0005-0000-0000-0000641C0000}"/>
    <cellStyle name="20% - Accent1 5" xfId="7267" xr:uid="{00000000-0005-0000-0000-0000651C0000}"/>
    <cellStyle name="20% - Accent1 5 2" xfId="7268" xr:uid="{00000000-0005-0000-0000-0000661C0000}"/>
    <cellStyle name="20% - Accent1 6" xfId="7269" xr:uid="{00000000-0005-0000-0000-0000671C0000}"/>
    <cellStyle name="20% - Accent1 6 2" xfId="7270" xr:uid="{00000000-0005-0000-0000-0000681C0000}"/>
    <cellStyle name="20% - Accent1 7" xfId="7271" xr:uid="{00000000-0005-0000-0000-0000691C0000}"/>
    <cellStyle name="20% - Accent1 7 2" xfId="7272" xr:uid="{00000000-0005-0000-0000-00006A1C0000}"/>
    <cellStyle name="20% - Accent1 8" xfId="7273" xr:uid="{00000000-0005-0000-0000-00006B1C0000}"/>
    <cellStyle name="20% - Accent1 8 2" xfId="7274" xr:uid="{00000000-0005-0000-0000-00006C1C0000}"/>
    <cellStyle name="20% - Accent1 9" xfId="7275" xr:uid="{00000000-0005-0000-0000-00006D1C0000}"/>
    <cellStyle name="20% - Accent1 9 2" xfId="7276" xr:uid="{00000000-0005-0000-0000-00006E1C0000}"/>
    <cellStyle name="20% - Accent2 10" xfId="7277" xr:uid="{00000000-0005-0000-0000-00006F1C0000}"/>
    <cellStyle name="20% - Accent2 10 2" xfId="7278" xr:uid="{00000000-0005-0000-0000-0000701C0000}"/>
    <cellStyle name="20% - Accent2 11" xfId="7279" xr:uid="{00000000-0005-0000-0000-0000711C0000}"/>
    <cellStyle name="20% - Accent2 11 2" xfId="7280" xr:uid="{00000000-0005-0000-0000-0000721C0000}"/>
    <cellStyle name="20% - Accent2 12" xfId="7281" xr:uid="{00000000-0005-0000-0000-0000731C0000}"/>
    <cellStyle name="20% - Accent2 12 2" xfId="7282" xr:uid="{00000000-0005-0000-0000-0000741C0000}"/>
    <cellStyle name="20% - Accent2 13" xfId="7283" xr:uid="{00000000-0005-0000-0000-0000751C0000}"/>
    <cellStyle name="20% - Accent2 13 2" xfId="7284" xr:uid="{00000000-0005-0000-0000-0000761C0000}"/>
    <cellStyle name="20% - Accent2 14" xfId="7285" xr:uid="{00000000-0005-0000-0000-0000771C0000}"/>
    <cellStyle name="20% - Accent2 14 2" xfId="7286" xr:uid="{00000000-0005-0000-0000-0000781C0000}"/>
    <cellStyle name="20% - Accent2 15" xfId="7287" xr:uid="{00000000-0005-0000-0000-0000791C0000}"/>
    <cellStyle name="20% - Accent2 15 2" xfId="7288" xr:uid="{00000000-0005-0000-0000-00007A1C0000}"/>
    <cellStyle name="20% - Accent2 16" xfId="7289" xr:uid="{00000000-0005-0000-0000-00007B1C0000}"/>
    <cellStyle name="20% - Accent2 16 2" xfId="7290" xr:uid="{00000000-0005-0000-0000-00007C1C0000}"/>
    <cellStyle name="20% - Accent2 17" xfId="7291" xr:uid="{00000000-0005-0000-0000-00007D1C0000}"/>
    <cellStyle name="20% - Accent2 17 2" xfId="7292" xr:uid="{00000000-0005-0000-0000-00007E1C0000}"/>
    <cellStyle name="20% - Accent2 18" xfId="7293" xr:uid="{00000000-0005-0000-0000-00007F1C0000}"/>
    <cellStyle name="20% - Accent2 18 2" xfId="7294" xr:uid="{00000000-0005-0000-0000-0000801C0000}"/>
    <cellStyle name="20% - Accent2 19" xfId="7295" xr:uid="{00000000-0005-0000-0000-0000811C0000}"/>
    <cellStyle name="20% - Accent2 19 2" xfId="7296" xr:uid="{00000000-0005-0000-0000-0000821C0000}"/>
    <cellStyle name="20% - Accent2 2" xfId="7297" xr:uid="{00000000-0005-0000-0000-0000831C0000}"/>
    <cellStyle name="20% - Accent2 2 10" xfId="7298" xr:uid="{00000000-0005-0000-0000-0000841C0000}"/>
    <cellStyle name="20% - Accent2 2 10 2" xfId="7299" xr:uid="{00000000-0005-0000-0000-0000851C0000}"/>
    <cellStyle name="20% - Accent2 2 11" xfId="7300" xr:uid="{00000000-0005-0000-0000-0000861C0000}"/>
    <cellStyle name="20% - Accent2 2 11 2" xfId="7301" xr:uid="{00000000-0005-0000-0000-0000871C0000}"/>
    <cellStyle name="20% - Accent2 2 12" xfId="7302" xr:uid="{00000000-0005-0000-0000-0000881C0000}"/>
    <cellStyle name="20% - Accent2 2 12 2" xfId="7303" xr:uid="{00000000-0005-0000-0000-0000891C0000}"/>
    <cellStyle name="20% - Accent2 2 13" xfId="7304" xr:uid="{00000000-0005-0000-0000-00008A1C0000}"/>
    <cellStyle name="20% - Accent2 2 13 2" xfId="7305" xr:uid="{00000000-0005-0000-0000-00008B1C0000}"/>
    <cellStyle name="20% - Accent2 2 14" xfId="7306" xr:uid="{00000000-0005-0000-0000-00008C1C0000}"/>
    <cellStyle name="20% - Accent2 2 14 2" xfId="7307" xr:uid="{00000000-0005-0000-0000-00008D1C0000}"/>
    <cellStyle name="20% - Accent2 2 15" xfId="7308" xr:uid="{00000000-0005-0000-0000-00008E1C0000}"/>
    <cellStyle name="20% - Accent2 2 15 2" xfId="7309" xr:uid="{00000000-0005-0000-0000-00008F1C0000}"/>
    <cellStyle name="20% - Accent2 2 16" xfId="7310" xr:uid="{00000000-0005-0000-0000-0000901C0000}"/>
    <cellStyle name="20% - Accent2 2 16 2" xfId="7311" xr:uid="{00000000-0005-0000-0000-0000911C0000}"/>
    <cellStyle name="20% - Accent2 2 17" xfId="7312" xr:uid="{00000000-0005-0000-0000-0000921C0000}"/>
    <cellStyle name="20% - Accent2 2 17 2" xfId="7313" xr:uid="{00000000-0005-0000-0000-0000931C0000}"/>
    <cellStyle name="20% - Accent2 2 18" xfId="7314" xr:uid="{00000000-0005-0000-0000-0000941C0000}"/>
    <cellStyle name="20% - Accent2 2 18 2" xfId="7315" xr:uid="{00000000-0005-0000-0000-0000951C0000}"/>
    <cellStyle name="20% - Accent2 2 19" xfId="7316" xr:uid="{00000000-0005-0000-0000-0000961C0000}"/>
    <cellStyle name="20% - Accent2 2 19 2" xfId="7317" xr:uid="{00000000-0005-0000-0000-0000971C0000}"/>
    <cellStyle name="20% - Accent2 2 2" xfId="7318" xr:uid="{00000000-0005-0000-0000-0000981C0000}"/>
    <cellStyle name="20% - Accent2 2 2 2" xfId="7319" xr:uid="{00000000-0005-0000-0000-0000991C0000}"/>
    <cellStyle name="20% - Accent2 2 2 2 2" xfId="7320" xr:uid="{00000000-0005-0000-0000-00009A1C0000}"/>
    <cellStyle name="20% - Accent2 2 2 3" xfId="7321" xr:uid="{00000000-0005-0000-0000-00009B1C0000}"/>
    <cellStyle name="20% - Accent2 2 20" xfId="7322" xr:uid="{00000000-0005-0000-0000-00009C1C0000}"/>
    <cellStyle name="20% - Accent2 2 3" xfId="7323" xr:uid="{00000000-0005-0000-0000-00009D1C0000}"/>
    <cellStyle name="20% - Accent2 2 3 2" xfId="7324" xr:uid="{00000000-0005-0000-0000-00009E1C0000}"/>
    <cellStyle name="20% - Accent2 2 4" xfId="7325" xr:uid="{00000000-0005-0000-0000-00009F1C0000}"/>
    <cellStyle name="20% - Accent2 2 4 2" xfId="7326" xr:uid="{00000000-0005-0000-0000-0000A01C0000}"/>
    <cellStyle name="20% - Accent2 2 5" xfId="7327" xr:uid="{00000000-0005-0000-0000-0000A11C0000}"/>
    <cellStyle name="20% - Accent2 2 5 2" xfId="7328" xr:uid="{00000000-0005-0000-0000-0000A21C0000}"/>
    <cellStyle name="20% - Accent2 2 6" xfId="7329" xr:uid="{00000000-0005-0000-0000-0000A31C0000}"/>
    <cellStyle name="20% - Accent2 2 6 2" xfId="7330" xr:uid="{00000000-0005-0000-0000-0000A41C0000}"/>
    <cellStyle name="20% - Accent2 2 7" xfId="7331" xr:uid="{00000000-0005-0000-0000-0000A51C0000}"/>
    <cellStyle name="20% - Accent2 2 7 2" xfId="7332" xr:uid="{00000000-0005-0000-0000-0000A61C0000}"/>
    <cellStyle name="20% - Accent2 2 8" xfId="7333" xr:uid="{00000000-0005-0000-0000-0000A71C0000}"/>
    <cellStyle name="20% - Accent2 2 8 2" xfId="7334" xr:uid="{00000000-0005-0000-0000-0000A81C0000}"/>
    <cellStyle name="20% - Accent2 2 9" xfId="7335" xr:uid="{00000000-0005-0000-0000-0000A91C0000}"/>
    <cellStyle name="20% - Accent2 2 9 2" xfId="7336" xr:uid="{00000000-0005-0000-0000-0000AA1C0000}"/>
    <cellStyle name="20% - Accent2 20" xfId="7337" xr:uid="{00000000-0005-0000-0000-0000AB1C0000}"/>
    <cellStyle name="20% - Accent2 20 2" xfId="7338" xr:uid="{00000000-0005-0000-0000-0000AC1C0000}"/>
    <cellStyle name="20% - Accent2 21" xfId="7339" xr:uid="{00000000-0005-0000-0000-0000AD1C0000}"/>
    <cellStyle name="20% - Accent2 21 2" xfId="7340" xr:uid="{00000000-0005-0000-0000-0000AE1C0000}"/>
    <cellStyle name="20% - Accent2 22" xfId="7341" xr:uid="{00000000-0005-0000-0000-0000AF1C0000}"/>
    <cellStyle name="20% - Accent2 22 2" xfId="7342" xr:uid="{00000000-0005-0000-0000-0000B01C0000}"/>
    <cellStyle name="20% - Accent2 23" xfId="7343" xr:uid="{00000000-0005-0000-0000-0000B11C0000}"/>
    <cellStyle name="20% - Accent2 23 2" xfId="7344" xr:uid="{00000000-0005-0000-0000-0000B21C0000}"/>
    <cellStyle name="20% - Accent2 24" xfId="7345" xr:uid="{00000000-0005-0000-0000-0000B31C0000}"/>
    <cellStyle name="20% - Accent2 24 2" xfId="7346" xr:uid="{00000000-0005-0000-0000-0000B41C0000}"/>
    <cellStyle name="20% - Accent2 25" xfId="7347" xr:uid="{00000000-0005-0000-0000-0000B51C0000}"/>
    <cellStyle name="20% - Accent2 25 2" xfId="7348" xr:uid="{00000000-0005-0000-0000-0000B61C0000}"/>
    <cellStyle name="20% - Accent2 26" xfId="7349" xr:uid="{00000000-0005-0000-0000-0000B71C0000}"/>
    <cellStyle name="20% - Accent2 26 2" xfId="7350" xr:uid="{00000000-0005-0000-0000-0000B81C0000}"/>
    <cellStyle name="20% - Accent2 27" xfId="7351" xr:uid="{00000000-0005-0000-0000-0000B91C0000}"/>
    <cellStyle name="20% - Accent2 27 2" xfId="7352" xr:uid="{00000000-0005-0000-0000-0000BA1C0000}"/>
    <cellStyle name="20% - Accent2 3" xfId="7353" xr:uid="{00000000-0005-0000-0000-0000BB1C0000}"/>
    <cellStyle name="20% - Accent2 3 2" xfId="7354" xr:uid="{00000000-0005-0000-0000-0000BC1C0000}"/>
    <cellStyle name="20% - Accent2 3 2 2" xfId="7355" xr:uid="{00000000-0005-0000-0000-0000BD1C0000}"/>
    <cellStyle name="20% - Accent2 3 3" xfId="7356" xr:uid="{00000000-0005-0000-0000-0000BE1C0000}"/>
    <cellStyle name="20% - Accent2 4" xfId="7357" xr:uid="{00000000-0005-0000-0000-0000BF1C0000}"/>
    <cellStyle name="20% - Accent2 4 2" xfId="7358" xr:uid="{00000000-0005-0000-0000-0000C01C0000}"/>
    <cellStyle name="20% - Accent2 4 2 2" xfId="7359" xr:uid="{00000000-0005-0000-0000-0000C11C0000}"/>
    <cellStyle name="20% - Accent2 4 3" xfId="7360" xr:uid="{00000000-0005-0000-0000-0000C21C0000}"/>
    <cellStyle name="20% - Accent2 4 3 2" xfId="7361" xr:uid="{00000000-0005-0000-0000-0000C31C0000}"/>
    <cellStyle name="20% - Accent2 4 4" xfId="7362" xr:uid="{00000000-0005-0000-0000-0000C41C0000}"/>
    <cellStyle name="20% - Accent2 5" xfId="7363" xr:uid="{00000000-0005-0000-0000-0000C51C0000}"/>
    <cellStyle name="20% - Accent2 5 2" xfId="7364" xr:uid="{00000000-0005-0000-0000-0000C61C0000}"/>
    <cellStyle name="20% - Accent2 6" xfId="7365" xr:uid="{00000000-0005-0000-0000-0000C71C0000}"/>
    <cellStyle name="20% - Accent2 6 2" xfId="7366" xr:uid="{00000000-0005-0000-0000-0000C81C0000}"/>
    <cellStyle name="20% - Accent2 7" xfId="7367" xr:uid="{00000000-0005-0000-0000-0000C91C0000}"/>
    <cellStyle name="20% - Accent2 7 2" xfId="7368" xr:uid="{00000000-0005-0000-0000-0000CA1C0000}"/>
    <cellStyle name="20% - Accent2 8" xfId="7369" xr:uid="{00000000-0005-0000-0000-0000CB1C0000}"/>
    <cellStyle name="20% - Accent2 8 2" xfId="7370" xr:uid="{00000000-0005-0000-0000-0000CC1C0000}"/>
    <cellStyle name="20% - Accent2 9" xfId="7371" xr:uid="{00000000-0005-0000-0000-0000CD1C0000}"/>
    <cellStyle name="20% - Accent2 9 2" xfId="7372" xr:uid="{00000000-0005-0000-0000-0000CE1C0000}"/>
    <cellStyle name="20% - Accent3 10" xfId="7373" xr:uid="{00000000-0005-0000-0000-0000CF1C0000}"/>
    <cellStyle name="20% - Accent3 10 2" xfId="7374" xr:uid="{00000000-0005-0000-0000-0000D01C0000}"/>
    <cellStyle name="20% - Accent3 11" xfId="7375" xr:uid="{00000000-0005-0000-0000-0000D11C0000}"/>
    <cellStyle name="20% - Accent3 11 2" xfId="7376" xr:uid="{00000000-0005-0000-0000-0000D21C0000}"/>
    <cellStyle name="20% - Accent3 12" xfId="7377" xr:uid="{00000000-0005-0000-0000-0000D31C0000}"/>
    <cellStyle name="20% - Accent3 12 2" xfId="7378" xr:uid="{00000000-0005-0000-0000-0000D41C0000}"/>
    <cellStyle name="20% - Accent3 13" xfId="7379" xr:uid="{00000000-0005-0000-0000-0000D51C0000}"/>
    <cellStyle name="20% - Accent3 13 2" xfId="7380" xr:uid="{00000000-0005-0000-0000-0000D61C0000}"/>
    <cellStyle name="20% - Accent3 14" xfId="7381" xr:uid="{00000000-0005-0000-0000-0000D71C0000}"/>
    <cellStyle name="20% - Accent3 14 2" xfId="7382" xr:uid="{00000000-0005-0000-0000-0000D81C0000}"/>
    <cellStyle name="20% - Accent3 15" xfId="7383" xr:uid="{00000000-0005-0000-0000-0000D91C0000}"/>
    <cellStyle name="20% - Accent3 15 2" xfId="7384" xr:uid="{00000000-0005-0000-0000-0000DA1C0000}"/>
    <cellStyle name="20% - Accent3 16" xfId="7385" xr:uid="{00000000-0005-0000-0000-0000DB1C0000}"/>
    <cellStyle name="20% - Accent3 16 2" xfId="7386" xr:uid="{00000000-0005-0000-0000-0000DC1C0000}"/>
    <cellStyle name="20% - Accent3 17" xfId="7387" xr:uid="{00000000-0005-0000-0000-0000DD1C0000}"/>
    <cellStyle name="20% - Accent3 17 2" xfId="7388" xr:uid="{00000000-0005-0000-0000-0000DE1C0000}"/>
    <cellStyle name="20% - Accent3 18" xfId="7389" xr:uid="{00000000-0005-0000-0000-0000DF1C0000}"/>
    <cellStyle name="20% - Accent3 18 2" xfId="7390" xr:uid="{00000000-0005-0000-0000-0000E01C0000}"/>
    <cellStyle name="20% - Accent3 19" xfId="7391" xr:uid="{00000000-0005-0000-0000-0000E11C0000}"/>
    <cellStyle name="20% - Accent3 19 2" xfId="7392" xr:uid="{00000000-0005-0000-0000-0000E21C0000}"/>
    <cellStyle name="20% - Accent3 2" xfId="7393" xr:uid="{00000000-0005-0000-0000-0000E31C0000}"/>
    <cellStyle name="20% - Accent3 2 10" xfId="7394" xr:uid="{00000000-0005-0000-0000-0000E41C0000}"/>
    <cellStyle name="20% - Accent3 2 10 2" xfId="7395" xr:uid="{00000000-0005-0000-0000-0000E51C0000}"/>
    <cellStyle name="20% - Accent3 2 11" xfId="7396" xr:uid="{00000000-0005-0000-0000-0000E61C0000}"/>
    <cellStyle name="20% - Accent3 2 11 2" xfId="7397" xr:uid="{00000000-0005-0000-0000-0000E71C0000}"/>
    <cellStyle name="20% - Accent3 2 12" xfId="7398" xr:uid="{00000000-0005-0000-0000-0000E81C0000}"/>
    <cellStyle name="20% - Accent3 2 12 2" xfId="7399" xr:uid="{00000000-0005-0000-0000-0000E91C0000}"/>
    <cellStyle name="20% - Accent3 2 13" xfId="7400" xr:uid="{00000000-0005-0000-0000-0000EA1C0000}"/>
    <cellStyle name="20% - Accent3 2 13 2" xfId="7401" xr:uid="{00000000-0005-0000-0000-0000EB1C0000}"/>
    <cellStyle name="20% - Accent3 2 14" xfId="7402" xr:uid="{00000000-0005-0000-0000-0000EC1C0000}"/>
    <cellStyle name="20% - Accent3 2 14 2" xfId="7403" xr:uid="{00000000-0005-0000-0000-0000ED1C0000}"/>
    <cellStyle name="20% - Accent3 2 15" xfId="7404" xr:uid="{00000000-0005-0000-0000-0000EE1C0000}"/>
    <cellStyle name="20% - Accent3 2 15 2" xfId="7405" xr:uid="{00000000-0005-0000-0000-0000EF1C0000}"/>
    <cellStyle name="20% - Accent3 2 16" xfId="7406" xr:uid="{00000000-0005-0000-0000-0000F01C0000}"/>
    <cellStyle name="20% - Accent3 2 16 2" xfId="7407" xr:uid="{00000000-0005-0000-0000-0000F11C0000}"/>
    <cellStyle name="20% - Accent3 2 17" xfId="7408" xr:uid="{00000000-0005-0000-0000-0000F21C0000}"/>
    <cellStyle name="20% - Accent3 2 17 2" xfId="7409" xr:uid="{00000000-0005-0000-0000-0000F31C0000}"/>
    <cellStyle name="20% - Accent3 2 18" xfId="7410" xr:uid="{00000000-0005-0000-0000-0000F41C0000}"/>
    <cellStyle name="20% - Accent3 2 18 2" xfId="7411" xr:uid="{00000000-0005-0000-0000-0000F51C0000}"/>
    <cellStyle name="20% - Accent3 2 19" xfId="7412" xr:uid="{00000000-0005-0000-0000-0000F61C0000}"/>
    <cellStyle name="20% - Accent3 2 19 2" xfId="7413" xr:uid="{00000000-0005-0000-0000-0000F71C0000}"/>
    <cellStyle name="20% - Accent3 2 2" xfId="7414" xr:uid="{00000000-0005-0000-0000-0000F81C0000}"/>
    <cellStyle name="20% - Accent3 2 2 2" xfId="7415" xr:uid="{00000000-0005-0000-0000-0000F91C0000}"/>
    <cellStyle name="20% - Accent3 2 2 2 2" xfId="7416" xr:uid="{00000000-0005-0000-0000-0000FA1C0000}"/>
    <cellStyle name="20% - Accent3 2 2 3" xfId="7417" xr:uid="{00000000-0005-0000-0000-0000FB1C0000}"/>
    <cellStyle name="20% - Accent3 2 20" xfId="7418" xr:uid="{00000000-0005-0000-0000-0000FC1C0000}"/>
    <cellStyle name="20% - Accent3 2 3" xfId="7419" xr:uid="{00000000-0005-0000-0000-0000FD1C0000}"/>
    <cellStyle name="20% - Accent3 2 3 2" xfId="7420" xr:uid="{00000000-0005-0000-0000-0000FE1C0000}"/>
    <cellStyle name="20% - Accent3 2 4" xfId="7421" xr:uid="{00000000-0005-0000-0000-0000FF1C0000}"/>
    <cellStyle name="20% - Accent3 2 4 2" xfId="7422" xr:uid="{00000000-0005-0000-0000-0000001D0000}"/>
    <cellStyle name="20% - Accent3 2 5" xfId="7423" xr:uid="{00000000-0005-0000-0000-0000011D0000}"/>
    <cellStyle name="20% - Accent3 2 5 2" xfId="7424" xr:uid="{00000000-0005-0000-0000-0000021D0000}"/>
    <cellStyle name="20% - Accent3 2 6" xfId="7425" xr:uid="{00000000-0005-0000-0000-0000031D0000}"/>
    <cellStyle name="20% - Accent3 2 6 2" xfId="7426" xr:uid="{00000000-0005-0000-0000-0000041D0000}"/>
    <cellStyle name="20% - Accent3 2 7" xfId="7427" xr:uid="{00000000-0005-0000-0000-0000051D0000}"/>
    <cellStyle name="20% - Accent3 2 7 2" xfId="7428" xr:uid="{00000000-0005-0000-0000-0000061D0000}"/>
    <cellStyle name="20% - Accent3 2 8" xfId="7429" xr:uid="{00000000-0005-0000-0000-0000071D0000}"/>
    <cellStyle name="20% - Accent3 2 8 2" xfId="7430" xr:uid="{00000000-0005-0000-0000-0000081D0000}"/>
    <cellStyle name="20% - Accent3 2 9" xfId="7431" xr:uid="{00000000-0005-0000-0000-0000091D0000}"/>
    <cellStyle name="20% - Accent3 2 9 2" xfId="7432" xr:uid="{00000000-0005-0000-0000-00000A1D0000}"/>
    <cellStyle name="20% - Accent3 20" xfId="7433" xr:uid="{00000000-0005-0000-0000-00000B1D0000}"/>
    <cellStyle name="20% - Accent3 20 2" xfId="7434" xr:uid="{00000000-0005-0000-0000-00000C1D0000}"/>
    <cellStyle name="20% - Accent3 21" xfId="7435" xr:uid="{00000000-0005-0000-0000-00000D1D0000}"/>
    <cellStyle name="20% - Accent3 21 2" xfId="7436" xr:uid="{00000000-0005-0000-0000-00000E1D0000}"/>
    <cellStyle name="20% - Accent3 22" xfId="7437" xr:uid="{00000000-0005-0000-0000-00000F1D0000}"/>
    <cellStyle name="20% - Accent3 22 2" xfId="7438" xr:uid="{00000000-0005-0000-0000-0000101D0000}"/>
    <cellStyle name="20% - Accent3 23" xfId="7439" xr:uid="{00000000-0005-0000-0000-0000111D0000}"/>
    <cellStyle name="20% - Accent3 23 2" xfId="7440" xr:uid="{00000000-0005-0000-0000-0000121D0000}"/>
    <cellStyle name="20% - Accent3 24" xfId="7441" xr:uid="{00000000-0005-0000-0000-0000131D0000}"/>
    <cellStyle name="20% - Accent3 24 2" xfId="7442" xr:uid="{00000000-0005-0000-0000-0000141D0000}"/>
    <cellStyle name="20% - Accent3 25" xfId="7443" xr:uid="{00000000-0005-0000-0000-0000151D0000}"/>
    <cellStyle name="20% - Accent3 25 2" xfId="7444" xr:uid="{00000000-0005-0000-0000-0000161D0000}"/>
    <cellStyle name="20% - Accent3 26" xfId="7445" xr:uid="{00000000-0005-0000-0000-0000171D0000}"/>
    <cellStyle name="20% - Accent3 26 2" xfId="7446" xr:uid="{00000000-0005-0000-0000-0000181D0000}"/>
    <cellStyle name="20% - Accent3 27" xfId="7447" xr:uid="{00000000-0005-0000-0000-0000191D0000}"/>
    <cellStyle name="20% - Accent3 27 2" xfId="7448" xr:uid="{00000000-0005-0000-0000-00001A1D0000}"/>
    <cellStyle name="20% - Accent3 3" xfId="7449" xr:uid="{00000000-0005-0000-0000-00001B1D0000}"/>
    <cellStyle name="20% - Accent3 3 2" xfId="7450" xr:uid="{00000000-0005-0000-0000-00001C1D0000}"/>
    <cellStyle name="20% - Accent3 3 2 2" xfId="7451" xr:uid="{00000000-0005-0000-0000-00001D1D0000}"/>
    <cellStyle name="20% - Accent3 3 3" xfId="7452" xr:uid="{00000000-0005-0000-0000-00001E1D0000}"/>
    <cellStyle name="20% - Accent3 4" xfId="7453" xr:uid="{00000000-0005-0000-0000-00001F1D0000}"/>
    <cellStyle name="20% - Accent3 4 2" xfId="7454" xr:uid="{00000000-0005-0000-0000-0000201D0000}"/>
    <cellStyle name="20% - Accent3 4 2 2" xfId="7455" xr:uid="{00000000-0005-0000-0000-0000211D0000}"/>
    <cellStyle name="20% - Accent3 4 3" xfId="7456" xr:uid="{00000000-0005-0000-0000-0000221D0000}"/>
    <cellStyle name="20% - Accent3 4 3 2" xfId="7457" xr:uid="{00000000-0005-0000-0000-0000231D0000}"/>
    <cellStyle name="20% - Accent3 4 4" xfId="7458" xr:uid="{00000000-0005-0000-0000-0000241D0000}"/>
    <cellStyle name="20% - Accent3 5" xfId="7459" xr:uid="{00000000-0005-0000-0000-0000251D0000}"/>
    <cellStyle name="20% - Accent3 5 2" xfId="7460" xr:uid="{00000000-0005-0000-0000-0000261D0000}"/>
    <cellStyle name="20% - Accent3 6" xfId="7461" xr:uid="{00000000-0005-0000-0000-0000271D0000}"/>
    <cellStyle name="20% - Accent3 6 2" xfId="7462" xr:uid="{00000000-0005-0000-0000-0000281D0000}"/>
    <cellStyle name="20% - Accent3 7" xfId="7463" xr:uid="{00000000-0005-0000-0000-0000291D0000}"/>
    <cellStyle name="20% - Accent3 7 2" xfId="7464" xr:uid="{00000000-0005-0000-0000-00002A1D0000}"/>
    <cellStyle name="20% - Accent3 8" xfId="7465" xr:uid="{00000000-0005-0000-0000-00002B1D0000}"/>
    <cellStyle name="20% - Accent3 8 2" xfId="7466" xr:uid="{00000000-0005-0000-0000-00002C1D0000}"/>
    <cellStyle name="20% - Accent3 9" xfId="7467" xr:uid="{00000000-0005-0000-0000-00002D1D0000}"/>
    <cellStyle name="20% - Accent3 9 2" xfId="7468" xr:uid="{00000000-0005-0000-0000-00002E1D0000}"/>
    <cellStyle name="20% - Accent4 10" xfId="7469" xr:uid="{00000000-0005-0000-0000-00002F1D0000}"/>
    <cellStyle name="20% - Accent4 10 2" xfId="7470" xr:uid="{00000000-0005-0000-0000-0000301D0000}"/>
    <cellStyle name="20% - Accent4 11" xfId="7471" xr:uid="{00000000-0005-0000-0000-0000311D0000}"/>
    <cellStyle name="20% - Accent4 11 2" xfId="7472" xr:uid="{00000000-0005-0000-0000-0000321D0000}"/>
    <cellStyle name="20% - Accent4 12" xfId="7473" xr:uid="{00000000-0005-0000-0000-0000331D0000}"/>
    <cellStyle name="20% - Accent4 12 2" xfId="7474" xr:uid="{00000000-0005-0000-0000-0000341D0000}"/>
    <cellStyle name="20% - Accent4 13" xfId="7475" xr:uid="{00000000-0005-0000-0000-0000351D0000}"/>
    <cellStyle name="20% - Accent4 13 2" xfId="7476" xr:uid="{00000000-0005-0000-0000-0000361D0000}"/>
    <cellStyle name="20% - Accent4 14" xfId="7477" xr:uid="{00000000-0005-0000-0000-0000371D0000}"/>
    <cellStyle name="20% - Accent4 14 2" xfId="7478" xr:uid="{00000000-0005-0000-0000-0000381D0000}"/>
    <cellStyle name="20% - Accent4 15" xfId="7479" xr:uid="{00000000-0005-0000-0000-0000391D0000}"/>
    <cellStyle name="20% - Accent4 15 2" xfId="7480" xr:uid="{00000000-0005-0000-0000-00003A1D0000}"/>
    <cellStyle name="20% - Accent4 16" xfId="7481" xr:uid="{00000000-0005-0000-0000-00003B1D0000}"/>
    <cellStyle name="20% - Accent4 16 2" xfId="7482" xr:uid="{00000000-0005-0000-0000-00003C1D0000}"/>
    <cellStyle name="20% - Accent4 17" xfId="7483" xr:uid="{00000000-0005-0000-0000-00003D1D0000}"/>
    <cellStyle name="20% - Accent4 17 2" xfId="7484" xr:uid="{00000000-0005-0000-0000-00003E1D0000}"/>
    <cellStyle name="20% - Accent4 18" xfId="7485" xr:uid="{00000000-0005-0000-0000-00003F1D0000}"/>
    <cellStyle name="20% - Accent4 18 2" xfId="7486" xr:uid="{00000000-0005-0000-0000-0000401D0000}"/>
    <cellStyle name="20% - Accent4 19" xfId="7487" xr:uid="{00000000-0005-0000-0000-0000411D0000}"/>
    <cellStyle name="20% - Accent4 19 2" xfId="7488" xr:uid="{00000000-0005-0000-0000-0000421D0000}"/>
    <cellStyle name="20% - Accent4 2" xfId="7489" xr:uid="{00000000-0005-0000-0000-0000431D0000}"/>
    <cellStyle name="20% - Accent4 2 10" xfId="7490" xr:uid="{00000000-0005-0000-0000-0000441D0000}"/>
    <cellStyle name="20% - Accent4 2 10 2" xfId="7491" xr:uid="{00000000-0005-0000-0000-0000451D0000}"/>
    <cellStyle name="20% - Accent4 2 11" xfId="7492" xr:uid="{00000000-0005-0000-0000-0000461D0000}"/>
    <cellStyle name="20% - Accent4 2 11 2" xfId="7493" xr:uid="{00000000-0005-0000-0000-0000471D0000}"/>
    <cellStyle name="20% - Accent4 2 12" xfId="7494" xr:uid="{00000000-0005-0000-0000-0000481D0000}"/>
    <cellStyle name="20% - Accent4 2 12 2" xfId="7495" xr:uid="{00000000-0005-0000-0000-0000491D0000}"/>
    <cellStyle name="20% - Accent4 2 13" xfId="7496" xr:uid="{00000000-0005-0000-0000-00004A1D0000}"/>
    <cellStyle name="20% - Accent4 2 13 2" xfId="7497" xr:uid="{00000000-0005-0000-0000-00004B1D0000}"/>
    <cellStyle name="20% - Accent4 2 14" xfId="7498" xr:uid="{00000000-0005-0000-0000-00004C1D0000}"/>
    <cellStyle name="20% - Accent4 2 14 2" xfId="7499" xr:uid="{00000000-0005-0000-0000-00004D1D0000}"/>
    <cellStyle name="20% - Accent4 2 15" xfId="7500" xr:uid="{00000000-0005-0000-0000-00004E1D0000}"/>
    <cellStyle name="20% - Accent4 2 15 2" xfId="7501" xr:uid="{00000000-0005-0000-0000-00004F1D0000}"/>
    <cellStyle name="20% - Accent4 2 16" xfId="7502" xr:uid="{00000000-0005-0000-0000-0000501D0000}"/>
    <cellStyle name="20% - Accent4 2 16 2" xfId="7503" xr:uid="{00000000-0005-0000-0000-0000511D0000}"/>
    <cellStyle name="20% - Accent4 2 17" xfId="7504" xr:uid="{00000000-0005-0000-0000-0000521D0000}"/>
    <cellStyle name="20% - Accent4 2 17 2" xfId="7505" xr:uid="{00000000-0005-0000-0000-0000531D0000}"/>
    <cellStyle name="20% - Accent4 2 18" xfId="7506" xr:uid="{00000000-0005-0000-0000-0000541D0000}"/>
    <cellStyle name="20% - Accent4 2 18 2" xfId="7507" xr:uid="{00000000-0005-0000-0000-0000551D0000}"/>
    <cellStyle name="20% - Accent4 2 19" xfId="7508" xr:uid="{00000000-0005-0000-0000-0000561D0000}"/>
    <cellStyle name="20% - Accent4 2 19 2" xfId="7509" xr:uid="{00000000-0005-0000-0000-0000571D0000}"/>
    <cellStyle name="20% - Accent4 2 2" xfId="7510" xr:uid="{00000000-0005-0000-0000-0000581D0000}"/>
    <cellStyle name="20% - Accent4 2 2 2" xfId="7511" xr:uid="{00000000-0005-0000-0000-0000591D0000}"/>
    <cellStyle name="20% - Accent4 2 2 2 2" xfId="7512" xr:uid="{00000000-0005-0000-0000-00005A1D0000}"/>
    <cellStyle name="20% - Accent4 2 2 3" xfId="7513" xr:uid="{00000000-0005-0000-0000-00005B1D0000}"/>
    <cellStyle name="20% - Accent4 2 20" xfId="7514" xr:uid="{00000000-0005-0000-0000-00005C1D0000}"/>
    <cellStyle name="20% - Accent4 2 3" xfId="7515" xr:uid="{00000000-0005-0000-0000-00005D1D0000}"/>
    <cellStyle name="20% - Accent4 2 3 2" xfId="7516" xr:uid="{00000000-0005-0000-0000-00005E1D0000}"/>
    <cellStyle name="20% - Accent4 2 4" xfId="7517" xr:uid="{00000000-0005-0000-0000-00005F1D0000}"/>
    <cellStyle name="20% - Accent4 2 4 2" xfId="7518" xr:uid="{00000000-0005-0000-0000-0000601D0000}"/>
    <cellStyle name="20% - Accent4 2 5" xfId="7519" xr:uid="{00000000-0005-0000-0000-0000611D0000}"/>
    <cellStyle name="20% - Accent4 2 5 2" xfId="7520" xr:uid="{00000000-0005-0000-0000-0000621D0000}"/>
    <cellStyle name="20% - Accent4 2 6" xfId="7521" xr:uid="{00000000-0005-0000-0000-0000631D0000}"/>
    <cellStyle name="20% - Accent4 2 6 2" xfId="7522" xr:uid="{00000000-0005-0000-0000-0000641D0000}"/>
    <cellStyle name="20% - Accent4 2 7" xfId="7523" xr:uid="{00000000-0005-0000-0000-0000651D0000}"/>
    <cellStyle name="20% - Accent4 2 7 2" xfId="7524" xr:uid="{00000000-0005-0000-0000-0000661D0000}"/>
    <cellStyle name="20% - Accent4 2 8" xfId="7525" xr:uid="{00000000-0005-0000-0000-0000671D0000}"/>
    <cellStyle name="20% - Accent4 2 8 2" xfId="7526" xr:uid="{00000000-0005-0000-0000-0000681D0000}"/>
    <cellStyle name="20% - Accent4 2 9" xfId="7527" xr:uid="{00000000-0005-0000-0000-0000691D0000}"/>
    <cellStyle name="20% - Accent4 2 9 2" xfId="7528" xr:uid="{00000000-0005-0000-0000-00006A1D0000}"/>
    <cellStyle name="20% - Accent4 20" xfId="7529" xr:uid="{00000000-0005-0000-0000-00006B1D0000}"/>
    <cellStyle name="20% - Accent4 20 2" xfId="7530" xr:uid="{00000000-0005-0000-0000-00006C1D0000}"/>
    <cellStyle name="20% - Accent4 21" xfId="7531" xr:uid="{00000000-0005-0000-0000-00006D1D0000}"/>
    <cellStyle name="20% - Accent4 21 2" xfId="7532" xr:uid="{00000000-0005-0000-0000-00006E1D0000}"/>
    <cellStyle name="20% - Accent4 22" xfId="7533" xr:uid="{00000000-0005-0000-0000-00006F1D0000}"/>
    <cellStyle name="20% - Accent4 22 2" xfId="7534" xr:uid="{00000000-0005-0000-0000-0000701D0000}"/>
    <cellStyle name="20% - Accent4 23" xfId="7535" xr:uid="{00000000-0005-0000-0000-0000711D0000}"/>
    <cellStyle name="20% - Accent4 23 2" xfId="7536" xr:uid="{00000000-0005-0000-0000-0000721D0000}"/>
    <cellStyle name="20% - Accent4 24" xfId="7537" xr:uid="{00000000-0005-0000-0000-0000731D0000}"/>
    <cellStyle name="20% - Accent4 24 2" xfId="7538" xr:uid="{00000000-0005-0000-0000-0000741D0000}"/>
    <cellStyle name="20% - Accent4 25" xfId="7539" xr:uid="{00000000-0005-0000-0000-0000751D0000}"/>
    <cellStyle name="20% - Accent4 25 2" xfId="7540" xr:uid="{00000000-0005-0000-0000-0000761D0000}"/>
    <cellStyle name="20% - Accent4 26" xfId="7541" xr:uid="{00000000-0005-0000-0000-0000771D0000}"/>
    <cellStyle name="20% - Accent4 26 2" xfId="7542" xr:uid="{00000000-0005-0000-0000-0000781D0000}"/>
    <cellStyle name="20% - Accent4 27" xfId="7543" xr:uid="{00000000-0005-0000-0000-0000791D0000}"/>
    <cellStyle name="20% - Accent4 27 2" xfId="7544" xr:uid="{00000000-0005-0000-0000-00007A1D0000}"/>
    <cellStyle name="20% - Accent4 3" xfId="7545" xr:uid="{00000000-0005-0000-0000-00007B1D0000}"/>
    <cellStyle name="20% - Accent4 3 2" xfId="7546" xr:uid="{00000000-0005-0000-0000-00007C1D0000}"/>
    <cellStyle name="20% - Accent4 3 2 2" xfId="7547" xr:uid="{00000000-0005-0000-0000-00007D1D0000}"/>
    <cellStyle name="20% - Accent4 3 3" xfId="7548" xr:uid="{00000000-0005-0000-0000-00007E1D0000}"/>
    <cellStyle name="20% - Accent4 4" xfId="7549" xr:uid="{00000000-0005-0000-0000-00007F1D0000}"/>
    <cellStyle name="20% - Accent4 4 2" xfId="7550" xr:uid="{00000000-0005-0000-0000-0000801D0000}"/>
    <cellStyle name="20% - Accent4 4 2 2" xfId="7551" xr:uid="{00000000-0005-0000-0000-0000811D0000}"/>
    <cellStyle name="20% - Accent4 4 3" xfId="7552" xr:uid="{00000000-0005-0000-0000-0000821D0000}"/>
    <cellStyle name="20% - Accent4 4 3 2" xfId="7553" xr:uid="{00000000-0005-0000-0000-0000831D0000}"/>
    <cellStyle name="20% - Accent4 4 4" xfId="7554" xr:uid="{00000000-0005-0000-0000-0000841D0000}"/>
    <cellStyle name="20% - Accent4 5" xfId="7555" xr:uid="{00000000-0005-0000-0000-0000851D0000}"/>
    <cellStyle name="20% - Accent4 5 2" xfId="7556" xr:uid="{00000000-0005-0000-0000-0000861D0000}"/>
    <cellStyle name="20% - Accent4 6" xfId="7557" xr:uid="{00000000-0005-0000-0000-0000871D0000}"/>
    <cellStyle name="20% - Accent4 6 2" xfId="7558" xr:uid="{00000000-0005-0000-0000-0000881D0000}"/>
    <cellStyle name="20% - Accent4 7" xfId="7559" xr:uid="{00000000-0005-0000-0000-0000891D0000}"/>
    <cellStyle name="20% - Accent4 7 2" xfId="7560" xr:uid="{00000000-0005-0000-0000-00008A1D0000}"/>
    <cellStyle name="20% - Accent4 8" xfId="7561" xr:uid="{00000000-0005-0000-0000-00008B1D0000}"/>
    <cellStyle name="20% - Accent4 8 2" xfId="7562" xr:uid="{00000000-0005-0000-0000-00008C1D0000}"/>
    <cellStyle name="20% - Accent4 9" xfId="7563" xr:uid="{00000000-0005-0000-0000-00008D1D0000}"/>
    <cellStyle name="20% - Accent4 9 2" xfId="7564" xr:uid="{00000000-0005-0000-0000-00008E1D0000}"/>
    <cellStyle name="20% - Accent5 10" xfId="7565" xr:uid="{00000000-0005-0000-0000-00008F1D0000}"/>
    <cellStyle name="20% - Accent5 10 2" xfId="7566" xr:uid="{00000000-0005-0000-0000-0000901D0000}"/>
    <cellStyle name="20% - Accent5 11" xfId="7567" xr:uid="{00000000-0005-0000-0000-0000911D0000}"/>
    <cellStyle name="20% - Accent5 11 2" xfId="7568" xr:uid="{00000000-0005-0000-0000-0000921D0000}"/>
    <cellStyle name="20% - Accent5 12" xfId="7569" xr:uid="{00000000-0005-0000-0000-0000931D0000}"/>
    <cellStyle name="20% - Accent5 12 2" xfId="7570" xr:uid="{00000000-0005-0000-0000-0000941D0000}"/>
    <cellStyle name="20% - Accent5 13" xfId="7571" xr:uid="{00000000-0005-0000-0000-0000951D0000}"/>
    <cellStyle name="20% - Accent5 13 2" xfId="7572" xr:uid="{00000000-0005-0000-0000-0000961D0000}"/>
    <cellStyle name="20% - Accent5 14" xfId="7573" xr:uid="{00000000-0005-0000-0000-0000971D0000}"/>
    <cellStyle name="20% - Accent5 14 2" xfId="7574" xr:uid="{00000000-0005-0000-0000-0000981D0000}"/>
    <cellStyle name="20% - Accent5 15" xfId="7575" xr:uid="{00000000-0005-0000-0000-0000991D0000}"/>
    <cellStyle name="20% - Accent5 15 2" xfId="7576" xr:uid="{00000000-0005-0000-0000-00009A1D0000}"/>
    <cellStyle name="20% - Accent5 16" xfId="7577" xr:uid="{00000000-0005-0000-0000-00009B1D0000}"/>
    <cellStyle name="20% - Accent5 16 2" xfId="7578" xr:uid="{00000000-0005-0000-0000-00009C1D0000}"/>
    <cellStyle name="20% - Accent5 17" xfId="7579" xr:uid="{00000000-0005-0000-0000-00009D1D0000}"/>
    <cellStyle name="20% - Accent5 17 2" xfId="7580" xr:uid="{00000000-0005-0000-0000-00009E1D0000}"/>
    <cellStyle name="20% - Accent5 18" xfId="7581" xr:uid="{00000000-0005-0000-0000-00009F1D0000}"/>
    <cellStyle name="20% - Accent5 18 2" xfId="7582" xr:uid="{00000000-0005-0000-0000-0000A01D0000}"/>
    <cellStyle name="20% - Accent5 19" xfId="7583" xr:uid="{00000000-0005-0000-0000-0000A11D0000}"/>
    <cellStyle name="20% - Accent5 19 2" xfId="7584" xr:uid="{00000000-0005-0000-0000-0000A21D0000}"/>
    <cellStyle name="20% - Accent5 2" xfId="7585" xr:uid="{00000000-0005-0000-0000-0000A31D0000}"/>
    <cellStyle name="20% - Accent5 2 10" xfId="7586" xr:uid="{00000000-0005-0000-0000-0000A41D0000}"/>
    <cellStyle name="20% - Accent5 2 10 2" xfId="7587" xr:uid="{00000000-0005-0000-0000-0000A51D0000}"/>
    <cellStyle name="20% - Accent5 2 11" xfId="7588" xr:uid="{00000000-0005-0000-0000-0000A61D0000}"/>
    <cellStyle name="20% - Accent5 2 11 2" xfId="7589" xr:uid="{00000000-0005-0000-0000-0000A71D0000}"/>
    <cellStyle name="20% - Accent5 2 12" xfId="7590" xr:uid="{00000000-0005-0000-0000-0000A81D0000}"/>
    <cellStyle name="20% - Accent5 2 12 2" xfId="7591" xr:uid="{00000000-0005-0000-0000-0000A91D0000}"/>
    <cellStyle name="20% - Accent5 2 13" xfId="7592" xr:uid="{00000000-0005-0000-0000-0000AA1D0000}"/>
    <cellStyle name="20% - Accent5 2 13 2" xfId="7593" xr:uid="{00000000-0005-0000-0000-0000AB1D0000}"/>
    <cellStyle name="20% - Accent5 2 14" xfId="7594" xr:uid="{00000000-0005-0000-0000-0000AC1D0000}"/>
    <cellStyle name="20% - Accent5 2 14 2" xfId="7595" xr:uid="{00000000-0005-0000-0000-0000AD1D0000}"/>
    <cellStyle name="20% - Accent5 2 15" xfId="7596" xr:uid="{00000000-0005-0000-0000-0000AE1D0000}"/>
    <cellStyle name="20% - Accent5 2 15 2" xfId="7597" xr:uid="{00000000-0005-0000-0000-0000AF1D0000}"/>
    <cellStyle name="20% - Accent5 2 16" xfId="7598" xr:uid="{00000000-0005-0000-0000-0000B01D0000}"/>
    <cellStyle name="20% - Accent5 2 16 2" xfId="7599" xr:uid="{00000000-0005-0000-0000-0000B11D0000}"/>
    <cellStyle name="20% - Accent5 2 17" xfId="7600" xr:uid="{00000000-0005-0000-0000-0000B21D0000}"/>
    <cellStyle name="20% - Accent5 2 17 2" xfId="7601" xr:uid="{00000000-0005-0000-0000-0000B31D0000}"/>
    <cellStyle name="20% - Accent5 2 18" xfId="7602" xr:uid="{00000000-0005-0000-0000-0000B41D0000}"/>
    <cellStyle name="20% - Accent5 2 18 2" xfId="7603" xr:uid="{00000000-0005-0000-0000-0000B51D0000}"/>
    <cellStyle name="20% - Accent5 2 19" xfId="7604" xr:uid="{00000000-0005-0000-0000-0000B61D0000}"/>
    <cellStyle name="20% - Accent5 2 19 2" xfId="7605" xr:uid="{00000000-0005-0000-0000-0000B71D0000}"/>
    <cellStyle name="20% - Accent5 2 2" xfId="7606" xr:uid="{00000000-0005-0000-0000-0000B81D0000}"/>
    <cellStyle name="20% - Accent5 2 2 2" xfId="7607" xr:uid="{00000000-0005-0000-0000-0000B91D0000}"/>
    <cellStyle name="20% - Accent5 2 2 2 2" xfId="7608" xr:uid="{00000000-0005-0000-0000-0000BA1D0000}"/>
    <cellStyle name="20% - Accent5 2 2 3" xfId="7609" xr:uid="{00000000-0005-0000-0000-0000BB1D0000}"/>
    <cellStyle name="20% - Accent5 2 20" xfId="7610" xr:uid="{00000000-0005-0000-0000-0000BC1D0000}"/>
    <cellStyle name="20% - Accent5 2 3" xfId="7611" xr:uid="{00000000-0005-0000-0000-0000BD1D0000}"/>
    <cellStyle name="20% - Accent5 2 3 2" xfId="7612" xr:uid="{00000000-0005-0000-0000-0000BE1D0000}"/>
    <cellStyle name="20% - Accent5 2 4" xfId="7613" xr:uid="{00000000-0005-0000-0000-0000BF1D0000}"/>
    <cellStyle name="20% - Accent5 2 4 2" xfId="7614" xr:uid="{00000000-0005-0000-0000-0000C01D0000}"/>
    <cellStyle name="20% - Accent5 2 5" xfId="7615" xr:uid="{00000000-0005-0000-0000-0000C11D0000}"/>
    <cellStyle name="20% - Accent5 2 5 2" xfId="7616" xr:uid="{00000000-0005-0000-0000-0000C21D0000}"/>
    <cellStyle name="20% - Accent5 2 6" xfId="7617" xr:uid="{00000000-0005-0000-0000-0000C31D0000}"/>
    <cellStyle name="20% - Accent5 2 6 2" xfId="7618" xr:uid="{00000000-0005-0000-0000-0000C41D0000}"/>
    <cellStyle name="20% - Accent5 2 7" xfId="7619" xr:uid="{00000000-0005-0000-0000-0000C51D0000}"/>
    <cellStyle name="20% - Accent5 2 7 2" xfId="7620" xr:uid="{00000000-0005-0000-0000-0000C61D0000}"/>
    <cellStyle name="20% - Accent5 2 8" xfId="7621" xr:uid="{00000000-0005-0000-0000-0000C71D0000}"/>
    <cellStyle name="20% - Accent5 2 8 2" xfId="7622" xr:uid="{00000000-0005-0000-0000-0000C81D0000}"/>
    <cellStyle name="20% - Accent5 2 9" xfId="7623" xr:uid="{00000000-0005-0000-0000-0000C91D0000}"/>
    <cellStyle name="20% - Accent5 2 9 2" xfId="7624" xr:uid="{00000000-0005-0000-0000-0000CA1D0000}"/>
    <cellStyle name="20% - Accent5 20" xfId="7625" xr:uid="{00000000-0005-0000-0000-0000CB1D0000}"/>
    <cellStyle name="20% - Accent5 20 2" xfId="7626" xr:uid="{00000000-0005-0000-0000-0000CC1D0000}"/>
    <cellStyle name="20% - Accent5 21" xfId="7627" xr:uid="{00000000-0005-0000-0000-0000CD1D0000}"/>
    <cellStyle name="20% - Accent5 21 2" xfId="7628" xr:uid="{00000000-0005-0000-0000-0000CE1D0000}"/>
    <cellStyle name="20% - Accent5 22" xfId="7629" xr:uid="{00000000-0005-0000-0000-0000CF1D0000}"/>
    <cellStyle name="20% - Accent5 22 2" xfId="7630" xr:uid="{00000000-0005-0000-0000-0000D01D0000}"/>
    <cellStyle name="20% - Accent5 23" xfId="7631" xr:uid="{00000000-0005-0000-0000-0000D11D0000}"/>
    <cellStyle name="20% - Accent5 23 2" xfId="7632" xr:uid="{00000000-0005-0000-0000-0000D21D0000}"/>
    <cellStyle name="20% - Accent5 24" xfId="7633" xr:uid="{00000000-0005-0000-0000-0000D31D0000}"/>
    <cellStyle name="20% - Accent5 24 2" xfId="7634" xr:uid="{00000000-0005-0000-0000-0000D41D0000}"/>
    <cellStyle name="20% - Accent5 25" xfId="7635" xr:uid="{00000000-0005-0000-0000-0000D51D0000}"/>
    <cellStyle name="20% - Accent5 25 2" xfId="7636" xr:uid="{00000000-0005-0000-0000-0000D61D0000}"/>
    <cellStyle name="20% - Accent5 26" xfId="7637" xr:uid="{00000000-0005-0000-0000-0000D71D0000}"/>
    <cellStyle name="20% - Accent5 26 2" xfId="7638" xr:uid="{00000000-0005-0000-0000-0000D81D0000}"/>
    <cellStyle name="20% - Accent5 27" xfId="7639" xr:uid="{00000000-0005-0000-0000-0000D91D0000}"/>
    <cellStyle name="20% - Accent5 27 2" xfId="7640" xr:uid="{00000000-0005-0000-0000-0000DA1D0000}"/>
    <cellStyle name="20% - Accent5 3" xfId="7641" xr:uid="{00000000-0005-0000-0000-0000DB1D0000}"/>
    <cellStyle name="20% - Accent5 3 2" xfId="7642" xr:uid="{00000000-0005-0000-0000-0000DC1D0000}"/>
    <cellStyle name="20% - Accent5 3 2 2" xfId="7643" xr:uid="{00000000-0005-0000-0000-0000DD1D0000}"/>
    <cellStyle name="20% - Accent5 3 3" xfId="7644" xr:uid="{00000000-0005-0000-0000-0000DE1D0000}"/>
    <cellStyle name="20% - Accent5 4" xfId="7645" xr:uid="{00000000-0005-0000-0000-0000DF1D0000}"/>
    <cellStyle name="20% - Accent5 4 2" xfId="7646" xr:uid="{00000000-0005-0000-0000-0000E01D0000}"/>
    <cellStyle name="20% - Accent5 4 2 2" xfId="7647" xr:uid="{00000000-0005-0000-0000-0000E11D0000}"/>
    <cellStyle name="20% - Accent5 4 3" xfId="7648" xr:uid="{00000000-0005-0000-0000-0000E21D0000}"/>
    <cellStyle name="20% - Accent5 4 3 2" xfId="7649" xr:uid="{00000000-0005-0000-0000-0000E31D0000}"/>
    <cellStyle name="20% - Accent5 4 4" xfId="7650" xr:uid="{00000000-0005-0000-0000-0000E41D0000}"/>
    <cellStyle name="20% - Accent5 5" xfId="7651" xr:uid="{00000000-0005-0000-0000-0000E51D0000}"/>
    <cellStyle name="20% - Accent5 5 2" xfId="7652" xr:uid="{00000000-0005-0000-0000-0000E61D0000}"/>
    <cellStyle name="20% - Accent5 6" xfId="7653" xr:uid="{00000000-0005-0000-0000-0000E71D0000}"/>
    <cellStyle name="20% - Accent5 6 2" xfId="7654" xr:uid="{00000000-0005-0000-0000-0000E81D0000}"/>
    <cellStyle name="20% - Accent5 7" xfId="7655" xr:uid="{00000000-0005-0000-0000-0000E91D0000}"/>
    <cellStyle name="20% - Accent5 7 2" xfId="7656" xr:uid="{00000000-0005-0000-0000-0000EA1D0000}"/>
    <cellStyle name="20% - Accent5 8" xfId="7657" xr:uid="{00000000-0005-0000-0000-0000EB1D0000}"/>
    <cellStyle name="20% - Accent5 8 2" xfId="7658" xr:uid="{00000000-0005-0000-0000-0000EC1D0000}"/>
    <cellStyle name="20% - Accent5 9" xfId="7659" xr:uid="{00000000-0005-0000-0000-0000ED1D0000}"/>
    <cellStyle name="20% - Accent5 9 2" xfId="7660" xr:uid="{00000000-0005-0000-0000-0000EE1D0000}"/>
    <cellStyle name="20% - Accent6 10" xfId="7661" xr:uid="{00000000-0005-0000-0000-0000EF1D0000}"/>
    <cellStyle name="20% - Accent6 10 2" xfId="7662" xr:uid="{00000000-0005-0000-0000-0000F01D0000}"/>
    <cellStyle name="20% - Accent6 11" xfId="7663" xr:uid="{00000000-0005-0000-0000-0000F11D0000}"/>
    <cellStyle name="20% - Accent6 11 2" xfId="7664" xr:uid="{00000000-0005-0000-0000-0000F21D0000}"/>
    <cellStyle name="20% - Accent6 12" xfId="7665" xr:uid="{00000000-0005-0000-0000-0000F31D0000}"/>
    <cellStyle name="20% - Accent6 12 2" xfId="7666" xr:uid="{00000000-0005-0000-0000-0000F41D0000}"/>
    <cellStyle name="20% - Accent6 13" xfId="7667" xr:uid="{00000000-0005-0000-0000-0000F51D0000}"/>
    <cellStyle name="20% - Accent6 13 2" xfId="7668" xr:uid="{00000000-0005-0000-0000-0000F61D0000}"/>
    <cellStyle name="20% - Accent6 14" xfId="7669" xr:uid="{00000000-0005-0000-0000-0000F71D0000}"/>
    <cellStyle name="20% - Accent6 14 2" xfId="7670" xr:uid="{00000000-0005-0000-0000-0000F81D0000}"/>
    <cellStyle name="20% - Accent6 15" xfId="7671" xr:uid="{00000000-0005-0000-0000-0000F91D0000}"/>
    <cellStyle name="20% - Accent6 15 2" xfId="7672" xr:uid="{00000000-0005-0000-0000-0000FA1D0000}"/>
    <cellStyle name="20% - Accent6 16" xfId="7673" xr:uid="{00000000-0005-0000-0000-0000FB1D0000}"/>
    <cellStyle name="20% - Accent6 16 2" xfId="7674" xr:uid="{00000000-0005-0000-0000-0000FC1D0000}"/>
    <cellStyle name="20% - Accent6 17" xfId="7675" xr:uid="{00000000-0005-0000-0000-0000FD1D0000}"/>
    <cellStyle name="20% - Accent6 17 2" xfId="7676" xr:uid="{00000000-0005-0000-0000-0000FE1D0000}"/>
    <cellStyle name="20% - Accent6 18" xfId="7677" xr:uid="{00000000-0005-0000-0000-0000FF1D0000}"/>
    <cellStyle name="20% - Accent6 18 2" xfId="7678" xr:uid="{00000000-0005-0000-0000-0000001E0000}"/>
    <cellStyle name="20% - Accent6 19" xfId="7679" xr:uid="{00000000-0005-0000-0000-0000011E0000}"/>
    <cellStyle name="20% - Accent6 19 2" xfId="7680" xr:uid="{00000000-0005-0000-0000-0000021E0000}"/>
    <cellStyle name="20% - Accent6 2" xfId="7681" xr:uid="{00000000-0005-0000-0000-0000031E0000}"/>
    <cellStyle name="20% - Accent6 2 10" xfId="7682" xr:uid="{00000000-0005-0000-0000-0000041E0000}"/>
    <cellStyle name="20% - Accent6 2 10 2" xfId="7683" xr:uid="{00000000-0005-0000-0000-0000051E0000}"/>
    <cellStyle name="20% - Accent6 2 11" xfId="7684" xr:uid="{00000000-0005-0000-0000-0000061E0000}"/>
    <cellStyle name="20% - Accent6 2 11 2" xfId="7685" xr:uid="{00000000-0005-0000-0000-0000071E0000}"/>
    <cellStyle name="20% - Accent6 2 12" xfId="7686" xr:uid="{00000000-0005-0000-0000-0000081E0000}"/>
    <cellStyle name="20% - Accent6 2 12 2" xfId="7687" xr:uid="{00000000-0005-0000-0000-0000091E0000}"/>
    <cellStyle name="20% - Accent6 2 13" xfId="7688" xr:uid="{00000000-0005-0000-0000-00000A1E0000}"/>
    <cellStyle name="20% - Accent6 2 13 2" xfId="7689" xr:uid="{00000000-0005-0000-0000-00000B1E0000}"/>
    <cellStyle name="20% - Accent6 2 14" xfId="7690" xr:uid="{00000000-0005-0000-0000-00000C1E0000}"/>
    <cellStyle name="20% - Accent6 2 14 2" xfId="7691" xr:uid="{00000000-0005-0000-0000-00000D1E0000}"/>
    <cellStyle name="20% - Accent6 2 15" xfId="7692" xr:uid="{00000000-0005-0000-0000-00000E1E0000}"/>
    <cellStyle name="20% - Accent6 2 15 2" xfId="7693" xr:uid="{00000000-0005-0000-0000-00000F1E0000}"/>
    <cellStyle name="20% - Accent6 2 16" xfId="7694" xr:uid="{00000000-0005-0000-0000-0000101E0000}"/>
    <cellStyle name="20% - Accent6 2 16 2" xfId="7695" xr:uid="{00000000-0005-0000-0000-0000111E0000}"/>
    <cellStyle name="20% - Accent6 2 17" xfId="7696" xr:uid="{00000000-0005-0000-0000-0000121E0000}"/>
    <cellStyle name="20% - Accent6 2 17 2" xfId="7697" xr:uid="{00000000-0005-0000-0000-0000131E0000}"/>
    <cellStyle name="20% - Accent6 2 18" xfId="7698" xr:uid="{00000000-0005-0000-0000-0000141E0000}"/>
    <cellStyle name="20% - Accent6 2 18 2" xfId="7699" xr:uid="{00000000-0005-0000-0000-0000151E0000}"/>
    <cellStyle name="20% - Accent6 2 19" xfId="7700" xr:uid="{00000000-0005-0000-0000-0000161E0000}"/>
    <cellStyle name="20% - Accent6 2 19 2" xfId="7701" xr:uid="{00000000-0005-0000-0000-0000171E0000}"/>
    <cellStyle name="20% - Accent6 2 2" xfId="7702" xr:uid="{00000000-0005-0000-0000-0000181E0000}"/>
    <cellStyle name="20% - Accent6 2 2 2" xfId="7703" xr:uid="{00000000-0005-0000-0000-0000191E0000}"/>
    <cellStyle name="20% - Accent6 2 2 2 2" xfId="7704" xr:uid="{00000000-0005-0000-0000-00001A1E0000}"/>
    <cellStyle name="20% - Accent6 2 2 3" xfId="7705" xr:uid="{00000000-0005-0000-0000-00001B1E0000}"/>
    <cellStyle name="20% - Accent6 2 20" xfId="7706" xr:uid="{00000000-0005-0000-0000-00001C1E0000}"/>
    <cellStyle name="20% - Accent6 2 3" xfId="7707" xr:uid="{00000000-0005-0000-0000-00001D1E0000}"/>
    <cellStyle name="20% - Accent6 2 3 2" xfId="7708" xr:uid="{00000000-0005-0000-0000-00001E1E0000}"/>
    <cellStyle name="20% - Accent6 2 4" xfId="7709" xr:uid="{00000000-0005-0000-0000-00001F1E0000}"/>
    <cellStyle name="20% - Accent6 2 4 2" xfId="7710" xr:uid="{00000000-0005-0000-0000-0000201E0000}"/>
    <cellStyle name="20% - Accent6 2 5" xfId="7711" xr:uid="{00000000-0005-0000-0000-0000211E0000}"/>
    <cellStyle name="20% - Accent6 2 5 2" xfId="7712" xr:uid="{00000000-0005-0000-0000-0000221E0000}"/>
    <cellStyle name="20% - Accent6 2 6" xfId="7713" xr:uid="{00000000-0005-0000-0000-0000231E0000}"/>
    <cellStyle name="20% - Accent6 2 6 2" xfId="7714" xr:uid="{00000000-0005-0000-0000-0000241E0000}"/>
    <cellStyle name="20% - Accent6 2 7" xfId="7715" xr:uid="{00000000-0005-0000-0000-0000251E0000}"/>
    <cellStyle name="20% - Accent6 2 7 2" xfId="7716" xr:uid="{00000000-0005-0000-0000-0000261E0000}"/>
    <cellStyle name="20% - Accent6 2 8" xfId="7717" xr:uid="{00000000-0005-0000-0000-0000271E0000}"/>
    <cellStyle name="20% - Accent6 2 8 2" xfId="7718" xr:uid="{00000000-0005-0000-0000-0000281E0000}"/>
    <cellStyle name="20% - Accent6 2 9" xfId="7719" xr:uid="{00000000-0005-0000-0000-0000291E0000}"/>
    <cellStyle name="20% - Accent6 2 9 2" xfId="7720" xr:uid="{00000000-0005-0000-0000-00002A1E0000}"/>
    <cellStyle name="20% - Accent6 20" xfId="7721" xr:uid="{00000000-0005-0000-0000-00002B1E0000}"/>
    <cellStyle name="20% - Accent6 20 2" xfId="7722" xr:uid="{00000000-0005-0000-0000-00002C1E0000}"/>
    <cellStyle name="20% - Accent6 21" xfId="7723" xr:uid="{00000000-0005-0000-0000-00002D1E0000}"/>
    <cellStyle name="20% - Accent6 21 2" xfId="7724" xr:uid="{00000000-0005-0000-0000-00002E1E0000}"/>
    <cellStyle name="20% - Accent6 22" xfId="7725" xr:uid="{00000000-0005-0000-0000-00002F1E0000}"/>
    <cellStyle name="20% - Accent6 22 2" xfId="7726" xr:uid="{00000000-0005-0000-0000-0000301E0000}"/>
    <cellStyle name="20% - Accent6 23" xfId="7727" xr:uid="{00000000-0005-0000-0000-0000311E0000}"/>
    <cellStyle name="20% - Accent6 23 2" xfId="7728" xr:uid="{00000000-0005-0000-0000-0000321E0000}"/>
    <cellStyle name="20% - Accent6 24" xfId="7729" xr:uid="{00000000-0005-0000-0000-0000331E0000}"/>
    <cellStyle name="20% - Accent6 24 2" xfId="7730" xr:uid="{00000000-0005-0000-0000-0000341E0000}"/>
    <cellStyle name="20% - Accent6 25" xfId="7731" xr:uid="{00000000-0005-0000-0000-0000351E0000}"/>
    <cellStyle name="20% - Accent6 25 2" xfId="7732" xr:uid="{00000000-0005-0000-0000-0000361E0000}"/>
    <cellStyle name="20% - Accent6 26" xfId="7733" xr:uid="{00000000-0005-0000-0000-0000371E0000}"/>
    <cellStyle name="20% - Accent6 26 2" xfId="7734" xr:uid="{00000000-0005-0000-0000-0000381E0000}"/>
    <cellStyle name="20% - Accent6 27" xfId="7735" xr:uid="{00000000-0005-0000-0000-0000391E0000}"/>
    <cellStyle name="20% - Accent6 27 2" xfId="7736" xr:uid="{00000000-0005-0000-0000-00003A1E0000}"/>
    <cellStyle name="20% - Accent6 3" xfId="7737" xr:uid="{00000000-0005-0000-0000-00003B1E0000}"/>
    <cellStyle name="20% - Accent6 3 2" xfId="7738" xr:uid="{00000000-0005-0000-0000-00003C1E0000}"/>
    <cellStyle name="20% - Accent6 3 2 2" xfId="7739" xr:uid="{00000000-0005-0000-0000-00003D1E0000}"/>
    <cellStyle name="20% - Accent6 3 3" xfId="7740" xr:uid="{00000000-0005-0000-0000-00003E1E0000}"/>
    <cellStyle name="20% - Accent6 4" xfId="7741" xr:uid="{00000000-0005-0000-0000-00003F1E0000}"/>
    <cellStyle name="20% - Accent6 4 2" xfId="7742" xr:uid="{00000000-0005-0000-0000-0000401E0000}"/>
    <cellStyle name="20% - Accent6 4 2 2" xfId="7743" xr:uid="{00000000-0005-0000-0000-0000411E0000}"/>
    <cellStyle name="20% - Accent6 4 3" xfId="7744" xr:uid="{00000000-0005-0000-0000-0000421E0000}"/>
    <cellStyle name="20% - Accent6 4 3 2" xfId="7745" xr:uid="{00000000-0005-0000-0000-0000431E0000}"/>
    <cellStyle name="20% - Accent6 4 4" xfId="7746" xr:uid="{00000000-0005-0000-0000-0000441E0000}"/>
    <cellStyle name="20% - Accent6 5" xfId="7747" xr:uid="{00000000-0005-0000-0000-0000451E0000}"/>
    <cellStyle name="20% - Accent6 5 2" xfId="7748" xr:uid="{00000000-0005-0000-0000-0000461E0000}"/>
    <cellStyle name="20% - Accent6 6" xfId="7749" xr:uid="{00000000-0005-0000-0000-0000471E0000}"/>
    <cellStyle name="20% - Accent6 6 2" xfId="7750" xr:uid="{00000000-0005-0000-0000-0000481E0000}"/>
    <cellStyle name="20% - Accent6 7" xfId="7751" xr:uid="{00000000-0005-0000-0000-0000491E0000}"/>
    <cellStyle name="20% - Accent6 7 2" xfId="7752" xr:uid="{00000000-0005-0000-0000-00004A1E0000}"/>
    <cellStyle name="20% - Accent6 8" xfId="7753" xr:uid="{00000000-0005-0000-0000-00004B1E0000}"/>
    <cellStyle name="20% - Accent6 8 2" xfId="7754" xr:uid="{00000000-0005-0000-0000-00004C1E0000}"/>
    <cellStyle name="20% - Accent6 9" xfId="7755" xr:uid="{00000000-0005-0000-0000-00004D1E0000}"/>
    <cellStyle name="20% - Accent6 9 2" xfId="7756" xr:uid="{00000000-0005-0000-0000-00004E1E0000}"/>
    <cellStyle name="20% - Ênfase1" xfId="7757" xr:uid="{00000000-0005-0000-0000-00004F1E0000}"/>
    <cellStyle name="20% - Ênfase2" xfId="7758" xr:uid="{00000000-0005-0000-0000-0000501E0000}"/>
    <cellStyle name="20% - Ênfase3" xfId="7759" xr:uid="{00000000-0005-0000-0000-0000511E0000}"/>
    <cellStyle name="20% - Ênfase4" xfId="7760" xr:uid="{00000000-0005-0000-0000-0000521E0000}"/>
    <cellStyle name="20% - Ênfase5" xfId="7761" xr:uid="{00000000-0005-0000-0000-0000531E0000}"/>
    <cellStyle name="20% - Ênfase6" xfId="7762" xr:uid="{00000000-0005-0000-0000-0000541E0000}"/>
    <cellStyle name="20% - アクセント 1" xfId="7763" xr:uid="{00000000-0005-0000-0000-0000551E0000}"/>
    <cellStyle name="20% - アクセント 2" xfId="7764" xr:uid="{00000000-0005-0000-0000-0000561E0000}"/>
    <cellStyle name="20% - アクセント 3" xfId="7765" xr:uid="{00000000-0005-0000-0000-0000571E0000}"/>
    <cellStyle name="20% - アクセント 4" xfId="7766" xr:uid="{00000000-0005-0000-0000-0000581E0000}"/>
    <cellStyle name="20% - アクセント 5" xfId="7767" xr:uid="{00000000-0005-0000-0000-0000591E0000}"/>
    <cellStyle name="20% - アクセント 6" xfId="7768" xr:uid="{00000000-0005-0000-0000-00005A1E0000}"/>
    <cellStyle name="20% - 强调文字颜色 1" xfId="7769" xr:uid="{00000000-0005-0000-0000-00005B1E0000}"/>
    <cellStyle name="20% - 强调文字颜色 1 2" xfId="7770" xr:uid="{00000000-0005-0000-0000-00005C1E0000}"/>
    <cellStyle name="20% - 强调文字颜色 1 3" xfId="7771" xr:uid="{00000000-0005-0000-0000-00005D1E0000}"/>
    <cellStyle name="20% - 强调文字颜色 1 4" xfId="7772" xr:uid="{00000000-0005-0000-0000-00005E1E0000}"/>
    <cellStyle name="20% - 强调文字颜色 1 5" xfId="7773" xr:uid="{00000000-0005-0000-0000-00005F1E0000}"/>
    <cellStyle name="20% - 强调文字颜色 1 6" xfId="7774" xr:uid="{00000000-0005-0000-0000-0000601E0000}"/>
    <cellStyle name="20% - 强调文字颜色 2" xfId="7775" xr:uid="{00000000-0005-0000-0000-0000611E0000}"/>
    <cellStyle name="20% - 强调文字颜色 2 2" xfId="7776" xr:uid="{00000000-0005-0000-0000-0000621E0000}"/>
    <cellStyle name="20% - 强调文字颜色 2 3" xfId="7777" xr:uid="{00000000-0005-0000-0000-0000631E0000}"/>
    <cellStyle name="20% - 强调文字颜色 2 4" xfId="7778" xr:uid="{00000000-0005-0000-0000-0000641E0000}"/>
    <cellStyle name="20% - 强调文字颜色 2 5" xfId="7779" xr:uid="{00000000-0005-0000-0000-0000651E0000}"/>
    <cellStyle name="20% - 强调文字颜色 2 6" xfId="7780" xr:uid="{00000000-0005-0000-0000-0000661E0000}"/>
    <cellStyle name="20% - 强调文字颜色 3" xfId="7781" xr:uid="{00000000-0005-0000-0000-0000671E0000}"/>
    <cellStyle name="20% - 强调文字颜色 3 2" xfId="7782" xr:uid="{00000000-0005-0000-0000-0000681E0000}"/>
    <cellStyle name="20% - 强调文字颜色 3 3" xfId="7783" xr:uid="{00000000-0005-0000-0000-0000691E0000}"/>
    <cellStyle name="20% - 强调文字颜色 3 4" xfId="7784" xr:uid="{00000000-0005-0000-0000-00006A1E0000}"/>
    <cellStyle name="20% - 强调文字颜色 3 5" xfId="7785" xr:uid="{00000000-0005-0000-0000-00006B1E0000}"/>
    <cellStyle name="20% - 强调文字颜色 3 6" xfId="7786" xr:uid="{00000000-0005-0000-0000-00006C1E0000}"/>
    <cellStyle name="20% - 强调文字颜色 4" xfId="7787" xr:uid="{00000000-0005-0000-0000-00006D1E0000}"/>
    <cellStyle name="20% - 强调文字颜色 4 2" xfId="7788" xr:uid="{00000000-0005-0000-0000-00006E1E0000}"/>
    <cellStyle name="20% - 强调文字颜色 4 3" xfId="7789" xr:uid="{00000000-0005-0000-0000-00006F1E0000}"/>
    <cellStyle name="20% - 强调文字颜色 4 4" xfId="7790" xr:uid="{00000000-0005-0000-0000-0000701E0000}"/>
    <cellStyle name="20% - 强调文字颜色 4 5" xfId="7791" xr:uid="{00000000-0005-0000-0000-0000711E0000}"/>
    <cellStyle name="20% - 强调文字颜色 4 6" xfId="7792" xr:uid="{00000000-0005-0000-0000-0000721E0000}"/>
    <cellStyle name="20% - 强调文字颜色 5" xfId="7793" xr:uid="{00000000-0005-0000-0000-0000731E0000}"/>
    <cellStyle name="20% - 强调文字颜色 5 2" xfId="7794" xr:uid="{00000000-0005-0000-0000-0000741E0000}"/>
    <cellStyle name="20% - 强调文字颜色 5 3" xfId="7795" xr:uid="{00000000-0005-0000-0000-0000751E0000}"/>
    <cellStyle name="20% - 强调文字颜色 5 4" xfId="7796" xr:uid="{00000000-0005-0000-0000-0000761E0000}"/>
    <cellStyle name="20% - 强调文字颜色 5 5" xfId="7797" xr:uid="{00000000-0005-0000-0000-0000771E0000}"/>
    <cellStyle name="20% - 强调文字颜色 5 6" xfId="7798" xr:uid="{00000000-0005-0000-0000-0000781E0000}"/>
    <cellStyle name="20% - 强调文字颜色 6" xfId="7799" xr:uid="{00000000-0005-0000-0000-0000791E0000}"/>
    <cellStyle name="20% - 强调文字颜色 6 2" xfId="7800" xr:uid="{00000000-0005-0000-0000-00007A1E0000}"/>
    <cellStyle name="20% - 强调文字颜色 6 3" xfId="7801" xr:uid="{00000000-0005-0000-0000-00007B1E0000}"/>
    <cellStyle name="20% - 强调文字颜色 6 4" xfId="7802" xr:uid="{00000000-0005-0000-0000-00007C1E0000}"/>
    <cellStyle name="20% - 强调文字颜色 6 5" xfId="7803" xr:uid="{00000000-0005-0000-0000-00007D1E0000}"/>
    <cellStyle name="20% - 强调文字颜色 6 6" xfId="7804" xr:uid="{00000000-0005-0000-0000-00007E1E0000}"/>
    <cellStyle name="259 PN" xfId="7805" xr:uid="{00000000-0005-0000-0000-00007F1E0000}"/>
    <cellStyle name="40 % - Accent1" xfId="7806" xr:uid="{00000000-0005-0000-0000-0000801E0000}"/>
    <cellStyle name="40 % - Accent1 2" xfId="7807" xr:uid="{00000000-0005-0000-0000-0000811E0000}"/>
    <cellStyle name="40 % - Accent2" xfId="7808" xr:uid="{00000000-0005-0000-0000-0000821E0000}"/>
    <cellStyle name="40 % - Accent2 2" xfId="7809" xr:uid="{00000000-0005-0000-0000-0000831E0000}"/>
    <cellStyle name="40 % - Accent3" xfId="7810" xr:uid="{00000000-0005-0000-0000-0000841E0000}"/>
    <cellStyle name="40 % - Accent3 2" xfId="7811" xr:uid="{00000000-0005-0000-0000-0000851E0000}"/>
    <cellStyle name="40 % - Accent4" xfId="7812" xr:uid="{00000000-0005-0000-0000-0000861E0000}"/>
    <cellStyle name="40 % - Accent4 2" xfId="7813" xr:uid="{00000000-0005-0000-0000-0000871E0000}"/>
    <cellStyle name="40 % - Accent5" xfId="7814" xr:uid="{00000000-0005-0000-0000-0000881E0000}"/>
    <cellStyle name="40 % - Accent5 2" xfId="7815" xr:uid="{00000000-0005-0000-0000-0000891E0000}"/>
    <cellStyle name="40 % - Accent6" xfId="7816" xr:uid="{00000000-0005-0000-0000-00008A1E0000}"/>
    <cellStyle name="40 % - Accent6 2" xfId="7817" xr:uid="{00000000-0005-0000-0000-00008B1E0000}"/>
    <cellStyle name="40% - ?????? 1 2" xfId="7818" xr:uid="{00000000-0005-0000-0000-00008C1E0000}"/>
    <cellStyle name="40% - ?????? 1 3" xfId="7819" xr:uid="{00000000-0005-0000-0000-00008D1E0000}"/>
    <cellStyle name="40% - ?????? 1 4" xfId="7820" xr:uid="{00000000-0005-0000-0000-00008E1E0000}"/>
    <cellStyle name="40% - ?????? 1 5" xfId="7821" xr:uid="{00000000-0005-0000-0000-00008F1E0000}"/>
    <cellStyle name="40% - ?????? 2 2" xfId="7822" xr:uid="{00000000-0005-0000-0000-0000901E0000}"/>
    <cellStyle name="40% - ?????? 2 3" xfId="7823" xr:uid="{00000000-0005-0000-0000-0000911E0000}"/>
    <cellStyle name="40% - ?????? 2 4" xfId="7824" xr:uid="{00000000-0005-0000-0000-0000921E0000}"/>
    <cellStyle name="40% - ?????? 2 5" xfId="7825" xr:uid="{00000000-0005-0000-0000-0000931E0000}"/>
    <cellStyle name="40% - ?????? 3 2" xfId="7826" xr:uid="{00000000-0005-0000-0000-0000941E0000}"/>
    <cellStyle name="40% - ?????? 3 3" xfId="7827" xr:uid="{00000000-0005-0000-0000-0000951E0000}"/>
    <cellStyle name="40% - ?????? 3 4" xfId="7828" xr:uid="{00000000-0005-0000-0000-0000961E0000}"/>
    <cellStyle name="40% - ?????? 3 5" xfId="7829" xr:uid="{00000000-0005-0000-0000-0000971E0000}"/>
    <cellStyle name="40% - ?????? 4 2" xfId="7830" xr:uid="{00000000-0005-0000-0000-0000981E0000}"/>
    <cellStyle name="40% - ?????? 4 3" xfId="7831" xr:uid="{00000000-0005-0000-0000-0000991E0000}"/>
    <cellStyle name="40% - ?????? 4 4" xfId="7832" xr:uid="{00000000-0005-0000-0000-00009A1E0000}"/>
    <cellStyle name="40% - ?????? 4 5" xfId="7833" xr:uid="{00000000-0005-0000-0000-00009B1E0000}"/>
    <cellStyle name="40% - ?????? 5 2" xfId="7834" xr:uid="{00000000-0005-0000-0000-00009C1E0000}"/>
    <cellStyle name="40% - ?????? 5 3" xfId="7835" xr:uid="{00000000-0005-0000-0000-00009D1E0000}"/>
    <cellStyle name="40% - ?????? 5 4" xfId="7836" xr:uid="{00000000-0005-0000-0000-00009E1E0000}"/>
    <cellStyle name="40% - ?????? 5 5" xfId="7837" xr:uid="{00000000-0005-0000-0000-00009F1E0000}"/>
    <cellStyle name="40% - ?????? 6 2" xfId="7838" xr:uid="{00000000-0005-0000-0000-0000A01E0000}"/>
    <cellStyle name="40% - ?????? 6 3" xfId="7839" xr:uid="{00000000-0005-0000-0000-0000A11E0000}"/>
    <cellStyle name="40% - ?????? 6 4" xfId="7840" xr:uid="{00000000-0005-0000-0000-0000A21E0000}"/>
    <cellStyle name="40% - ?????? 6 5" xfId="7841" xr:uid="{00000000-0005-0000-0000-0000A31E0000}"/>
    <cellStyle name="40% - Accent1 10" xfId="7842" xr:uid="{00000000-0005-0000-0000-0000A41E0000}"/>
    <cellStyle name="40% - Accent1 10 2" xfId="7843" xr:uid="{00000000-0005-0000-0000-0000A51E0000}"/>
    <cellStyle name="40% - Accent1 11" xfId="7844" xr:uid="{00000000-0005-0000-0000-0000A61E0000}"/>
    <cellStyle name="40% - Accent1 11 2" xfId="7845" xr:uid="{00000000-0005-0000-0000-0000A71E0000}"/>
    <cellStyle name="40% - Accent1 12" xfId="7846" xr:uid="{00000000-0005-0000-0000-0000A81E0000}"/>
    <cellStyle name="40% - Accent1 12 2" xfId="7847" xr:uid="{00000000-0005-0000-0000-0000A91E0000}"/>
    <cellStyle name="40% - Accent1 13" xfId="7848" xr:uid="{00000000-0005-0000-0000-0000AA1E0000}"/>
    <cellStyle name="40% - Accent1 13 2" xfId="7849" xr:uid="{00000000-0005-0000-0000-0000AB1E0000}"/>
    <cellStyle name="40% - Accent1 14" xfId="7850" xr:uid="{00000000-0005-0000-0000-0000AC1E0000}"/>
    <cellStyle name="40% - Accent1 14 2" xfId="7851" xr:uid="{00000000-0005-0000-0000-0000AD1E0000}"/>
    <cellStyle name="40% - Accent1 15" xfId="7852" xr:uid="{00000000-0005-0000-0000-0000AE1E0000}"/>
    <cellStyle name="40% - Accent1 15 2" xfId="7853" xr:uid="{00000000-0005-0000-0000-0000AF1E0000}"/>
    <cellStyle name="40% - Accent1 16" xfId="7854" xr:uid="{00000000-0005-0000-0000-0000B01E0000}"/>
    <cellStyle name="40% - Accent1 16 2" xfId="7855" xr:uid="{00000000-0005-0000-0000-0000B11E0000}"/>
    <cellStyle name="40% - Accent1 17" xfId="7856" xr:uid="{00000000-0005-0000-0000-0000B21E0000}"/>
    <cellStyle name="40% - Accent1 17 2" xfId="7857" xr:uid="{00000000-0005-0000-0000-0000B31E0000}"/>
    <cellStyle name="40% - Accent1 18" xfId="7858" xr:uid="{00000000-0005-0000-0000-0000B41E0000}"/>
    <cellStyle name="40% - Accent1 18 2" xfId="7859" xr:uid="{00000000-0005-0000-0000-0000B51E0000}"/>
    <cellStyle name="40% - Accent1 19" xfId="7860" xr:uid="{00000000-0005-0000-0000-0000B61E0000}"/>
    <cellStyle name="40% - Accent1 19 2" xfId="7861" xr:uid="{00000000-0005-0000-0000-0000B71E0000}"/>
    <cellStyle name="40% - Accent1 2" xfId="7862" xr:uid="{00000000-0005-0000-0000-0000B81E0000}"/>
    <cellStyle name="40% - Accent1 2 10" xfId="7863" xr:uid="{00000000-0005-0000-0000-0000B91E0000}"/>
    <cellStyle name="40% - Accent1 2 10 2" xfId="7864" xr:uid="{00000000-0005-0000-0000-0000BA1E0000}"/>
    <cellStyle name="40% - Accent1 2 11" xfId="7865" xr:uid="{00000000-0005-0000-0000-0000BB1E0000}"/>
    <cellStyle name="40% - Accent1 2 11 2" xfId="7866" xr:uid="{00000000-0005-0000-0000-0000BC1E0000}"/>
    <cellStyle name="40% - Accent1 2 12" xfId="7867" xr:uid="{00000000-0005-0000-0000-0000BD1E0000}"/>
    <cellStyle name="40% - Accent1 2 12 2" xfId="7868" xr:uid="{00000000-0005-0000-0000-0000BE1E0000}"/>
    <cellStyle name="40% - Accent1 2 13" xfId="7869" xr:uid="{00000000-0005-0000-0000-0000BF1E0000}"/>
    <cellStyle name="40% - Accent1 2 13 2" xfId="7870" xr:uid="{00000000-0005-0000-0000-0000C01E0000}"/>
    <cellStyle name="40% - Accent1 2 14" xfId="7871" xr:uid="{00000000-0005-0000-0000-0000C11E0000}"/>
    <cellStyle name="40% - Accent1 2 14 2" xfId="7872" xr:uid="{00000000-0005-0000-0000-0000C21E0000}"/>
    <cellStyle name="40% - Accent1 2 15" xfId="7873" xr:uid="{00000000-0005-0000-0000-0000C31E0000}"/>
    <cellStyle name="40% - Accent1 2 15 2" xfId="7874" xr:uid="{00000000-0005-0000-0000-0000C41E0000}"/>
    <cellStyle name="40% - Accent1 2 16" xfId="7875" xr:uid="{00000000-0005-0000-0000-0000C51E0000}"/>
    <cellStyle name="40% - Accent1 2 16 2" xfId="7876" xr:uid="{00000000-0005-0000-0000-0000C61E0000}"/>
    <cellStyle name="40% - Accent1 2 17" xfId="7877" xr:uid="{00000000-0005-0000-0000-0000C71E0000}"/>
    <cellStyle name="40% - Accent1 2 17 2" xfId="7878" xr:uid="{00000000-0005-0000-0000-0000C81E0000}"/>
    <cellStyle name="40% - Accent1 2 18" xfId="7879" xr:uid="{00000000-0005-0000-0000-0000C91E0000}"/>
    <cellStyle name="40% - Accent1 2 18 2" xfId="7880" xr:uid="{00000000-0005-0000-0000-0000CA1E0000}"/>
    <cellStyle name="40% - Accent1 2 19" xfId="7881" xr:uid="{00000000-0005-0000-0000-0000CB1E0000}"/>
    <cellStyle name="40% - Accent1 2 19 2" xfId="7882" xr:uid="{00000000-0005-0000-0000-0000CC1E0000}"/>
    <cellStyle name="40% - Accent1 2 2" xfId="7883" xr:uid="{00000000-0005-0000-0000-0000CD1E0000}"/>
    <cellStyle name="40% - Accent1 2 2 2" xfId="7884" xr:uid="{00000000-0005-0000-0000-0000CE1E0000}"/>
    <cellStyle name="40% - Accent1 2 2 2 2" xfId="7885" xr:uid="{00000000-0005-0000-0000-0000CF1E0000}"/>
    <cellStyle name="40% - Accent1 2 2 3" xfId="7886" xr:uid="{00000000-0005-0000-0000-0000D01E0000}"/>
    <cellStyle name="40% - Accent1 2 20" xfId="7887" xr:uid="{00000000-0005-0000-0000-0000D11E0000}"/>
    <cellStyle name="40% - Accent1 2 3" xfId="7888" xr:uid="{00000000-0005-0000-0000-0000D21E0000}"/>
    <cellStyle name="40% - Accent1 2 3 2" xfId="7889" xr:uid="{00000000-0005-0000-0000-0000D31E0000}"/>
    <cellStyle name="40% - Accent1 2 4" xfId="7890" xr:uid="{00000000-0005-0000-0000-0000D41E0000}"/>
    <cellStyle name="40% - Accent1 2 4 2" xfId="7891" xr:uid="{00000000-0005-0000-0000-0000D51E0000}"/>
    <cellStyle name="40% - Accent1 2 5" xfId="7892" xr:uid="{00000000-0005-0000-0000-0000D61E0000}"/>
    <cellStyle name="40% - Accent1 2 5 2" xfId="7893" xr:uid="{00000000-0005-0000-0000-0000D71E0000}"/>
    <cellStyle name="40% - Accent1 2 6" xfId="7894" xr:uid="{00000000-0005-0000-0000-0000D81E0000}"/>
    <cellStyle name="40% - Accent1 2 6 2" xfId="7895" xr:uid="{00000000-0005-0000-0000-0000D91E0000}"/>
    <cellStyle name="40% - Accent1 2 7" xfId="7896" xr:uid="{00000000-0005-0000-0000-0000DA1E0000}"/>
    <cellStyle name="40% - Accent1 2 7 2" xfId="7897" xr:uid="{00000000-0005-0000-0000-0000DB1E0000}"/>
    <cellStyle name="40% - Accent1 2 8" xfId="7898" xr:uid="{00000000-0005-0000-0000-0000DC1E0000}"/>
    <cellStyle name="40% - Accent1 2 8 2" xfId="7899" xr:uid="{00000000-0005-0000-0000-0000DD1E0000}"/>
    <cellStyle name="40% - Accent1 2 9" xfId="7900" xr:uid="{00000000-0005-0000-0000-0000DE1E0000}"/>
    <cellStyle name="40% - Accent1 2 9 2" xfId="7901" xr:uid="{00000000-0005-0000-0000-0000DF1E0000}"/>
    <cellStyle name="40% - Accent1 20" xfId="7902" xr:uid="{00000000-0005-0000-0000-0000E01E0000}"/>
    <cellStyle name="40% - Accent1 20 2" xfId="7903" xr:uid="{00000000-0005-0000-0000-0000E11E0000}"/>
    <cellStyle name="40% - Accent1 21" xfId="7904" xr:uid="{00000000-0005-0000-0000-0000E21E0000}"/>
    <cellStyle name="40% - Accent1 21 2" xfId="7905" xr:uid="{00000000-0005-0000-0000-0000E31E0000}"/>
    <cellStyle name="40% - Accent1 22" xfId="7906" xr:uid="{00000000-0005-0000-0000-0000E41E0000}"/>
    <cellStyle name="40% - Accent1 22 2" xfId="7907" xr:uid="{00000000-0005-0000-0000-0000E51E0000}"/>
    <cellStyle name="40% - Accent1 23" xfId="7908" xr:uid="{00000000-0005-0000-0000-0000E61E0000}"/>
    <cellStyle name="40% - Accent1 23 2" xfId="7909" xr:uid="{00000000-0005-0000-0000-0000E71E0000}"/>
    <cellStyle name="40% - Accent1 24" xfId="7910" xr:uid="{00000000-0005-0000-0000-0000E81E0000}"/>
    <cellStyle name="40% - Accent1 24 2" xfId="7911" xr:uid="{00000000-0005-0000-0000-0000E91E0000}"/>
    <cellStyle name="40% - Accent1 25" xfId="7912" xr:uid="{00000000-0005-0000-0000-0000EA1E0000}"/>
    <cellStyle name="40% - Accent1 25 2" xfId="7913" xr:uid="{00000000-0005-0000-0000-0000EB1E0000}"/>
    <cellStyle name="40% - Accent1 26" xfId="7914" xr:uid="{00000000-0005-0000-0000-0000EC1E0000}"/>
    <cellStyle name="40% - Accent1 26 2" xfId="7915" xr:uid="{00000000-0005-0000-0000-0000ED1E0000}"/>
    <cellStyle name="40% - Accent1 27" xfId="7916" xr:uid="{00000000-0005-0000-0000-0000EE1E0000}"/>
    <cellStyle name="40% - Accent1 27 2" xfId="7917" xr:uid="{00000000-0005-0000-0000-0000EF1E0000}"/>
    <cellStyle name="40% - Accent1 3" xfId="7918" xr:uid="{00000000-0005-0000-0000-0000F01E0000}"/>
    <cellStyle name="40% - Accent1 3 2" xfId="7919" xr:uid="{00000000-0005-0000-0000-0000F11E0000}"/>
    <cellStyle name="40% - Accent1 3 2 2" xfId="7920" xr:uid="{00000000-0005-0000-0000-0000F21E0000}"/>
    <cellStyle name="40% - Accent1 3 3" xfId="7921" xr:uid="{00000000-0005-0000-0000-0000F31E0000}"/>
    <cellStyle name="40% - Accent1 4" xfId="7922" xr:uid="{00000000-0005-0000-0000-0000F41E0000}"/>
    <cellStyle name="40% - Accent1 4 2" xfId="7923" xr:uid="{00000000-0005-0000-0000-0000F51E0000}"/>
    <cellStyle name="40% - Accent1 4 2 2" xfId="7924" xr:uid="{00000000-0005-0000-0000-0000F61E0000}"/>
    <cellStyle name="40% - Accent1 4 3" xfId="7925" xr:uid="{00000000-0005-0000-0000-0000F71E0000}"/>
    <cellStyle name="40% - Accent1 4 3 2" xfId="7926" xr:uid="{00000000-0005-0000-0000-0000F81E0000}"/>
    <cellStyle name="40% - Accent1 4 4" xfId="7927" xr:uid="{00000000-0005-0000-0000-0000F91E0000}"/>
    <cellStyle name="40% - Accent1 5" xfId="7928" xr:uid="{00000000-0005-0000-0000-0000FA1E0000}"/>
    <cellStyle name="40% - Accent1 5 2" xfId="7929" xr:uid="{00000000-0005-0000-0000-0000FB1E0000}"/>
    <cellStyle name="40% - Accent1 6" xfId="7930" xr:uid="{00000000-0005-0000-0000-0000FC1E0000}"/>
    <cellStyle name="40% - Accent1 6 2" xfId="7931" xr:uid="{00000000-0005-0000-0000-0000FD1E0000}"/>
    <cellStyle name="40% - Accent1 7" xfId="7932" xr:uid="{00000000-0005-0000-0000-0000FE1E0000}"/>
    <cellStyle name="40% - Accent1 7 2" xfId="7933" xr:uid="{00000000-0005-0000-0000-0000FF1E0000}"/>
    <cellStyle name="40% - Accent1 8" xfId="7934" xr:uid="{00000000-0005-0000-0000-0000001F0000}"/>
    <cellStyle name="40% - Accent1 8 2" xfId="7935" xr:uid="{00000000-0005-0000-0000-0000011F0000}"/>
    <cellStyle name="40% - Accent1 9" xfId="7936" xr:uid="{00000000-0005-0000-0000-0000021F0000}"/>
    <cellStyle name="40% - Accent1 9 2" xfId="7937" xr:uid="{00000000-0005-0000-0000-0000031F0000}"/>
    <cellStyle name="40% - Accent2 10" xfId="7938" xr:uid="{00000000-0005-0000-0000-0000041F0000}"/>
    <cellStyle name="40% - Accent2 10 2" xfId="7939" xr:uid="{00000000-0005-0000-0000-0000051F0000}"/>
    <cellStyle name="40% - Accent2 11" xfId="7940" xr:uid="{00000000-0005-0000-0000-0000061F0000}"/>
    <cellStyle name="40% - Accent2 11 2" xfId="7941" xr:uid="{00000000-0005-0000-0000-0000071F0000}"/>
    <cellStyle name="40% - Accent2 12" xfId="7942" xr:uid="{00000000-0005-0000-0000-0000081F0000}"/>
    <cellStyle name="40% - Accent2 12 2" xfId="7943" xr:uid="{00000000-0005-0000-0000-0000091F0000}"/>
    <cellStyle name="40% - Accent2 13" xfId="7944" xr:uid="{00000000-0005-0000-0000-00000A1F0000}"/>
    <cellStyle name="40% - Accent2 13 2" xfId="7945" xr:uid="{00000000-0005-0000-0000-00000B1F0000}"/>
    <cellStyle name="40% - Accent2 14" xfId="7946" xr:uid="{00000000-0005-0000-0000-00000C1F0000}"/>
    <cellStyle name="40% - Accent2 14 2" xfId="7947" xr:uid="{00000000-0005-0000-0000-00000D1F0000}"/>
    <cellStyle name="40% - Accent2 15" xfId="7948" xr:uid="{00000000-0005-0000-0000-00000E1F0000}"/>
    <cellStyle name="40% - Accent2 15 2" xfId="7949" xr:uid="{00000000-0005-0000-0000-00000F1F0000}"/>
    <cellStyle name="40% - Accent2 16" xfId="7950" xr:uid="{00000000-0005-0000-0000-0000101F0000}"/>
    <cellStyle name="40% - Accent2 16 2" xfId="7951" xr:uid="{00000000-0005-0000-0000-0000111F0000}"/>
    <cellStyle name="40% - Accent2 17" xfId="7952" xr:uid="{00000000-0005-0000-0000-0000121F0000}"/>
    <cellStyle name="40% - Accent2 17 2" xfId="7953" xr:uid="{00000000-0005-0000-0000-0000131F0000}"/>
    <cellStyle name="40% - Accent2 18" xfId="7954" xr:uid="{00000000-0005-0000-0000-0000141F0000}"/>
    <cellStyle name="40% - Accent2 18 2" xfId="7955" xr:uid="{00000000-0005-0000-0000-0000151F0000}"/>
    <cellStyle name="40% - Accent2 19" xfId="7956" xr:uid="{00000000-0005-0000-0000-0000161F0000}"/>
    <cellStyle name="40% - Accent2 19 2" xfId="7957" xr:uid="{00000000-0005-0000-0000-0000171F0000}"/>
    <cellStyle name="40% - Accent2 2" xfId="7958" xr:uid="{00000000-0005-0000-0000-0000181F0000}"/>
    <cellStyle name="40% - Accent2 2 10" xfId="7959" xr:uid="{00000000-0005-0000-0000-0000191F0000}"/>
    <cellStyle name="40% - Accent2 2 10 2" xfId="7960" xr:uid="{00000000-0005-0000-0000-00001A1F0000}"/>
    <cellStyle name="40% - Accent2 2 11" xfId="7961" xr:uid="{00000000-0005-0000-0000-00001B1F0000}"/>
    <cellStyle name="40% - Accent2 2 11 2" xfId="7962" xr:uid="{00000000-0005-0000-0000-00001C1F0000}"/>
    <cellStyle name="40% - Accent2 2 12" xfId="7963" xr:uid="{00000000-0005-0000-0000-00001D1F0000}"/>
    <cellStyle name="40% - Accent2 2 12 2" xfId="7964" xr:uid="{00000000-0005-0000-0000-00001E1F0000}"/>
    <cellStyle name="40% - Accent2 2 13" xfId="7965" xr:uid="{00000000-0005-0000-0000-00001F1F0000}"/>
    <cellStyle name="40% - Accent2 2 13 2" xfId="7966" xr:uid="{00000000-0005-0000-0000-0000201F0000}"/>
    <cellStyle name="40% - Accent2 2 14" xfId="7967" xr:uid="{00000000-0005-0000-0000-0000211F0000}"/>
    <cellStyle name="40% - Accent2 2 14 2" xfId="7968" xr:uid="{00000000-0005-0000-0000-0000221F0000}"/>
    <cellStyle name="40% - Accent2 2 15" xfId="7969" xr:uid="{00000000-0005-0000-0000-0000231F0000}"/>
    <cellStyle name="40% - Accent2 2 15 2" xfId="7970" xr:uid="{00000000-0005-0000-0000-0000241F0000}"/>
    <cellStyle name="40% - Accent2 2 16" xfId="7971" xr:uid="{00000000-0005-0000-0000-0000251F0000}"/>
    <cellStyle name="40% - Accent2 2 16 2" xfId="7972" xr:uid="{00000000-0005-0000-0000-0000261F0000}"/>
    <cellStyle name="40% - Accent2 2 17" xfId="7973" xr:uid="{00000000-0005-0000-0000-0000271F0000}"/>
    <cellStyle name="40% - Accent2 2 17 2" xfId="7974" xr:uid="{00000000-0005-0000-0000-0000281F0000}"/>
    <cellStyle name="40% - Accent2 2 18" xfId="7975" xr:uid="{00000000-0005-0000-0000-0000291F0000}"/>
    <cellStyle name="40% - Accent2 2 18 2" xfId="7976" xr:uid="{00000000-0005-0000-0000-00002A1F0000}"/>
    <cellStyle name="40% - Accent2 2 19" xfId="7977" xr:uid="{00000000-0005-0000-0000-00002B1F0000}"/>
    <cellStyle name="40% - Accent2 2 19 2" xfId="7978" xr:uid="{00000000-0005-0000-0000-00002C1F0000}"/>
    <cellStyle name="40% - Accent2 2 2" xfId="7979" xr:uid="{00000000-0005-0000-0000-00002D1F0000}"/>
    <cellStyle name="40% - Accent2 2 2 2" xfId="7980" xr:uid="{00000000-0005-0000-0000-00002E1F0000}"/>
    <cellStyle name="40% - Accent2 2 2 2 2" xfId="7981" xr:uid="{00000000-0005-0000-0000-00002F1F0000}"/>
    <cellStyle name="40% - Accent2 2 2 3" xfId="7982" xr:uid="{00000000-0005-0000-0000-0000301F0000}"/>
    <cellStyle name="40% - Accent2 2 20" xfId="7983" xr:uid="{00000000-0005-0000-0000-0000311F0000}"/>
    <cellStyle name="40% - Accent2 2 3" xfId="7984" xr:uid="{00000000-0005-0000-0000-0000321F0000}"/>
    <cellStyle name="40% - Accent2 2 3 2" xfId="7985" xr:uid="{00000000-0005-0000-0000-0000331F0000}"/>
    <cellStyle name="40% - Accent2 2 4" xfId="7986" xr:uid="{00000000-0005-0000-0000-0000341F0000}"/>
    <cellStyle name="40% - Accent2 2 4 2" xfId="7987" xr:uid="{00000000-0005-0000-0000-0000351F0000}"/>
    <cellStyle name="40% - Accent2 2 5" xfId="7988" xr:uid="{00000000-0005-0000-0000-0000361F0000}"/>
    <cellStyle name="40% - Accent2 2 5 2" xfId="7989" xr:uid="{00000000-0005-0000-0000-0000371F0000}"/>
    <cellStyle name="40% - Accent2 2 6" xfId="7990" xr:uid="{00000000-0005-0000-0000-0000381F0000}"/>
    <cellStyle name="40% - Accent2 2 6 2" xfId="7991" xr:uid="{00000000-0005-0000-0000-0000391F0000}"/>
    <cellStyle name="40% - Accent2 2 7" xfId="7992" xr:uid="{00000000-0005-0000-0000-00003A1F0000}"/>
    <cellStyle name="40% - Accent2 2 7 2" xfId="7993" xr:uid="{00000000-0005-0000-0000-00003B1F0000}"/>
    <cellStyle name="40% - Accent2 2 8" xfId="7994" xr:uid="{00000000-0005-0000-0000-00003C1F0000}"/>
    <cellStyle name="40% - Accent2 2 8 2" xfId="7995" xr:uid="{00000000-0005-0000-0000-00003D1F0000}"/>
    <cellStyle name="40% - Accent2 2 9" xfId="7996" xr:uid="{00000000-0005-0000-0000-00003E1F0000}"/>
    <cellStyle name="40% - Accent2 2 9 2" xfId="7997" xr:uid="{00000000-0005-0000-0000-00003F1F0000}"/>
    <cellStyle name="40% - Accent2 20" xfId="7998" xr:uid="{00000000-0005-0000-0000-0000401F0000}"/>
    <cellStyle name="40% - Accent2 20 2" xfId="7999" xr:uid="{00000000-0005-0000-0000-0000411F0000}"/>
    <cellStyle name="40% - Accent2 21" xfId="8000" xr:uid="{00000000-0005-0000-0000-0000421F0000}"/>
    <cellStyle name="40% - Accent2 21 2" xfId="8001" xr:uid="{00000000-0005-0000-0000-0000431F0000}"/>
    <cellStyle name="40% - Accent2 22" xfId="8002" xr:uid="{00000000-0005-0000-0000-0000441F0000}"/>
    <cellStyle name="40% - Accent2 22 2" xfId="8003" xr:uid="{00000000-0005-0000-0000-0000451F0000}"/>
    <cellStyle name="40% - Accent2 23" xfId="8004" xr:uid="{00000000-0005-0000-0000-0000461F0000}"/>
    <cellStyle name="40% - Accent2 23 2" xfId="8005" xr:uid="{00000000-0005-0000-0000-0000471F0000}"/>
    <cellStyle name="40% - Accent2 24" xfId="8006" xr:uid="{00000000-0005-0000-0000-0000481F0000}"/>
    <cellStyle name="40% - Accent2 24 2" xfId="8007" xr:uid="{00000000-0005-0000-0000-0000491F0000}"/>
    <cellStyle name="40% - Accent2 25" xfId="8008" xr:uid="{00000000-0005-0000-0000-00004A1F0000}"/>
    <cellStyle name="40% - Accent2 25 2" xfId="8009" xr:uid="{00000000-0005-0000-0000-00004B1F0000}"/>
    <cellStyle name="40% - Accent2 26" xfId="8010" xr:uid="{00000000-0005-0000-0000-00004C1F0000}"/>
    <cellStyle name="40% - Accent2 26 2" xfId="8011" xr:uid="{00000000-0005-0000-0000-00004D1F0000}"/>
    <cellStyle name="40% - Accent2 27" xfId="8012" xr:uid="{00000000-0005-0000-0000-00004E1F0000}"/>
    <cellStyle name="40% - Accent2 27 2" xfId="8013" xr:uid="{00000000-0005-0000-0000-00004F1F0000}"/>
    <cellStyle name="40% - Accent2 3" xfId="8014" xr:uid="{00000000-0005-0000-0000-0000501F0000}"/>
    <cellStyle name="40% - Accent2 3 2" xfId="8015" xr:uid="{00000000-0005-0000-0000-0000511F0000}"/>
    <cellStyle name="40% - Accent2 3 2 2" xfId="8016" xr:uid="{00000000-0005-0000-0000-0000521F0000}"/>
    <cellStyle name="40% - Accent2 3 3" xfId="8017" xr:uid="{00000000-0005-0000-0000-0000531F0000}"/>
    <cellStyle name="40% - Accent2 4" xfId="8018" xr:uid="{00000000-0005-0000-0000-0000541F0000}"/>
    <cellStyle name="40% - Accent2 4 2" xfId="8019" xr:uid="{00000000-0005-0000-0000-0000551F0000}"/>
    <cellStyle name="40% - Accent2 4 2 2" xfId="8020" xr:uid="{00000000-0005-0000-0000-0000561F0000}"/>
    <cellStyle name="40% - Accent2 4 3" xfId="8021" xr:uid="{00000000-0005-0000-0000-0000571F0000}"/>
    <cellStyle name="40% - Accent2 4 3 2" xfId="8022" xr:uid="{00000000-0005-0000-0000-0000581F0000}"/>
    <cellStyle name="40% - Accent2 4 4" xfId="8023" xr:uid="{00000000-0005-0000-0000-0000591F0000}"/>
    <cellStyle name="40% - Accent2 5" xfId="8024" xr:uid="{00000000-0005-0000-0000-00005A1F0000}"/>
    <cellStyle name="40% - Accent2 5 2" xfId="8025" xr:uid="{00000000-0005-0000-0000-00005B1F0000}"/>
    <cellStyle name="40% - Accent2 6" xfId="8026" xr:uid="{00000000-0005-0000-0000-00005C1F0000}"/>
    <cellStyle name="40% - Accent2 6 2" xfId="8027" xr:uid="{00000000-0005-0000-0000-00005D1F0000}"/>
    <cellStyle name="40% - Accent2 7" xfId="8028" xr:uid="{00000000-0005-0000-0000-00005E1F0000}"/>
    <cellStyle name="40% - Accent2 7 2" xfId="8029" xr:uid="{00000000-0005-0000-0000-00005F1F0000}"/>
    <cellStyle name="40% - Accent2 8" xfId="8030" xr:uid="{00000000-0005-0000-0000-0000601F0000}"/>
    <cellStyle name="40% - Accent2 8 2" xfId="8031" xr:uid="{00000000-0005-0000-0000-0000611F0000}"/>
    <cellStyle name="40% - Accent2 9" xfId="8032" xr:uid="{00000000-0005-0000-0000-0000621F0000}"/>
    <cellStyle name="40% - Accent2 9 2" xfId="8033" xr:uid="{00000000-0005-0000-0000-0000631F0000}"/>
    <cellStyle name="40% - Accent3 10" xfId="8034" xr:uid="{00000000-0005-0000-0000-0000641F0000}"/>
    <cellStyle name="40% - Accent3 10 2" xfId="8035" xr:uid="{00000000-0005-0000-0000-0000651F0000}"/>
    <cellStyle name="40% - Accent3 11" xfId="8036" xr:uid="{00000000-0005-0000-0000-0000661F0000}"/>
    <cellStyle name="40% - Accent3 11 2" xfId="8037" xr:uid="{00000000-0005-0000-0000-0000671F0000}"/>
    <cellStyle name="40% - Accent3 12" xfId="8038" xr:uid="{00000000-0005-0000-0000-0000681F0000}"/>
    <cellStyle name="40% - Accent3 12 2" xfId="8039" xr:uid="{00000000-0005-0000-0000-0000691F0000}"/>
    <cellStyle name="40% - Accent3 13" xfId="8040" xr:uid="{00000000-0005-0000-0000-00006A1F0000}"/>
    <cellStyle name="40% - Accent3 13 2" xfId="8041" xr:uid="{00000000-0005-0000-0000-00006B1F0000}"/>
    <cellStyle name="40% - Accent3 14" xfId="8042" xr:uid="{00000000-0005-0000-0000-00006C1F0000}"/>
    <cellStyle name="40% - Accent3 14 2" xfId="8043" xr:uid="{00000000-0005-0000-0000-00006D1F0000}"/>
    <cellStyle name="40% - Accent3 15" xfId="8044" xr:uid="{00000000-0005-0000-0000-00006E1F0000}"/>
    <cellStyle name="40% - Accent3 15 2" xfId="8045" xr:uid="{00000000-0005-0000-0000-00006F1F0000}"/>
    <cellStyle name="40% - Accent3 16" xfId="8046" xr:uid="{00000000-0005-0000-0000-0000701F0000}"/>
    <cellStyle name="40% - Accent3 16 2" xfId="8047" xr:uid="{00000000-0005-0000-0000-0000711F0000}"/>
    <cellStyle name="40% - Accent3 17" xfId="8048" xr:uid="{00000000-0005-0000-0000-0000721F0000}"/>
    <cellStyle name="40% - Accent3 17 2" xfId="8049" xr:uid="{00000000-0005-0000-0000-0000731F0000}"/>
    <cellStyle name="40% - Accent3 18" xfId="8050" xr:uid="{00000000-0005-0000-0000-0000741F0000}"/>
    <cellStyle name="40% - Accent3 18 2" xfId="8051" xr:uid="{00000000-0005-0000-0000-0000751F0000}"/>
    <cellStyle name="40% - Accent3 19" xfId="8052" xr:uid="{00000000-0005-0000-0000-0000761F0000}"/>
    <cellStyle name="40% - Accent3 19 2" xfId="8053" xr:uid="{00000000-0005-0000-0000-0000771F0000}"/>
    <cellStyle name="40% - Accent3 2" xfId="8054" xr:uid="{00000000-0005-0000-0000-0000781F0000}"/>
    <cellStyle name="40% - Accent3 2 10" xfId="8055" xr:uid="{00000000-0005-0000-0000-0000791F0000}"/>
    <cellStyle name="40% - Accent3 2 10 2" xfId="8056" xr:uid="{00000000-0005-0000-0000-00007A1F0000}"/>
    <cellStyle name="40% - Accent3 2 11" xfId="8057" xr:uid="{00000000-0005-0000-0000-00007B1F0000}"/>
    <cellStyle name="40% - Accent3 2 11 2" xfId="8058" xr:uid="{00000000-0005-0000-0000-00007C1F0000}"/>
    <cellStyle name="40% - Accent3 2 12" xfId="8059" xr:uid="{00000000-0005-0000-0000-00007D1F0000}"/>
    <cellStyle name="40% - Accent3 2 12 2" xfId="8060" xr:uid="{00000000-0005-0000-0000-00007E1F0000}"/>
    <cellStyle name="40% - Accent3 2 13" xfId="8061" xr:uid="{00000000-0005-0000-0000-00007F1F0000}"/>
    <cellStyle name="40% - Accent3 2 13 2" xfId="8062" xr:uid="{00000000-0005-0000-0000-0000801F0000}"/>
    <cellStyle name="40% - Accent3 2 14" xfId="8063" xr:uid="{00000000-0005-0000-0000-0000811F0000}"/>
    <cellStyle name="40% - Accent3 2 14 2" xfId="8064" xr:uid="{00000000-0005-0000-0000-0000821F0000}"/>
    <cellStyle name="40% - Accent3 2 15" xfId="8065" xr:uid="{00000000-0005-0000-0000-0000831F0000}"/>
    <cellStyle name="40% - Accent3 2 15 2" xfId="8066" xr:uid="{00000000-0005-0000-0000-0000841F0000}"/>
    <cellStyle name="40% - Accent3 2 16" xfId="8067" xr:uid="{00000000-0005-0000-0000-0000851F0000}"/>
    <cellStyle name="40% - Accent3 2 16 2" xfId="8068" xr:uid="{00000000-0005-0000-0000-0000861F0000}"/>
    <cellStyle name="40% - Accent3 2 17" xfId="8069" xr:uid="{00000000-0005-0000-0000-0000871F0000}"/>
    <cellStyle name="40% - Accent3 2 17 2" xfId="8070" xr:uid="{00000000-0005-0000-0000-0000881F0000}"/>
    <cellStyle name="40% - Accent3 2 18" xfId="8071" xr:uid="{00000000-0005-0000-0000-0000891F0000}"/>
    <cellStyle name="40% - Accent3 2 18 2" xfId="8072" xr:uid="{00000000-0005-0000-0000-00008A1F0000}"/>
    <cellStyle name="40% - Accent3 2 19" xfId="8073" xr:uid="{00000000-0005-0000-0000-00008B1F0000}"/>
    <cellStyle name="40% - Accent3 2 19 2" xfId="8074" xr:uid="{00000000-0005-0000-0000-00008C1F0000}"/>
    <cellStyle name="40% - Accent3 2 2" xfId="8075" xr:uid="{00000000-0005-0000-0000-00008D1F0000}"/>
    <cellStyle name="40% - Accent3 2 2 2" xfId="8076" xr:uid="{00000000-0005-0000-0000-00008E1F0000}"/>
    <cellStyle name="40% - Accent3 2 2 2 2" xfId="8077" xr:uid="{00000000-0005-0000-0000-00008F1F0000}"/>
    <cellStyle name="40% - Accent3 2 2 3" xfId="8078" xr:uid="{00000000-0005-0000-0000-0000901F0000}"/>
    <cellStyle name="40% - Accent3 2 20" xfId="8079" xr:uid="{00000000-0005-0000-0000-0000911F0000}"/>
    <cellStyle name="40% - Accent3 2 3" xfId="8080" xr:uid="{00000000-0005-0000-0000-0000921F0000}"/>
    <cellStyle name="40% - Accent3 2 3 2" xfId="8081" xr:uid="{00000000-0005-0000-0000-0000931F0000}"/>
    <cellStyle name="40% - Accent3 2 4" xfId="8082" xr:uid="{00000000-0005-0000-0000-0000941F0000}"/>
    <cellStyle name="40% - Accent3 2 4 2" xfId="8083" xr:uid="{00000000-0005-0000-0000-0000951F0000}"/>
    <cellStyle name="40% - Accent3 2 5" xfId="8084" xr:uid="{00000000-0005-0000-0000-0000961F0000}"/>
    <cellStyle name="40% - Accent3 2 5 2" xfId="8085" xr:uid="{00000000-0005-0000-0000-0000971F0000}"/>
    <cellStyle name="40% - Accent3 2 6" xfId="8086" xr:uid="{00000000-0005-0000-0000-0000981F0000}"/>
    <cellStyle name="40% - Accent3 2 6 2" xfId="8087" xr:uid="{00000000-0005-0000-0000-0000991F0000}"/>
    <cellStyle name="40% - Accent3 2 7" xfId="8088" xr:uid="{00000000-0005-0000-0000-00009A1F0000}"/>
    <cellStyle name="40% - Accent3 2 7 2" xfId="8089" xr:uid="{00000000-0005-0000-0000-00009B1F0000}"/>
    <cellStyle name="40% - Accent3 2 8" xfId="8090" xr:uid="{00000000-0005-0000-0000-00009C1F0000}"/>
    <cellStyle name="40% - Accent3 2 8 2" xfId="8091" xr:uid="{00000000-0005-0000-0000-00009D1F0000}"/>
    <cellStyle name="40% - Accent3 2 9" xfId="8092" xr:uid="{00000000-0005-0000-0000-00009E1F0000}"/>
    <cellStyle name="40% - Accent3 2 9 2" xfId="8093" xr:uid="{00000000-0005-0000-0000-00009F1F0000}"/>
    <cellStyle name="40% - Accent3 20" xfId="8094" xr:uid="{00000000-0005-0000-0000-0000A01F0000}"/>
    <cellStyle name="40% - Accent3 20 2" xfId="8095" xr:uid="{00000000-0005-0000-0000-0000A11F0000}"/>
    <cellStyle name="40% - Accent3 21" xfId="8096" xr:uid="{00000000-0005-0000-0000-0000A21F0000}"/>
    <cellStyle name="40% - Accent3 21 2" xfId="8097" xr:uid="{00000000-0005-0000-0000-0000A31F0000}"/>
    <cellStyle name="40% - Accent3 22" xfId="8098" xr:uid="{00000000-0005-0000-0000-0000A41F0000}"/>
    <cellStyle name="40% - Accent3 22 2" xfId="8099" xr:uid="{00000000-0005-0000-0000-0000A51F0000}"/>
    <cellStyle name="40% - Accent3 23" xfId="8100" xr:uid="{00000000-0005-0000-0000-0000A61F0000}"/>
    <cellStyle name="40% - Accent3 23 2" xfId="8101" xr:uid="{00000000-0005-0000-0000-0000A71F0000}"/>
    <cellStyle name="40% - Accent3 24" xfId="8102" xr:uid="{00000000-0005-0000-0000-0000A81F0000}"/>
    <cellStyle name="40% - Accent3 24 2" xfId="8103" xr:uid="{00000000-0005-0000-0000-0000A91F0000}"/>
    <cellStyle name="40% - Accent3 25" xfId="8104" xr:uid="{00000000-0005-0000-0000-0000AA1F0000}"/>
    <cellStyle name="40% - Accent3 25 2" xfId="8105" xr:uid="{00000000-0005-0000-0000-0000AB1F0000}"/>
    <cellStyle name="40% - Accent3 26" xfId="8106" xr:uid="{00000000-0005-0000-0000-0000AC1F0000}"/>
    <cellStyle name="40% - Accent3 26 2" xfId="8107" xr:uid="{00000000-0005-0000-0000-0000AD1F0000}"/>
    <cellStyle name="40% - Accent3 27" xfId="8108" xr:uid="{00000000-0005-0000-0000-0000AE1F0000}"/>
    <cellStyle name="40% - Accent3 27 2" xfId="8109" xr:uid="{00000000-0005-0000-0000-0000AF1F0000}"/>
    <cellStyle name="40% - Accent3 3" xfId="8110" xr:uid="{00000000-0005-0000-0000-0000B01F0000}"/>
    <cellStyle name="40% - Accent3 3 2" xfId="8111" xr:uid="{00000000-0005-0000-0000-0000B11F0000}"/>
    <cellStyle name="40% - Accent3 3 2 2" xfId="8112" xr:uid="{00000000-0005-0000-0000-0000B21F0000}"/>
    <cellStyle name="40% - Accent3 3 3" xfId="8113" xr:uid="{00000000-0005-0000-0000-0000B31F0000}"/>
    <cellStyle name="40% - Accent3 4" xfId="8114" xr:uid="{00000000-0005-0000-0000-0000B41F0000}"/>
    <cellStyle name="40% - Accent3 4 2" xfId="8115" xr:uid="{00000000-0005-0000-0000-0000B51F0000}"/>
    <cellStyle name="40% - Accent3 4 2 2" xfId="8116" xr:uid="{00000000-0005-0000-0000-0000B61F0000}"/>
    <cellStyle name="40% - Accent3 4 3" xfId="8117" xr:uid="{00000000-0005-0000-0000-0000B71F0000}"/>
    <cellStyle name="40% - Accent3 4 3 2" xfId="8118" xr:uid="{00000000-0005-0000-0000-0000B81F0000}"/>
    <cellStyle name="40% - Accent3 4 4" xfId="8119" xr:uid="{00000000-0005-0000-0000-0000B91F0000}"/>
    <cellStyle name="40% - Accent3 5" xfId="8120" xr:uid="{00000000-0005-0000-0000-0000BA1F0000}"/>
    <cellStyle name="40% - Accent3 5 2" xfId="8121" xr:uid="{00000000-0005-0000-0000-0000BB1F0000}"/>
    <cellStyle name="40% - Accent3 6" xfId="8122" xr:uid="{00000000-0005-0000-0000-0000BC1F0000}"/>
    <cellStyle name="40% - Accent3 6 2" xfId="8123" xr:uid="{00000000-0005-0000-0000-0000BD1F0000}"/>
    <cellStyle name="40% - Accent3 7" xfId="8124" xr:uid="{00000000-0005-0000-0000-0000BE1F0000}"/>
    <cellStyle name="40% - Accent3 7 2" xfId="8125" xr:uid="{00000000-0005-0000-0000-0000BF1F0000}"/>
    <cellStyle name="40% - Accent3 8" xfId="8126" xr:uid="{00000000-0005-0000-0000-0000C01F0000}"/>
    <cellStyle name="40% - Accent3 8 2" xfId="8127" xr:uid="{00000000-0005-0000-0000-0000C11F0000}"/>
    <cellStyle name="40% - Accent3 9" xfId="8128" xr:uid="{00000000-0005-0000-0000-0000C21F0000}"/>
    <cellStyle name="40% - Accent3 9 2" xfId="8129" xr:uid="{00000000-0005-0000-0000-0000C31F0000}"/>
    <cellStyle name="40% - Accent4 10" xfId="8130" xr:uid="{00000000-0005-0000-0000-0000C41F0000}"/>
    <cellStyle name="40% - Accent4 10 2" xfId="8131" xr:uid="{00000000-0005-0000-0000-0000C51F0000}"/>
    <cellStyle name="40% - Accent4 11" xfId="8132" xr:uid="{00000000-0005-0000-0000-0000C61F0000}"/>
    <cellStyle name="40% - Accent4 11 2" xfId="8133" xr:uid="{00000000-0005-0000-0000-0000C71F0000}"/>
    <cellStyle name="40% - Accent4 12" xfId="8134" xr:uid="{00000000-0005-0000-0000-0000C81F0000}"/>
    <cellStyle name="40% - Accent4 12 2" xfId="8135" xr:uid="{00000000-0005-0000-0000-0000C91F0000}"/>
    <cellStyle name="40% - Accent4 13" xfId="8136" xr:uid="{00000000-0005-0000-0000-0000CA1F0000}"/>
    <cellStyle name="40% - Accent4 13 2" xfId="8137" xr:uid="{00000000-0005-0000-0000-0000CB1F0000}"/>
    <cellStyle name="40% - Accent4 14" xfId="8138" xr:uid="{00000000-0005-0000-0000-0000CC1F0000}"/>
    <cellStyle name="40% - Accent4 14 2" xfId="8139" xr:uid="{00000000-0005-0000-0000-0000CD1F0000}"/>
    <cellStyle name="40% - Accent4 15" xfId="8140" xr:uid="{00000000-0005-0000-0000-0000CE1F0000}"/>
    <cellStyle name="40% - Accent4 15 2" xfId="8141" xr:uid="{00000000-0005-0000-0000-0000CF1F0000}"/>
    <cellStyle name="40% - Accent4 16" xfId="8142" xr:uid="{00000000-0005-0000-0000-0000D01F0000}"/>
    <cellStyle name="40% - Accent4 16 2" xfId="8143" xr:uid="{00000000-0005-0000-0000-0000D11F0000}"/>
    <cellStyle name="40% - Accent4 17" xfId="8144" xr:uid="{00000000-0005-0000-0000-0000D21F0000}"/>
    <cellStyle name="40% - Accent4 17 2" xfId="8145" xr:uid="{00000000-0005-0000-0000-0000D31F0000}"/>
    <cellStyle name="40% - Accent4 18" xfId="8146" xr:uid="{00000000-0005-0000-0000-0000D41F0000}"/>
    <cellStyle name="40% - Accent4 18 2" xfId="8147" xr:uid="{00000000-0005-0000-0000-0000D51F0000}"/>
    <cellStyle name="40% - Accent4 19" xfId="8148" xr:uid="{00000000-0005-0000-0000-0000D61F0000}"/>
    <cellStyle name="40% - Accent4 19 2" xfId="8149" xr:uid="{00000000-0005-0000-0000-0000D71F0000}"/>
    <cellStyle name="40% - Accent4 2" xfId="8150" xr:uid="{00000000-0005-0000-0000-0000D81F0000}"/>
    <cellStyle name="40% - Accent4 2 10" xfId="8151" xr:uid="{00000000-0005-0000-0000-0000D91F0000}"/>
    <cellStyle name="40% - Accent4 2 10 2" xfId="8152" xr:uid="{00000000-0005-0000-0000-0000DA1F0000}"/>
    <cellStyle name="40% - Accent4 2 11" xfId="8153" xr:uid="{00000000-0005-0000-0000-0000DB1F0000}"/>
    <cellStyle name="40% - Accent4 2 11 2" xfId="8154" xr:uid="{00000000-0005-0000-0000-0000DC1F0000}"/>
    <cellStyle name="40% - Accent4 2 12" xfId="8155" xr:uid="{00000000-0005-0000-0000-0000DD1F0000}"/>
    <cellStyle name="40% - Accent4 2 12 2" xfId="8156" xr:uid="{00000000-0005-0000-0000-0000DE1F0000}"/>
    <cellStyle name="40% - Accent4 2 13" xfId="8157" xr:uid="{00000000-0005-0000-0000-0000DF1F0000}"/>
    <cellStyle name="40% - Accent4 2 13 2" xfId="8158" xr:uid="{00000000-0005-0000-0000-0000E01F0000}"/>
    <cellStyle name="40% - Accent4 2 14" xfId="8159" xr:uid="{00000000-0005-0000-0000-0000E11F0000}"/>
    <cellStyle name="40% - Accent4 2 14 2" xfId="8160" xr:uid="{00000000-0005-0000-0000-0000E21F0000}"/>
    <cellStyle name="40% - Accent4 2 15" xfId="8161" xr:uid="{00000000-0005-0000-0000-0000E31F0000}"/>
    <cellStyle name="40% - Accent4 2 15 2" xfId="8162" xr:uid="{00000000-0005-0000-0000-0000E41F0000}"/>
    <cellStyle name="40% - Accent4 2 16" xfId="8163" xr:uid="{00000000-0005-0000-0000-0000E51F0000}"/>
    <cellStyle name="40% - Accent4 2 16 2" xfId="8164" xr:uid="{00000000-0005-0000-0000-0000E61F0000}"/>
    <cellStyle name="40% - Accent4 2 17" xfId="8165" xr:uid="{00000000-0005-0000-0000-0000E71F0000}"/>
    <cellStyle name="40% - Accent4 2 17 2" xfId="8166" xr:uid="{00000000-0005-0000-0000-0000E81F0000}"/>
    <cellStyle name="40% - Accent4 2 18" xfId="8167" xr:uid="{00000000-0005-0000-0000-0000E91F0000}"/>
    <cellStyle name="40% - Accent4 2 18 2" xfId="8168" xr:uid="{00000000-0005-0000-0000-0000EA1F0000}"/>
    <cellStyle name="40% - Accent4 2 19" xfId="8169" xr:uid="{00000000-0005-0000-0000-0000EB1F0000}"/>
    <cellStyle name="40% - Accent4 2 19 2" xfId="8170" xr:uid="{00000000-0005-0000-0000-0000EC1F0000}"/>
    <cellStyle name="40% - Accent4 2 2" xfId="8171" xr:uid="{00000000-0005-0000-0000-0000ED1F0000}"/>
    <cellStyle name="40% - Accent4 2 2 2" xfId="8172" xr:uid="{00000000-0005-0000-0000-0000EE1F0000}"/>
    <cellStyle name="40% - Accent4 2 2 2 2" xfId="8173" xr:uid="{00000000-0005-0000-0000-0000EF1F0000}"/>
    <cellStyle name="40% - Accent4 2 2 3" xfId="8174" xr:uid="{00000000-0005-0000-0000-0000F01F0000}"/>
    <cellStyle name="40% - Accent4 2 20" xfId="8175" xr:uid="{00000000-0005-0000-0000-0000F11F0000}"/>
    <cellStyle name="40% - Accent4 2 3" xfId="8176" xr:uid="{00000000-0005-0000-0000-0000F21F0000}"/>
    <cellStyle name="40% - Accent4 2 3 2" xfId="8177" xr:uid="{00000000-0005-0000-0000-0000F31F0000}"/>
    <cellStyle name="40% - Accent4 2 4" xfId="8178" xr:uid="{00000000-0005-0000-0000-0000F41F0000}"/>
    <cellStyle name="40% - Accent4 2 4 2" xfId="8179" xr:uid="{00000000-0005-0000-0000-0000F51F0000}"/>
    <cellStyle name="40% - Accent4 2 5" xfId="8180" xr:uid="{00000000-0005-0000-0000-0000F61F0000}"/>
    <cellStyle name="40% - Accent4 2 5 2" xfId="8181" xr:uid="{00000000-0005-0000-0000-0000F71F0000}"/>
    <cellStyle name="40% - Accent4 2 6" xfId="8182" xr:uid="{00000000-0005-0000-0000-0000F81F0000}"/>
    <cellStyle name="40% - Accent4 2 6 2" xfId="8183" xr:uid="{00000000-0005-0000-0000-0000F91F0000}"/>
    <cellStyle name="40% - Accent4 2 7" xfId="8184" xr:uid="{00000000-0005-0000-0000-0000FA1F0000}"/>
    <cellStyle name="40% - Accent4 2 7 2" xfId="8185" xr:uid="{00000000-0005-0000-0000-0000FB1F0000}"/>
    <cellStyle name="40% - Accent4 2 8" xfId="8186" xr:uid="{00000000-0005-0000-0000-0000FC1F0000}"/>
    <cellStyle name="40% - Accent4 2 8 2" xfId="8187" xr:uid="{00000000-0005-0000-0000-0000FD1F0000}"/>
    <cellStyle name="40% - Accent4 2 9" xfId="8188" xr:uid="{00000000-0005-0000-0000-0000FE1F0000}"/>
    <cellStyle name="40% - Accent4 2 9 2" xfId="8189" xr:uid="{00000000-0005-0000-0000-0000FF1F0000}"/>
    <cellStyle name="40% - Accent4 20" xfId="8190" xr:uid="{00000000-0005-0000-0000-000000200000}"/>
    <cellStyle name="40% - Accent4 20 2" xfId="8191" xr:uid="{00000000-0005-0000-0000-000001200000}"/>
    <cellStyle name="40% - Accent4 21" xfId="8192" xr:uid="{00000000-0005-0000-0000-000002200000}"/>
    <cellStyle name="40% - Accent4 21 2" xfId="8193" xr:uid="{00000000-0005-0000-0000-000003200000}"/>
    <cellStyle name="40% - Accent4 22" xfId="8194" xr:uid="{00000000-0005-0000-0000-000004200000}"/>
    <cellStyle name="40% - Accent4 22 2" xfId="8195" xr:uid="{00000000-0005-0000-0000-000005200000}"/>
    <cellStyle name="40% - Accent4 23" xfId="8196" xr:uid="{00000000-0005-0000-0000-000006200000}"/>
    <cellStyle name="40% - Accent4 23 2" xfId="8197" xr:uid="{00000000-0005-0000-0000-000007200000}"/>
    <cellStyle name="40% - Accent4 24" xfId="8198" xr:uid="{00000000-0005-0000-0000-000008200000}"/>
    <cellStyle name="40% - Accent4 24 2" xfId="8199" xr:uid="{00000000-0005-0000-0000-000009200000}"/>
    <cellStyle name="40% - Accent4 25" xfId="8200" xr:uid="{00000000-0005-0000-0000-00000A200000}"/>
    <cellStyle name="40% - Accent4 25 2" xfId="8201" xr:uid="{00000000-0005-0000-0000-00000B200000}"/>
    <cellStyle name="40% - Accent4 26" xfId="8202" xr:uid="{00000000-0005-0000-0000-00000C200000}"/>
    <cellStyle name="40% - Accent4 26 2" xfId="8203" xr:uid="{00000000-0005-0000-0000-00000D200000}"/>
    <cellStyle name="40% - Accent4 27" xfId="8204" xr:uid="{00000000-0005-0000-0000-00000E200000}"/>
    <cellStyle name="40% - Accent4 27 2" xfId="8205" xr:uid="{00000000-0005-0000-0000-00000F200000}"/>
    <cellStyle name="40% - Accent4 3" xfId="8206" xr:uid="{00000000-0005-0000-0000-000010200000}"/>
    <cellStyle name="40% - Accent4 3 2" xfId="8207" xr:uid="{00000000-0005-0000-0000-000011200000}"/>
    <cellStyle name="40% - Accent4 3 2 2" xfId="8208" xr:uid="{00000000-0005-0000-0000-000012200000}"/>
    <cellStyle name="40% - Accent4 3 3" xfId="8209" xr:uid="{00000000-0005-0000-0000-000013200000}"/>
    <cellStyle name="40% - Accent4 4" xfId="8210" xr:uid="{00000000-0005-0000-0000-000014200000}"/>
    <cellStyle name="40% - Accent4 4 2" xfId="8211" xr:uid="{00000000-0005-0000-0000-000015200000}"/>
    <cellStyle name="40% - Accent4 4 2 2" xfId="8212" xr:uid="{00000000-0005-0000-0000-000016200000}"/>
    <cellStyle name="40% - Accent4 4 3" xfId="8213" xr:uid="{00000000-0005-0000-0000-000017200000}"/>
    <cellStyle name="40% - Accent4 4 3 2" xfId="8214" xr:uid="{00000000-0005-0000-0000-000018200000}"/>
    <cellStyle name="40% - Accent4 4 4" xfId="8215" xr:uid="{00000000-0005-0000-0000-000019200000}"/>
    <cellStyle name="40% - Accent4 5" xfId="8216" xr:uid="{00000000-0005-0000-0000-00001A200000}"/>
    <cellStyle name="40% - Accent4 5 2" xfId="8217" xr:uid="{00000000-0005-0000-0000-00001B200000}"/>
    <cellStyle name="40% - Accent4 6" xfId="8218" xr:uid="{00000000-0005-0000-0000-00001C200000}"/>
    <cellStyle name="40% - Accent4 6 2" xfId="8219" xr:uid="{00000000-0005-0000-0000-00001D200000}"/>
    <cellStyle name="40% - Accent4 7" xfId="8220" xr:uid="{00000000-0005-0000-0000-00001E200000}"/>
    <cellStyle name="40% - Accent4 7 2" xfId="8221" xr:uid="{00000000-0005-0000-0000-00001F200000}"/>
    <cellStyle name="40% - Accent4 8" xfId="8222" xr:uid="{00000000-0005-0000-0000-000020200000}"/>
    <cellStyle name="40% - Accent4 8 2" xfId="8223" xr:uid="{00000000-0005-0000-0000-000021200000}"/>
    <cellStyle name="40% - Accent4 9" xfId="8224" xr:uid="{00000000-0005-0000-0000-000022200000}"/>
    <cellStyle name="40% - Accent4 9 2" xfId="8225" xr:uid="{00000000-0005-0000-0000-000023200000}"/>
    <cellStyle name="40% - Accent5 10" xfId="8226" xr:uid="{00000000-0005-0000-0000-000024200000}"/>
    <cellStyle name="40% - Accent5 10 2" xfId="8227" xr:uid="{00000000-0005-0000-0000-000025200000}"/>
    <cellStyle name="40% - Accent5 11" xfId="8228" xr:uid="{00000000-0005-0000-0000-000026200000}"/>
    <cellStyle name="40% - Accent5 11 2" xfId="8229" xr:uid="{00000000-0005-0000-0000-000027200000}"/>
    <cellStyle name="40% - Accent5 12" xfId="8230" xr:uid="{00000000-0005-0000-0000-000028200000}"/>
    <cellStyle name="40% - Accent5 12 2" xfId="8231" xr:uid="{00000000-0005-0000-0000-000029200000}"/>
    <cellStyle name="40% - Accent5 13" xfId="8232" xr:uid="{00000000-0005-0000-0000-00002A200000}"/>
    <cellStyle name="40% - Accent5 13 2" xfId="8233" xr:uid="{00000000-0005-0000-0000-00002B200000}"/>
    <cellStyle name="40% - Accent5 14" xfId="8234" xr:uid="{00000000-0005-0000-0000-00002C200000}"/>
    <cellStyle name="40% - Accent5 14 2" xfId="8235" xr:uid="{00000000-0005-0000-0000-00002D200000}"/>
    <cellStyle name="40% - Accent5 15" xfId="8236" xr:uid="{00000000-0005-0000-0000-00002E200000}"/>
    <cellStyle name="40% - Accent5 15 2" xfId="8237" xr:uid="{00000000-0005-0000-0000-00002F200000}"/>
    <cellStyle name="40% - Accent5 16" xfId="8238" xr:uid="{00000000-0005-0000-0000-000030200000}"/>
    <cellStyle name="40% - Accent5 16 2" xfId="8239" xr:uid="{00000000-0005-0000-0000-000031200000}"/>
    <cellStyle name="40% - Accent5 17" xfId="8240" xr:uid="{00000000-0005-0000-0000-000032200000}"/>
    <cellStyle name="40% - Accent5 17 2" xfId="8241" xr:uid="{00000000-0005-0000-0000-000033200000}"/>
    <cellStyle name="40% - Accent5 18" xfId="8242" xr:uid="{00000000-0005-0000-0000-000034200000}"/>
    <cellStyle name="40% - Accent5 18 2" xfId="8243" xr:uid="{00000000-0005-0000-0000-000035200000}"/>
    <cellStyle name="40% - Accent5 19" xfId="8244" xr:uid="{00000000-0005-0000-0000-000036200000}"/>
    <cellStyle name="40% - Accent5 19 2" xfId="8245" xr:uid="{00000000-0005-0000-0000-000037200000}"/>
    <cellStyle name="40% - Accent5 2" xfId="8246" xr:uid="{00000000-0005-0000-0000-000038200000}"/>
    <cellStyle name="40% - Accent5 2 10" xfId="8247" xr:uid="{00000000-0005-0000-0000-000039200000}"/>
    <cellStyle name="40% - Accent5 2 10 2" xfId="8248" xr:uid="{00000000-0005-0000-0000-00003A200000}"/>
    <cellStyle name="40% - Accent5 2 11" xfId="8249" xr:uid="{00000000-0005-0000-0000-00003B200000}"/>
    <cellStyle name="40% - Accent5 2 11 2" xfId="8250" xr:uid="{00000000-0005-0000-0000-00003C200000}"/>
    <cellStyle name="40% - Accent5 2 12" xfId="8251" xr:uid="{00000000-0005-0000-0000-00003D200000}"/>
    <cellStyle name="40% - Accent5 2 12 2" xfId="8252" xr:uid="{00000000-0005-0000-0000-00003E200000}"/>
    <cellStyle name="40% - Accent5 2 13" xfId="8253" xr:uid="{00000000-0005-0000-0000-00003F200000}"/>
    <cellStyle name="40% - Accent5 2 13 2" xfId="8254" xr:uid="{00000000-0005-0000-0000-000040200000}"/>
    <cellStyle name="40% - Accent5 2 14" xfId="8255" xr:uid="{00000000-0005-0000-0000-000041200000}"/>
    <cellStyle name="40% - Accent5 2 14 2" xfId="8256" xr:uid="{00000000-0005-0000-0000-000042200000}"/>
    <cellStyle name="40% - Accent5 2 15" xfId="8257" xr:uid="{00000000-0005-0000-0000-000043200000}"/>
    <cellStyle name="40% - Accent5 2 15 2" xfId="8258" xr:uid="{00000000-0005-0000-0000-000044200000}"/>
    <cellStyle name="40% - Accent5 2 16" xfId="8259" xr:uid="{00000000-0005-0000-0000-000045200000}"/>
    <cellStyle name="40% - Accent5 2 16 2" xfId="8260" xr:uid="{00000000-0005-0000-0000-000046200000}"/>
    <cellStyle name="40% - Accent5 2 17" xfId="8261" xr:uid="{00000000-0005-0000-0000-000047200000}"/>
    <cellStyle name="40% - Accent5 2 17 2" xfId="8262" xr:uid="{00000000-0005-0000-0000-000048200000}"/>
    <cellStyle name="40% - Accent5 2 18" xfId="8263" xr:uid="{00000000-0005-0000-0000-000049200000}"/>
    <cellStyle name="40% - Accent5 2 18 2" xfId="8264" xr:uid="{00000000-0005-0000-0000-00004A200000}"/>
    <cellStyle name="40% - Accent5 2 19" xfId="8265" xr:uid="{00000000-0005-0000-0000-00004B200000}"/>
    <cellStyle name="40% - Accent5 2 19 2" xfId="8266" xr:uid="{00000000-0005-0000-0000-00004C200000}"/>
    <cellStyle name="40% - Accent5 2 2" xfId="8267" xr:uid="{00000000-0005-0000-0000-00004D200000}"/>
    <cellStyle name="40% - Accent5 2 2 2" xfId="8268" xr:uid="{00000000-0005-0000-0000-00004E200000}"/>
    <cellStyle name="40% - Accent5 2 2 2 2" xfId="8269" xr:uid="{00000000-0005-0000-0000-00004F200000}"/>
    <cellStyle name="40% - Accent5 2 2 3" xfId="8270" xr:uid="{00000000-0005-0000-0000-000050200000}"/>
    <cellStyle name="40% - Accent5 2 20" xfId="8271" xr:uid="{00000000-0005-0000-0000-000051200000}"/>
    <cellStyle name="40% - Accent5 2 3" xfId="8272" xr:uid="{00000000-0005-0000-0000-000052200000}"/>
    <cellStyle name="40% - Accent5 2 3 2" xfId="8273" xr:uid="{00000000-0005-0000-0000-000053200000}"/>
    <cellStyle name="40% - Accent5 2 4" xfId="8274" xr:uid="{00000000-0005-0000-0000-000054200000}"/>
    <cellStyle name="40% - Accent5 2 4 2" xfId="8275" xr:uid="{00000000-0005-0000-0000-000055200000}"/>
    <cellStyle name="40% - Accent5 2 5" xfId="8276" xr:uid="{00000000-0005-0000-0000-000056200000}"/>
    <cellStyle name="40% - Accent5 2 5 2" xfId="8277" xr:uid="{00000000-0005-0000-0000-000057200000}"/>
    <cellStyle name="40% - Accent5 2 6" xfId="8278" xr:uid="{00000000-0005-0000-0000-000058200000}"/>
    <cellStyle name="40% - Accent5 2 6 2" xfId="8279" xr:uid="{00000000-0005-0000-0000-000059200000}"/>
    <cellStyle name="40% - Accent5 2 7" xfId="8280" xr:uid="{00000000-0005-0000-0000-00005A200000}"/>
    <cellStyle name="40% - Accent5 2 7 2" xfId="8281" xr:uid="{00000000-0005-0000-0000-00005B200000}"/>
    <cellStyle name="40% - Accent5 2 8" xfId="8282" xr:uid="{00000000-0005-0000-0000-00005C200000}"/>
    <cellStyle name="40% - Accent5 2 8 2" xfId="8283" xr:uid="{00000000-0005-0000-0000-00005D200000}"/>
    <cellStyle name="40% - Accent5 2 9" xfId="8284" xr:uid="{00000000-0005-0000-0000-00005E200000}"/>
    <cellStyle name="40% - Accent5 2 9 2" xfId="8285" xr:uid="{00000000-0005-0000-0000-00005F200000}"/>
    <cellStyle name="40% - Accent5 20" xfId="8286" xr:uid="{00000000-0005-0000-0000-000060200000}"/>
    <cellStyle name="40% - Accent5 20 2" xfId="8287" xr:uid="{00000000-0005-0000-0000-000061200000}"/>
    <cellStyle name="40% - Accent5 21" xfId="8288" xr:uid="{00000000-0005-0000-0000-000062200000}"/>
    <cellStyle name="40% - Accent5 21 2" xfId="8289" xr:uid="{00000000-0005-0000-0000-000063200000}"/>
    <cellStyle name="40% - Accent5 22" xfId="8290" xr:uid="{00000000-0005-0000-0000-000064200000}"/>
    <cellStyle name="40% - Accent5 22 2" xfId="8291" xr:uid="{00000000-0005-0000-0000-000065200000}"/>
    <cellStyle name="40% - Accent5 23" xfId="8292" xr:uid="{00000000-0005-0000-0000-000066200000}"/>
    <cellStyle name="40% - Accent5 23 2" xfId="8293" xr:uid="{00000000-0005-0000-0000-000067200000}"/>
    <cellStyle name="40% - Accent5 24" xfId="8294" xr:uid="{00000000-0005-0000-0000-000068200000}"/>
    <cellStyle name="40% - Accent5 24 2" xfId="8295" xr:uid="{00000000-0005-0000-0000-000069200000}"/>
    <cellStyle name="40% - Accent5 25" xfId="8296" xr:uid="{00000000-0005-0000-0000-00006A200000}"/>
    <cellStyle name="40% - Accent5 25 2" xfId="8297" xr:uid="{00000000-0005-0000-0000-00006B200000}"/>
    <cellStyle name="40% - Accent5 26" xfId="8298" xr:uid="{00000000-0005-0000-0000-00006C200000}"/>
    <cellStyle name="40% - Accent5 26 2" xfId="8299" xr:uid="{00000000-0005-0000-0000-00006D200000}"/>
    <cellStyle name="40% - Accent5 27" xfId="8300" xr:uid="{00000000-0005-0000-0000-00006E200000}"/>
    <cellStyle name="40% - Accent5 27 2" xfId="8301" xr:uid="{00000000-0005-0000-0000-00006F200000}"/>
    <cellStyle name="40% - Accent5 3" xfId="8302" xr:uid="{00000000-0005-0000-0000-000070200000}"/>
    <cellStyle name="40% - Accent5 3 2" xfId="8303" xr:uid="{00000000-0005-0000-0000-000071200000}"/>
    <cellStyle name="40% - Accent5 3 2 2" xfId="8304" xr:uid="{00000000-0005-0000-0000-000072200000}"/>
    <cellStyle name="40% - Accent5 3 3" xfId="8305" xr:uid="{00000000-0005-0000-0000-000073200000}"/>
    <cellStyle name="40% - Accent5 4" xfId="8306" xr:uid="{00000000-0005-0000-0000-000074200000}"/>
    <cellStyle name="40% - Accent5 4 2" xfId="8307" xr:uid="{00000000-0005-0000-0000-000075200000}"/>
    <cellStyle name="40% - Accent5 4 2 2" xfId="8308" xr:uid="{00000000-0005-0000-0000-000076200000}"/>
    <cellStyle name="40% - Accent5 4 3" xfId="8309" xr:uid="{00000000-0005-0000-0000-000077200000}"/>
    <cellStyle name="40% - Accent5 4 3 2" xfId="8310" xr:uid="{00000000-0005-0000-0000-000078200000}"/>
    <cellStyle name="40% - Accent5 4 4" xfId="8311" xr:uid="{00000000-0005-0000-0000-000079200000}"/>
    <cellStyle name="40% - Accent5 5" xfId="8312" xr:uid="{00000000-0005-0000-0000-00007A200000}"/>
    <cellStyle name="40% - Accent5 5 2" xfId="8313" xr:uid="{00000000-0005-0000-0000-00007B200000}"/>
    <cellStyle name="40% - Accent5 6" xfId="8314" xr:uid="{00000000-0005-0000-0000-00007C200000}"/>
    <cellStyle name="40% - Accent5 6 2" xfId="8315" xr:uid="{00000000-0005-0000-0000-00007D200000}"/>
    <cellStyle name="40% - Accent5 7" xfId="8316" xr:uid="{00000000-0005-0000-0000-00007E200000}"/>
    <cellStyle name="40% - Accent5 7 2" xfId="8317" xr:uid="{00000000-0005-0000-0000-00007F200000}"/>
    <cellStyle name="40% - Accent5 8" xfId="8318" xr:uid="{00000000-0005-0000-0000-000080200000}"/>
    <cellStyle name="40% - Accent5 8 2" xfId="8319" xr:uid="{00000000-0005-0000-0000-000081200000}"/>
    <cellStyle name="40% - Accent5 9" xfId="8320" xr:uid="{00000000-0005-0000-0000-000082200000}"/>
    <cellStyle name="40% - Accent5 9 2" xfId="8321" xr:uid="{00000000-0005-0000-0000-000083200000}"/>
    <cellStyle name="40% - Accent6 10" xfId="8322" xr:uid="{00000000-0005-0000-0000-000084200000}"/>
    <cellStyle name="40% - Accent6 10 2" xfId="8323" xr:uid="{00000000-0005-0000-0000-000085200000}"/>
    <cellStyle name="40% - Accent6 11" xfId="8324" xr:uid="{00000000-0005-0000-0000-000086200000}"/>
    <cellStyle name="40% - Accent6 11 2" xfId="8325" xr:uid="{00000000-0005-0000-0000-000087200000}"/>
    <cellStyle name="40% - Accent6 12" xfId="8326" xr:uid="{00000000-0005-0000-0000-000088200000}"/>
    <cellStyle name="40% - Accent6 12 2" xfId="8327" xr:uid="{00000000-0005-0000-0000-000089200000}"/>
    <cellStyle name="40% - Accent6 13" xfId="8328" xr:uid="{00000000-0005-0000-0000-00008A200000}"/>
    <cellStyle name="40% - Accent6 13 2" xfId="8329" xr:uid="{00000000-0005-0000-0000-00008B200000}"/>
    <cellStyle name="40% - Accent6 14" xfId="8330" xr:uid="{00000000-0005-0000-0000-00008C200000}"/>
    <cellStyle name="40% - Accent6 14 2" xfId="8331" xr:uid="{00000000-0005-0000-0000-00008D200000}"/>
    <cellStyle name="40% - Accent6 15" xfId="8332" xr:uid="{00000000-0005-0000-0000-00008E200000}"/>
    <cellStyle name="40% - Accent6 15 2" xfId="8333" xr:uid="{00000000-0005-0000-0000-00008F200000}"/>
    <cellStyle name="40% - Accent6 16" xfId="8334" xr:uid="{00000000-0005-0000-0000-000090200000}"/>
    <cellStyle name="40% - Accent6 16 2" xfId="8335" xr:uid="{00000000-0005-0000-0000-000091200000}"/>
    <cellStyle name="40% - Accent6 17" xfId="8336" xr:uid="{00000000-0005-0000-0000-000092200000}"/>
    <cellStyle name="40% - Accent6 17 2" xfId="8337" xr:uid="{00000000-0005-0000-0000-000093200000}"/>
    <cellStyle name="40% - Accent6 18" xfId="8338" xr:uid="{00000000-0005-0000-0000-000094200000}"/>
    <cellStyle name="40% - Accent6 18 2" xfId="8339" xr:uid="{00000000-0005-0000-0000-000095200000}"/>
    <cellStyle name="40% - Accent6 19" xfId="8340" xr:uid="{00000000-0005-0000-0000-000096200000}"/>
    <cellStyle name="40% - Accent6 19 2" xfId="8341" xr:uid="{00000000-0005-0000-0000-000097200000}"/>
    <cellStyle name="40% - Accent6 2" xfId="8342" xr:uid="{00000000-0005-0000-0000-000098200000}"/>
    <cellStyle name="40% - Accent6 2 10" xfId="8343" xr:uid="{00000000-0005-0000-0000-000099200000}"/>
    <cellStyle name="40% - Accent6 2 10 2" xfId="8344" xr:uid="{00000000-0005-0000-0000-00009A200000}"/>
    <cellStyle name="40% - Accent6 2 11" xfId="8345" xr:uid="{00000000-0005-0000-0000-00009B200000}"/>
    <cellStyle name="40% - Accent6 2 11 2" xfId="8346" xr:uid="{00000000-0005-0000-0000-00009C200000}"/>
    <cellStyle name="40% - Accent6 2 12" xfId="8347" xr:uid="{00000000-0005-0000-0000-00009D200000}"/>
    <cellStyle name="40% - Accent6 2 12 2" xfId="8348" xr:uid="{00000000-0005-0000-0000-00009E200000}"/>
    <cellStyle name="40% - Accent6 2 13" xfId="8349" xr:uid="{00000000-0005-0000-0000-00009F200000}"/>
    <cellStyle name="40% - Accent6 2 13 2" xfId="8350" xr:uid="{00000000-0005-0000-0000-0000A0200000}"/>
    <cellStyle name="40% - Accent6 2 14" xfId="8351" xr:uid="{00000000-0005-0000-0000-0000A1200000}"/>
    <cellStyle name="40% - Accent6 2 14 2" xfId="8352" xr:uid="{00000000-0005-0000-0000-0000A2200000}"/>
    <cellStyle name="40% - Accent6 2 15" xfId="8353" xr:uid="{00000000-0005-0000-0000-0000A3200000}"/>
    <cellStyle name="40% - Accent6 2 15 2" xfId="8354" xr:uid="{00000000-0005-0000-0000-0000A4200000}"/>
    <cellStyle name="40% - Accent6 2 16" xfId="8355" xr:uid="{00000000-0005-0000-0000-0000A5200000}"/>
    <cellStyle name="40% - Accent6 2 16 2" xfId="8356" xr:uid="{00000000-0005-0000-0000-0000A6200000}"/>
    <cellStyle name="40% - Accent6 2 17" xfId="8357" xr:uid="{00000000-0005-0000-0000-0000A7200000}"/>
    <cellStyle name="40% - Accent6 2 17 2" xfId="8358" xr:uid="{00000000-0005-0000-0000-0000A8200000}"/>
    <cellStyle name="40% - Accent6 2 18" xfId="8359" xr:uid="{00000000-0005-0000-0000-0000A9200000}"/>
    <cellStyle name="40% - Accent6 2 18 2" xfId="8360" xr:uid="{00000000-0005-0000-0000-0000AA200000}"/>
    <cellStyle name="40% - Accent6 2 19" xfId="8361" xr:uid="{00000000-0005-0000-0000-0000AB200000}"/>
    <cellStyle name="40% - Accent6 2 19 2" xfId="8362" xr:uid="{00000000-0005-0000-0000-0000AC200000}"/>
    <cellStyle name="40% - Accent6 2 2" xfId="8363" xr:uid="{00000000-0005-0000-0000-0000AD200000}"/>
    <cellStyle name="40% - Accent6 2 2 2" xfId="8364" xr:uid="{00000000-0005-0000-0000-0000AE200000}"/>
    <cellStyle name="40% - Accent6 2 2 2 2" xfId="8365" xr:uid="{00000000-0005-0000-0000-0000AF200000}"/>
    <cellStyle name="40% - Accent6 2 2 3" xfId="8366" xr:uid="{00000000-0005-0000-0000-0000B0200000}"/>
    <cellStyle name="40% - Accent6 2 20" xfId="8367" xr:uid="{00000000-0005-0000-0000-0000B1200000}"/>
    <cellStyle name="40% - Accent6 2 3" xfId="8368" xr:uid="{00000000-0005-0000-0000-0000B2200000}"/>
    <cellStyle name="40% - Accent6 2 3 2" xfId="8369" xr:uid="{00000000-0005-0000-0000-0000B3200000}"/>
    <cellStyle name="40% - Accent6 2 4" xfId="8370" xr:uid="{00000000-0005-0000-0000-0000B4200000}"/>
    <cellStyle name="40% - Accent6 2 4 2" xfId="8371" xr:uid="{00000000-0005-0000-0000-0000B5200000}"/>
    <cellStyle name="40% - Accent6 2 5" xfId="8372" xr:uid="{00000000-0005-0000-0000-0000B6200000}"/>
    <cellStyle name="40% - Accent6 2 5 2" xfId="8373" xr:uid="{00000000-0005-0000-0000-0000B7200000}"/>
    <cellStyle name="40% - Accent6 2 6" xfId="8374" xr:uid="{00000000-0005-0000-0000-0000B8200000}"/>
    <cellStyle name="40% - Accent6 2 6 2" xfId="8375" xr:uid="{00000000-0005-0000-0000-0000B9200000}"/>
    <cellStyle name="40% - Accent6 2 7" xfId="8376" xr:uid="{00000000-0005-0000-0000-0000BA200000}"/>
    <cellStyle name="40% - Accent6 2 7 2" xfId="8377" xr:uid="{00000000-0005-0000-0000-0000BB200000}"/>
    <cellStyle name="40% - Accent6 2 8" xfId="8378" xr:uid="{00000000-0005-0000-0000-0000BC200000}"/>
    <cellStyle name="40% - Accent6 2 8 2" xfId="8379" xr:uid="{00000000-0005-0000-0000-0000BD200000}"/>
    <cellStyle name="40% - Accent6 2 9" xfId="8380" xr:uid="{00000000-0005-0000-0000-0000BE200000}"/>
    <cellStyle name="40% - Accent6 2 9 2" xfId="8381" xr:uid="{00000000-0005-0000-0000-0000BF200000}"/>
    <cellStyle name="40% - Accent6 20" xfId="8382" xr:uid="{00000000-0005-0000-0000-0000C0200000}"/>
    <cellStyle name="40% - Accent6 20 2" xfId="8383" xr:uid="{00000000-0005-0000-0000-0000C1200000}"/>
    <cellStyle name="40% - Accent6 21" xfId="8384" xr:uid="{00000000-0005-0000-0000-0000C2200000}"/>
    <cellStyle name="40% - Accent6 21 2" xfId="8385" xr:uid="{00000000-0005-0000-0000-0000C3200000}"/>
    <cellStyle name="40% - Accent6 22" xfId="8386" xr:uid="{00000000-0005-0000-0000-0000C4200000}"/>
    <cellStyle name="40% - Accent6 22 2" xfId="8387" xr:uid="{00000000-0005-0000-0000-0000C5200000}"/>
    <cellStyle name="40% - Accent6 23" xfId="8388" xr:uid="{00000000-0005-0000-0000-0000C6200000}"/>
    <cellStyle name="40% - Accent6 23 2" xfId="8389" xr:uid="{00000000-0005-0000-0000-0000C7200000}"/>
    <cellStyle name="40% - Accent6 24" xfId="8390" xr:uid="{00000000-0005-0000-0000-0000C8200000}"/>
    <cellStyle name="40% - Accent6 24 2" xfId="8391" xr:uid="{00000000-0005-0000-0000-0000C9200000}"/>
    <cellStyle name="40% - Accent6 25" xfId="8392" xr:uid="{00000000-0005-0000-0000-0000CA200000}"/>
    <cellStyle name="40% - Accent6 25 2" xfId="8393" xr:uid="{00000000-0005-0000-0000-0000CB200000}"/>
    <cellStyle name="40% - Accent6 26" xfId="8394" xr:uid="{00000000-0005-0000-0000-0000CC200000}"/>
    <cellStyle name="40% - Accent6 26 2" xfId="8395" xr:uid="{00000000-0005-0000-0000-0000CD200000}"/>
    <cellStyle name="40% - Accent6 27" xfId="8396" xr:uid="{00000000-0005-0000-0000-0000CE200000}"/>
    <cellStyle name="40% - Accent6 27 2" xfId="8397" xr:uid="{00000000-0005-0000-0000-0000CF200000}"/>
    <cellStyle name="40% - Accent6 3" xfId="8398" xr:uid="{00000000-0005-0000-0000-0000D0200000}"/>
    <cellStyle name="40% - Accent6 3 2" xfId="8399" xr:uid="{00000000-0005-0000-0000-0000D1200000}"/>
    <cellStyle name="40% - Accent6 3 2 2" xfId="8400" xr:uid="{00000000-0005-0000-0000-0000D2200000}"/>
    <cellStyle name="40% - Accent6 3 3" xfId="8401" xr:uid="{00000000-0005-0000-0000-0000D3200000}"/>
    <cellStyle name="40% - Accent6 4" xfId="8402" xr:uid="{00000000-0005-0000-0000-0000D4200000}"/>
    <cellStyle name="40% - Accent6 4 2" xfId="8403" xr:uid="{00000000-0005-0000-0000-0000D5200000}"/>
    <cellStyle name="40% - Accent6 4 2 2" xfId="8404" xr:uid="{00000000-0005-0000-0000-0000D6200000}"/>
    <cellStyle name="40% - Accent6 4 3" xfId="8405" xr:uid="{00000000-0005-0000-0000-0000D7200000}"/>
    <cellStyle name="40% - Accent6 4 3 2" xfId="8406" xr:uid="{00000000-0005-0000-0000-0000D8200000}"/>
    <cellStyle name="40% - Accent6 4 4" xfId="8407" xr:uid="{00000000-0005-0000-0000-0000D9200000}"/>
    <cellStyle name="40% - Accent6 5" xfId="8408" xr:uid="{00000000-0005-0000-0000-0000DA200000}"/>
    <cellStyle name="40% - Accent6 5 2" xfId="8409" xr:uid="{00000000-0005-0000-0000-0000DB200000}"/>
    <cellStyle name="40% - Accent6 6" xfId="8410" xr:uid="{00000000-0005-0000-0000-0000DC200000}"/>
    <cellStyle name="40% - Accent6 6 2" xfId="8411" xr:uid="{00000000-0005-0000-0000-0000DD200000}"/>
    <cellStyle name="40% - Accent6 7" xfId="8412" xr:uid="{00000000-0005-0000-0000-0000DE200000}"/>
    <cellStyle name="40% - Accent6 7 2" xfId="8413" xr:uid="{00000000-0005-0000-0000-0000DF200000}"/>
    <cellStyle name="40% - Accent6 8" xfId="8414" xr:uid="{00000000-0005-0000-0000-0000E0200000}"/>
    <cellStyle name="40% - Accent6 8 2" xfId="8415" xr:uid="{00000000-0005-0000-0000-0000E1200000}"/>
    <cellStyle name="40% - Accent6 9" xfId="8416" xr:uid="{00000000-0005-0000-0000-0000E2200000}"/>
    <cellStyle name="40% - Accent6 9 2" xfId="8417" xr:uid="{00000000-0005-0000-0000-0000E3200000}"/>
    <cellStyle name="40% - Ênfase1" xfId="8418" xr:uid="{00000000-0005-0000-0000-0000E4200000}"/>
    <cellStyle name="40% - Ênfase2" xfId="8419" xr:uid="{00000000-0005-0000-0000-0000E5200000}"/>
    <cellStyle name="40% - Ênfase3" xfId="8420" xr:uid="{00000000-0005-0000-0000-0000E6200000}"/>
    <cellStyle name="40% - Ênfase4" xfId="8421" xr:uid="{00000000-0005-0000-0000-0000E7200000}"/>
    <cellStyle name="40% - Ênfase5" xfId="8422" xr:uid="{00000000-0005-0000-0000-0000E8200000}"/>
    <cellStyle name="40% - Ênfase6" xfId="8423" xr:uid="{00000000-0005-0000-0000-0000E9200000}"/>
    <cellStyle name="40% - アクセント 1" xfId="8424" xr:uid="{00000000-0005-0000-0000-0000EA200000}"/>
    <cellStyle name="40% - アクセント 2" xfId="8425" xr:uid="{00000000-0005-0000-0000-0000EB200000}"/>
    <cellStyle name="40% - アクセント 3" xfId="8426" xr:uid="{00000000-0005-0000-0000-0000EC200000}"/>
    <cellStyle name="40% - アクセント 4" xfId="8427" xr:uid="{00000000-0005-0000-0000-0000ED200000}"/>
    <cellStyle name="40% - アクセント 5" xfId="8428" xr:uid="{00000000-0005-0000-0000-0000EE200000}"/>
    <cellStyle name="40% - アクセント 6" xfId="8429" xr:uid="{00000000-0005-0000-0000-0000EF200000}"/>
    <cellStyle name="40% - 强调文字颜色 1" xfId="8430" xr:uid="{00000000-0005-0000-0000-0000F0200000}"/>
    <cellStyle name="40% - 强调文字颜色 1 2" xfId="8431" xr:uid="{00000000-0005-0000-0000-0000F1200000}"/>
    <cellStyle name="40% - 强调文字颜色 1 3" xfId="8432" xr:uid="{00000000-0005-0000-0000-0000F2200000}"/>
    <cellStyle name="40% - 强调文字颜色 1 4" xfId="8433" xr:uid="{00000000-0005-0000-0000-0000F3200000}"/>
    <cellStyle name="40% - 强调文字颜色 1 5" xfId="8434" xr:uid="{00000000-0005-0000-0000-0000F4200000}"/>
    <cellStyle name="40% - 强调文字颜色 1 6" xfId="8435" xr:uid="{00000000-0005-0000-0000-0000F5200000}"/>
    <cellStyle name="40% - 强调文字颜色 2" xfId="8436" xr:uid="{00000000-0005-0000-0000-0000F6200000}"/>
    <cellStyle name="40% - 强调文字颜色 2 2" xfId="8437" xr:uid="{00000000-0005-0000-0000-0000F7200000}"/>
    <cellStyle name="40% - 强调文字颜色 2 3" xfId="8438" xr:uid="{00000000-0005-0000-0000-0000F8200000}"/>
    <cellStyle name="40% - 强调文字颜色 2 4" xfId="8439" xr:uid="{00000000-0005-0000-0000-0000F9200000}"/>
    <cellStyle name="40% - 强调文字颜色 2 5" xfId="8440" xr:uid="{00000000-0005-0000-0000-0000FA200000}"/>
    <cellStyle name="40% - 强调文字颜色 2 6" xfId="8441" xr:uid="{00000000-0005-0000-0000-0000FB200000}"/>
    <cellStyle name="40% - 强调文字颜色 3" xfId="8442" xr:uid="{00000000-0005-0000-0000-0000FC200000}"/>
    <cellStyle name="40% - 强调文字颜色 3 2" xfId="8443" xr:uid="{00000000-0005-0000-0000-0000FD200000}"/>
    <cellStyle name="40% - 强调文字颜色 3 3" xfId="8444" xr:uid="{00000000-0005-0000-0000-0000FE200000}"/>
    <cellStyle name="40% - 强调文字颜色 3 4" xfId="8445" xr:uid="{00000000-0005-0000-0000-0000FF200000}"/>
    <cellStyle name="40% - 强调文字颜色 3 5" xfId="8446" xr:uid="{00000000-0005-0000-0000-000000210000}"/>
    <cellStyle name="40% - 强调文字颜色 3 6" xfId="8447" xr:uid="{00000000-0005-0000-0000-000001210000}"/>
    <cellStyle name="40% - 强调文字颜色 4" xfId="8448" xr:uid="{00000000-0005-0000-0000-000002210000}"/>
    <cellStyle name="40% - 强调文字颜色 4 2" xfId="8449" xr:uid="{00000000-0005-0000-0000-000003210000}"/>
    <cellStyle name="40% - 强调文字颜色 4 3" xfId="8450" xr:uid="{00000000-0005-0000-0000-000004210000}"/>
    <cellStyle name="40% - 强调文字颜色 4 4" xfId="8451" xr:uid="{00000000-0005-0000-0000-000005210000}"/>
    <cellStyle name="40% - 强调文字颜色 4 5" xfId="8452" xr:uid="{00000000-0005-0000-0000-000006210000}"/>
    <cellStyle name="40% - 强调文字颜色 4 6" xfId="8453" xr:uid="{00000000-0005-0000-0000-000007210000}"/>
    <cellStyle name="40% - 强调文字颜色 5" xfId="8454" xr:uid="{00000000-0005-0000-0000-000008210000}"/>
    <cellStyle name="40% - 强调文字颜色 5 2" xfId="8455" xr:uid="{00000000-0005-0000-0000-000009210000}"/>
    <cellStyle name="40% - 强调文字颜色 5 3" xfId="8456" xr:uid="{00000000-0005-0000-0000-00000A210000}"/>
    <cellStyle name="40% - 强调文字颜色 5 4" xfId="8457" xr:uid="{00000000-0005-0000-0000-00000B210000}"/>
    <cellStyle name="40% - 强调文字颜色 5 5" xfId="8458" xr:uid="{00000000-0005-0000-0000-00000C210000}"/>
    <cellStyle name="40% - 强调文字颜色 5 6" xfId="8459" xr:uid="{00000000-0005-0000-0000-00000D210000}"/>
    <cellStyle name="40% - 强调文字颜色 6" xfId="8460" xr:uid="{00000000-0005-0000-0000-00000E210000}"/>
    <cellStyle name="40% - 强调文字颜色 6 2" xfId="8461" xr:uid="{00000000-0005-0000-0000-00000F210000}"/>
    <cellStyle name="40% - 强调文字颜色 6 3" xfId="8462" xr:uid="{00000000-0005-0000-0000-000010210000}"/>
    <cellStyle name="40% - 强调文字颜色 6 4" xfId="8463" xr:uid="{00000000-0005-0000-0000-000011210000}"/>
    <cellStyle name="40% - 强调文字颜色 6 5" xfId="8464" xr:uid="{00000000-0005-0000-0000-000012210000}"/>
    <cellStyle name="40% - 强调文字颜色 6 6" xfId="8465" xr:uid="{00000000-0005-0000-0000-000013210000}"/>
    <cellStyle name="60 % - Accent1" xfId="8466" xr:uid="{00000000-0005-0000-0000-000014210000}"/>
    <cellStyle name="60 % - Accent1 2" xfId="8467" xr:uid="{00000000-0005-0000-0000-000015210000}"/>
    <cellStyle name="60 % - Accent2" xfId="8468" xr:uid="{00000000-0005-0000-0000-000016210000}"/>
    <cellStyle name="60 % - Accent2 2" xfId="8469" xr:uid="{00000000-0005-0000-0000-000017210000}"/>
    <cellStyle name="60 % - Accent3" xfId="8470" xr:uid="{00000000-0005-0000-0000-000018210000}"/>
    <cellStyle name="60 % - Accent3 2" xfId="8471" xr:uid="{00000000-0005-0000-0000-000019210000}"/>
    <cellStyle name="60 % - Accent4" xfId="8472" xr:uid="{00000000-0005-0000-0000-00001A210000}"/>
    <cellStyle name="60 % - Accent4 2" xfId="8473" xr:uid="{00000000-0005-0000-0000-00001B210000}"/>
    <cellStyle name="60 % - Accent5" xfId="8474" xr:uid="{00000000-0005-0000-0000-00001C210000}"/>
    <cellStyle name="60 % - Accent5 2" xfId="8475" xr:uid="{00000000-0005-0000-0000-00001D210000}"/>
    <cellStyle name="60 % - Accent6" xfId="8476" xr:uid="{00000000-0005-0000-0000-00001E210000}"/>
    <cellStyle name="60 % - Accent6 2" xfId="8477" xr:uid="{00000000-0005-0000-0000-00001F210000}"/>
    <cellStyle name="60% - ?????? 1 2" xfId="8478" xr:uid="{00000000-0005-0000-0000-000020210000}"/>
    <cellStyle name="60% - ?????? 1 3" xfId="8479" xr:uid="{00000000-0005-0000-0000-000021210000}"/>
    <cellStyle name="60% - ?????? 1 4" xfId="8480" xr:uid="{00000000-0005-0000-0000-000022210000}"/>
    <cellStyle name="60% - ?????? 1 5" xfId="8481" xr:uid="{00000000-0005-0000-0000-000023210000}"/>
    <cellStyle name="60% - ?????? 2 2" xfId="8482" xr:uid="{00000000-0005-0000-0000-000024210000}"/>
    <cellStyle name="60% - ?????? 2 3" xfId="8483" xr:uid="{00000000-0005-0000-0000-000025210000}"/>
    <cellStyle name="60% - ?????? 2 4" xfId="8484" xr:uid="{00000000-0005-0000-0000-000026210000}"/>
    <cellStyle name="60% - ?????? 2 5" xfId="8485" xr:uid="{00000000-0005-0000-0000-000027210000}"/>
    <cellStyle name="60% - ?????? 3 2" xfId="8486" xr:uid="{00000000-0005-0000-0000-000028210000}"/>
    <cellStyle name="60% - ?????? 3 3" xfId="8487" xr:uid="{00000000-0005-0000-0000-000029210000}"/>
    <cellStyle name="60% - ?????? 3 4" xfId="8488" xr:uid="{00000000-0005-0000-0000-00002A210000}"/>
    <cellStyle name="60% - ?????? 3 5" xfId="8489" xr:uid="{00000000-0005-0000-0000-00002B210000}"/>
    <cellStyle name="60% - ?????? 4 2" xfId="8490" xr:uid="{00000000-0005-0000-0000-00002C210000}"/>
    <cellStyle name="60% - ?????? 4 3" xfId="8491" xr:uid="{00000000-0005-0000-0000-00002D210000}"/>
    <cellStyle name="60% - ?????? 4 4" xfId="8492" xr:uid="{00000000-0005-0000-0000-00002E210000}"/>
    <cellStyle name="60% - ?????? 4 5" xfId="8493" xr:uid="{00000000-0005-0000-0000-00002F210000}"/>
    <cellStyle name="60% - ?????? 5 2" xfId="8494" xr:uid="{00000000-0005-0000-0000-000030210000}"/>
    <cellStyle name="60% - ?????? 5 3" xfId="8495" xr:uid="{00000000-0005-0000-0000-000031210000}"/>
    <cellStyle name="60% - ?????? 5 4" xfId="8496" xr:uid="{00000000-0005-0000-0000-000032210000}"/>
    <cellStyle name="60% - ?????? 5 5" xfId="8497" xr:uid="{00000000-0005-0000-0000-000033210000}"/>
    <cellStyle name="60% - ?????? 6 2" xfId="8498" xr:uid="{00000000-0005-0000-0000-000034210000}"/>
    <cellStyle name="60% - ?????? 6 3" xfId="8499" xr:uid="{00000000-0005-0000-0000-000035210000}"/>
    <cellStyle name="60% - ?????? 6 4" xfId="8500" xr:uid="{00000000-0005-0000-0000-000036210000}"/>
    <cellStyle name="60% - ?????? 6 5" xfId="8501" xr:uid="{00000000-0005-0000-0000-000037210000}"/>
    <cellStyle name="60% - Accent1 10" xfId="8502" xr:uid="{00000000-0005-0000-0000-000038210000}"/>
    <cellStyle name="60% - Accent1 10 2" xfId="8503" xr:uid="{00000000-0005-0000-0000-000039210000}"/>
    <cellStyle name="60% - Accent1 11" xfId="8504" xr:uid="{00000000-0005-0000-0000-00003A210000}"/>
    <cellStyle name="60% - Accent1 11 2" xfId="8505" xr:uid="{00000000-0005-0000-0000-00003B210000}"/>
    <cellStyle name="60% - Accent1 12" xfId="8506" xr:uid="{00000000-0005-0000-0000-00003C210000}"/>
    <cellStyle name="60% - Accent1 12 2" xfId="8507" xr:uid="{00000000-0005-0000-0000-00003D210000}"/>
    <cellStyle name="60% - Accent1 13" xfId="8508" xr:uid="{00000000-0005-0000-0000-00003E210000}"/>
    <cellStyle name="60% - Accent1 13 2" xfId="8509" xr:uid="{00000000-0005-0000-0000-00003F210000}"/>
    <cellStyle name="60% - Accent1 14" xfId="8510" xr:uid="{00000000-0005-0000-0000-000040210000}"/>
    <cellStyle name="60% - Accent1 14 2" xfId="8511" xr:uid="{00000000-0005-0000-0000-000041210000}"/>
    <cellStyle name="60% - Accent1 15" xfId="8512" xr:uid="{00000000-0005-0000-0000-000042210000}"/>
    <cellStyle name="60% - Accent1 15 2" xfId="8513" xr:uid="{00000000-0005-0000-0000-000043210000}"/>
    <cellStyle name="60% - Accent1 16" xfId="8514" xr:uid="{00000000-0005-0000-0000-000044210000}"/>
    <cellStyle name="60% - Accent1 16 2" xfId="8515" xr:uid="{00000000-0005-0000-0000-000045210000}"/>
    <cellStyle name="60% - Accent1 17" xfId="8516" xr:uid="{00000000-0005-0000-0000-000046210000}"/>
    <cellStyle name="60% - Accent1 17 2" xfId="8517" xr:uid="{00000000-0005-0000-0000-000047210000}"/>
    <cellStyle name="60% - Accent1 18" xfId="8518" xr:uid="{00000000-0005-0000-0000-000048210000}"/>
    <cellStyle name="60% - Accent1 18 2" xfId="8519" xr:uid="{00000000-0005-0000-0000-000049210000}"/>
    <cellStyle name="60% - Accent1 19" xfId="8520" xr:uid="{00000000-0005-0000-0000-00004A210000}"/>
    <cellStyle name="60% - Accent1 19 2" xfId="8521" xr:uid="{00000000-0005-0000-0000-00004B210000}"/>
    <cellStyle name="60% - Accent1 2" xfId="8522" xr:uid="{00000000-0005-0000-0000-00004C210000}"/>
    <cellStyle name="60% - Accent1 2 10" xfId="8523" xr:uid="{00000000-0005-0000-0000-00004D210000}"/>
    <cellStyle name="60% - Accent1 2 10 2" xfId="8524" xr:uid="{00000000-0005-0000-0000-00004E210000}"/>
    <cellStyle name="60% - Accent1 2 11" xfId="8525" xr:uid="{00000000-0005-0000-0000-00004F210000}"/>
    <cellStyle name="60% - Accent1 2 11 2" xfId="8526" xr:uid="{00000000-0005-0000-0000-000050210000}"/>
    <cellStyle name="60% - Accent1 2 12" xfId="8527" xr:uid="{00000000-0005-0000-0000-000051210000}"/>
    <cellStyle name="60% - Accent1 2 12 2" xfId="8528" xr:uid="{00000000-0005-0000-0000-000052210000}"/>
    <cellStyle name="60% - Accent1 2 13" xfId="8529" xr:uid="{00000000-0005-0000-0000-000053210000}"/>
    <cellStyle name="60% - Accent1 2 13 2" xfId="8530" xr:uid="{00000000-0005-0000-0000-000054210000}"/>
    <cellStyle name="60% - Accent1 2 14" xfId="8531" xr:uid="{00000000-0005-0000-0000-000055210000}"/>
    <cellStyle name="60% - Accent1 2 14 2" xfId="8532" xr:uid="{00000000-0005-0000-0000-000056210000}"/>
    <cellStyle name="60% - Accent1 2 15" xfId="8533" xr:uid="{00000000-0005-0000-0000-000057210000}"/>
    <cellStyle name="60% - Accent1 2 15 2" xfId="8534" xr:uid="{00000000-0005-0000-0000-000058210000}"/>
    <cellStyle name="60% - Accent1 2 16" xfId="8535" xr:uid="{00000000-0005-0000-0000-000059210000}"/>
    <cellStyle name="60% - Accent1 2 16 2" xfId="8536" xr:uid="{00000000-0005-0000-0000-00005A210000}"/>
    <cellStyle name="60% - Accent1 2 17" xfId="8537" xr:uid="{00000000-0005-0000-0000-00005B210000}"/>
    <cellStyle name="60% - Accent1 2 17 2" xfId="8538" xr:uid="{00000000-0005-0000-0000-00005C210000}"/>
    <cellStyle name="60% - Accent1 2 18" xfId="8539" xr:uid="{00000000-0005-0000-0000-00005D210000}"/>
    <cellStyle name="60% - Accent1 2 18 2" xfId="8540" xr:uid="{00000000-0005-0000-0000-00005E210000}"/>
    <cellStyle name="60% - Accent1 2 19" xfId="8541" xr:uid="{00000000-0005-0000-0000-00005F210000}"/>
    <cellStyle name="60% - Accent1 2 19 2" xfId="8542" xr:uid="{00000000-0005-0000-0000-000060210000}"/>
    <cellStyle name="60% - Accent1 2 2" xfId="8543" xr:uid="{00000000-0005-0000-0000-000061210000}"/>
    <cellStyle name="60% - Accent1 2 2 2" xfId="8544" xr:uid="{00000000-0005-0000-0000-000062210000}"/>
    <cellStyle name="60% - Accent1 2 2 2 2" xfId="8545" xr:uid="{00000000-0005-0000-0000-000063210000}"/>
    <cellStyle name="60% - Accent1 2 2 3" xfId="8546" xr:uid="{00000000-0005-0000-0000-000064210000}"/>
    <cellStyle name="60% - Accent1 2 20" xfId="8547" xr:uid="{00000000-0005-0000-0000-000065210000}"/>
    <cellStyle name="60% - Accent1 2 3" xfId="8548" xr:uid="{00000000-0005-0000-0000-000066210000}"/>
    <cellStyle name="60% - Accent1 2 3 2" xfId="8549" xr:uid="{00000000-0005-0000-0000-000067210000}"/>
    <cellStyle name="60% - Accent1 2 4" xfId="8550" xr:uid="{00000000-0005-0000-0000-000068210000}"/>
    <cellStyle name="60% - Accent1 2 4 2" xfId="8551" xr:uid="{00000000-0005-0000-0000-000069210000}"/>
    <cellStyle name="60% - Accent1 2 5" xfId="8552" xr:uid="{00000000-0005-0000-0000-00006A210000}"/>
    <cellStyle name="60% - Accent1 2 5 2" xfId="8553" xr:uid="{00000000-0005-0000-0000-00006B210000}"/>
    <cellStyle name="60% - Accent1 2 6" xfId="8554" xr:uid="{00000000-0005-0000-0000-00006C210000}"/>
    <cellStyle name="60% - Accent1 2 6 2" xfId="8555" xr:uid="{00000000-0005-0000-0000-00006D210000}"/>
    <cellStyle name="60% - Accent1 2 7" xfId="8556" xr:uid="{00000000-0005-0000-0000-00006E210000}"/>
    <cellStyle name="60% - Accent1 2 7 2" xfId="8557" xr:uid="{00000000-0005-0000-0000-00006F210000}"/>
    <cellStyle name="60% - Accent1 2 8" xfId="8558" xr:uid="{00000000-0005-0000-0000-000070210000}"/>
    <cellStyle name="60% - Accent1 2 8 2" xfId="8559" xr:uid="{00000000-0005-0000-0000-000071210000}"/>
    <cellStyle name="60% - Accent1 2 9" xfId="8560" xr:uid="{00000000-0005-0000-0000-000072210000}"/>
    <cellStyle name="60% - Accent1 2 9 2" xfId="8561" xr:uid="{00000000-0005-0000-0000-000073210000}"/>
    <cellStyle name="60% - Accent1 20" xfId="8562" xr:uid="{00000000-0005-0000-0000-000074210000}"/>
    <cellStyle name="60% - Accent1 20 2" xfId="8563" xr:uid="{00000000-0005-0000-0000-000075210000}"/>
    <cellStyle name="60% - Accent1 21" xfId="8564" xr:uid="{00000000-0005-0000-0000-000076210000}"/>
    <cellStyle name="60% - Accent1 21 2" xfId="8565" xr:uid="{00000000-0005-0000-0000-000077210000}"/>
    <cellStyle name="60% - Accent1 22" xfId="8566" xr:uid="{00000000-0005-0000-0000-000078210000}"/>
    <cellStyle name="60% - Accent1 22 2" xfId="8567" xr:uid="{00000000-0005-0000-0000-000079210000}"/>
    <cellStyle name="60% - Accent1 23" xfId="8568" xr:uid="{00000000-0005-0000-0000-00007A210000}"/>
    <cellStyle name="60% - Accent1 23 2" xfId="8569" xr:uid="{00000000-0005-0000-0000-00007B210000}"/>
    <cellStyle name="60% - Accent1 24" xfId="8570" xr:uid="{00000000-0005-0000-0000-00007C210000}"/>
    <cellStyle name="60% - Accent1 24 2" xfId="8571" xr:uid="{00000000-0005-0000-0000-00007D210000}"/>
    <cellStyle name="60% - Accent1 25" xfId="8572" xr:uid="{00000000-0005-0000-0000-00007E210000}"/>
    <cellStyle name="60% - Accent1 25 2" xfId="8573" xr:uid="{00000000-0005-0000-0000-00007F210000}"/>
    <cellStyle name="60% - Accent1 26" xfId="8574" xr:uid="{00000000-0005-0000-0000-000080210000}"/>
    <cellStyle name="60% - Accent1 26 2" xfId="8575" xr:uid="{00000000-0005-0000-0000-000081210000}"/>
    <cellStyle name="60% - Accent1 27" xfId="8576" xr:uid="{00000000-0005-0000-0000-000082210000}"/>
    <cellStyle name="60% - Accent1 27 2" xfId="8577" xr:uid="{00000000-0005-0000-0000-000083210000}"/>
    <cellStyle name="60% - Accent1 3" xfId="8578" xr:uid="{00000000-0005-0000-0000-000084210000}"/>
    <cellStyle name="60% - Accent1 3 2" xfId="8579" xr:uid="{00000000-0005-0000-0000-000085210000}"/>
    <cellStyle name="60% - Accent1 3 2 2" xfId="8580" xr:uid="{00000000-0005-0000-0000-000086210000}"/>
    <cellStyle name="60% - Accent1 3 3" xfId="8581" xr:uid="{00000000-0005-0000-0000-000087210000}"/>
    <cellStyle name="60% - Accent1 4" xfId="8582" xr:uid="{00000000-0005-0000-0000-000088210000}"/>
    <cellStyle name="60% - Accent1 4 2" xfId="8583" xr:uid="{00000000-0005-0000-0000-000089210000}"/>
    <cellStyle name="60% - Accent1 4 2 2" xfId="8584" xr:uid="{00000000-0005-0000-0000-00008A210000}"/>
    <cellStyle name="60% - Accent1 4 3" xfId="8585" xr:uid="{00000000-0005-0000-0000-00008B210000}"/>
    <cellStyle name="60% - Accent1 5" xfId="8586" xr:uid="{00000000-0005-0000-0000-00008C210000}"/>
    <cellStyle name="60% - Accent1 5 2" xfId="8587" xr:uid="{00000000-0005-0000-0000-00008D210000}"/>
    <cellStyle name="60% - Accent1 6" xfId="8588" xr:uid="{00000000-0005-0000-0000-00008E210000}"/>
    <cellStyle name="60% - Accent1 6 2" xfId="8589" xr:uid="{00000000-0005-0000-0000-00008F210000}"/>
    <cellStyle name="60% - Accent1 7" xfId="8590" xr:uid="{00000000-0005-0000-0000-000090210000}"/>
    <cellStyle name="60% - Accent1 7 2" xfId="8591" xr:uid="{00000000-0005-0000-0000-000091210000}"/>
    <cellStyle name="60% - Accent1 8" xfId="8592" xr:uid="{00000000-0005-0000-0000-000092210000}"/>
    <cellStyle name="60% - Accent1 8 2" xfId="8593" xr:uid="{00000000-0005-0000-0000-000093210000}"/>
    <cellStyle name="60% - Accent1 9" xfId="8594" xr:uid="{00000000-0005-0000-0000-000094210000}"/>
    <cellStyle name="60% - Accent1 9 2" xfId="8595" xr:uid="{00000000-0005-0000-0000-000095210000}"/>
    <cellStyle name="60% - Accent2 10" xfId="8596" xr:uid="{00000000-0005-0000-0000-000096210000}"/>
    <cellStyle name="60% - Accent2 10 2" xfId="8597" xr:uid="{00000000-0005-0000-0000-000097210000}"/>
    <cellStyle name="60% - Accent2 11" xfId="8598" xr:uid="{00000000-0005-0000-0000-000098210000}"/>
    <cellStyle name="60% - Accent2 11 2" xfId="8599" xr:uid="{00000000-0005-0000-0000-000099210000}"/>
    <cellStyle name="60% - Accent2 12" xfId="8600" xr:uid="{00000000-0005-0000-0000-00009A210000}"/>
    <cellStyle name="60% - Accent2 12 2" xfId="8601" xr:uid="{00000000-0005-0000-0000-00009B210000}"/>
    <cellStyle name="60% - Accent2 13" xfId="8602" xr:uid="{00000000-0005-0000-0000-00009C210000}"/>
    <cellStyle name="60% - Accent2 13 2" xfId="8603" xr:uid="{00000000-0005-0000-0000-00009D210000}"/>
    <cellStyle name="60% - Accent2 14" xfId="8604" xr:uid="{00000000-0005-0000-0000-00009E210000}"/>
    <cellStyle name="60% - Accent2 14 2" xfId="8605" xr:uid="{00000000-0005-0000-0000-00009F210000}"/>
    <cellStyle name="60% - Accent2 15" xfId="8606" xr:uid="{00000000-0005-0000-0000-0000A0210000}"/>
    <cellStyle name="60% - Accent2 15 2" xfId="8607" xr:uid="{00000000-0005-0000-0000-0000A1210000}"/>
    <cellStyle name="60% - Accent2 16" xfId="8608" xr:uid="{00000000-0005-0000-0000-0000A2210000}"/>
    <cellStyle name="60% - Accent2 16 2" xfId="8609" xr:uid="{00000000-0005-0000-0000-0000A3210000}"/>
    <cellStyle name="60% - Accent2 17" xfId="8610" xr:uid="{00000000-0005-0000-0000-0000A4210000}"/>
    <cellStyle name="60% - Accent2 17 2" xfId="8611" xr:uid="{00000000-0005-0000-0000-0000A5210000}"/>
    <cellStyle name="60% - Accent2 18" xfId="8612" xr:uid="{00000000-0005-0000-0000-0000A6210000}"/>
    <cellStyle name="60% - Accent2 18 2" xfId="8613" xr:uid="{00000000-0005-0000-0000-0000A7210000}"/>
    <cellStyle name="60% - Accent2 19" xfId="8614" xr:uid="{00000000-0005-0000-0000-0000A8210000}"/>
    <cellStyle name="60% - Accent2 19 2" xfId="8615" xr:uid="{00000000-0005-0000-0000-0000A9210000}"/>
    <cellStyle name="60% - Accent2 2" xfId="8616" xr:uid="{00000000-0005-0000-0000-0000AA210000}"/>
    <cellStyle name="60% - Accent2 2 10" xfId="8617" xr:uid="{00000000-0005-0000-0000-0000AB210000}"/>
    <cellStyle name="60% - Accent2 2 10 2" xfId="8618" xr:uid="{00000000-0005-0000-0000-0000AC210000}"/>
    <cellStyle name="60% - Accent2 2 11" xfId="8619" xr:uid="{00000000-0005-0000-0000-0000AD210000}"/>
    <cellStyle name="60% - Accent2 2 11 2" xfId="8620" xr:uid="{00000000-0005-0000-0000-0000AE210000}"/>
    <cellStyle name="60% - Accent2 2 12" xfId="8621" xr:uid="{00000000-0005-0000-0000-0000AF210000}"/>
    <cellStyle name="60% - Accent2 2 12 2" xfId="8622" xr:uid="{00000000-0005-0000-0000-0000B0210000}"/>
    <cellStyle name="60% - Accent2 2 13" xfId="8623" xr:uid="{00000000-0005-0000-0000-0000B1210000}"/>
    <cellStyle name="60% - Accent2 2 13 2" xfId="8624" xr:uid="{00000000-0005-0000-0000-0000B2210000}"/>
    <cellStyle name="60% - Accent2 2 14" xfId="8625" xr:uid="{00000000-0005-0000-0000-0000B3210000}"/>
    <cellStyle name="60% - Accent2 2 14 2" xfId="8626" xr:uid="{00000000-0005-0000-0000-0000B4210000}"/>
    <cellStyle name="60% - Accent2 2 15" xfId="8627" xr:uid="{00000000-0005-0000-0000-0000B5210000}"/>
    <cellStyle name="60% - Accent2 2 15 2" xfId="8628" xr:uid="{00000000-0005-0000-0000-0000B6210000}"/>
    <cellStyle name="60% - Accent2 2 16" xfId="8629" xr:uid="{00000000-0005-0000-0000-0000B7210000}"/>
    <cellStyle name="60% - Accent2 2 16 2" xfId="8630" xr:uid="{00000000-0005-0000-0000-0000B8210000}"/>
    <cellStyle name="60% - Accent2 2 17" xfId="8631" xr:uid="{00000000-0005-0000-0000-0000B9210000}"/>
    <cellStyle name="60% - Accent2 2 17 2" xfId="8632" xr:uid="{00000000-0005-0000-0000-0000BA210000}"/>
    <cellStyle name="60% - Accent2 2 18" xfId="8633" xr:uid="{00000000-0005-0000-0000-0000BB210000}"/>
    <cellStyle name="60% - Accent2 2 18 2" xfId="8634" xr:uid="{00000000-0005-0000-0000-0000BC210000}"/>
    <cellStyle name="60% - Accent2 2 19" xfId="8635" xr:uid="{00000000-0005-0000-0000-0000BD210000}"/>
    <cellStyle name="60% - Accent2 2 19 2" xfId="8636" xr:uid="{00000000-0005-0000-0000-0000BE210000}"/>
    <cellStyle name="60% - Accent2 2 2" xfId="8637" xr:uid="{00000000-0005-0000-0000-0000BF210000}"/>
    <cellStyle name="60% - Accent2 2 2 2" xfId="8638" xr:uid="{00000000-0005-0000-0000-0000C0210000}"/>
    <cellStyle name="60% - Accent2 2 2 2 2" xfId="8639" xr:uid="{00000000-0005-0000-0000-0000C1210000}"/>
    <cellStyle name="60% - Accent2 2 2 3" xfId="8640" xr:uid="{00000000-0005-0000-0000-0000C2210000}"/>
    <cellStyle name="60% - Accent2 2 20" xfId="8641" xr:uid="{00000000-0005-0000-0000-0000C3210000}"/>
    <cellStyle name="60% - Accent2 2 3" xfId="8642" xr:uid="{00000000-0005-0000-0000-0000C4210000}"/>
    <cellStyle name="60% - Accent2 2 3 2" xfId="8643" xr:uid="{00000000-0005-0000-0000-0000C5210000}"/>
    <cellStyle name="60% - Accent2 2 4" xfId="8644" xr:uid="{00000000-0005-0000-0000-0000C6210000}"/>
    <cellStyle name="60% - Accent2 2 4 2" xfId="8645" xr:uid="{00000000-0005-0000-0000-0000C7210000}"/>
    <cellStyle name="60% - Accent2 2 5" xfId="8646" xr:uid="{00000000-0005-0000-0000-0000C8210000}"/>
    <cellStyle name="60% - Accent2 2 5 2" xfId="8647" xr:uid="{00000000-0005-0000-0000-0000C9210000}"/>
    <cellStyle name="60% - Accent2 2 6" xfId="8648" xr:uid="{00000000-0005-0000-0000-0000CA210000}"/>
    <cellStyle name="60% - Accent2 2 6 2" xfId="8649" xr:uid="{00000000-0005-0000-0000-0000CB210000}"/>
    <cellStyle name="60% - Accent2 2 7" xfId="8650" xr:uid="{00000000-0005-0000-0000-0000CC210000}"/>
    <cellStyle name="60% - Accent2 2 7 2" xfId="8651" xr:uid="{00000000-0005-0000-0000-0000CD210000}"/>
    <cellStyle name="60% - Accent2 2 8" xfId="8652" xr:uid="{00000000-0005-0000-0000-0000CE210000}"/>
    <cellStyle name="60% - Accent2 2 8 2" xfId="8653" xr:uid="{00000000-0005-0000-0000-0000CF210000}"/>
    <cellStyle name="60% - Accent2 2 9" xfId="8654" xr:uid="{00000000-0005-0000-0000-0000D0210000}"/>
    <cellStyle name="60% - Accent2 2 9 2" xfId="8655" xr:uid="{00000000-0005-0000-0000-0000D1210000}"/>
    <cellStyle name="60% - Accent2 20" xfId="8656" xr:uid="{00000000-0005-0000-0000-0000D2210000}"/>
    <cellStyle name="60% - Accent2 20 2" xfId="8657" xr:uid="{00000000-0005-0000-0000-0000D3210000}"/>
    <cellStyle name="60% - Accent2 21" xfId="8658" xr:uid="{00000000-0005-0000-0000-0000D4210000}"/>
    <cellStyle name="60% - Accent2 21 2" xfId="8659" xr:uid="{00000000-0005-0000-0000-0000D5210000}"/>
    <cellStyle name="60% - Accent2 22" xfId="8660" xr:uid="{00000000-0005-0000-0000-0000D6210000}"/>
    <cellStyle name="60% - Accent2 22 2" xfId="8661" xr:uid="{00000000-0005-0000-0000-0000D7210000}"/>
    <cellStyle name="60% - Accent2 23" xfId="8662" xr:uid="{00000000-0005-0000-0000-0000D8210000}"/>
    <cellStyle name="60% - Accent2 23 2" xfId="8663" xr:uid="{00000000-0005-0000-0000-0000D9210000}"/>
    <cellStyle name="60% - Accent2 24" xfId="8664" xr:uid="{00000000-0005-0000-0000-0000DA210000}"/>
    <cellStyle name="60% - Accent2 24 2" xfId="8665" xr:uid="{00000000-0005-0000-0000-0000DB210000}"/>
    <cellStyle name="60% - Accent2 25" xfId="8666" xr:uid="{00000000-0005-0000-0000-0000DC210000}"/>
    <cellStyle name="60% - Accent2 25 2" xfId="8667" xr:uid="{00000000-0005-0000-0000-0000DD210000}"/>
    <cellStyle name="60% - Accent2 26" xfId="8668" xr:uid="{00000000-0005-0000-0000-0000DE210000}"/>
    <cellStyle name="60% - Accent2 26 2" xfId="8669" xr:uid="{00000000-0005-0000-0000-0000DF210000}"/>
    <cellStyle name="60% - Accent2 27" xfId="8670" xr:uid="{00000000-0005-0000-0000-0000E0210000}"/>
    <cellStyle name="60% - Accent2 27 2" xfId="8671" xr:uid="{00000000-0005-0000-0000-0000E1210000}"/>
    <cellStyle name="60% - Accent2 3" xfId="8672" xr:uid="{00000000-0005-0000-0000-0000E2210000}"/>
    <cellStyle name="60% - Accent2 3 2" xfId="8673" xr:uid="{00000000-0005-0000-0000-0000E3210000}"/>
    <cellStyle name="60% - Accent2 3 2 2" xfId="8674" xr:uid="{00000000-0005-0000-0000-0000E4210000}"/>
    <cellStyle name="60% - Accent2 3 3" xfId="8675" xr:uid="{00000000-0005-0000-0000-0000E5210000}"/>
    <cellStyle name="60% - Accent2 4" xfId="8676" xr:uid="{00000000-0005-0000-0000-0000E6210000}"/>
    <cellStyle name="60% - Accent2 4 2" xfId="8677" xr:uid="{00000000-0005-0000-0000-0000E7210000}"/>
    <cellStyle name="60% - Accent2 4 2 2" xfId="8678" xr:uid="{00000000-0005-0000-0000-0000E8210000}"/>
    <cellStyle name="60% - Accent2 4 3" xfId="8679" xr:uid="{00000000-0005-0000-0000-0000E9210000}"/>
    <cellStyle name="60% - Accent2 5" xfId="8680" xr:uid="{00000000-0005-0000-0000-0000EA210000}"/>
    <cellStyle name="60% - Accent2 5 2" xfId="8681" xr:uid="{00000000-0005-0000-0000-0000EB210000}"/>
    <cellStyle name="60% - Accent2 6" xfId="8682" xr:uid="{00000000-0005-0000-0000-0000EC210000}"/>
    <cellStyle name="60% - Accent2 6 2" xfId="8683" xr:uid="{00000000-0005-0000-0000-0000ED210000}"/>
    <cellStyle name="60% - Accent2 7" xfId="8684" xr:uid="{00000000-0005-0000-0000-0000EE210000}"/>
    <cellStyle name="60% - Accent2 7 2" xfId="8685" xr:uid="{00000000-0005-0000-0000-0000EF210000}"/>
    <cellStyle name="60% - Accent2 8" xfId="8686" xr:uid="{00000000-0005-0000-0000-0000F0210000}"/>
    <cellStyle name="60% - Accent2 8 2" xfId="8687" xr:uid="{00000000-0005-0000-0000-0000F1210000}"/>
    <cellStyle name="60% - Accent2 9" xfId="8688" xr:uid="{00000000-0005-0000-0000-0000F2210000}"/>
    <cellStyle name="60% - Accent2 9 2" xfId="8689" xr:uid="{00000000-0005-0000-0000-0000F3210000}"/>
    <cellStyle name="60% - Accent3 10" xfId="8690" xr:uid="{00000000-0005-0000-0000-0000F4210000}"/>
    <cellStyle name="60% - Accent3 10 2" xfId="8691" xr:uid="{00000000-0005-0000-0000-0000F5210000}"/>
    <cellStyle name="60% - Accent3 11" xfId="8692" xr:uid="{00000000-0005-0000-0000-0000F6210000}"/>
    <cellStyle name="60% - Accent3 11 2" xfId="8693" xr:uid="{00000000-0005-0000-0000-0000F7210000}"/>
    <cellStyle name="60% - Accent3 12" xfId="8694" xr:uid="{00000000-0005-0000-0000-0000F8210000}"/>
    <cellStyle name="60% - Accent3 12 2" xfId="8695" xr:uid="{00000000-0005-0000-0000-0000F9210000}"/>
    <cellStyle name="60% - Accent3 13" xfId="8696" xr:uid="{00000000-0005-0000-0000-0000FA210000}"/>
    <cellStyle name="60% - Accent3 13 2" xfId="8697" xr:uid="{00000000-0005-0000-0000-0000FB210000}"/>
    <cellStyle name="60% - Accent3 14" xfId="8698" xr:uid="{00000000-0005-0000-0000-0000FC210000}"/>
    <cellStyle name="60% - Accent3 14 2" xfId="8699" xr:uid="{00000000-0005-0000-0000-0000FD210000}"/>
    <cellStyle name="60% - Accent3 15" xfId="8700" xr:uid="{00000000-0005-0000-0000-0000FE210000}"/>
    <cellStyle name="60% - Accent3 15 2" xfId="8701" xr:uid="{00000000-0005-0000-0000-0000FF210000}"/>
    <cellStyle name="60% - Accent3 16" xfId="8702" xr:uid="{00000000-0005-0000-0000-000000220000}"/>
    <cellStyle name="60% - Accent3 16 2" xfId="8703" xr:uid="{00000000-0005-0000-0000-000001220000}"/>
    <cellStyle name="60% - Accent3 17" xfId="8704" xr:uid="{00000000-0005-0000-0000-000002220000}"/>
    <cellStyle name="60% - Accent3 17 2" xfId="8705" xr:uid="{00000000-0005-0000-0000-000003220000}"/>
    <cellStyle name="60% - Accent3 18" xfId="8706" xr:uid="{00000000-0005-0000-0000-000004220000}"/>
    <cellStyle name="60% - Accent3 18 2" xfId="8707" xr:uid="{00000000-0005-0000-0000-000005220000}"/>
    <cellStyle name="60% - Accent3 19" xfId="8708" xr:uid="{00000000-0005-0000-0000-000006220000}"/>
    <cellStyle name="60% - Accent3 19 2" xfId="8709" xr:uid="{00000000-0005-0000-0000-000007220000}"/>
    <cellStyle name="60% - Accent3 2" xfId="8710" xr:uid="{00000000-0005-0000-0000-000008220000}"/>
    <cellStyle name="60% - Accent3 2 10" xfId="8711" xr:uid="{00000000-0005-0000-0000-000009220000}"/>
    <cellStyle name="60% - Accent3 2 10 2" xfId="8712" xr:uid="{00000000-0005-0000-0000-00000A220000}"/>
    <cellStyle name="60% - Accent3 2 11" xfId="8713" xr:uid="{00000000-0005-0000-0000-00000B220000}"/>
    <cellStyle name="60% - Accent3 2 11 2" xfId="8714" xr:uid="{00000000-0005-0000-0000-00000C220000}"/>
    <cellStyle name="60% - Accent3 2 12" xfId="8715" xr:uid="{00000000-0005-0000-0000-00000D220000}"/>
    <cellStyle name="60% - Accent3 2 12 2" xfId="8716" xr:uid="{00000000-0005-0000-0000-00000E220000}"/>
    <cellStyle name="60% - Accent3 2 13" xfId="8717" xr:uid="{00000000-0005-0000-0000-00000F220000}"/>
    <cellStyle name="60% - Accent3 2 13 2" xfId="8718" xr:uid="{00000000-0005-0000-0000-000010220000}"/>
    <cellStyle name="60% - Accent3 2 14" xfId="8719" xr:uid="{00000000-0005-0000-0000-000011220000}"/>
    <cellStyle name="60% - Accent3 2 14 2" xfId="8720" xr:uid="{00000000-0005-0000-0000-000012220000}"/>
    <cellStyle name="60% - Accent3 2 15" xfId="8721" xr:uid="{00000000-0005-0000-0000-000013220000}"/>
    <cellStyle name="60% - Accent3 2 15 2" xfId="8722" xr:uid="{00000000-0005-0000-0000-000014220000}"/>
    <cellStyle name="60% - Accent3 2 16" xfId="8723" xr:uid="{00000000-0005-0000-0000-000015220000}"/>
    <cellStyle name="60% - Accent3 2 16 2" xfId="8724" xr:uid="{00000000-0005-0000-0000-000016220000}"/>
    <cellStyle name="60% - Accent3 2 17" xfId="8725" xr:uid="{00000000-0005-0000-0000-000017220000}"/>
    <cellStyle name="60% - Accent3 2 17 2" xfId="8726" xr:uid="{00000000-0005-0000-0000-000018220000}"/>
    <cellStyle name="60% - Accent3 2 18" xfId="8727" xr:uid="{00000000-0005-0000-0000-000019220000}"/>
    <cellStyle name="60% - Accent3 2 18 2" xfId="8728" xr:uid="{00000000-0005-0000-0000-00001A220000}"/>
    <cellStyle name="60% - Accent3 2 19" xfId="8729" xr:uid="{00000000-0005-0000-0000-00001B220000}"/>
    <cellStyle name="60% - Accent3 2 19 2" xfId="8730" xr:uid="{00000000-0005-0000-0000-00001C220000}"/>
    <cellStyle name="60% - Accent3 2 2" xfId="8731" xr:uid="{00000000-0005-0000-0000-00001D220000}"/>
    <cellStyle name="60% - Accent3 2 2 2" xfId="8732" xr:uid="{00000000-0005-0000-0000-00001E220000}"/>
    <cellStyle name="60% - Accent3 2 2 2 2" xfId="8733" xr:uid="{00000000-0005-0000-0000-00001F220000}"/>
    <cellStyle name="60% - Accent3 2 2 3" xfId="8734" xr:uid="{00000000-0005-0000-0000-000020220000}"/>
    <cellStyle name="60% - Accent3 2 20" xfId="8735" xr:uid="{00000000-0005-0000-0000-000021220000}"/>
    <cellStyle name="60% - Accent3 2 3" xfId="8736" xr:uid="{00000000-0005-0000-0000-000022220000}"/>
    <cellStyle name="60% - Accent3 2 3 2" xfId="8737" xr:uid="{00000000-0005-0000-0000-000023220000}"/>
    <cellStyle name="60% - Accent3 2 4" xfId="8738" xr:uid="{00000000-0005-0000-0000-000024220000}"/>
    <cellStyle name="60% - Accent3 2 4 2" xfId="8739" xr:uid="{00000000-0005-0000-0000-000025220000}"/>
    <cellStyle name="60% - Accent3 2 5" xfId="8740" xr:uid="{00000000-0005-0000-0000-000026220000}"/>
    <cellStyle name="60% - Accent3 2 5 2" xfId="8741" xr:uid="{00000000-0005-0000-0000-000027220000}"/>
    <cellStyle name="60% - Accent3 2 6" xfId="8742" xr:uid="{00000000-0005-0000-0000-000028220000}"/>
    <cellStyle name="60% - Accent3 2 6 2" xfId="8743" xr:uid="{00000000-0005-0000-0000-000029220000}"/>
    <cellStyle name="60% - Accent3 2 7" xfId="8744" xr:uid="{00000000-0005-0000-0000-00002A220000}"/>
    <cellStyle name="60% - Accent3 2 7 2" xfId="8745" xr:uid="{00000000-0005-0000-0000-00002B220000}"/>
    <cellStyle name="60% - Accent3 2 8" xfId="8746" xr:uid="{00000000-0005-0000-0000-00002C220000}"/>
    <cellStyle name="60% - Accent3 2 8 2" xfId="8747" xr:uid="{00000000-0005-0000-0000-00002D220000}"/>
    <cellStyle name="60% - Accent3 2 9" xfId="8748" xr:uid="{00000000-0005-0000-0000-00002E220000}"/>
    <cellStyle name="60% - Accent3 2 9 2" xfId="8749" xr:uid="{00000000-0005-0000-0000-00002F220000}"/>
    <cellStyle name="60% - Accent3 20" xfId="8750" xr:uid="{00000000-0005-0000-0000-000030220000}"/>
    <cellStyle name="60% - Accent3 20 2" xfId="8751" xr:uid="{00000000-0005-0000-0000-000031220000}"/>
    <cellStyle name="60% - Accent3 21" xfId="8752" xr:uid="{00000000-0005-0000-0000-000032220000}"/>
    <cellStyle name="60% - Accent3 21 2" xfId="8753" xr:uid="{00000000-0005-0000-0000-000033220000}"/>
    <cellStyle name="60% - Accent3 22" xfId="8754" xr:uid="{00000000-0005-0000-0000-000034220000}"/>
    <cellStyle name="60% - Accent3 22 2" xfId="8755" xr:uid="{00000000-0005-0000-0000-000035220000}"/>
    <cellStyle name="60% - Accent3 23" xfId="8756" xr:uid="{00000000-0005-0000-0000-000036220000}"/>
    <cellStyle name="60% - Accent3 23 2" xfId="8757" xr:uid="{00000000-0005-0000-0000-000037220000}"/>
    <cellStyle name="60% - Accent3 24" xfId="8758" xr:uid="{00000000-0005-0000-0000-000038220000}"/>
    <cellStyle name="60% - Accent3 24 2" xfId="8759" xr:uid="{00000000-0005-0000-0000-000039220000}"/>
    <cellStyle name="60% - Accent3 25" xfId="8760" xr:uid="{00000000-0005-0000-0000-00003A220000}"/>
    <cellStyle name="60% - Accent3 25 2" xfId="8761" xr:uid="{00000000-0005-0000-0000-00003B220000}"/>
    <cellStyle name="60% - Accent3 26" xfId="8762" xr:uid="{00000000-0005-0000-0000-00003C220000}"/>
    <cellStyle name="60% - Accent3 26 2" xfId="8763" xr:uid="{00000000-0005-0000-0000-00003D220000}"/>
    <cellStyle name="60% - Accent3 27" xfId="8764" xr:uid="{00000000-0005-0000-0000-00003E220000}"/>
    <cellStyle name="60% - Accent3 27 2" xfId="8765" xr:uid="{00000000-0005-0000-0000-00003F220000}"/>
    <cellStyle name="60% - Accent3 3" xfId="8766" xr:uid="{00000000-0005-0000-0000-000040220000}"/>
    <cellStyle name="60% - Accent3 3 2" xfId="8767" xr:uid="{00000000-0005-0000-0000-000041220000}"/>
    <cellStyle name="60% - Accent3 3 2 2" xfId="8768" xr:uid="{00000000-0005-0000-0000-000042220000}"/>
    <cellStyle name="60% - Accent3 3 3" xfId="8769" xr:uid="{00000000-0005-0000-0000-000043220000}"/>
    <cellStyle name="60% - Accent3 4" xfId="8770" xr:uid="{00000000-0005-0000-0000-000044220000}"/>
    <cellStyle name="60% - Accent3 4 2" xfId="8771" xr:uid="{00000000-0005-0000-0000-000045220000}"/>
    <cellStyle name="60% - Accent3 4 2 2" xfId="8772" xr:uid="{00000000-0005-0000-0000-000046220000}"/>
    <cellStyle name="60% - Accent3 4 3" xfId="8773" xr:uid="{00000000-0005-0000-0000-000047220000}"/>
    <cellStyle name="60% - Accent3 5" xfId="8774" xr:uid="{00000000-0005-0000-0000-000048220000}"/>
    <cellStyle name="60% - Accent3 5 2" xfId="8775" xr:uid="{00000000-0005-0000-0000-000049220000}"/>
    <cellStyle name="60% - Accent3 6" xfId="8776" xr:uid="{00000000-0005-0000-0000-00004A220000}"/>
    <cellStyle name="60% - Accent3 6 2" xfId="8777" xr:uid="{00000000-0005-0000-0000-00004B220000}"/>
    <cellStyle name="60% - Accent3 7" xfId="8778" xr:uid="{00000000-0005-0000-0000-00004C220000}"/>
    <cellStyle name="60% - Accent3 7 2" xfId="8779" xr:uid="{00000000-0005-0000-0000-00004D220000}"/>
    <cellStyle name="60% - Accent3 8" xfId="8780" xr:uid="{00000000-0005-0000-0000-00004E220000}"/>
    <cellStyle name="60% - Accent3 8 2" xfId="8781" xr:uid="{00000000-0005-0000-0000-00004F220000}"/>
    <cellStyle name="60% - Accent3 9" xfId="8782" xr:uid="{00000000-0005-0000-0000-000050220000}"/>
    <cellStyle name="60% - Accent3 9 2" xfId="8783" xr:uid="{00000000-0005-0000-0000-000051220000}"/>
    <cellStyle name="60% - Accent4 10" xfId="8784" xr:uid="{00000000-0005-0000-0000-000052220000}"/>
    <cellStyle name="60% - Accent4 10 2" xfId="8785" xr:uid="{00000000-0005-0000-0000-000053220000}"/>
    <cellStyle name="60% - Accent4 11" xfId="8786" xr:uid="{00000000-0005-0000-0000-000054220000}"/>
    <cellStyle name="60% - Accent4 11 2" xfId="8787" xr:uid="{00000000-0005-0000-0000-000055220000}"/>
    <cellStyle name="60% - Accent4 12" xfId="8788" xr:uid="{00000000-0005-0000-0000-000056220000}"/>
    <cellStyle name="60% - Accent4 12 2" xfId="8789" xr:uid="{00000000-0005-0000-0000-000057220000}"/>
    <cellStyle name="60% - Accent4 13" xfId="8790" xr:uid="{00000000-0005-0000-0000-000058220000}"/>
    <cellStyle name="60% - Accent4 13 2" xfId="8791" xr:uid="{00000000-0005-0000-0000-000059220000}"/>
    <cellStyle name="60% - Accent4 14" xfId="8792" xr:uid="{00000000-0005-0000-0000-00005A220000}"/>
    <cellStyle name="60% - Accent4 14 2" xfId="8793" xr:uid="{00000000-0005-0000-0000-00005B220000}"/>
    <cellStyle name="60% - Accent4 15" xfId="8794" xr:uid="{00000000-0005-0000-0000-00005C220000}"/>
    <cellStyle name="60% - Accent4 15 2" xfId="8795" xr:uid="{00000000-0005-0000-0000-00005D220000}"/>
    <cellStyle name="60% - Accent4 16" xfId="8796" xr:uid="{00000000-0005-0000-0000-00005E220000}"/>
    <cellStyle name="60% - Accent4 16 2" xfId="8797" xr:uid="{00000000-0005-0000-0000-00005F220000}"/>
    <cellStyle name="60% - Accent4 17" xfId="8798" xr:uid="{00000000-0005-0000-0000-000060220000}"/>
    <cellStyle name="60% - Accent4 17 2" xfId="8799" xr:uid="{00000000-0005-0000-0000-000061220000}"/>
    <cellStyle name="60% - Accent4 18" xfId="8800" xr:uid="{00000000-0005-0000-0000-000062220000}"/>
    <cellStyle name="60% - Accent4 18 2" xfId="8801" xr:uid="{00000000-0005-0000-0000-000063220000}"/>
    <cellStyle name="60% - Accent4 19" xfId="8802" xr:uid="{00000000-0005-0000-0000-000064220000}"/>
    <cellStyle name="60% - Accent4 19 2" xfId="8803" xr:uid="{00000000-0005-0000-0000-000065220000}"/>
    <cellStyle name="60% - Accent4 2" xfId="8804" xr:uid="{00000000-0005-0000-0000-000066220000}"/>
    <cellStyle name="60% - Accent4 2 10" xfId="8805" xr:uid="{00000000-0005-0000-0000-000067220000}"/>
    <cellStyle name="60% - Accent4 2 10 2" xfId="8806" xr:uid="{00000000-0005-0000-0000-000068220000}"/>
    <cellStyle name="60% - Accent4 2 11" xfId="8807" xr:uid="{00000000-0005-0000-0000-000069220000}"/>
    <cellStyle name="60% - Accent4 2 11 2" xfId="8808" xr:uid="{00000000-0005-0000-0000-00006A220000}"/>
    <cellStyle name="60% - Accent4 2 12" xfId="8809" xr:uid="{00000000-0005-0000-0000-00006B220000}"/>
    <cellStyle name="60% - Accent4 2 12 2" xfId="8810" xr:uid="{00000000-0005-0000-0000-00006C220000}"/>
    <cellStyle name="60% - Accent4 2 13" xfId="8811" xr:uid="{00000000-0005-0000-0000-00006D220000}"/>
    <cellStyle name="60% - Accent4 2 13 2" xfId="8812" xr:uid="{00000000-0005-0000-0000-00006E220000}"/>
    <cellStyle name="60% - Accent4 2 14" xfId="8813" xr:uid="{00000000-0005-0000-0000-00006F220000}"/>
    <cellStyle name="60% - Accent4 2 14 2" xfId="8814" xr:uid="{00000000-0005-0000-0000-000070220000}"/>
    <cellStyle name="60% - Accent4 2 15" xfId="8815" xr:uid="{00000000-0005-0000-0000-000071220000}"/>
    <cellStyle name="60% - Accent4 2 15 2" xfId="8816" xr:uid="{00000000-0005-0000-0000-000072220000}"/>
    <cellStyle name="60% - Accent4 2 16" xfId="8817" xr:uid="{00000000-0005-0000-0000-000073220000}"/>
    <cellStyle name="60% - Accent4 2 16 2" xfId="8818" xr:uid="{00000000-0005-0000-0000-000074220000}"/>
    <cellStyle name="60% - Accent4 2 17" xfId="8819" xr:uid="{00000000-0005-0000-0000-000075220000}"/>
    <cellStyle name="60% - Accent4 2 17 2" xfId="8820" xr:uid="{00000000-0005-0000-0000-000076220000}"/>
    <cellStyle name="60% - Accent4 2 18" xfId="8821" xr:uid="{00000000-0005-0000-0000-000077220000}"/>
    <cellStyle name="60% - Accent4 2 18 2" xfId="8822" xr:uid="{00000000-0005-0000-0000-000078220000}"/>
    <cellStyle name="60% - Accent4 2 19" xfId="8823" xr:uid="{00000000-0005-0000-0000-000079220000}"/>
    <cellStyle name="60% - Accent4 2 19 2" xfId="8824" xr:uid="{00000000-0005-0000-0000-00007A220000}"/>
    <cellStyle name="60% - Accent4 2 2" xfId="8825" xr:uid="{00000000-0005-0000-0000-00007B220000}"/>
    <cellStyle name="60% - Accent4 2 2 2" xfId="8826" xr:uid="{00000000-0005-0000-0000-00007C220000}"/>
    <cellStyle name="60% - Accent4 2 2 2 2" xfId="8827" xr:uid="{00000000-0005-0000-0000-00007D220000}"/>
    <cellStyle name="60% - Accent4 2 2 3" xfId="8828" xr:uid="{00000000-0005-0000-0000-00007E220000}"/>
    <cellStyle name="60% - Accent4 2 20" xfId="8829" xr:uid="{00000000-0005-0000-0000-00007F220000}"/>
    <cellStyle name="60% - Accent4 2 3" xfId="8830" xr:uid="{00000000-0005-0000-0000-000080220000}"/>
    <cellStyle name="60% - Accent4 2 3 2" xfId="8831" xr:uid="{00000000-0005-0000-0000-000081220000}"/>
    <cellStyle name="60% - Accent4 2 4" xfId="8832" xr:uid="{00000000-0005-0000-0000-000082220000}"/>
    <cellStyle name="60% - Accent4 2 4 2" xfId="8833" xr:uid="{00000000-0005-0000-0000-000083220000}"/>
    <cellStyle name="60% - Accent4 2 5" xfId="8834" xr:uid="{00000000-0005-0000-0000-000084220000}"/>
    <cellStyle name="60% - Accent4 2 5 2" xfId="8835" xr:uid="{00000000-0005-0000-0000-000085220000}"/>
    <cellStyle name="60% - Accent4 2 6" xfId="8836" xr:uid="{00000000-0005-0000-0000-000086220000}"/>
    <cellStyle name="60% - Accent4 2 6 2" xfId="8837" xr:uid="{00000000-0005-0000-0000-000087220000}"/>
    <cellStyle name="60% - Accent4 2 7" xfId="8838" xr:uid="{00000000-0005-0000-0000-000088220000}"/>
    <cellStyle name="60% - Accent4 2 7 2" xfId="8839" xr:uid="{00000000-0005-0000-0000-000089220000}"/>
    <cellStyle name="60% - Accent4 2 8" xfId="8840" xr:uid="{00000000-0005-0000-0000-00008A220000}"/>
    <cellStyle name="60% - Accent4 2 8 2" xfId="8841" xr:uid="{00000000-0005-0000-0000-00008B220000}"/>
    <cellStyle name="60% - Accent4 2 9" xfId="8842" xr:uid="{00000000-0005-0000-0000-00008C220000}"/>
    <cellStyle name="60% - Accent4 2 9 2" xfId="8843" xr:uid="{00000000-0005-0000-0000-00008D220000}"/>
    <cellStyle name="60% - Accent4 20" xfId="8844" xr:uid="{00000000-0005-0000-0000-00008E220000}"/>
    <cellStyle name="60% - Accent4 20 2" xfId="8845" xr:uid="{00000000-0005-0000-0000-00008F220000}"/>
    <cellStyle name="60% - Accent4 21" xfId="8846" xr:uid="{00000000-0005-0000-0000-000090220000}"/>
    <cellStyle name="60% - Accent4 21 2" xfId="8847" xr:uid="{00000000-0005-0000-0000-000091220000}"/>
    <cellStyle name="60% - Accent4 22" xfId="8848" xr:uid="{00000000-0005-0000-0000-000092220000}"/>
    <cellStyle name="60% - Accent4 22 2" xfId="8849" xr:uid="{00000000-0005-0000-0000-000093220000}"/>
    <cellStyle name="60% - Accent4 23" xfId="8850" xr:uid="{00000000-0005-0000-0000-000094220000}"/>
    <cellStyle name="60% - Accent4 23 2" xfId="8851" xr:uid="{00000000-0005-0000-0000-000095220000}"/>
    <cellStyle name="60% - Accent4 24" xfId="8852" xr:uid="{00000000-0005-0000-0000-000096220000}"/>
    <cellStyle name="60% - Accent4 24 2" xfId="8853" xr:uid="{00000000-0005-0000-0000-000097220000}"/>
    <cellStyle name="60% - Accent4 25" xfId="8854" xr:uid="{00000000-0005-0000-0000-000098220000}"/>
    <cellStyle name="60% - Accent4 25 2" xfId="8855" xr:uid="{00000000-0005-0000-0000-000099220000}"/>
    <cellStyle name="60% - Accent4 26" xfId="8856" xr:uid="{00000000-0005-0000-0000-00009A220000}"/>
    <cellStyle name="60% - Accent4 26 2" xfId="8857" xr:uid="{00000000-0005-0000-0000-00009B220000}"/>
    <cellStyle name="60% - Accent4 27" xfId="8858" xr:uid="{00000000-0005-0000-0000-00009C220000}"/>
    <cellStyle name="60% - Accent4 27 2" xfId="8859" xr:uid="{00000000-0005-0000-0000-00009D220000}"/>
    <cellStyle name="60% - Accent4 3" xfId="8860" xr:uid="{00000000-0005-0000-0000-00009E220000}"/>
    <cellStyle name="60% - Accent4 3 2" xfId="8861" xr:uid="{00000000-0005-0000-0000-00009F220000}"/>
    <cellStyle name="60% - Accent4 3 2 2" xfId="8862" xr:uid="{00000000-0005-0000-0000-0000A0220000}"/>
    <cellStyle name="60% - Accent4 3 3" xfId="8863" xr:uid="{00000000-0005-0000-0000-0000A1220000}"/>
    <cellStyle name="60% - Accent4 4" xfId="8864" xr:uid="{00000000-0005-0000-0000-0000A2220000}"/>
    <cellStyle name="60% - Accent4 4 2" xfId="8865" xr:uid="{00000000-0005-0000-0000-0000A3220000}"/>
    <cellStyle name="60% - Accent4 4 2 2" xfId="8866" xr:uid="{00000000-0005-0000-0000-0000A4220000}"/>
    <cellStyle name="60% - Accent4 4 3" xfId="8867" xr:uid="{00000000-0005-0000-0000-0000A5220000}"/>
    <cellStyle name="60% - Accent4 5" xfId="8868" xr:uid="{00000000-0005-0000-0000-0000A6220000}"/>
    <cellStyle name="60% - Accent4 5 2" xfId="8869" xr:uid="{00000000-0005-0000-0000-0000A7220000}"/>
    <cellStyle name="60% - Accent4 6" xfId="8870" xr:uid="{00000000-0005-0000-0000-0000A8220000}"/>
    <cellStyle name="60% - Accent4 6 2" xfId="8871" xr:uid="{00000000-0005-0000-0000-0000A9220000}"/>
    <cellStyle name="60% - Accent4 7" xfId="8872" xr:uid="{00000000-0005-0000-0000-0000AA220000}"/>
    <cellStyle name="60% - Accent4 7 2" xfId="8873" xr:uid="{00000000-0005-0000-0000-0000AB220000}"/>
    <cellStyle name="60% - Accent4 8" xfId="8874" xr:uid="{00000000-0005-0000-0000-0000AC220000}"/>
    <cellStyle name="60% - Accent4 8 2" xfId="8875" xr:uid="{00000000-0005-0000-0000-0000AD220000}"/>
    <cellStyle name="60% - Accent4 9" xfId="8876" xr:uid="{00000000-0005-0000-0000-0000AE220000}"/>
    <cellStyle name="60% - Accent4 9 2" xfId="8877" xr:uid="{00000000-0005-0000-0000-0000AF220000}"/>
    <cellStyle name="60% - Accent5 10" xfId="8878" xr:uid="{00000000-0005-0000-0000-0000B0220000}"/>
    <cellStyle name="60% - Accent5 10 2" xfId="8879" xr:uid="{00000000-0005-0000-0000-0000B1220000}"/>
    <cellStyle name="60% - Accent5 11" xfId="8880" xr:uid="{00000000-0005-0000-0000-0000B2220000}"/>
    <cellStyle name="60% - Accent5 11 2" xfId="8881" xr:uid="{00000000-0005-0000-0000-0000B3220000}"/>
    <cellStyle name="60% - Accent5 12" xfId="8882" xr:uid="{00000000-0005-0000-0000-0000B4220000}"/>
    <cellStyle name="60% - Accent5 12 2" xfId="8883" xr:uid="{00000000-0005-0000-0000-0000B5220000}"/>
    <cellStyle name="60% - Accent5 13" xfId="8884" xr:uid="{00000000-0005-0000-0000-0000B6220000}"/>
    <cellStyle name="60% - Accent5 13 2" xfId="8885" xr:uid="{00000000-0005-0000-0000-0000B7220000}"/>
    <cellStyle name="60% - Accent5 14" xfId="8886" xr:uid="{00000000-0005-0000-0000-0000B8220000}"/>
    <cellStyle name="60% - Accent5 14 2" xfId="8887" xr:uid="{00000000-0005-0000-0000-0000B9220000}"/>
    <cellStyle name="60% - Accent5 15" xfId="8888" xr:uid="{00000000-0005-0000-0000-0000BA220000}"/>
    <cellStyle name="60% - Accent5 15 2" xfId="8889" xr:uid="{00000000-0005-0000-0000-0000BB220000}"/>
    <cellStyle name="60% - Accent5 16" xfId="8890" xr:uid="{00000000-0005-0000-0000-0000BC220000}"/>
    <cellStyle name="60% - Accent5 16 2" xfId="8891" xr:uid="{00000000-0005-0000-0000-0000BD220000}"/>
    <cellStyle name="60% - Accent5 17" xfId="8892" xr:uid="{00000000-0005-0000-0000-0000BE220000}"/>
    <cellStyle name="60% - Accent5 17 2" xfId="8893" xr:uid="{00000000-0005-0000-0000-0000BF220000}"/>
    <cellStyle name="60% - Accent5 18" xfId="8894" xr:uid="{00000000-0005-0000-0000-0000C0220000}"/>
    <cellStyle name="60% - Accent5 18 2" xfId="8895" xr:uid="{00000000-0005-0000-0000-0000C1220000}"/>
    <cellStyle name="60% - Accent5 19" xfId="8896" xr:uid="{00000000-0005-0000-0000-0000C2220000}"/>
    <cellStyle name="60% - Accent5 19 2" xfId="8897" xr:uid="{00000000-0005-0000-0000-0000C3220000}"/>
    <cellStyle name="60% - Accent5 2" xfId="8898" xr:uid="{00000000-0005-0000-0000-0000C4220000}"/>
    <cellStyle name="60% - Accent5 2 10" xfId="8899" xr:uid="{00000000-0005-0000-0000-0000C5220000}"/>
    <cellStyle name="60% - Accent5 2 10 2" xfId="8900" xr:uid="{00000000-0005-0000-0000-0000C6220000}"/>
    <cellStyle name="60% - Accent5 2 11" xfId="8901" xr:uid="{00000000-0005-0000-0000-0000C7220000}"/>
    <cellStyle name="60% - Accent5 2 11 2" xfId="8902" xr:uid="{00000000-0005-0000-0000-0000C8220000}"/>
    <cellStyle name="60% - Accent5 2 12" xfId="8903" xr:uid="{00000000-0005-0000-0000-0000C9220000}"/>
    <cellStyle name="60% - Accent5 2 12 2" xfId="8904" xr:uid="{00000000-0005-0000-0000-0000CA220000}"/>
    <cellStyle name="60% - Accent5 2 13" xfId="8905" xr:uid="{00000000-0005-0000-0000-0000CB220000}"/>
    <cellStyle name="60% - Accent5 2 13 2" xfId="8906" xr:uid="{00000000-0005-0000-0000-0000CC220000}"/>
    <cellStyle name="60% - Accent5 2 14" xfId="8907" xr:uid="{00000000-0005-0000-0000-0000CD220000}"/>
    <cellStyle name="60% - Accent5 2 14 2" xfId="8908" xr:uid="{00000000-0005-0000-0000-0000CE220000}"/>
    <cellStyle name="60% - Accent5 2 15" xfId="8909" xr:uid="{00000000-0005-0000-0000-0000CF220000}"/>
    <cellStyle name="60% - Accent5 2 15 2" xfId="8910" xr:uid="{00000000-0005-0000-0000-0000D0220000}"/>
    <cellStyle name="60% - Accent5 2 16" xfId="8911" xr:uid="{00000000-0005-0000-0000-0000D1220000}"/>
    <cellStyle name="60% - Accent5 2 16 2" xfId="8912" xr:uid="{00000000-0005-0000-0000-0000D2220000}"/>
    <cellStyle name="60% - Accent5 2 17" xfId="8913" xr:uid="{00000000-0005-0000-0000-0000D3220000}"/>
    <cellStyle name="60% - Accent5 2 17 2" xfId="8914" xr:uid="{00000000-0005-0000-0000-0000D4220000}"/>
    <cellStyle name="60% - Accent5 2 18" xfId="8915" xr:uid="{00000000-0005-0000-0000-0000D5220000}"/>
    <cellStyle name="60% - Accent5 2 18 2" xfId="8916" xr:uid="{00000000-0005-0000-0000-0000D6220000}"/>
    <cellStyle name="60% - Accent5 2 19" xfId="8917" xr:uid="{00000000-0005-0000-0000-0000D7220000}"/>
    <cellStyle name="60% - Accent5 2 19 2" xfId="8918" xr:uid="{00000000-0005-0000-0000-0000D8220000}"/>
    <cellStyle name="60% - Accent5 2 2" xfId="8919" xr:uid="{00000000-0005-0000-0000-0000D9220000}"/>
    <cellStyle name="60% - Accent5 2 2 2" xfId="8920" xr:uid="{00000000-0005-0000-0000-0000DA220000}"/>
    <cellStyle name="60% - Accent5 2 2 2 2" xfId="8921" xr:uid="{00000000-0005-0000-0000-0000DB220000}"/>
    <cellStyle name="60% - Accent5 2 2 3" xfId="8922" xr:uid="{00000000-0005-0000-0000-0000DC220000}"/>
    <cellStyle name="60% - Accent5 2 20" xfId="8923" xr:uid="{00000000-0005-0000-0000-0000DD220000}"/>
    <cellStyle name="60% - Accent5 2 3" xfId="8924" xr:uid="{00000000-0005-0000-0000-0000DE220000}"/>
    <cellStyle name="60% - Accent5 2 3 2" xfId="8925" xr:uid="{00000000-0005-0000-0000-0000DF220000}"/>
    <cellStyle name="60% - Accent5 2 4" xfId="8926" xr:uid="{00000000-0005-0000-0000-0000E0220000}"/>
    <cellStyle name="60% - Accent5 2 4 2" xfId="8927" xr:uid="{00000000-0005-0000-0000-0000E1220000}"/>
    <cellStyle name="60% - Accent5 2 5" xfId="8928" xr:uid="{00000000-0005-0000-0000-0000E2220000}"/>
    <cellStyle name="60% - Accent5 2 5 2" xfId="8929" xr:uid="{00000000-0005-0000-0000-0000E3220000}"/>
    <cellStyle name="60% - Accent5 2 6" xfId="8930" xr:uid="{00000000-0005-0000-0000-0000E4220000}"/>
    <cellStyle name="60% - Accent5 2 6 2" xfId="8931" xr:uid="{00000000-0005-0000-0000-0000E5220000}"/>
    <cellStyle name="60% - Accent5 2 7" xfId="8932" xr:uid="{00000000-0005-0000-0000-0000E6220000}"/>
    <cellStyle name="60% - Accent5 2 7 2" xfId="8933" xr:uid="{00000000-0005-0000-0000-0000E7220000}"/>
    <cellStyle name="60% - Accent5 2 8" xfId="8934" xr:uid="{00000000-0005-0000-0000-0000E8220000}"/>
    <cellStyle name="60% - Accent5 2 8 2" xfId="8935" xr:uid="{00000000-0005-0000-0000-0000E9220000}"/>
    <cellStyle name="60% - Accent5 2 9" xfId="8936" xr:uid="{00000000-0005-0000-0000-0000EA220000}"/>
    <cellStyle name="60% - Accent5 2 9 2" xfId="8937" xr:uid="{00000000-0005-0000-0000-0000EB220000}"/>
    <cellStyle name="60% - Accent5 20" xfId="8938" xr:uid="{00000000-0005-0000-0000-0000EC220000}"/>
    <cellStyle name="60% - Accent5 20 2" xfId="8939" xr:uid="{00000000-0005-0000-0000-0000ED220000}"/>
    <cellStyle name="60% - Accent5 21" xfId="8940" xr:uid="{00000000-0005-0000-0000-0000EE220000}"/>
    <cellStyle name="60% - Accent5 21 2" xfId="8941" xr:uid="{00000000-0005-0000-0000-0000EF220000}"/>
    <cellStyle name="60% - Accent5 22" xfId="8942" xr:uid="{00000000-0005-0000-0000-0000F0220000}"/>
    <cellStyle name="60% - Accent5 22 2" xfId="8943" xr:uid="{00000000-0005-0000-0000-0000F1220000}"/>
    <cellStyle name="60% - Accent5 23" xfId="8944" xr:uid="{00000000-0005-0000-0000-0000F2220000}"/>
    <cellStyle name="60% - Accent5 23 2" xfId="8945" xr:uid="{00000000-0005-0000-0000-0000F3220000}"/>
    <cellStyle name="60% - Accent5 24" xfId="8946" xr:uid="{00000000-0005-0000-0000-0000F4220000}"/>
    <cellStyle name="60% - Accent5 24 2" xfId="8947" xr:uid="{00000000-0005-0000-0000-0000F5220000}"/>
    <cellStyle name="60% - Accent5 25" xfId="8948" xr:uid="{00000000-0005-0000-0000-0000F6220000}"/>
    <cellStyle name="60% - Accent5 25 2" xfId="8949" xr:uid="{00000000-0005-0000-0000-0000F7220000}"/>
    <cellStyle name="60% - Accent5 26" xfId="8950" xr:uid="{00000000-0005-0000-0000-0000F8220000}"/>
    <cellStyle name="60% - Accent5 26 2" xfId="8951" xr:uid="{00000000-0005-0000-0000-0000F9220000}"/>
    <cellStyle name="60% - Accent5 27" xfId="8952" xr:uid="{00000000-0005-0000-0000-0000FA220000}"/>
    <cellStyle name="60% - Accent5 27 2" xfId="8953" xr:uid="{00000000-0005-0000-0000-0000FB220000}"/>
    <cellStyle name="60% - Accent5 3" xfId="8954" xr:uid="{00000000-0005-0000-0000-0000FC220000}"/>
    <cellStyle name="60% - Accent5 3 2" xfId="8955" xr:uid="{00000000-0005-0000-0000-0000FD220000}"/>
    <cellStyle name="60% - Accent5 3 2 2" xfId="8956" xr:uid="{00000000-0005-0000-0000-0000FE220000}"/>
    <cellStyle name="60% - Accent5 3 3" xfId="8957" xr:uid="{00000000-0005-0000-0000-0000FF220000}"/>
    <cellStyle name="60% - Accent5 4" xfId="8958" xr:uid="{00000000-0005-0000-0000-000000230000}"/>
    <cellStyle name="60% - Accent5 4 2" xfId="8959" xr:uid="{00000000-0005-0000-0000-000001230000}"/>
    <cellStyle name="60% - Accent5 4 2 2" xfId="8960" xr:uid="{00000000-0005-0000-0000-000002230000}"/>
    <cellStyle name="60% - Accent5 4 3" xfId="8961" xr:uid="{00000000-0005-0000-0000-000003230000}"/>
    <cellStyle name="60% - Accent5 5" xfId="8962" xr:uid="{00000000-0005-0000-0000-000004230000}"/>
    <cellStyle name="60% - Accent5 5 2" xfId="8963" xr:uid="{00000000-0005-0000-0000-000005230000}"/>
    <cellStyle name="60% - Accent5 6" xfId="8964" xr:uid="{00000000-0005-0000-0000-000006230000}"/>
    <cellStyle name="60% - Accent5 6 2" xfId="8965" xr:uid="{00000000-0005-0000-0000-000007230000}"/>
    <cellStyle name="60% - Accent5 7" xfId="8966" xr:uid="{00000000-0005-0000-0000-000008230000}"/>
    <cellStyle name="60% - Accent5 7 2" xfId="8967" xr:uid="{00000000-0005-0000-0000-000009230000}"/>
    <cellStyle name="60% - Accent5 8" xfId="8968" xr:uid="{00000000-0005-0000-0000-00000A230000}"/>
    <cellStyle name="60% - Accent5 8 2" xfId="8969" xr:uid="{00000000-0005-0000-0000-00000B230000}"/>
    <cellStyle name="60% - Accent5 9" xfId="8970" xr:uid="{00000000-0005-0000-0000-00000C230000}"/>
    <cellStyle name="60% - Accent5 9 2" xfId="8971" xr:uid="{00000000-0005-0000-0000-00000D230000}"/>
    <cellStyle name="60% - Accent6 10" xfId="8972" xr:uid="{00000000-0005-0000-0000-00000E230000}"/>
    <cellStyle name="60% - Accent6 10 2" xfId="8973" xr:uid="{00000000-0005-0000-0000-00000F230000}"/>
    <cellStyle name="60% - Accent6 11" xfId="8974" xr:uid="{00000000-0005-0000-0000-000010230000}"/>
    <cellStyle name="60% - Accent6 11 2" xfId="8975" xr:uid="{00000000-0005-0000-0000-000011230000}"/>
    <cellStyle name="60% - Accent6 12" xfId="8976" xr:uid="{00000000-0005-0000-0000-000012230000}"/>
    <cellStyle name="60% - Accent6 12 2" xfId="8977" xr:uid="{00000000-0005-0000-0000-000013230000}"/>
    <cellStyle name="60% - Accent6 13" xfId="8978" xr:uid="{00000000-0005-0000-0000-000014230000}"/>
    <cellStyle name="60% - Accent6 13 2" xfId="8979" xr:uid="{00000000-0005-0000-0000-000015230000}"/>
    <cellStyle name="60% - Accent6 14" xfId="8980" xr:uid="{00000000-0005-0000-0000-000016230000}"/>
    <cellStyle name="60% - Accent6 14 2" xfId="8981" xr:uid="{00000000-0005-0000-0000-000017230000}"/>
    <cellStyle name="60% - Accent6 15" xfId="8982" xr:uid="{00000000-0005-0000-0000-000018230000}"/>
    <cellStyle name="60% - Accent6 15 2" xfId="8983" xr:uid="{00000000-0005-0000-0000-000019230000}"/>
    <cellStyle name="60% - Accent6 16" xfId="8984" xr:uid="{00000000-0005-0000-0000-00001A230000}"/>
    <cellStyle name="60% - Accent6 16 2" xfId="8985" xr:uid="{00000000-0005-0000-0000-00001B230000}"/>
    <cellStyle name="60% - Accent6 17" xfId="8986" xr:uid="{00000000-0005-0000-0000-00001C230000}"/>
    <cellStyle name="60% - Accent6 17 2" xfId="8987" xr:uid="{00000000-0005-0000-0000-00001D230000}"/>
    <cellStyle name="60% - Accent6 18" xfId="8988" xr:uid="{00000000-0005-0000-0000-00001E230000}"/>
    <cellStyle name="60% - Accent6 18 2" xfId="8989" xr:uid="{00000000-0005-0000-0000-00001F230000}"/>
    <cellStyle name="60% - Accent6 19" xfId="8990" xr:uid="{00000000-0005-0000-0000-000020230000}"/>
    <cellStyle name="60% - Accent6 19 2" xfId="8991" xr:uid="{00000000-0005-0000-0000-000021230000}"/>
    <cellStyle name="60% - Accent6 2" xfId="8992" xr:uid="{00000000-0005-0000-0000-000022230000}"/>
    <cellStyle name="60% - Accent6 2 10" xfId="8993" xr:uid="{00000000-0005-0000-0000-000023230000}"/>
    <cellStyle name="60% - Accent6 2 10 2" xfId="8994" xr:uid="{00000000-0005-0000-0000-000024230000}"/>
    <cellStyle name="60% - Accent6 2 11" xfId="8995" xr:uid="{00000000-0005-0000-0000-000025230000}"/>
    <cellStyle name="60% - Accent6 2 11 2" xfId="8996" xr:uid="{00000000-0005-0000-0000-000026230000}"/>
    <cellStyle name="60% - Accent6 2 12" xfId="8997" xr:uid="{00000000-0005-0000-0000-000027230000}"/>
    <cellStyle name="60% - Accent6 2 12 2" xfId="8998" xr:uid="{00000000-0005-0000-0000-000028230000}"/>
    <cellStyle name="60% - Accent6 2 13" xfId="8999" xr:uid="{00000000-0005-0000-0000-000029230000}"/>
    <cellStyle name="60% - Accent6 2 13 2" xfId="9000" xr:uid="{00000000-0005-0000-0000-00002A230000}"/>
    <cellStyle name="60% - Accent6 2 14" xfId="9001" xr:uid="{00000000-0005-0000-0000-00002B230000}"/>
    <cellStyle name="60% - Accent6 2 14 2" xfId="9002" xr:uid="{00000000-0005-0000-0000-00002C230000}"/>
    <cellStyle name="60% - Accent6 2 15" xfId="9003" xr:uid="{00000000-0005-0000-0000-00002D230000}"/>
    <cellStyle name="60% - Accent6 2 15 2" xfId="9004" xr:uid="{00000000-0005-0000-0000-00002E230000}"/>
    <cellStyle name="60% - Accent6 2 16" xfId="9005" xr:uid="{00000000-0005-0000-0000-00002F230000}"/>
    <cellStyle name="60% - Accent6 2 16 2" xfId="9006" xr:uid="{00000000-0005-0000-0000-000030230000}"/>
    <cellStyle name="60% - Accent6 2 17" xfId="9007" xr:uid="{00000000-0005-0000-0000-000031230000}"/>
    <cellStyle name="60% - Accent6 2 17 2" xfId="9008" xr:uid="{00000000-0005-0000-0000-000032230000}"/>
    <cellStyle name="60% - Accent6 2 18" xfId="9009" xr:uid="{00000000-0005-0000-0000-000033230000}"/>
    <cellStyle name="60% - Accent6 2 18 2" xfId="9010" xr:uid="{00000000-0005-0000-0000-000034230000}"/>
    <cellStyle name="60% - Accent6 2 19" xfId="9011" xr:uid="{00000000-0005-0000-0000-000035230000}"/>
    <cellStyle name="60% - Accent6 2 19 2" xfId="9012" xr:uid="{00000000-0005-0000-0000-000036230000}"/>
    <cellStyle name="60% - Accent6 2 2" xfId="9013" xr:uid="{00000000-0005-0000-0000-000037230000}"/>
    <cellStyle name="60% - Accent6 2 2 2" xfId="9014" xr:uid="{00000000-0005-0000-0000-000038230000}"/>
    <cellStyle name="60% - Accent6 2 2 2 2" xfId="9015" xr:uid="{00000000-0005-0000-0000-000039230000}"/>
    <cellStyle name="60% - Accent6 2 2 3" xfId="9016" xr:uid="{00000000-0005-0000-0000-00003A230000}"/>
    <cellStyle name="60% - Accent6 2 20" xfId="9017" xr:uid="{00000000-0005-0000-0000-00003B230000}"/>
    <cellStyle name="60% - Accent6 2 3" xfId="9018" xr:uid="{00000000-0005-0000-0000-00003C230000}"/>
    <cellStyle name="60% - Accent6 2 3 2" xfId="9019" xr:uid="{00000000-0005-0000-0000-00003D230000}"/>
    <cellStyle name="60% - Accent6 2 4" xfId="9020" xr:uid="{00000000-0005-0000-0000-00003E230000}"/>
    <cellStyle name="60% - Accent6 2 4 2" xfId="9021" xr:uid="{00000000-0005-0000-0000-00003F230000}"/>
    <cellStyle name="60% - Accent6 2 5" xfId="9022" xr:uid="{00000000-0005-0000-0000-000040230000}"/>
    <cellStyle name="60% - Accent6 2 5 2" xfId="9023" xr:uid="{00000000-0005-0000-0000-000041230000}"/>
    <cellStyle name="60% - Accent6 2 6" xfId="9024" xr:uid="{00000000-0005-0000-0000-000042230000}"/>
    <cellStyle name="60% - Accent6 2 6 2" xfId="9025" xr:uid="{00000000-0005-0000-0000-000043230000}"/>
    <cellStyle name="60% - Accent6 2 7" xfId="9026" xr:uid="{00000000-0005-0000-0000-000044230000}"/>
    <cellStyle name="60% - Accent6 2 7 2" xfId="9027" xr:uid="{00000000-0005-0000-0000-000045230000}"/>
    <cellStyle name="60% - Accent6 2 8" xfId="9028" xr:uid="{00000000-0005-0000-0000-000046230000}"/>
    <cellStyle name="60% - Accent6 2 8 2" xfId="9029" xr:uid="{00000000-0005-0000-0000-000047230000}"/>
    <cellStyle name="60% - Accent6 2 9" xfId="9030" xr:uid="{00000000-0005-0000-0000-000048230000}"/>
    <cellStyle name="60% - Accent6 2 9 2" xfId="9031" xr:uid="{00000000-0005-0000-0000-000049230000}"/>
    <cellStyle name="60% - Accent6 20" xfId="9032" xr:uid="{00000000-0005-0000-0000-00004A230000}"/>
    <cellStyle name="60% - Accent6 20 2" xfId="9033" xr:uid="{00000000-0005-0000-0000-00004B230000}"/>
    <cellStyle name="60% - Accent6 21" xfId="9034" xr:uid="{00000000-0005-0000-0000-00004C230000}"/>
    <cellStyle name="60% - Accent6 21 2" xfId="9035" xr:uid="{00000000-0005-0000-0000-00004D230000}"/>
    <cellStyle name="60% - Accent6 22" xfId="9036" xr:uid="{00000000-0005-0000-0000-00004E230000}"/>
    <cellStyle name="60% - Accent6 22 2" xfId="9037" xr:uid="{00000000-0005-0000-0000-00004F230000}"/>
    <cellStyle name="60% - Accent6 23" xfId="9038" xr:uid="{00000000-0005-0000-0000-000050230000}"/>
    <cellStyle name="60% - Accent6 23 2" xfId="9039" xr:uid="{00000000-0005-0000-0000-000051230000}"/>
    <cellStyle name="60% - Accent6 24" xfId="9040" xr:uid="{00000000-0005-0000-0000-000052230000}"/>
    <cellStyle name="60% - Accent6 24 2" xfId="9041" xr:uid="{00000000-0005-0000-0000-000053230000}"/>
    <cellStyle name="60% - Accent6 25" xfId="9042" xr:uid="{00000000-0005-0000-0000-000054230000}"/>
    <cellStyle name="60% - Accent6 25 2" xfId="9043" xr:uid="{00000000-0005-0000-0000-000055230000}"/>
    <cellStyle name="60% - Accent6 26" xfId="9044" xr:uid="{00000000-0005-0000-0000-000056230000}"/>
    <cellStyle name="60% - Accent6 26 2" xfId="9045" xr:uid="{00000000-0005-0000-0000-000057230000}"/>
    <cellStyle name="60% - Accent6 27" xfId="9046" xr:uid="{00000000-0005-0000-0000-000058230000}"/>
    <cellStyle name="60% - Accent6 27 2" xfId="9047" xr:uid="{00000000-0005-0000-0000-000059230000}"/>
    <cellStyle name="60% - Accent6 3" xfId="9048" xr:uid="{00000000-0005-0000-0000-00005A230000}"/>
    <cellStyle name="60% - Accent6 3 2" xfId="9049" xr:uid="{00000000-0005-0000-0000-00005B230000}"/>
    <cellStyle name="60% - Accent6 3 2 2" xfId="9050" xr:uid="{00000000-0005-0000-0000-00005C230000}"/>
    <cellStyle name="60% - Accent6 3 3" xfId="9051" xr:uid="{00000000-0005-0000-0000-00005D230000}"/>
    <cellStyle name="60% - Accent6 4" xfId="9052" xr:uid="{00000000-0005-0000-0000-00005E230000}"/>
    <cellStyle name="60% - Accent6 4 2" xfId="9053" xr:uid="{00000000-0005-0000-0000-00005F230000}"/>
    <cellStyle name="60% - Accent6 4 2 2" xfId="9054" xr:uid="{00000000-0005-0000-0000-000060230000}"/>
    <cellStyle name="60% - Accent6 4 3" xfId="9055" xr:uid="{00000000-0005-0000-0000-000061230000}"/>
    <cellStyle name="60% - Accent6 5" xfId="9056" xr:uid="{00000000-0005-0000-0000-000062230000}"/>
    <cellStyle name="60% - Accent6 5 2" xfId="9057" xr:uid="{00000000-0005-0000-0000-000063230000}"/>
    <cellStyle name="60% - Accent6 6" xfId="9058" xr:uid="{00000000-0005-0000-0000-000064230000}"/>
    <cellStyle name="60% - Accent6 6 2" xfId="9059" xr:uid="{00000000-0005-0000-0000-000065230000}"/>
    <cellStyle name="60% - Accent6 7" xfId="9060" xr:uid="{00000000-0005-0000-0000-000066230000}"/>
    <cellStyle name="60% - Accent6 7 2" xfId="9061" xr:uid="{00000000-0005-0000-0000-000067230000}"/>
    <cellStyle name="60% - Accent6 8" xfId="9062" xr:uid="{00000000-0005-0000-0000-000068230000}"/>
    <cellStyle name="60% - Accent6 8 2" xfId="9063" xr:uid="{00000000-0005-0000-0000-000069230000}"/>
    <cellStyle name="60% - Accent6 9" xfId="9064" xr:uid="{00000000-0005-0000-0000-00006A230000}"/>
    <cellStyle name="60% - Accent6 9 2" xfId="9065" xr:uid="{00000000-0005-0000-0000-00006B230000}"/>
    <cellStyle name="60% - Ênfase1" xfId="9066" xr:uid="{00000000-0005-0000-0000-00006C230000}"/>
    <cellStyle name="60% - Ênfase2" xfId="9067" xr:uid="{00000000-0005-0000-0000-00006D230000}"/>
    <cellStyle name="60% - Ênfase3" xfId="9068" xr:uid="{00000000-0005-0000-0000-00006E230000}"/>
    <cellStyle name="60% - Ênfase4" xfId="9069" xr:uid="{00000000-0005-0000-0000-00006F230000}"/>
    <cellStyle name="60% - Ênfase5" xfId="9070" xr:uid="{00000000-0005-0000-0000-000070230000}"/>
    <cellStyle name="60% - Ênfase6" xfId="9071" xr:uid="{00000000-0005-0000-0000-000071230000}"/>
    <cellStyle name="60% - アクセント 1" xfId="9072" xr:uid="{00000000-0005-0000-0000-000072230000}"/>
    <cellStyle name="60% - アクセント 2" xfId="9073" xr:uid="{00000000-0005-0000-0000-000073230000}"/>
    <cellStyle name="60% - アクセント 3" xfId="9074" xr:uid="{00000000-0005-0000-0000-000074230000}"/>
    <cellStyle name="60% - アクセント 4" xfId="9075" xr:uid="{00000000-0005-0000-0000-000075230000}"/>
    <cellStyle name="60% - アクセント 5" xfId="9076" xr:uid="{00000000-0005-0000-0000-000076230000}"/>
    <cellStyle name="60% - アクセント 6" xfId="9077" xr:uid="{00000000-0005-0000-0000-000077230000}"/>
    <cellStyle name="60% - 强调文字颜色 1" xfId="9078" xr:uid="{00000000-0005-0000-0000-000078230000}"/>
    <cellStyle name="60% - 强调文字颜色 1 2" xfId="9079" xr:uid="{00000000-0005-0000-0000-000079230000}"/>
    <cellStyle name="60% - 强调文字颜色 1 3" xfId="9080" xr:uid="{00000000-0005-0000-0000-00007A230000}"/>
    <cellStyle name="60% - 强调文字颜色 1 4" xfId="9081" xr:uid="{00000000-0005-0000-0000-00007B230000}"/>
    <cellStyle name="60% - 强调文字颜色 1 5" xfId="9082" xr:uid="{00000000-0005-0000-0000-00007C230000}"/>
    <cellStyle name="60% - 强调文字颜色 1 6" xfId="9083" xr:uid="{00000000-0005-0000-0000-00007D230000}"/>
    <cellStyle name="60% - 强调文字颜色 2" xfId="9084" xr:uid="{00000000-0005-0000-0000-00007E230000}"/>
    <cellStyle name="60% - 强调文字颜色 2 2" xfId="9085" xr:uid="{00000000-0005-0000-0000-00007F230000}"/>
    <cellStyle name="60% - 强调文字颜色 2 3" xfId="9086" xr:uid="{00000000-0005-0000-0000-000080230000}"/>
    <cellStyle name="60% - 强调文字颜色 2 4" xfId="9087" xr:uid="{00000000-0005-0000-0000-000081230000}"/>
    <cellStyle name="60% - 强调文字颜色 2 5" xfId="9088" xr:uid="{00000000-0005-0000-0000-000082230000}"/>
    <cellStyle name="60% - 强调文字颜色 2 6" xfId="9089" xr:uid="{00000000-0005-0000-0000-000083230000}"/>
    <cellStyle name="60% - 强调文字颜色 3" xfId="9090" xr:uid="{00000000-0005-0000-0000-000084230000}"/>
    <cellStyle name="60% - 强调文字颜色 3 2" xfId="9091" xr:uid="{00000000-0005-0000-0000-000085230000}"/>
    <cellStyle name="60% - 强调文字颜色 3 3" xfId="9092" xr:uid="{00000000-0005-0000-0000-000086230000}"/>
    <cellStyle name="60% - 强调文字颜色 3 4" xfId="9093" xr:uid="{00000000-0005-0000-0000-000087230000}"/>
    <cellStyle name="60% - 强调文字颜色 3 5" xfId="9094" xr:uid="{00000000-0005-0000-0000-000088230000}"/>
    <cellStyle name="60% - 强调文字颜色 3 6" xfId="9095" xr:uid="{00000000-0005-0000-0000-000089230000}"/>
    <cellStyle name="60% - 强调文字颜色 4" xfId="9096" xr:uid="{00000000-0005-0000-0000-00008A230000}"/>
    <cellStyle name="60% - 强调文字颜色 4 2" xfId="9097" xr:uid="{00000000-0005-0000-0000-00008B230000}"/>
    <cellStyle name="60% - 强调文字颜色 4 3" xfId="9098" xr:uid="{00000000-0005-0000-0000-00008C230000}"/>
    <cellStyle name="60% - 强调文字颜色 4 4" xfId="9099" xr:uid="{00000000-0005-0000-0000-00008D230000}"/>
    <cellStyle name="60% - 强调文字颜色 4 5" xfId="9100" xr:uid="{00000000-0005-0000-0000-00008E230000}"/>
    <cellStyle name="60% - 强调文字颜色 4 6" xfId="9101" xr:uid="{00000000-0005-0000-0000-00008F230000}"/>
    <cellStyle name="60% - 强调文字颜色 5" xfId="9102" xr:uid="{00000000-0005-0000-0000-000090230000}"/>
    <cellStyle name="60% - 强调文字颜色 5 2" xfId="9103" xr:uid="{00000000-0005-0000-0000-000091230000}"/>
    <cellStyle name="60% - 强调文字颜色 5 3" xfId="9104" xr:uid="{00000000-0005-0000-0000-000092230000}"/>
    <cellStyle name="60% - 强调文字颜色 5 4" xfId="9105" xr:uid="{00000000-0005-0000-0000-000093230000}"/>
    <cellStyle name="60% - 强调文字颜色 5 5" xfId="9106" xr:uid="{00000000-0005-0000-0000-000094230000}"/>
    <cellStyle name="60% - 强调文字颜色 5 6" xfId="9107" xr:uid="{00000000-0005-0000-0000-000095230000}"/>
    <cellStyle name="60% - 强调文字颜色 6" xfId="9108" xr:uid="{00000000-0005-0000-0000-000096230000}"/>
    <cellStyle name="60% - 强调文字颜色 6 2" xfId="9109" xr:uid="{00000000-0005-0000-0000-000097230000}"/>
    <cellStyle name="60% - 强调文字颜色 6 3" xfId="9110" xr:uid="{00000000-0005-0000-0000-000098230000}"/>
    <cellStyle name="60% - 强调文字颜色 6 4" xfId="9111" xr:uid="{00000000-0005-0000-0000-000099230000}"/>
    <cellStyle name="60% - 强调文字颜色 6 5" xfId="9112" xr:uid="{00000000-0005-0000-0000-00009A230000}"/>
    <cellStyle name="60% - 强调文字颜色 6 6" xfId="9113" xr:uid="{00000000-0005-0000-0000-00009B230000}"/>
    <cellStyle name="600 PN" xfId="9114" xr:uid="{00000000-0005-0000-0000-00009C230000}"/>
    <cellStyle name="6mal" xfId="9115" xr:uid="{00000000-0005-0000-0000-00009D230000}"/>
    <cellStyle name="6mal 2" xfId="9116" xr:uid="{00000000-0005-0000-0000-00009E230000}"/>
    <cellStyle name="6mal 2 2" xfId="9117" xr:uid="{00000000-0005-0000-0000-00009F230000}"/>
    <cellStyle name="6mal 3" xfId="9118" xr:uid="{00000000-0005-0000-0000-0000A0230000}"/>
    <cellStyle name="700 PN" xfId="9119" xr:uid="{00000000-0005-0000-0000-0000A1230000}"/>
    <cellStyle name="7Mini" xfId="9120" xr:uid="{00000000-0005-0000-0000-0000A2230000}"/>
    <cellStyle name="7Mini 2" xfId="9121" xr:uid="{00000000-0005-0000-0000-0000A3230000}"/>
    <cellStyle name="7Mini 2 2" xfId="9122" xr:uid="{00000000-0005-0000-0000-0000A4230000}"/>
    <cellStyle name="7Mini 2 2 2" xfId="9123" xr:uid="{00000000-0005-0000-0000-0000A5230000}"/>
    <cellStyle name="7Mini 2 3" xfId="9124" xr:uid="{00000000-0005-0000-0000-0000A6230000}"/>
    <cellStyle name="7Mini 3" xfId="9125" xr:uid="{00000000-0005-0000-0000-0000A7230000}"/>
    <cellStyle name="7Mini 3 2" xfId="9126" xr:uid="{00000000-0005-0000-0000-0000A8230000}"/>
    <cellStyle name="7Mini 4" xfId="9127" xr:uid="{00000000-0005-0000-0000-0000A9230000}"/>
    <cellStyle name="7Mini 4 2" xfId="9128" xr:uid="{00000000-0005-0000-0000-0000AA230000}"/>
    <cellStyle name="7Mini 5" xfId="9129" xr:uid="{00000000-0005-0000-0000-0000AB230000}"/>
    <cellStyle name="7Mini 5 2" xfId="9130" xr:uid="{00000000-0005-0000-0000-0000AC230000}"/>
    <cellStyle name="7Mini 6" xfId="9131" xr:uid="{00000000-0005-0000-0000-0000AD230000}"/>
    <cellStyle name="7Mini 6 2" xfId="9132" xr:uid="{00000000-0005-0000-0000-0000AE230000}"/>
    <cellStyle name="7Mini 7" xfId="9133" xr:uid="{00000000-0005-0000-0000-0000AF230000}"/>
    <cellStyle name="7Mini 7 2" xfId="9134" xr:uid="{00000000-0005-0000-0000-0000B0230000}"/>
    <cellStyle name="7Mini 8" xfId="9135" xr:uid="{00000000-0005-0000-0000-0000B1230000}"/>
    <cellStyle name="99-4,5M" xfId="9136" xr:uid="{00000000-0005-0000-0000-0000B2230000}"/>
    <cellStyle name="ac" xfId="9137" xr:uid="{00000000-0005-0000-0000-0000B3230000}"/>
    <cellStyle name="ac 2" xfId="9138" xr:uid="{00000000-0005-0000-0000-0000B4230000}"/>
    <cellStyle name="ac 2 2" xfId="9139" xr:uid="{00000000-0005-0000-0000-0000B5230000}"/>
    <cellStyle name="ac 2 2 2" xfId="9140" xr:uid="{00000000-0005-0000-0000-0000B6230000}"/>
    <cellStyle name="ac 2 2 2 2" xfId="9141" xr:uid="{00000000-0005-0000-0000-0000B7230000}"/>
    <cellStyle name="ac 2 2 2 3" xfId="9142" xr:uid="{00000000-0005-0000-0000-0000B8230000}"/>
    <cellStyle name="ac 2 3" xfId="9143" xr:uid="{00000000-0005-0000-0000-0000B9230000}"/>
    <cellStyle name="ac 2 3 2" xfId="9144" xr:uid="{00000000-0005-0000-0000-0000BA230000}"/>
    <cellStyle name="ac 2 3 3" xfId="9145" xr:uid="{00000000-0005-0000-0000-0000BB230000}"/>
    <cellStyle name="ac 3" xfId="9146" xr:uid="{00000000-0005-0000-0000-0000BC230000}"/>
    <cellStyle name="ac 3 2" xfId="9147" xr:uid="{00000000-0005-0000-0000-0000BD230000}"/>
    <cellStyle name="ac 3 2 2" xfId="9148" xr:uid="{00000000-0005-0000-0000-0000BE230000}"/>
    <cellStyle name="ac 3 2 3" xfId="9149" xr:uid="{00000000-0005-0000-0000-0000BF230000}"/>
    <cellStyle name="ac 4" xfId="9150" xr:uid="{00000000-0005-0000-0000-0000C0230000}"/>
    <cellStyle name="ac 4 2" xfId="9151" xr:uid="{00000000-0005-0000-0000-0000C1230000}"/>
    <cellStyle name="ac 4 3" xfId="9152" xr:uid="{00000000-0005-0000-0000-0000C2230000}"/>
    <cellStyle name="Accent1 10" xfId="9153" xr:uid="{00000000-0005-0000-0000-0000C3230000}"/>
    <cellStyle name="Accent1 10 2" xfId="9154" xr:uid="{00000000-0005-0000-0000-0000C4230000}"/>
    <cellStyle name="Accent1 11" xfId="9155" xr:uid="{00000000-0005-0000-0000-0000C5230000}"/>
    <cellStyle name="Accent1 11 2" xfId="9156" xr:uid="{00000000-0005-0000-0000-0000C6230000}"/>
    <cellStyle name="Accent1 12" xfId="9157" xr:uid="{00000000-0005-0000-0000-0000C7230000}"/>
    <cellStyle name="Accent1 12 2" xfId="9158" xr:uid="{00000000-0005-0000-0000-0000C8230000}"/>
    <cellStyle name="Accent1 13" xfId="9159" xr:uid="{00000000-0005-0000-0000-0000C9230000}"/>
    <cellStyle name="Accent1 13 2" xfId="9160" xr:uid="{00000000-0005-0000-0000-0000CA230000}"/>
    <cellStyle name="Accent1 14" xfId="9161" xr:uid="{00000000-0005-0000-0000-0000CB230000}"/>
    <cellStyle name="Accent1 14 2" xfId="9162" xr:uid="{00000000-0005-0000-0000-0000CC230000}"/>
    <cellStyle name="Accent1 15" xfId="9163" xr:uid="{00000000-0005-0000-0000-0000CD230000}"/>
    <cellStyle name="Accent1 15 2" xfId="9164" xr:uid="{00000000-0005-0000-0000-0000CE230000}"/>
    <cellStyle name="Accent1 16" xfId="9165" xr:uid="{00000000-0005-0000-0000-0000CF230000}"/>
    <cellStyle name="Accent1 16 2" xfId="9166" xr:uid="{00000000-0005-0000-0000-0000D0230000}"/>
    <cellStyle name="Accent1 17" xfId="9167" xr:uid="{00000000-0005-0000-0000-0000D1230000}"/>
    <cellStyle name="Accent1 17 2" xfId="9168" xr:uid="{00000000-0005-0000-0000-0000D2230000}"/>
    <cellStyle name="Accent1 18" xfId="9169" xr:uid="{00000000-0005-0000-0000-0000D3230000}"/>
    <cellStyle name="Accent1 18 2" xfId="9170" xr:uid="{00000000-0005-0000-0000-0000D4230000}"/>
    <cellStyle name="Accent1 19" xfId="9171" xr:uid="{00000000-0005-0000-0000-0000D5230000}"/>
    <cellStyle name="Accent1 19 2" xfId="9172" xr:uid="{00000000-0005-0000-0000-0000D6230000}"/>
    <cellStyle name="Accent1 2" xfId="9173" xr:uid="{00000000-0005-0000-0000-0000D7230000}"/>
    <cellStyle name="Accent1 2 10" xfId="9174" xr:uid="{00000000-0005-0000-0000-0000D8230000}"/>
    <cellStyle name="Accent1 2 10 2" xfId="9175" xr:uid="{00000000-0005-0000-0000-0000D9230000}"/>
    <cellStyle name="Accent1 2 11" xfId="9176" xr:uid="{00000000-0005-0000-0000-0000DA230000}"/>
    <cellStyle name="Accent1 2 11 2" xfId="9177" xr:uid="{00000000-0005-0000-0000-0000DB230000}"/>
    <cellStyle name="Accent1 2 12" xfId="9178" xr:uid="{00000000-0005-0000-0000-0000DC230000}"/>
    <cellStyle name="Accent1 2 12 2" xfId="9179" xr:uid="{00000000-0005-0000-0000-0000DD230000}"/>
    <cellStyle name="Accent1 2 13" xfId="9180" xr:uid="{00000000-0005-0000-0000-0000DE230000}"/>
    <cellStyle name="Accent1 2 13 2" xfId="9181" xr:uid="{00000000-0005-0000-0000-0000DF230000}"/>
    <cellStyle name="Accent1 2 14" xfId="9182" xr:uid="{00000000-0005-0000-0000-0000E0230000}"/>
    <cellStyle name="Accent1 2 14 2" xfId="9183" xr:uid="{00000000-0005-0000-0000-0000E1230000}"/>
    <cellStyle name="Accent1 2 15" xfId="9184" xr:uid="{00000000-0005-0000-0000-0000E2230000}"/>
    <cellStyle name="Accent1 2 15 2" xfId="9185" xr:uid="{00000000-0005-0000-0000-0000E3230000}"/>
    <cellStyle name="Accent1 2 16" xfId="9186" xr:uid="{00000000-0005-0000-0000-0000E4230000}"/>
    <cellStyle name="Accent1 2 16 2" xfId="9187" xr:uid="{00000000-0005-0000-0000-0000E5230000}"/>
    <cellStyle name="Accent1 2 17" xfId="9188" xr:uid="{00000000-0005-0000-0000-0000E6230000}"/>
    <cellStyle name="Accent1 2 17 2" xfId="9189" xr:uid="{00000000-0005-0000-0000-0000E7230000}"/>
    <cellStyle name="Accent1 2 18" xfId="9190" xr:uid="{00000000-0005-0000-0000-0000E8230000}"/>
    <cellStyle name="Accent1 2 18 2" xfId="9191" xr:uid="{00000000-0005-0000-0000-0000E9230000}"/>
    <cellStyle name="Accent1 2 19" xfId="9192" xr:uid="{00000000-0005-0000-0000-0000EA230000}"/>
    <cellStyle name="Accent1 2 19 2" xfId="9193" xr:uid="{00000000-0005-0000-0000-0000EB230000}"/>
    <cellStyle name="Accent1 2 2" xfId="9194" xr:uid="{00000000-0005-0000-0000-0000EC230000}"/>
    <cellStyle name="Accent1 2 2 2" xfId="9195" xr:uid="{00000000-0005-0000-0000-0000ED230000}"/>
    <cellStyle name="Accent1 2 2 2 2" xfId="9196" xr:uid="{00000000-0005-0000-0000-0000EE230000}"/>
    <cellStyle name="Accent1 2 2 3" xfId="9197" xr:uid="{00000000-0005-0000-0000-0000EF230000}"/>
    <cellStyle name="Accent1 2 20" xfId="9198" xr:uid="{00000000-0005-0000-0000-0000F0230000}"/>
    <cellStyle name="Accent1 2 3" xfId="9199" xr:uid="{00000000-0005-0000-0000-0000F1230000}"/>
    <cellStyle name="Accent1 2 3 2" xfId="9200" xr:uid="{00000000-0005-0000-0000-0000F2230000}"/>
    <cellStyle name="Accent1 2 4" xfId="9201" xr:uid="{00000000-0005-0000-0000-0000F3230000}"/>
    <cellStyle name="Accent1 2 4 2" xfId="9202" xr:uid="{00000000-0005-0000-0000-0000F4230000}"/>
    <cellStyle name="Accent1 2 5" xfId="9203" xr:uid="{00000000-0005-0000-0000-0000F5230000}"/>
    <cellStyle name="Accent1 2 5 2" xfId="9204" xr:uid="{00000000-0005-0000-0000-0000F6230000}"/>
    <cellStyle name="Accent1 2 6" xfId="9205" xr:uid="{00000000-0005-0000-0000-0000F7230000}"/>
    <cellStyle name="Accent1 2 6 2" xfId="9206" xr:uid="{00000000-0005-0000-0000-0000F8230000}"/>
    <cellStyle name="Accent1 2 7" xfId="9207" xr:uid="{00000000-0005-0000-0000-0000F9230000}"/>
    <cellStyle name="Accent1 2 7 2" xfId="9208" xr:uid="{00000000-0005-0000-0000-0000FA230000}"/>
    <cellStyle name="Accent1 2 8" xfId="9209" xr:uid="{00000000-0005-0000-0000-0000FB230000}"/>
    <cellStyle name="Accent1 2 8 2" xfId="9210" xr:uid="{00000000-0005-0000-0000-0000FC230000}"/>
    <cellStyle name="Accent1 2 9" xfId="9211" xr:uid="{00000000-0005-0000-0000-0000FD230000}"/>
    <cellStyle name="Accent1 2 9 2" xfId="9212" xr:uid="{00000000-0005-0000-0000-0000FE230000}"/>
    <cellStyle name="Accent1 20" xfId="9213" xr:uid="{00000000-0005-0000-0000-0000FF230000}"/>
    <cellStyle name="Accent1 20 2" xfId="9214" xr:uid="{00000000-0005-0000-0000-000000240000}"/>
    <cellStyle name="Accent1 21" xfId="9215" xr:uid="{00000000-0005-0000-0000-000001240000}"/>
    <cellStyle name="Accent1 21 2" xfId="9216" xr:uid="{00000000-0005-0000-0000-000002240000}"/>
    <cellStyle name="Accent1 22" xfId="9217" xr:uid="{00000000-0005-0000-0000-000003240000}"/>
    <cellStyle name="Accent1 22 2" xfId="9218" xr:uid="{00000000-0005-0000-0000-000004240000}"/>
    <cellStyle name="Accent1 23" xfId="9219" xr:uid="{00000000-0005-0000-0000-000005240000}"/>
    <cellStyle name="Accent1 23 2" xfId="9220" xr:uid="{00000000-0005-0000-0000-000006240000}"/>
    <cellStyle name="Accent1 24" xfId="9221" xr:uid="{00000000-0005-0000-0000-000007240000}"/>
    <cellStyle name="Accent1 24 2" xfId="9222" xr:uid="{00000000-0005-0000-0000-000008240000}"/>
    <cellStyle name="Accent1 25" xfId="9223" xr:uid="{00000000-0005-0000-0000-000009240000}"/>
    <cellStyle name="Accent1 25 2" xfId="9224" xr:uid="{00000000-0005-0000-0000-00000A240000}"/>
    <cellStyle name="Accent1 26" xfId="9225" xr:uid="{00000000-0005-0000-0000-00000B240000}"/>
    <cellStyle name="Accent1 26 2" xfId="9226" xr:uid="{00000000-0005-0000-0000-00000C240000}"/>
    <cellStyle name="Accent1 27" xfId="9227" xr:uid="{00000000-0005-0000-0000-00000D240000}"/>
    <cellStyle name="Accent1 27 2" xfId="9228" xr:uid="{00000000-0005-0000-0000-00000E240000}"/>
    <cellStyle name="Accent1 3" xfId="9229" xr:uid="{00000000-0005-0000-0000-00000F240000}"/>
    <cellStyle name="Accent1 3 2" xfId="9230" xr:uid="{00000000-0005-0000-0000-000010240000}"/>
    <cellStyle name="Accent1 3 2 2" xfId="9231" xr:uid="{00000000-0005-0000-0000-000011240000}"/>
    <cellStyle name="Accent1 3 3" xfId="9232" xr:uid="{00000000-0005-0000-0000-000012240000}"/>
    <cellStyle name="Accent1 4" xfId="9233" xr:uid="{00000000-0005-0000-0000-000013240000}"/>
    <cellStyle name="Accent1 4 2" xfId="9234" xr:uid="{00000000-0005-0000-0000-000014240000}"/>
    <cellStyle name="Accent1 4 2 2" xfId="9235" xr:uid="{00000000-0005-0000-0000-000015240000}"/>
    <cellStyle name="Accent1 4 3" xfId="9236" xr:uid="{00000000-0005-0000-0000-000016240000}"/>
    <cellStyle name="Accent1 5" xfId="9237" xr:uid="{00000000-0005-0000-0000-000017240000}"/>
    <cellStyle name="Accent1 5 2" xfId="9238" xr:uid="{00000000-0005-0000-0000-000018240000}"/>
    <cellStyle name="Accent1 6" xfId="9239" xr:uid="{00000000-0005-0000-0000-000019240000}"/>
    <cellStyle name="Accent1 6 2" xfId="9240" xr:uid="{00000000-0005-0000-0000-00001A240000}"/>
    <cellStyle name="Accent1 7" xfId="9241" xr:uid="{00000000-0005-0000-0000-00001B240000}"/>
    <cellStyle name="Accent1 7 2" xfId="9242" xr:uid="{00000000-0005-0000-0000-00001C240000}"/>
    <cellStyle name="Accent1 8" xfId="9243" xr:uid="{00000000-0005-0000-0000-00001D240000}"/>
    <cellStyle name="Accent1 8 2" xfId="9244" xr:uid="{00000000-0005-0000-0000-00001E240000}"/>
    <cellStyle name="Accent1 9" xfId="9245" xr:uid="{00000000-0005-0000-0000-00001F240000}"/>
    <cellStyle name="Accent1 9 2" xfId="9246" xr:uid="{00000000-0005-0000-0000-000020240000}"/>
    <cellStyle name="Accent2 10" xfId="9247" xr:uid="{00000000-0005-0000-0000-000021240000}"/>
    <cellStyle name="Accent2 10 2" xfId="9248" xr:uid="{00000000-0005-0000-0000-000022240000}"/>
    <cellStyle name="Accent2 11" xfId="9249" xr:uid="{00000000-0005-0000-0000-000023240000}"/>
    <cellStyle name="Accent2 11 2" xfId="9250" xr:uid="{00000000-0005-0000-0000-000024240000}"/>
    <cellStyle name="Accent2 12" xfId="9251" xr:uid="{00000000-0005-0000-0000-000025240000}"/>
    <cellStyle name="Accent2 12 2" xfId="9252" xr:uid="{00000000-0005-0000-0000-000026240000}"/>
    <cellStyle name="Accent2 13" xfId="9253" xr:uid="{00000000-0005-0000-0000-000027240000}"/>
    <cellStyle name="Accent2 13 2" xfId="9254" xr:uid="{00000000-0005-0000-0000-000028240000}"/>
    <cellStyle name="Accent2 14" xfId="9255" xr:uid="{00000000-0005-0000-0000-000029240000}"/>
    <cellStyle name="Accent2 14 2" xfId="9256" xr:uid="{00000000-0005-0000-0000-00002A240000}"/>
    <cellStyle name="Accent2 15" xfId="9257" xr:uid="{00000000-0005-0000-0000-00002B240000}"/>
    <cellStyle name="Accent2 15 2" xfId="9258" xr:uid="{00000000-0005-0000-0000-00002C240000}"/>
    <cellStyle name="Accent2 16" xfId="9259" xr:uid="{00000000-0005-0000-0000-00002D240000}"/>
    <cellStyle name="Accent2 16 2" xfId="9260" xr:uid="{00000000-0005-0000-0000-00002E240000}"/>
    <cellStyle name="Accent2 17" xfId="9261" xr:uid="{00000000-0005-0000-0000-00002F240000}"/>
    <cellStyle name="Accent2 17 2" xfId="9262" xr:uid="{00000000-0005-0000-0000-000030240000}"/>
    <cellStyle name="Accent2 18" xfId="9263" xr:uid="{00000000-0005-0000-0000-000031240000}"/>
    <cellStyle name="Accent2 18 2" xfId="9264" xr:uid="{00000000-0005-0000-0000-000032240000}"/>
    <cellStyle name="Accent2 19" xfId="9265" xr:uid="{00000000-0005-0000-0000-000033240000}"/>
    <cellStyle name="Accent2 19 2" xfId="9266" xr:uid="{00000000-0005-0000-0000-000034240000}"/>
    <cellStyle name="Accent2 2" xfId="9267" xr:uid="{00000000-0005-0000-0000-000035240000}"/>
    <cellStyle name="Accent2 2 10" xfId="9268" xr:uid="{00000000-0005-0000-0000-000036240000}"/>
    <cellStyle name="Accent2 2 10 2" xfId="9269" xr:uid="{00000000-0005-0000-0000-000037240000}"/>
    <cellStyle name="Accent2 2 11" xfId="9270" xr:uid="{00000000-0005-0000-0000-000038240000}"/>
    <cellStyle name="Accent2 2 11 2" xfId="9271" xr:uid="{00000000-0005-0000-0000-000039240000}"/>
    <cellStyle name="Accent2 2 12" xfId="9272" xr:uid="{00000000-0005-0000-0000-00003A240000}"/>
    <cellStyle name="Accent2 2 12 2" xfId="9273" xr:uid="{00000000-0005-0000-0000-00003B240000}"/>
    <cellStyle name="Accent2 2 13" xfId="9274" xr:uid="{00000000-0005-0000-0000-00003C240000}"/>
    <cellStyle name="Accent2 2 13 2" xfId="9275" xr:uid="{00000000-0005-0000-0000-00003D240000}"/>
    <cellStyle name="Accent2 2 14" xfId="9276" xr:uid="{00000000-0005-0000-0000-00003E240000}"/>
    <cellStyle name="Accent2 2 14 2" xfId="9277" xr:uid="{00000000-0005-0000-0000-00003F240000}"/>
    <cellStyle name="Accent2 2 15" xfId="9278" xr:uid="{00000000-0005-0000-0000-000040240000}"/>
    <cellStyle name="Accent2 2 15 2" xfId="9279" xr:uid="{00000000-0005-0000-0000-000041240000}"/>
    <cellStyle name="Accent2 2 16" xfId="9280" xr:uid="{00000000-0005-0000-0000-000042240000}"/>
    <cellStyle name="Accent2 2 16 2" xfId="9281" xr:uid="{00000000-0005-0000-0000-000043240000}"/>
    <cellStyle name="Accent2 2 17" xfId="9282" xr:uid="{00000000-0005-0000-0000-000044240000}"/>
    <cellStyle name="Accent2 2 17 2" xfId="9283" xr:uid="{00000000-0005-0000-0000-000045240000}"/>
    <cellStyle name="Accent2 2 18" xfId="9284" xr:uid="{00000000-0005-0000-0000-000046240000}"/>
    <cellStyle name="Accent2 2 18 2" xfId="9285" xr:uid="{00000000-0005-0000-0000-000047240000}"/>
    <cellStyle name="Accent2 2 19" xfId="9286" xr:uid="{00000000-0005-0000-0000-000048240000}"/>
    <cellStyle name="Accent2 2 19 2" xfId="9287" xr:uid="{00000000-0005-0000-0000-000049240000}"/>
    <cellStyle name="Accent2 2 2" xfId="9288" xr:uid="{00000000-0005-0000-0000-00004A240000}"/>
    <cellStyle name="Accent2 2 2 2" xfId="9289" xr:uid="{00000000-0005-0000-0000-00004B240000}"/>
    <cellStyle name="Accent2 2 2 2 2" xfId="9290" xr:uid="{00000000-0005-0000-0000-00004C240000}"/>
    <cellStyle name="Accent2 2 2 3" xfId="9291" xr:uid="{00000000-0005-0000-0000-00004D240000}"/>
    <cellStyle name="Accent2 2 20" xfId="9292" xr:uid="{00000000-0005-0000-0000-00004E240000}"/>
    <cellStyle name="Accent2 2 3" xfId="9293" xr:uid="{00000000-0005-0000-0000-00004F240000}"/>
    <cellStyle name="Accent2 2 3 2" xfId="9294" xr:uid="{00000000-0005-0000-0000-000050240000}"/>
    <cellStyle name="Accent2 2 4" xfId="9295" xr:uid="{00000000-0005-0000-0000-000051240000}"/>
    <cellStyle name="Accent2 2 4 2" xfId="9296" xr:uid="{00000000-0005-0000-0000-000052240000}"/>
    <cellStyle name="Accent2 2 5" xfId="9297" xr:uid="{00000000-0005-0000-0000-000053240000}"/>
    <cellStyle name="Accent2 2 5 2" xfId="9298" xr:uid="{00000000-0005-0000-0000-000054240000}"/>
    <cellStyle name="Accent2 2 6" xfId="9299" xr:uid="{00000000-0005-0000-0000-000055240000}"/>
    <cellStyle name="Accent2 2 6 2" xfId="9300" xr:uid="{00000000-0005-0000-0000-000056240000}"/>
    <cellStyle name="Accent2 2 7" xfId="9301" xr:uid="{00000000-0005-0000-0000-000057240000}"/>
    <cellStyle name="Accent2 2 7 2" xfId="9302" xr:uid="{00000000-0005-0000-0000-000058240000}"/>
    <cellStyle name="Accent2 2 8" xfId="9303" xr:uid="{00000000-0005-0000-0000-000059240000}"/>
    <cellStyle name="Accent2 2 8 2" xfId="9304" xr:uid="{00000000-0005-0000-0000-00005A240000}"/>
    <cellStyle name="Accent2 2 9" xfId="9305" xr:uid="{00000000-0005-0000-0000-00005B240000}"/>
    <cellStyle name="Accent2 2 9 2" xfId="9306" xr:uid="{00000000-0005-0000-0000-00005C240000}"/>
    <cellStyle name="Accent2 20" xfId="9307" xr:uid="{00000000-0005-0000-0000-00005D240000}"/>
    <cellStyle name="Accent2 20 2" xfId="9308" xr:uid="{00000000-0005-0000-0000-00005E240000}"/>
    <cellStyle name="Accent2 21" xfId="9309" xr:uid="{00000000-0005-0000-0000-00005F240000}"/>
    <cellStyle name="Accent2 21 2" xfId="9310" xr:uid="{00000000-0005-0000-0000-000060240000}"/>
    <cellStyle name="Accent2 22" xfId="9311" xr:uid="{00000000-0005-0000-0000-000061240000}"/>
    <cellStyle name="Accent2 22 2" xfId="9312" xr:uid="{00000000-0005-0000-0000-000062240000}"/>
    <cellStyle name="Accent2 23" xfId="9313" xr:uid="{00000000-0005-0000-0000-000063240000}"/>
    <cellStyle name="Accent2 23 2" xfId="9314" xr:uid="{00000000-0005-0000-0000-000064240000}"/>
    <cellStyle name="Accent2 24" xfId="9315" xr:uid="{00000000-0005-0000-0000-000065240000}"/>
    <cellStyle name="Accent2 24 2" xfId="9316" xr:uid="{00000000-0005-0000-0000-000066240000}"/>
    <cellStyle name="Accent2 25" xfId="9317" xr:uid="{00000000-0005-0000-0000-000067240000}"/>
    <cellStyle name="Accent2 25 2" xfId="9318" xr:uid="{00000000-0005-0000-0000-000068240000}"/>
    <cellStyle name="Accent2 26" xfId="9319" xr:uid="{00000000-0005-0000-0000-000069240000}"/>
    <cellStyle name="Accent2 26 2" xfId="9320" xr:uid="{00000000-0005-0000-0000-00006A240000}"/>
    <cellStyle name="Accent2 27" xfId="9321" xr:uid="{00000000-0005-0000-0000-00006B240000}"/>
    <cellStyle name="Accent2 27 2" xfId="9322" xr:uid="{00000000-0005-0000-0000-00006C240000}"/>
    <cellStyle name="Accent2 3" xfId="9323" xr:uid="{00000000-0005-0000-0000-00006D240000}"/>
    <cellStyle name="Accent2 3 2" xfId="9324" xr:uid="{00000000-0005-0000-0000-00006E240000}"/>
    <cellStyle name="Accent2 3 2 2" xfId="9325" xr:uid="{00000000-0005-0000-0000-00006F240000}"/>
    <cellStyle name="Accent2 3 3" xfId="9326" xr:uid="{00000000-0005-0000-0000-000070240000}"/>
    <cellStyle name="Accent2 4" xfId="9327" xr:uid="{00000000-0005-0000-0000-000071240000}"/>
    <cellStyle name="Accent2 4 2" xfId="9328" xr:uid="{00000000-0005-0000-0000-000072240000}"/>
    <cellStyle name="Accent2 4 2 2" xfId="9329" xr:uid="{00000000-0005-0000-0000-000073240000}"/>
    <cellStyle name="Accent2 4 3" xfId="9330" xr:uid="{00000000-0005-0000-0000-000074240000}"/>
    <cellStyle name="Accent2 5" xfId="9331" xr:uid="{00000000-0005-0000-0000-000075240000}"/>
    <cellStyle name="Accent2 5 2" xfId="9332" xr:uid="{00000000-0005-0000-0000-000076240000}"/>
    <cellStyle name="Accent2 6" xfId="9333" xr:uid="{00000000-0005-0000-0000-000077240000}"/>
    <cellStyle name="Accent2 6 2" xfId="9334" xr:uid="{00000000-0005-0000-0000-000078240000}"/>
    <cellStyle name="Accent2 7" xfId="9335" xr:uid="{00000000-0005-0000-0000-000079240000}"/>
    <cellStyle name="Accent2 7 2" xfId="9336" xr:uid="{00000000-0005-0000-0000-00007A240000}"/>
    <cellStyle name="Accent2 8" xfId="9337" xr:uid="{00000000-0005-0000-0000-00007B240000}"/>
    <cellStyle name="Accent2 8 2" xfId="9338" xr:uid="{00000000-0005-0000-0000-00007C240000}"/>
    <cellStyle name="Accent2 9" xfId="9339" xr:uid="{00000000-0005-0000-0000-00007D240000}"/>
    <cellStyle name="Accent2 9 2" xfId="9340" xr:uid="{00000000-0005-0000-0000-00007E240000}"/>
    <cellStyle name="Accent3 10" xfId="9341" xr:uid="{00000000-0005-0000-0000-00007F240000}"/>
    <cellStyle name="Accent3 10 2" xfId="9342" xr:uid="{00000000-0005-0000-0000-000080240000}"/>
    <cellStyle name="Accent3 11" xfId="9343" xr:uid="{00000000-0005-0000-0000-000081240000}"/>
    <cellStyle name="Accent3 11 2" xfId="9344" xr:uid="{00000000-0005-0000-0000-000082240000}"/>
    <cellStyle name="Accent3 12" xfId="9345" xr:uid="{00000000-0005-0000-0000-000083240000}"/>
    <cellStyle name="Accent3 12 2" xfId="9346" xr:uid="{00000000-0005-0000-0000-000084240000}"/>
    <cellStyle name="Accent3 13" xfId="9347" xr:uid="{00000000-0005-0000-0000-000085240000}"/>
    <cellStyle name="Accent3 13 2" xfId="9348" xr:uid="{00000000-0005-0000-0000-000086240000}"/>
    <cellStyle name="Accent3 14" xfId="9349" xr:uid="{00000000-0005-0000-0000-000087240000}"/>
    <cellStyle name="Accent3 14 2" xfId="9350" xr:uid="{00000000-0005-0000-0000-000088240000}"/>
    <cellStyle name="Accent3 15" xfId="9351" xr:uid="{00000000-0005-0000-0000-000089240000}"/>
    <cellStyle name="Accent3 15 2" xfId="9352" xr:uid="{00000000-0005-0000-0000-00008A240000}"/>
    <cellStyle name="Accent3 16" xfId="9353" xr:uid="{00000000-0005-0000-0000-00008B240000}"/>
    <cellStyle name="Accent3 16 2" xfId="9354" xr:uid="{00000000-0005-0000-0000-00008C240000}"/>
    <cellStyle name="Accent3 17" xfId="9355" xr:uid="{00000000-0005-0000-0000-00008D240000}"/>
    <cellStyle name="Accent3 17 2" xfId="9356" xr:uid="{00000000-0005-0000-0000-00008E240000}"/>
    <cellStyle name="Accent3 18" xfId="9357" xr:uid="{00000000-0005-0000-0000-00008F240000}"/>
    <cellStyle name="Accent3 18 2" xfId="9358" xr:uid="{00000000-0005-0000-0000-000090240000}"/>
    <cellStyle name="Accent3 19" xfId="9359" xr:uid="{00000000-0005-0000-0000-000091240000}"/>
    <cellStyle name="Accent3 19 2" xfId="9360" xr:uid="{00000000-0005-0000-0000-000092240000}"/>
    <cellStyle name="Accent3 2" xfId="9361" xr:uid="{00000000-0005-0000-0000-000093240000}"/>
    <cellStyle name="Accent3 2 10" xfId="9362" xr:uid="{00000000-0005-0000-0000-000094240000}"/>
    <cellStyle name="Accent3 2 10 2" xfId="9363" xr:uid="{00000000-0005-0000-0000-000095240000}"/>
    <cellStyle name="Accent3 2 11" xfId="9364" xr:uid="{00000000-0005-0000-0000-000096240000}"/>
    <cellStyle name="Accent3 2 11 2" xfId="9365" xr:uid="{00000000-0005-0000-0000-000097240000}"/>
    <cellStyle name="Accent3 2 12" xfId="9366" xr:uid="{00000000-0005-0000-0000-000098240000}"/>
    <cellStyle name="Accent3 2 12 2" xfId="9367" xr:uid="{00000000-0005-0000-0000-000099240000}"/>
    <cellStyle name="Accent3 2 13" xfId="9368" xr:uid="{00000000-0005-0000-0000-00009A240000}"/>
    <cellStyle name="Accent3 2 13 2" xfId="9369" xr:uid="{00000000-0005-0000-0000-00009B240000}"/>
    <cellStyle name="Accent3 2 14" xfId="9370" xr:uid="{00000000-0005-0000-0000-00009C240000}"/>
    <cellStyle name="Accent3 2 14 2" xfId="9371" xr:uid="{00000000-0005-0000-0000-00009D240000}"/>
    <cellStyle name="Accent3 2 15" xfId="9372" xr:uid="{00000000-0005-0000-0000-00009E240000}"/>
    <cellStyle name="Accent3 2 15 2" xfId="9373" xr:uid="{00000000-0005-0000-0000-00009F240000}"/>
    <cellStyle name="Accent3 2 16" xfId="9374" xr:uid="{00000000-0005-0000-0000-0000A0240000}"/>
    <cellStyle name="Accent3 2 16 2" xfId="9375" xr:uid="{00000000-0005-0000-0000-0000A1240000}"/>
    <cellStyle name="Accent3 2 17" xfId="9376" xr:uid="{00000000-0005-0000-0000-0000A2240000}"/>
    <cellStyle name="Accent3 2 17 2" xfId="9377" xr:uid="{00000000-0005-0000-0000-0000A3240000}"/>
    <cellStyle name="Accent3 2 18" xfId="9378" xr:uid="{00000000-0005-0000-0000-0000A4240000}"/>
    <cellStyle name="Accent3 2 18 2" xfId="9379" xr:uid="{00000000-0005-0000-0000-0000A5240000}"/>
    <cellStyle name="Accent3 2 19" xfId="9380" xr:uid="{00000000-0005-0000-0000-0000A6240000}"/>
    <cellStyle name="Accent3 2 19 2" xfId="9381" xr:uid="{00000000-0005-0000-0000-0000A7240000}"/>
    <cellStyle name="Accent3 2 2" xfId="9382" xr:uid="{00000000-0005-0000-0000-0000A8240000}"/>
    <cellStyle name="Accent3 2 2 2" xfId="9383" xr:uid="{00000000-0005-0000-0000-0000A9240000}"/>
    <cellStyle name="Accent3 2 2 2 2" xfId="9384" xr:uid="{00000000-0005-0000-0000-0000AA240000}"/>
    <cellStyle name="Accent3 2 2 3" xfId="9385" xr:uid="{00000000-0005-0000-0000-0000AB240000}"/>
    <cellStyle name="Accent3 2 20" xfId="9386" xr:uid="{00000000-0005-0000-0000-0000AC240000}"/>
    <cellStyle name="Accent3 2 3" xfId="9387" xr:uid="{00000000-0005-0000-0000-0000AD240000}"/>
    <cellStyle name="Accent3 2 3 2" xfId="9388" xr:uid="{00000000-0005-0000-0000-0000AE240000}"/>
    <cellStyle name="Accent3 2 4" xfId="9389" xr:uid="{00000000-0005-0000-0000-0000AF240000}"/>
    <cellStyle name="Accent3 2 4 2" xfId="9390" xr:uid="{00000000-0005-0000-0000-0000B0240000}"/>
    <cellStyle name="Accent3 2 5" xfId="9391" xr:uid="{00000000-0005-0000-0000-0000B1240000}"/>
    <cellStyle name="Accent3 2 5 2" xfId="9392" xr:uid="{00000000-0005-0000-0000-0000B2240000}"/>
    <cellStyle name="Accent3 2 6" xfId="9393" xr:uid="{00000000-0005-0000-0000-0000B3240000}"/>
    <cellStyle name="Accent3 2 6 2" xfId="9394" xr:uid="{00000000-0005-0000-0000-0000B4240000}"/>
    <cellStyle name="Accent3 2 7" xfId="9395" xr:uid="{00000000-0005-0000-0000-0000B5240000}"/>
    <cellStyle name="Accent3 2 7 2" xfId="9396" xr:uid="{00000000-0005-0000-0000-0000B6240000}"/>
    <cellStyle name="Accent3 2 8" xfId="9397" xr:uid="{00000000-0005-0000-0000-0000B7240000}"/>
    <cellStyle name="Accent3 2 8 2" xfId="9398" xr:uid="{00000000-0005-0000-0000-0000B8240000}"/>
    <cellStyle name="Accent3 2 9" xfId="9399" xr:uid="{00000000-0005-0000-0000-0000B9240000}"/>
    <cellStyle name="Accent3 2 9 2" xfId="9400" xr:uid="{00000000-0005-0000-0000-0000BA240000}"/>
    <cellStyle name="Accent3 20" xfId="9401" xr:uid="{00000000-0005-0000-0000-0000BB240000}"/>
    <cellStyle name="Accent3 20 2" xfId="9402" xr:uid="{00000000-0005-0000-0000-0000BC240000}"/>
    <cellStyle name="Accent3 21" xfId="9403" xr:uid="{00000000-0005-0000-0000-0000BD240000}"/>
    <cellStyle name="Accent3 21 2" xfId="9404" xr:uid="{00000000-0005-0000-0000-0000BE240000}"/>
    <cellStyle name="Accent3 22" xfId="9405" xr:uid="{00000000-0005-0000-0000-0000BF240000}"/>
    <cellStyle name="Accent3 22 2" xfId="9406" xr:uid="{00000000-0005-0000-0000-0000C0240000}"/>
    <cellStyle name="Accent3 23" xfId="9407" xr:uid="{00000000-0005-0000-0000-0000C1240000}"/>
    <cellStyle name="Accent3 23 2" xfId="9408" xr:uid="{00000000-0005-0000-0000-0000C2240000}"/>
    <cellStyle name="Accent3 24" xfId="9409" xr:uid="{00000000-0005-0000-0000-0000C3240000}"/>
    <cellStyle name="Accent3 24 2" xfId="9410" xr:uid="{00000000-0005-0000-0000-0000C4240000}"/>
    <cellStyle name="Accent3 25" xfId="9411" xr:uid="{00000000-0005-0000-0000-0000C5240000}"/>
    <cellStyle name="Accent3 25 2" xfId="9412" xr:uid="{00000000-0005-0000-0000-0000C6240000}"/>
    <cellStyle name="Accent3 26" xfId="9413" xr:uid="{00000000-0005-0000-0000-0000C7240000}"/>
    <cellStyle name="Accent3 26 2" xfId="9414" xr:uid="{00000000-0005-0000-0000-0000C8240000}"/>
    <cellStyle name="Accent3 27" xfId="9415" xr:uid="{00000000-0005-0000-0000-0000C9240000}"/>
    <cellStyle name="Accent3 27 2" xfId="9416" xr:uid="{00000000-0005-0000-0000-0000CA240000}"/>
    <cellStyle name="Accent3 3" xfId="9417" xr:uid="{00000000-0005-0000-0000-0000CB240000}"/>
    <cellStyle name="Accent3 3 2" xfId="9418" xr:uid="{00000000-0005-0000-0000-0000CC240000}"/>
    <cellStyle name="Accent3 3 2 2" xfId="9419" xr:uid="{00000000-0005-0000-0000-0000CD240000}"/>
    <cellStyle name="Accent3 3 3" xfId="9420" xr:uid="{00000000-0005-0000-0000-0000CE240000}"/>
    <cellStyle name="Accent3 4" xfId="9421" xr:uid="{00000000-0005-0000-0000-0000CF240000}"/>
    <cellStyle name="Accent3 4 2" xfId="9422" xr:uid="{00000000-0005-0000-0000-0000D0240000}"/>
    <cellStyle name="Accent3 4 2 2" xfId="9423" xr:uid="{00000000-0005-0000-0000-0000D1240000}"/>
    <cellStyle name="Accent3 4 3" xfId="9424" xr:uid="{00000000-0005-0000-0000-0000D2240000}"/>
    <cellStyle name="Accent3 5" xfId="9425" xr:uid="{00000000-0005-0000-0000-0000D3240000}"/>
    <cellStyle name="Accent3 5 2" xfId="9426" xr:uid="{00000000-0005-0000-0000-0000D4240000}"/>
    <cellStyle name="Accent3 6" xfId="9427" xr:uid="{00000000-0005-0000-0000-0000D5240000}"/>
    <cellStyle name="Accent3 6 2" xfId="9428" xr:uid="{00000000-0005-0000-0000-0000D6240000}"/>
    <cellStyle name="Accent3 7" xfId="9429" xr:uid="{00000000-0005-0000-0000-0000D7240000}"/>
    <cellStyle name="Accent3 7 2" xfId="9430" xr:uid="{00000000-0005-0000-0000-0000D8240000}"/>
    <cellStyle name="Accent3 8" xfId="9431" xr:uid="{00000000-0005-0000-0000-0000D9240000}"/>
    <cellStyle name="Accent3 8 2" xfId="9432" xr:uid="{00000000-0005-0000-0000-0000DA240000}"/>
    <cellStyle name="Accent3 9" xfId="9433" xr:uid="{00000000-0005-0000-0000-0000DB240000}"/>
    <cellStyle name="Accent3 9 2" xfId="9434" xr:uid="{00000000-0005-0000-0000-0000DC240000}"/>
    <cellStyle name="Accent4 10" xfId="9435" xr:uid="{00000000-0005-0000-0000-0000DD240000}"/>
    <cellStyle name="Accent4 10 2" xfId="9436" xr:uid="{00000000-0005-0000-0000-0000DE240000}"/>
    <cellStyle name="Accent4 11" xfId="9437" xr:uid="{00000000-0005-0000-0000-0000DF240000}"/>
    <cellStyle name="Accent4 11 2" xfId="9438" xr:uid="{00000000-0005-0000-0000-0000E0240000}"/>
    <cellStyle name="Accent4 12" xfId="9439" xr:uid="{00000000-0005-0000-0000-0000E1240000}"/>
    <cellStyle name="Accent4 12 2" xfId="9440" xr:uid="{00000000-0005-0000-0000-0000E2240000}"/>
    <cellStyle name="Accent4 13" xfId="9441" xr:uid="{00000000-0005-0000-0000-0000E3240000}"/>
    <cellStyle name="Accent4 13 2" xfId="9442" xr:uid="{00000000-0005-0000-0000-0000E4240000}"/>
    <cellStyle name="Accent4 14" xfId="9443" xr:uid="{00000000-0005-0000-0000-0000E5240000}"/>
    <cellStyle name="Accent4 14 2" xfId="9444" xr:uid="{00000000-0005-0000-0000-0000E6240000}"/>
    <cellStyle name="Accent4 15" xfId="9445" xr:uid="{00000000-0005-0000-0000-0000E7240000}"/>
    <cellStyle name="Accent4 15 2" xfId="9446" xr:uid="{00000000-0005-0000-0000-0000E8240000}"/>
    <cellStyle name="Accent4 16" xfId="9447" xr:uid="{00000000-0005-0000-0000-0000E9240000}"/>
    <cellStyle name="Accent4 16 2" xfId="9448" xr:uid="{00000000-0005-0000-0000-0000EA240000}"/>
    <cellStyle name="Accent4 17" xfId="9449" xr:uid="{00000000-0005-0000-0000-0000EB240000}"/>
    <cellStyle name="Accent4 17 2" xfId="9450" xr:uid="{00000000-0005-0000-0000-0000EC240000}"/>
    <cellStyle name="Accent4 18" xfId="9451" xr:uid="{00000000-0005-0000-0000-0000ED240000}"/>
    <cellStyle name="Accent4 18 2" xfId="9452" xr:uid="{00000000-0005-0000-0000-0000EE240000}"/>
    <cellStyle name="Accent4 19" xfId="9453" xr:uid="{00000000-0005-0000-0000-0000EF240000}"/>
    <cellStyle name="Accent4 19 2" xfId="9454" xr:uid="{00000000-0005-0000-0000-0000F0240000}"/>
    <cellStyle name="Accent4 2" xfId="9455" xr:uid="{00000000-0005-0000-0000-0000F1240000}"/>
    <cellStyle name="Accent4 2 10" xfId="9456" xr:uid="{00000000-0005-0000-0000-0000F2240000}"/>
    <cellStyle name="Accent4 2 10 2" xfId="9457" xr:uid="{00000000-0005-0000-0000-0000F3240000}"/>
    <cellStyle name="Accent4 2 11" xfId="9458" xr:uid="{00000000-0005-0000-0000-0000F4240000}"/>
    <cellStyle name="Accent4 2 11 2" xfId="9459" xr:uid="{00000000-0005-0000-0000-0000F5240000}"/>
    <cellStyle name="Accent4 2 12" xfId="9460" xr:uid="{00000000-0005-0000-0000-0000F6240000}"/>
    <cellStyle name="Accent4 2 12 2" xfId="9461" xr:uid="{00000000-0005-0000-0000-0000F7240000}"/>
    <cellStyle name="Accent4 2 13" xfId="9462" xr:uid="{00000000-0005-0000-0000-0000F8240000}"/>
    <cellStyle name="Accent4 2 13 2" xfId="9463" xr:uid="{00000000-0005-0000-0000-0000F9240000}"/>
    <cellStyle name="Accent4 2 14" xfId="9464" xr:uid="{00000000-0005-0000-0000-0000FA240000}"/>
    <cellStyle name="Accent4 2 14 2" xfId="9465" xr:uid="{00000000-0005-0000-0000-0000FB240000}"/>
    <cellStyle name="Accent4 2 15" xfId="9466" xr:uid="{00000000-0005-0000-0000-0000FC240000}"/>
    <cellStyle name="Accent4 2 15 2" xfId="9467" xr:uid="{00000000-0005-0000-0000-0000FD240000}"/>
    <cellStyle name="Accent4 2 16" xfId="9468" xr:uid="{00000000-0005-0000-0000-0000FE240000}"/>
    <cellStyle name="Accent4 2 16 2" xfId="9469" xr:uid="{00000000-0005-0000-0000-0000FF240000}"/>
    <cellStyle name="Accent4 2 17" xfId="9470" xr:uid="{00000000-0005-0000-0000-000000250000}"/>
    <cellStyle name="Accent4 2 17 2" xfId="9471" xr:uid="{00000000-0005-0000-0000-000001250000}"/>
    <cellStyle name="Accent4 2 18" xfId="9472" xr:uid="{00000000-0005-0000-0000-000002250000}"/>
    <cellStyle name="Accent4 2 18 2" xfId="9473" xr:uid="{00000000-0005-0000-0000-000003250000}"/>
    <cellStyle name="Accent4 2 19" xfId="9474" xr:uid="{00000000-0005-0000-0000-000004250000}"/>
    <cellStyle name="Accent4 2 19 2" xfId="9475" xr:uid="{00000000-0005-0000-0000-000005250000}"/>
    <cellStyle name="Accent4 2 2" xfId="9476" xr:uid="{00000000-0005-0000-0000-000006250000}"/>
    <cellStyle name="Accent4 2 2 2" xfId="9477" xr:uid="{00000000-0005-0000-0000-000007250000}"/>
    <cellStyle name="Accent4 2 2 2 2" xfId="9478" xr:uid="{00000000-0005-0000-0000-000008250000}"/>
    <cellStyle name="Accent4 2 2 3" xfId="9479" xr:uid="{00000000-0005-0000-0000-000009250000}"/>
    <cellStyle name="Accent4 2 20" xfId="9480" xr:uid="{00000000-0005-0000-0000-00000A250000}"/>
    <cellStyle name="Accent4 2 3" xfId="9481" xr:uid="{00000000-0005-0000-0000-00000B250000}"/>
    <cellStyle name="Accent4 2 3 2" xfId="9482" xr:uid="{00000000-0005-0000-0000-00000C250000}"/>
    <cellStyle name="Accent4 2 4" xfId="9483" xr:uid="{00000000-0005-0000-0000-00000D250000}"/>
    <cellStyle name="Accent4 2 4 2" xfId="9484" xr:uid="{00000000-0005-0000-0000-00000E250000}"/>
    <cellStyle name="Accent4 2 5" xfId="9485" xr:uid="{00000000-0005-0000-0000-00000F250000}"/>
    <cellStyle name="Accent4 2 5 2" xfId="9486" xr:uid="{00000000-0005-0000-0000-000010250000}"/>
    <cellStyle name="Accent4 2 6" xfId="9487" xr:uid="{00000000-0005-0000-0000-000011250000}"/>
    <cellStyle name="Accent4 2 6 2" xfId="9488" xr:uid="{00000000-0005-0000-0000-000012250000}"/>
    <cellStyle name="Accent4 2 7" xfId="9489" xr:uid="{00000000-0005-0000-0000-000013250000}"/>
    <cellStyle name="Accent4 2 7 2" xfId="9490" xr:uid="{00000000-0005-0000-0000-000014250000}"/>
    <cellStyle name="Accent4 2 8" xfId="9491" xr:uid="{00000000-0005-0000-0000-000015250000}"/>
    <cellStyle name="Accent4 2 8 2" xfId="9492" xr:uid="{00000000-0005-0000-0000-000016250000}"/>
    <cellStyle name="Accent4 2 9" xfId="9493" xr:uid="{00000000-0005-0000-0000-000017250000}"/>
    <cellStyle name="Accent4 2 9 2" xfId="9494" xr:uid="{00000000-0005-0000-0000-000018250000}"/>
    <cellStyle name="Accent4 20" xfId="9495" xr:uid="{00000000-0005-0000-0000-000019250000}"/>
    <cellStyle name="Accent4 20 2" xfId="9496" xr:uid="{00000000-0005-0000-0000-00001A250000}"/>
    <cellStyle name="Accent4 21" xfId="9497" xr:uid="{00000000-0005-0000-0000-00001B250000}"/>
    <cellStyle name="Accent4 21 2" xfId="9498" xr:uid="{00000000-0005-0000-0000-00001C250000}"/>
    <cellStyle name="Accent4 22" xfId="9499" xr:uid="{00000000-0005-0000-0000-00001D250000}"/>
    <cellStyle name="Accent4 22 2" xfId="9500" xr:uid="{00000000-0005-0000-0000-00001E250000}"/>
    <cellStyle name="Accent4 23" xfId="9501" xr:uid="{00000000-0005-0000-0000-00001F250000}"/>
    <cellStyle name="Accent4 23 2" xfId="9502" xr:uid="{00000000-0005-0000-0000-000020250000}"/>
    <cellStyle name="Accent4 24" xfId="9503" xr:uid="{00000000-0005-0000-0000-000021250000}"/>
    <cellStyle name="Accent4 24 2" xfId="9504" xr:uid="{00000000-0005-0000-0000-000022250000}"/>
    <cellStyle name="Accent4 25" xfId="9505" xr:uid="{00000000-0005-0000-0000-000023250000}"/>
    <cellStyle name="Accent4 25 2" xfId="9506" xr:uid="{00000000-0005-0000-0000-000024250000}"/>
    <cellStyle name="Accent4 26" xfId="9507" xr:uid="{00000000-0005-0000-0000-000025250000}"/>
    <cellStyle name="Accent4 26 2" xfId="9508" xr:uid="{00000000-0005-0000-0000-000026250000}"/>
    <cellStyle name="Accent4 27" xfId="9509" xr:uid="{00000000-0005-0000-0000-000027250000}"/>
    <cellStyle name="Accent4 27 2" xfId="9510" xr:uid="{00000000-0005-0000-0000-000028250000}"/>
    <cellStyle name="Accent4 3" xfId="9511" xr:uid="{00000000-0005-0000-0000-000029250000}"/>
    <cellStyle name="Accent4 3 2" xfId="9512" xr:uid="{00000000-0005-0000-0000-00002A250000}"/>
    <cellStyle name="Accent4 3 2 2" xfId="9513" xr:uid="{00000000-0005-0000-0000-00002B250000}"/>
    <cellStyle name="Accent4 3 3" xfId="9514" xr:uid="{00000000-0005-0000-0000-00002C250000}"/>
    <cellStyle name="Accent4 4" xfId="9515" xr:uid="{00000000-0005-0000-0000-00002D250000}"/>
    <cellStyle name="Accent4 4 2" xfId="9516" xr:uid="{00000000-0005-0000-0000-00002E250000}"/>
    <cellStyle name="Accent4 4 2 2" xfId="9517" xr:uid="{00000000-0005-0000-0000-00002F250000}"/>
    <cellStyle name="Accent4 4 3" xfId="9518" xr:uid="{00000000-0005-0000-0000-000030250000}"/>
    <cellStyle name="Accent4 5" xfId="9519" xr:uid="{00000000-0005-0000-0000-000031250000}"/>
    <cellStyle name="Accent4 5 2" xfId="9520" xr:uid="{00000000-0005-0000-0000-000032250000}"/>
    <cellStyle name="Accent4 6" xfId="9521" xr:uid="{00000000-0005-0000-0000-000033250000}"/>
    <cellStyle name="Accent4 6 2" xfId="9522" xr:uid="{00000000-0005-0000-0000-000034250000}"/>
    <cellStyle name="Accent4 7" xfId="9523" xr:uid="{00000000-0005-0000-0000-000035250000}"/>
    <cellStyle name="Accent4 7 2" xfId="9524" xr:uid="{00000000-0005-0000-0000-000036250000}"/>
    <cellStyle name="Accent4 8" xfId="9525" xr:uid="{00000000-0005-0000-0000-000037250000}"/>
    <cellStyle name="Accent4 8 2" xfId="9526" xr:uid="{00000000-0005-0000-0000-000038250000}"/>
    <cellStyle name="Accent4 9" xfId="9527" xr:uid="{00000000-0005-0000-0000-000039250000}"/>
    <cellStyle name="Accent4 9 2" xfId="9528" xr:uid="{00000000-0005-0000-0000-00003A250000}"/>
    <cellStyle name="Accent5 10" xfId="9529" xr:uid="{00000000-0005-0000-0000-00003B250000}"/>
    <cellStyle name="Accent5 10 2" xfId="9530" xr:uid="{00000000-0005-0000-0000-00003C250000}"/>
    <cellStyle name="Accent5 11" xfId="9531" xr:uid="{00000000-0005-0000-0000-00003D250000}"/>
    <cellStyle name="Accent5 11 2" xfId="9532" xr:uid="{00000000-0005-0000-0000-00003E250000}"/>
    <cellStyle name="Accent5 12" xfId="9533" xr:uid="{00000000-0005-0000-0000-00003F250000}"/>
    <cellStyle name="Accent5 12 2" xfId="9534" xr:uid="{00000000-0005-0000-0000-000040250000}"/>
    <cellStyle name="Accent5 13" xfId="9535" xr:uid="{00000000-0005-0000-0000-000041250000}"/>
    <cellStyle name="Accent5 13 2" xfId="9536" xr:uid="{00000000-0005-0000-0000-000042250000}"/>
    <cellStyle name="Accent5 14" xfId="9537" xr:uid="{00000000-0005-0000-0000-000043250000}"/>
    <cellStyle name="Accent5 14 2" xfId="9538" xr:uid="{00000000-0005-0000-0000-000044250000}"/>
    <cellStyle name="Accent5 15" xfId="9539" xr:uid="{00000000-0005-0000-0000-000045250000}"/>
    <cellStyle name="Accent5 15 2" xfId="9540" xr:uid="{00000000-0005-0000-0000-000046250000}"/>
    <cellStyle name="Accent5 16" xfId="9541" xr:uid="{00000000-0005-0000-0000-000047250000}"/>
    <cellStyle name="Accent5 16 2" xfId="9542" xr:uid="{00000000-0005-0000-0000-000048250000}"/>
    <cellStyle name="Accent5 17" xfId="9543" xr:uid="{00000000-0005-0000-0000-000049250000}"/>
    <cellStyle name="Accent5 17 2" xfId="9544" xr:uid="{00000000-0005-0000-0000-00004A250000}"/>
    <cellStyle name="Accent5 18" xfId="9545" xr:uid="{00000000-0005-0000-0000-00004B250000}"/>
    <cellStyle name="Accent5 18 2" xfId="9546" xr:uid="{00000000-0005-0000-0000-00004C250000}"/>
    <cellStyle name="Accent5 19" xfId="9547" xr:uid="{00000000-0005-0000-0000-00004D250000}"/>
    <cellStyle name="Accent5 19 2" xfId="9548" xr:uid="{00000000-0005-0000-0000-00004E250000}"/>
    <cellStyle name="Accent5 2" xfId="9549" xr:uid="{00000000-0005-0000-0000-00004F250000}"/>
    <cellStyle name="Accent5 2 10" xfId="9550" xr:uid="{00000000-0005-0000-0000-000050250000}"/>
    <cellStyle name="Accent5 2 10 2" xfId="9551" xr:uid="{00000000-0005-0000-0000-000051250000}"/>
    <cellStyle name="Accent5 2 11" xfId="9552" xr:uid="{00000000-0005-0000-0000-000052250000}"/>
    <cellStyle name="Accent5 2 11 2" xfId="9553" xr:uid="{00000000-0005-0000-0000-000053250000}"/>
    <cellStyle name="Accent5 2 12" xfId="9554" xr:uid="{00000000-0005-0000-0000-000054250000}"/>
    <cellStyle name="Accent5 2 12 2" xfId="9555" xr:uid="{00000000-0005-0000-0000-000055250000}"/>
    <cellStyle name="Accent5 2 13" xfId="9556" xr:uid="{00000000-0005-0000-0000-000056250000}"/>
    <cellStyle name="Accent5 2 13 2" xfId="9557" xr:uid="{00000000-0005-0000-0000-000057250000}"/>
    <cellStyle name="Accent5 2 14" xfId="9558" xr:uid="{00000000-0005-0000-0000-000058250000}"/>
    <cellStyle name="Accent5 2 14 2" xfId="9559" xr:uid="{00000000-0005-0000-0000-000059250000}"/>
    <cellStyle name="Accent5 2 15" xfId="9560" xr:uid="{00000000-0005-0000-0000-00005A250000}"/>
    <cellStyle name="Accent5 2 15 2" xfId="9561" xr:uid="{00000000-0005-0000-0000-00005B250000}"/>
    <cellStyle name="Accent5 2 16" xfId="9562" xr:uid="{00000000-0005-0000-0000-00005C250000}"/>
    <cellStyle name="Accent5 2 16 2" xfId="9563" xr:uid="{00000000-0005-0000-0000-00005D250000}"/>
    <cellStyle name="Accent5 2 17" xfId="9564" xr:uid="{00000000-0005-0000-0000-00005E250000}"/>
    <cellStyle name="Accent5 2 17 2" xfId="9565" xr:uid="{00000000-0005-0000-0000-00005F250000}"/>
    <cellStyle name="Accent5 2 18" xfId="9566" xr:uid="{00000000-0005-0000-0000-000060250000}"/>
    <cellStyle name="Accent5 2 18 2" xfId="9567" xr:uid="{00000000-0005-0000-0000-000061250000}"/>
    <cellStyle name="Accent5 2 19" xfId="9568" xr:uid="{00000000-0005-0000-0000-000062250000}"/>
    <cellStyle name="Accent5 2 19 2" xfId="9569" xr:uid="{00000000-0005-0000-0000-000063250000}"/>
    <cellStyle name="Accent5 2 2" xfId="9570" xr:uid="{00000000-0005-0000-0000-000064250000}"/>
    <cellStyle name="Accent5 2 2 2" xfId="9571" xr:uid="{00000000-0005-0000-0000-000065250000}"/>
    <cellStyle name="Accent5 2 2 2 2" xfId="9572" xr:uid="{00000000-0005-0000-0000-000066250000}"/>
    <cellStyle name="Accent5 2 2 3" xfId="9573" xr:uid="{00000000-0005-0000-0000-000067250000}"/>
    <cellStyle name="Accent5 2 20" xfId="9574" xr:uid="{00000000-0005-0000-0000-000068250000}"/>
    <cellStyle name="Accent5 2 3" xfId="9575" xr:uid="{00000000-0005-0000-0000-000069250000}"/>
    <cellStyle name="Accent5 2 3 2" xfId="9576" xr:uid="{00000000-0005-0000-0000-00006A250000}"/>
    <cellStyle name="Accent5 2 4" xfId="9577" xr:uid="{00000000-0005-0000-0000-00006B250000}"/>
    <cellStyle name="Accent5 2 4 2" xfId="9578" xr:uid="{00000000-0005-0000-0000-00006C250000}"/>
    <cellStyle name="Accent5 2 5" xfId="9579" xr:uid="{00000000-0005-0000-0000-00006D250000}"/>
    <cellStyle name="Accent5 2 5 2" xfId="9580" xr:uid="{00000000-0005-0000-0000-00006E250000}"/>
    <cellStyle name="Accent5 2 6" xfId="9581" xr:uid="{00000000-0005-0000-0000-00006F250000}"/>
    <cellStyle name="Accent5 2 6 2" xfId="9582" xr:uid="{00000000-0005-0000-0000-000070250000}"/>
    <cellStyle name="Accent5 2 7" xfId="9583" xr:uid="{00000000-0005-0000-0000-000071250000}"/>
    <cellStyle name="Accent5 2 7 2" xfId="9584" xr:uid="{00000000-0005-0000-0000-000072250000}"/>
    <cellStyle name="Accent5 2 8" xfId="9585" xr:uid="{00000000-0005-0000-0000-000073250000}"/>
    <cellStyle name="Accent5 2 8 2" xfId="9586" xr:uid="{00000000-0005-0000-0000-000074250000}"/>
    <cellStyle name="Accent5 2 9" xfId="9587" xr:uid="{00000000-0005-0000-0000-000075250000}"/>
    <cellStyle name="Accent5 2 9 2" xfId="9588" xr:uid="{00000000-0005-0000-0000-000076250000}"/>
    <cellStyle name="Accent5 20" xfId="9589" xr:uid="{00000000-0005-0000-0000-000077250000}"/>
    <cellStyle name="Accent5 20 2" xfId="9590" xr:uid="{00000000-0005-0000-0000-000078250000}"/>
    <cellStyle name="Accent5 21" xfId="9591" xr:uid="{00000000-0005-0000-0000-000079250000}"/>
    <cellStyle name="Accent5 21 2" xfId="9592" xr:uid="{00000000-0005-0000-0000-00007A250000}"/>
    <cellStyle name="Accent5 22" xfId="9593" xr:uid="{00000000-0005-0000-0000-00007B250000}"/>
    <cellStyle name="Accent5 22 2" xfId="9594" xr:uid="{00000000-0005-0000-0000-00007C250000}"/>
    <cellStyle name="Accent5 23" xfId="9595" xr:uid="{00000000-0005-0000-0000-00007D250000}"/>
    <cellStyle name="Accent5 23 2" xfId="9596" xr:uid="{00000000-0005-0000-0000-00007E250000}"/>
    <cellStyle name="Accent5 24" xfId="9597" xr:uid="{00000000-0005-0000-0000-00007F250000}"/>
    <cellStyle name="Accent5 24 2" xfId="9598" xr:uid="{00000000-0005-0000-0000-000080250000}"/>
    <cellStyle name="Accent5 25" xfId="9599" xr:uid="{00000000-0005-0000-0000-000081250000}"/>
    <cellStyle name="Accent5 25 2" xfId="9600" xr:uid="{00000000-0005-0000-0000-000082250000}"/>
    <cellStyle name="Accent5 26" xfId="9601" xr:uid="{00000000-0005-0000-0000-000083250000}"/>
    <cellStyle name="Accent5 26 2" xfId="9602" xr:uid="{00000000-0005-0000-0000-000084250000}"/>
    <cellStyle name="Accent5 27" xfId="9603" xr:uid="{00000000-0005-0000-0000-000085250000}"/>
    <cellStyle name="Accent5 27 2" xfId="9604" xr:uid="{00000000-0005-0000-0000-000086250000}"/>
    <cellStyle name="Accent5 3" xfId="9605" xr:uid="{00000000-0005-0000-0000-000087250000}"/>
    <cellStyle name="Accent5 3 2" xfId="9606" xr:uid="{00000000-0005-0000-0000-000088250000}"/>
    <cellStyle name="Accent5 3 2 2" xfId="9607" xr:uid="{00000000-0005-0000-0000-000089250000}"/>
    <cellStyle name="Accent5 3 3" xfId="9608" xr:uid="{00000000-0005-0000-0000-00008A250000}"/>
    <cellStyle name="Accent5 4" xfId="9609" xr:uid="{00000000-0005-0000-0000-00008B250000}"/>
    <cellStyle name="Accent5 4 2" xfId="9610" xr:uid="{00000000-0005-0000-0000-00008C250000}"/>
    <cellStyle name="Accent5 4 2 2" xfId="9611" xr:uid="{00000000-0005-0000-0000-00008D250000}"/>
    <cellStyle name="Accent5 4 3" xfId="9612" xr:uid="{00000000-0005-0000-0000-00008E250000}"/>
    <cellStyle name="Accent5 5" xfId="9613" xr:uid="{00000000-0005-0000-0000-00008F250000}"/>
    <cellStyle name="Accent5 5 2" xfId="9614" xr:uid="{00000000-0005-0000-0000-000090250000}"/>
    <cellStyle name="Accent5 6" xfId="9615" xr:uid="{00000000-0005-0000-0000-000091250000}"/>
    <cellStyle name="Accent5 6 2" xfId="9616" xr:uid="{00000000-0005-0000-0000-000092250000}"/>
    <cellStyle name="Accent5 7" xfId="9617" xr:uid="{00000000-0005-0000-0000-000093250000}"/>
    <cellStyle name="Accent5 7 2" xfId="9618" xr:uid="{00000000-0005-0000-0000-000094250000}"/>
    <cellStyle name="Accent5 8" xfId="9619" xr:uid="{00000000-0005-0000-0000-000095250000}"/>
    <cellStyle name="Accent5 8 2" xfId="9620" xr:uid="{00000000-0005-0000-0000-000096250000}"/>
    <cellStyle name="Accent5 9" xfId="9621" xr:uid="{00000000-0005-0000-0000-000097250000}"/>
    <cellStyle name="Accent5 9 2" xfId="9622" xr:uid="{00000000-0005-0000-0000-000098250000}"/>
    <cellStyle name="Accent6 10" xfId="9623" xr:uid="{00000000-0005-0000-0000-000099250000}"/>
    <cellStyle name="Accent6 10 2" xfId="9624" xr:uid="{00000000-0005-0000-0000-00009A250000}"/>
    <cellStyle name="Accent6 11" xfId="9625" xr:uid="{00000000-0005-0000-0000-00009B250000}"/>
    <cellStyle name="Accent6 11 2" xfId="9626" xr:uid="{00000000-0005-0000-0000-00009C250000}"/>
    <cellStyle name="Accent6 12" xfId="9627" xr:uid="{00000000-0005-0000-0000-00009D250000}"/>
    <cellStyle name="Accent6 12 2" xfId="9628" xr:uid="{00000000-0005-0000-0000-00009E250000}"/>
    <cellStyle name="Accent6 13" xfId="9629" xr:uid="{00000000-0005-0000-0000-00009F250000}"/>
    <cellStyle name="Accent6 13 2" xfId="9630" xr:uid="{00000000-0005-0000-0000-0000A0250000}"/>
    <cellStyle name="Accent6 14" xfId="9631" xr:uid="{00000000-0005-0000-0000-0000A1250000}"/>
    <cellStyle name="Accent6 14 2" xfId="9632" xr:uid="{00000000-0005-0000-0000-0000A2250000}"/>
    <cellStyle name="Accent6 15" xfId="9633" xr:uid="{00000000-0005-0000-0000-0000A3250000}"/>
    <cellStyle name="Accent6 15 2" xfId="9634" xr:uid="{00000000-0005-0000-0000-0000A4250000}"/>
    <cellStyle name="Accent6 16" xfId="9635" xr:uid="{00000000-0005-0000-0000-0000A5250000}"/>
    <cellStyle name="Accent6 16 2" xfId="9636" xr:uid="{00000000-0005-0000-0000-0000A6250000}"/>
    <cellStyle name="Accent6 17" xfId="9637" xr:uid="{00000000-0005-0000-0000-0000A7250000}"/>
    <cellStyle name="Accent6 17 2" xfId="9638" xr:uid="{00000000-0005-0000-0000-0000A8250000}"/>
    <cellStyle name="Accent6 18" xfId="9639" xr:uid="{00000000-0005-0000-0000-0000A9250000}"/>
    <cellStyle name="Accent6 18 2" xfId="9640" xr:uid="{00000000-0005-0000-0000-0000AA250000}"/>
    <cellStyle name="Accent6 19" xfId="9641" xr:uid="{00000000-0005-0000-0000-0000AB250000}"/>
    <cellStyle name="Accent6 19 2" xfId="9642" xr:uid="{00000000-0005-0000-0000-0000AC250000}"/>
    <cellStyle name="Accent6 2" xfId="9643" xr:uid="{00000000-0005-0000-0000-0000AD250000}"/>
    <cellStyle name="Accent6 2 10" xfId="9644" xr:uid="{00000000-0005-0000-0000-0000AE250000}"/>
    <cellStyle name="Accent6 2 10 2" xfId="9645" xr:uid="{00000000-0005-0000-0000-0000AF250000}"/>
    <cellStyle name="Accent6 2 11" xfId="9646" xr:uid="{00000000-0005-0000-0000-0000B0250000}"/>
    <cellStyle name="Accent6 2 11 2" xfId="9647" xr:uid="{00000000-0005-0000-0000-0000B1250000}"/>
    <cellStyle name="Accent6 2 12" xfId="9648" xr:uid="{00000000-0005-0000-0000-0000B2250000}"/>
    <cellStyle name="Accent6 2 12 2" xfId="9649" xr:uid="{00000000-0005-0000-0000-0000B3250000}"/>
    <cellStyle name="Accent6 2 13" xfId="9650" xr:uid="{00000000-0005-0000-0000-0000B4250000}"/>
    <cellStyle name="Accent6 2 13 2" xfId="9651" xr:uid="{00000000-0005-0000-0000-0000B5250000}"/>
    <cellStyle name="Accent6 2 14" xfId="9652" xr:uid="{00000000-0005-0000-0000-0000B6250000}"/>
    <cellStyle name="Accent6 2 14 2" xfId="9653" xr:uid="{00000000-0005-0000-0000-0000B7250000}"/>
    <cellStyle name="Accent6 2 15" xfId="9654" xr:uid="{00000000-0005-0000-0000-0000B8250000}"/>
    <cellStyle name="Accent6 2 15 2" xfId="9655" xr:uid="{00000000-0005-0000-0000-0000B9250000}"/>
    <cellStyle name="Accent6 2 16" xfId="9656" xr:uid="{00000000-0005-0000-0000-0000BA250000}"/>
    <cellStyle name="Accent6 2 16 2" xfId="9657" xr:uid="{00000000-0005-0000-0000-0000BB250000}"/>
    <cellStyle name="Accent6 2 17" xfId="9658" xr:uid="{00000000-0005-0000-0000-0000BC250000}"/>
    <cellStyle name="Accent6 2 17 2" xfId="9659" xr:uid="{00000000-0005-0000-0000-0000BD250000}"/>
    <cellStyle name="Accent6 2 18" xfId="9660" xr:uid="{00000000-0005-0000-0000-0000BE250000}"/>
    <cellStyle name="Accent6 2 18 2" xfId="9661" xr:uid="{00000000-0005-0000-0000-0000BF250000}"/>
    <cellStyle name="Accent6 2 19" xfId="9662" xr:uid="{00000000-0005-0000-0000-0000C0250000}"/>
    <cellStyle name="Accent6 2 19 2" xfId="9663" xr:uid="{00000000-0005-0000-0000-0000C1250000}"/>
    <cellStyle name="Accent6 2 2" xfId="9664" xr:uid="{00000000-0005-0000-0000-0000C2250000}"/>
    <cellStyle name="Accent6 2 2 2" xfId="9665" xr:uid="{00000000-0005-0000-0000-0000C3250000}"/>
    <cellStyle name="Accent6 2 2 2 2" xfId="9666" xr:uid="{00000000-0005-0000-0000-0000C4250000}"/>
    <cellStyle name="Accent6 2 2 3" xfId="9667" xr:uid="{00000000-0005-0000-0000-0000C5250000}"/>
    <cellStyle name="Accent6 2 20" xfId="9668" xr:uid="{00000000-0005-0000-0000-0000C6250000}"/>
    <cellStyle name="Accent6 2 3" xfId="9669" xr:uid="{00000000-0005-0000-0000-0000C7250000}"/>
    <cellStyle name="Accent6 2 3 2" xfId="9670" xr:uid="{00000000-0005-0000-0000-0000C8250000}"/>
    <cellStyle name="Accent6 2 4" xfId="9671" xr:uid="{00000000-0005-0000-0000-0000C9250000}"/>
    <cellStyle name="Accent6 2 4 2" xfId="9672" xr:uid="{00000000-0005-0000-0000-0000CA250000}"/>
    <cellStyle name="Accent6 2 5" xfId="9673" xr:uid="{00000000-0005-0000-0000-0000CB250000}"/>
    <cellStyle name="Accent6 2 5 2" xfId="9674" xr:uid="{00000000-0005-0000-0000-0000CC250000}"/>
    <cellStyle name="Accent6 2 6" xfId="9675" xr:uid="{00000000-0005-0000-0000-0000CD250000}"/>
    <cellStyle name="Accent6 2 6 2" xfId="9676" xr:uid="{00000000-0005-0000-0000-0000CE250000}"/>
    <cellStyle name="Accent6 2 7" xfId="9677" xr:uid="{00000000-0005-0000-0000-0000CF250000}"/>
    <cellStyle name="Accent6 2 7 2" xfId="9678" xr:uid="{00000000-0005-0000-0000-0000D0250000}"/>
    <cellStyle name="Accent6 2 8" xfId="9679" xr:uid="{00000000-0005-0000-0000-0000D1250000}"/>
    <cellStyle name="Accent6 2 8 2" xfId="9680" xr:uid="{00000000-0005-0000-0000-0000D2250000}"/>
    <cellStyle name="Accent6 2 9" xfId="9681" xr:uid="{00000000-0005-0000-0000-0000D3250000}"/>
    <cellStyle name="Accent6 2 9 2" xfId="9682" xr:uid="{00000000-0005-0000-0000-0000D4250000}"/>
    <cellStyle name="Accent6 20" xfId="9683" xr:uid="{00000000-0005-0000-0000-0000D5250000}"/>
    <cellStyle name="Accent6 20 2" xfId="9684" xr:uid="{00000000-0005-0000-0000-0000D6250000}"/>
    <cellStyle name="Accent6 21" xfId="9685" xr:uid="{00000000-0005-0000-0000-0000D7250000}"/>
    <cellStyle name="Accent6 21 2" xfId="9686" xr:uid="{00000000-0005-0000-0000-0000D8250000}"/>
    <cellStyle name="Accent6 22" xfId="9687" xr:uid="{00000000-0005-0000-0000-0000D9250000}"/>
    <cellStyle name="Accent6 22 2" xfId="9688" xr:uid="{00000000-0005-0000-0000-0000DA250000}"/>
    <cellStyle name="Accent6 23" xfId="9689" xr:uid="{00000000-0005-0000-0000-0000DB250000}"/>
    <cellStyle name="Accent6 23 2" xfId="9690" xr:uid="{00000000-0005-0000-0000-0000DC250000}"/>
    <cellStyle name="Accent6 24" xfId="9691" xr:uid="{00000000-0005-0000-0000-0000DD250000}"/>
    <cellStyle name="Accent6 24 2" xfId="9692" xr:uid="{00000000-0005-0000-0000-0000DE250000}"/>
    <cellStyle name="Accent6 25" xfId="9693" xr:uid="{00000000-0005-0000-0000-0000DF250000}"/>
    <cellStyle name="Accent6 25 2" xfId="9694" xr:uid="{00000000-0005-0000-0000-0000E0250000}"/>
    <cellStyle name="Accent6 26" xfId="9695" xr:uid="{00000000-0005-0000-0000-0000E1250000}"/>
    <cellStyle name="Accent6 26 2" xfId="9696" xr:uid="{00000000-0005-0000-0000-0000E2250000}"/>
    <cellStyle name="Accent6 27" xfId="9697" xr:uid="{00000000-0005-0000-0000-0000E3250000}"/>
    <cellStyle name="Accent6 27 2" xfId="9698" xr:uid="{00000000-0005-0000-0000-0000E4250000}"/>
    <cellStyle name="Accent6 3" xfId="9699" xr:uid="{00000000-0005-0000-0000-0000E5250000}"/>
    <cellStyle name="Accent6 3 2" xfId="9700" xr:uid="{00000000-0005-0000-0000-0000E6250000}"/>
    <cellStyle name="Accent6 3 2 2" xfId="9701" xr:uid="{00000000-0005-0000-0000-0000E7250000}"/>
    <cellStyle name="Accent6 3 3" xfId="9702" xr:uid="{00000000-0005-0000-0000-0000E8250000}"/>
    <cellStyle name="Accent6 4" xfId="9703" xr:uid="{00000000-0005-0000-0000-0000E9250000}"/>
    <cellStyle name="Accent6 4 2" xfId="9704" xr:uid="{00000000-0005-0000-0000-0000EA250000}"/>
    <cellStyle name="Accent6 4 2 2" xfId="9705" xr:uid="{00000000-0005-0000-0000-0000EB250000}"/>
    <cellStyle name="Accent6 4 3" xfId="9706" xr:uid="{00000000-0005-0000-0000-0000EC250000}"/>
    <cellStyle name="Accent6 5" xfId="9707" xr:uid="{00000000-0005-0000-0000-0000ED250000}"/>
    <cellStyle name="Accent6 5 2" xfId="9708" xr:uid="{00000000-0005-0000-0000-0000EE250000}"/>
    <cellStyle name="Accent6 6" xfId="9709" xr:uid="{00000000-0005-0000-0000-0000EF250000}"/>
    <cellStyle name="Accent6 6 2" xfId="9710" xr:uid="{00000000-0005-0000-0000-0000F0250000}"/>
    <cellStyle name="Accent6 7" xfId="9711" xr:uid="{00000000-0005-0000-0000-0000F1250000}"/>
    <cellStyle name="Accent6 7 2" xfId="9712" xr:uid="{00000000-0005-0000-0000-0000F2250000}"/>
    <cellStyle name="Accent6 8" xfId="9713" xr:uid="{00000000-0005-0000-0000-0000F3250000}"/>
    <cellStyle name="Accent6 8 2" xfId="9714" xr:uid="{00000000-0005-0000-0000-0000F4250000}"/>
    <cellStyle name="Accent6 9" xfId="9715" xr:uid="{00000000-0005-0000-0000-0000F5250000}"/>
    <cellStyle name="Accent6 9 2" xfId="9716" xr:uid="{00000000-0005-0000-0000-0000F6250000}"/>
    <cellStyle name="AccountCode" xfId="9717" xr:uid="{00000000-0005-0000-0000-0000F7250000}"/>
    <cellStyle name="Actual Date" xfId="9718" xr:uid="{00000000-0005-0000-0000-0000F8250000}"/>
    <cellStyle name="ÅëÈ­ [0]_±âÅ¸" xfId="9719" xr:uid="{00000000-0005-0000-0000-0000F9250000}"/>
    <cellStyle name="AeE­ [0]_INQUIRY ¿μ¾÷AßAø " xfId="9720" xr:uid="{00000000-0005-0000-0000-0000FA250000}"/>
    <cellStyle name="ÅëÈ­_±âÅ¸" xfId="9721" xr:uid="{00000000-0005-0000-0000-0000FB250000}"/>
    <cellStyle name="AeE­_INQUIRY ¿μ¾÷AßAø " xfId="9722" xr:uid="{00000000-0005-0000-0000-0000FC250000}"/>
    <cellStyle name="AFE" xfId="9723" xr:uid="{00000000-0005-0000-0000-0000FD250000}"/>
    <cellStyle name="AFE 2" xfId="9724" xr:uid="{00000000-0005-0000-0000-0000FE250000}"/>
    <cellStyle name="AFE 3" xfId="9725" xr:uid="{00000000-0005-0000-0000-0000FF250000}"/>
    <cellStyle name="Aktie" xfId="9726" xr:uid="{00000000-0005-0000-0000-000000260000}"/>
    <cellStyle name="ÁöÁ¤µÇÁö ¾ÊÀ½" xfId="9727" xr:uid="{00000000-0005-0000-0000-000001260000}"/>
    <cellStyle name="ÁöÁ¤µÇÁö ¾ÊÀ½ 2" xfId="9728" xr:uid="{00000000-0005-0000-0000-000002260000}"/>
    <cellStyle name="ÁöÁ¤µÇÁö ¾ÊÀ½ 2 2" xfId="9729" xr:uid="{00000000-0005-0000-0000-000003260000}"/>
    <cellStyle name="ÁöÁ¤µÇÁö ¾ÊÀ½ 3" xfId="9730" xr:uid="{00000000-0005-0000-0000-000004260000}"/>
    <cellStyle name="args.style" xfId="9731" xr:uid="{00000000-0005-0000-0000-000005260000}"/>
    <cellStyle name="args.style 2" xfId="9732" xr:uid="{00000000-0005-0000-0000-000006260000}"/>
    <cellStyle name="args.style 2 2" xfId="9733" xr:uid="{00000000-0005-0000-0000-000007260000}"/>
    <cellStyle name="args.style 3" xfId="9734" xr:uid="{00000000-0005-0000-0000-000008260000}"/>
    <cellStyle name="Arial 10" xfId="9735" xr:uid="{00000000-0005-0000-0000-000009260000}"/>
    <cellStyle name="Arial 12" xfId="9736" xr:uid="{00000000-0005-0000-0000-00000A260000}"/>
    <cellStyle name="ÄÞ¸¶ [0]_±âÅ¸" xfId="9744" xr:uid="{00000000-0005-0000-0000-00000B260000}"/>
    <cellStyle name="AÞ¸¶ [0]_INQUIRY ¿μ¾÷AßAø " xfId="9746" xr:uid="{00000000-0005-0000-0000-00000C260000}"/>
    <cellStyle name="ÄÞ¸¶_±âÅ¸" xfId="9745" xr:uid="{00000000-0005-0000-0000-00000D260000}"/>
    <cellStyle name="AÞ¸¶_INQUIRY ¿μ¾÷AßAø " xfId="9747" xr:uid="{00000000-0005-0000-0000-00000E260000}"/>
    <cellStyle name="Ausdollar [0]" xfId="9737" xr:uid="{00000000-0005-0000-0000-00000F260000}"/>
    <cellStyle name="Avertissement" xfId="9738" xr:uid="{00000000-0005-0000-0000-000010260000}"/>
    <cellStyle name="Avertissement 2" xfId="9739" xr:uid="{00000000-0005-0000-0000-000011260000}"/>
    <cellStyle name="axlcolour" xfId="9740" xr:uid="{00000000-0005-0000-0000-000012260000}"/>
    <cellStyle name="axlcolour 2" xfId="9741" xr:uid="{00000000-0005-0000-0000-000013260000}"/>
    <cellStyle name="axlcolour 2 2" xfId="9742" xr:uid="{00000000-0005-0000-0000-000014260000}"/>
    <cellStyle name="axlcolour 3" xfId="9743" xr:uid="{00000000-0005-0000-0000-000015260000}"/>
    <cellStyle name="B&amp;W" xfId="9748" xr:uid="{00000000-0005-0000-0000-000016260000}"/>
    <cellStyle name="B&amp;Wbold" xfId="9749" xr:uid="{00000000-0005-0000-0000-000017260000}"/>
    <cellStyle name="Bad 10" xfId="9750" xr:uid="{00000000-0005-0000-0000-000018260000}"/>
    <cellStyle name="Bad 10 2" xfId="9751" xr:uid="{00000000-0005-0000-0000-000019260000}"/>
    <cellStyle name="Bad 11" xfId="9752" xr:uid="{00000000-0005-0000-0000-00001A260000}"/>
    <cellStyle name="Bad 11 2" xfId="9753" xr:uid="{00000000-0005-0000-0000-00001B260000}"/>
    <cellStyle name="Bad 12" xfId="9754" xr:uid="{00000000-0005-0000-0000-00001C260000}"/>
    <cellStyle name="Bad 12 2" xfId="9755" xr:uid="{00000000-0005-0000-0000-00001D260000}"/>
    <cellStyle name="Bad 13" xfId="9756" xr:uid="{00000000-0005-0000-0000-00001E260000}"/>
    <cellStyle name="Bad 13 2" xfId="9757" xr:uid="{00000000-0005-0000-0000-00001F260000}"/>
    <cellStyle name="Bad 14" xfId="9758" xr:uid="{00000000-0005-0000-0000-000020260000}"/>
    <cellStyle name="Bad 14 2" xfId="9759" xr:uid="{00000000-0005-0000-0000-000021260000}"/>
    <cellStyle name="Bad 15" xfId="9760" xr:uid="{00000000-0005-0000-0000-000022260000}"/>
    <cellStyle name="Bad 15 2" xfId="9761" xr:uid="{00000000-0005-0000-0000-000023260000}"/>
    <cellStyle name="Bad 16" xfId="9762" xr:uid="{00000000-0005-0000-0000-000024260000}"/>
    <cellStyle name="Bad 16 2" xfId="9763" xr:uid="{00000000-0005-0000-0000-000025260000}"/>
    <cellStyle name="Bad 17" xfId="9764" xr:uid="{00000000-0005-0000-0000-000026260000}"/>
    <cellStyle name="Bad 17 2" xfId="9765" xr:uid="{00000000-0005-0000-0000-000027260000}"/>
    <cellStyle name="Bad 18" xfId="9766" xr:uid="{00000000-0005-0000-0000-000028260000}"/>
    <cellStyle name="Bad 18 2" xfId="9767" xr:uid="{00000000-0005-0000-0000-000029260000}"/>
    <cellStyle name="Bad 19" xfId="9768" xr:uid="{00000000-0005-0000-0000-00002A260000}"/>
    <cellStyle name="Bad 19 2" xfId="9769" xr:uid="{00000000-0005-0000-0000-00002B260000}"/>
    <cellStyle name="Bad 2" xfId="9770" xr:uid="{00000000-0005-0000-0000-00002C260000}"/>
    <cellStyle name="Bad 2 10" xfId="9771" xr:uid="{00000000-0005-0000-0000-00002D260000}"/>
    <cellStyle name="Bad 2 10 2" xfId="9772" xr:uid="{00000000-0005-0000-0000-00002E260000}"/>
    <cellStyle name="Bad 2 11" xfId="9773" xr:uid="{00000000-0005-0000-0000-00002F260000}"/>
    <cellStyle name="Bad 2 11 2" xfId="9774" xr:uid="{00000000-0005-0000-0000-000030260000}"/>
    <cellStyle name="Bad 2 12" xfId="9775" xr:uid="{00000000-0005-0000-0000-000031260000}"/>
    <cellStyle name="Bad 2 12 2" xfId="9776" xr:uid="{00000000-0005-0000-0000-000032260000}"/>
    <cellStyle name="Bad 2 13" xfId="9777" xr:uid="{00000000-0005-0000-0000-000033260000}"/>
    <cellStyle name="Bad 2 13 2" xfId="9778" xr:uid="{00000000-0005-0000-0000-000034260000}"/>
    <cellStyle name="Bad 2 14" xfId="9779" xr:uid="{00000000-0005-0000-0000-000035260000}"/>
    <cellStyle name="Bad 2 14 2" xfId="9780" xr:uid="{00000000-0005-0000-0000-000036260000}"/>
    <cellStyle name="Bad 2 15" xfId="9781" xr:uid="{00000000-0005-0000-0000-000037260000}"/>
    <cellStyle name="Bad 2 15 2" xfId="9782" xr:uid="{00000000-0005-0000-0000-000038260000}"/>
    <cellStyle name="Bad 2 16" xfId="9783" xr:uid="{00000000-0005-0000-0000-000039260000}"/>
    <cellStyle name="Bad 2 16 2" xfId="9784" xr:uid="{00000000-0005-0000-0000-00003A260000}"/>
    <cellStyle name="Bad 2 17" xfId="9785" xr:uid="{00000000-0005-0000-0000-00003B260000}"/>
    <cellStyle name="Bad 2 17 2" xfId="9786" xr:uid="{00000000-0005-0000-0000-00003C260000}"/>
    <cellStyle name="Bad 2 18" xfId="9787" xr:uid="{00000000-0005-0000-0000-00003D260000}"/>
    <cellStyle name="Bad 2 18 2" xfId="9788" xr:uid="{00000000-0005-0000-0000-00003E260000}"/>
    <cellStyle name="Bad 2 19" xfId="9789" xr:uid="{00000000-0005-0000-0000-00003F260000}"/>
    <cellStyle name="Bad 2 19 2" xfId="9790" xr:uid="{00000000-0005-0000-0000-000040260000}"/>
    <cellStyle name="Bad 2 2" xfId="9791" xr:uid="{00000000-0005-0000-0000-000041260000}"/>
    <cellStyle name="Bad 2 2 2" xfId="9792" xr:uid="{00000000-0005-0000-0000-000042260000}"/>
    <cellStyle name="Bad 2 2 2 2" xfId="9793" xr:uid="{00000000-0005-0000-0000-000043260000}"/>
    <cellStyle name="Bad 2 2 3" xfId="9794" xr:uid="{00000000-0005-0000-0000-000044260000}"/>
    <cellStyle name="Bad 2 20" xfId="9795" xr:uid="{00000000-0005-0000-0000-000045260000}"/>
    <cellStyle name="Bad 2 3" xfId="9796" xr:uid="{00000000-0005-0000-0000-000046260000}"/>
    <cellStyle name="Bad 2 3 2" xfId="9797" xr:uid="{00000000-0005-0000-0000-000047260000}"/>
    <cellStyle name="Bad 2 4" xfId="9798" xr:uid="{00000000-0005-0000-0000-000048260000}"/>
    <cellStyle name="Bad 2 4 2" xfId="9799" xr:uid="{00000000-0005-0000-0000-000049260000}"/>
    <cellStyle name="Bad 2 5" xfId="9800" xr:uid="{00000000-0005-0000-0000-00004A260000}"/>
    <cellStyle name="Bad 2 5 2" xfId="9801" xr:uid="{00000000-0005-0000-0000-00004B260000}"/>
    <cellStyle name="Bad 2 6" xfId="9802" xr:uid="{00000000-0005-0000-0000-00004C260000}"/>
    <cellStyle name="Bad 2 6 2" xfId="9803" xr:uid="{00000000-0005-0000-0000-00004D260000}"/>
    <cellStyle name="Bad 2 7" xfId="9804" xr:uid="{00000000-0005-0000-0000-00004E260000}"/>
    <cellStyle name="Bad 2 7 2" xfId="9805" xr:uid="{00000000-0005-0000-0000-00004F260000}"/>
    <cellStyle name="Bad 2 8" xfId="9806" xr:uid="{00000000-0005-0000-0000-000050260000}"/>
    <cellStyle name="Bad 2 8 2" xfId="9807" xr:uid="{00000000-0005-0000-0000-000051260000}"/>
    <cellStyle name="Bad 2 9" xfId="9808" xr:uid="{00000000-0005-0000-0000-000052260000}"/>
    <cellStyle name="Bad 2 9 2" xfId="9809" xr:uid="{00000000-0005-0000-0000-000053260000}"/>
    <cellStyle name="Bad 20" xfId="9810" xr:uid="{00000000-0005-0000-0000-000054260000}"/>
    <cellStyle name="Bad 20 2" xfId="9811" xr:uid="{00000000-0005-0000-0000-000055260000}"/>
    <cellStyle name="Bad 21" xfId="9812" xr:uid="{00000000-0005-0000-0000-000056260000}"/>
    <cellStyle name="Bad 21 2" xfId="9813" xr:uid="{00000000-0005-0000-0000-000057260000}"/>
    <cellStyle name="Bad 22" xfId="9814" xr:uid="{00000000-0005-0000-0000-000058260000}"/>
    <cellStyle name="Bad 22 2" xfId="9815" xr:uid="{00000000-0005-0000-0000-000059260000}"/>
    <cellStyle name="Bad 23" xfId="9816" xr:uid="{00000000-0005-0000-0000-00005A260000}"/>
    <cellStyle name="Bad 23 2" xfId="9817" xr:uid="{00000000-0005-0000-0000-00005B260000}"/>
    <cellStyle name="Bad 24" xfId="9818" xr:uid="{00000000-0005-0000-0000-00005C260000}"/>
    <cellStyle name="Bad 24 2" xfId="9819" xr:uid="{00000000-0005-0000-0000-00005D260000}"/>
    <cellStyle name="Bad 25" xfId="9820" xr:uid="{00000000-0005-0000-0000-00005E260000}"/>
    <cellStyle name="Bad 25 2" xfId="9821" xr:uid="{00000000-0005-0000-0000-00005F260000}"/>
    <cellStyle name="Bad 26" xfId="9822" xr:uid="{00000000-0005-0000-0000-000060260000}"/>
    <cellStyle name="Bad 26 2" xfId="9823" xr:uid="{00000000-0005-0000-0000-000061260000}"/>
    <cellStyle name="Bad 27" xfId="9824" xr:uid="{00000000-0005-0000-0000-000062260000}"/>
    <cellStyle name="Bad 27 2" xfId="9825" xr:uid="{00000000-0005-0000-0000-000063260000}"/>
    <cellStyle name="Bad 3" xfId="9826" xr:uid="{00000000-0005-0000-0000-000064260000}"/>
    <cellStyle name="Bad 3 2" xfId="9827" xr:uid="{00000000-0005-0000-0000-000065260000}"/>
    <cellStyle name="Bad 3 2 2" xfId="9828" xr:uid="{00000000-0005-0000-0000-000066260000}"/>
    <cellStyle name="Bad 3 3" xfId="9829" xr:uid="{00000000-0005-0000-0000-000067260000}"/>
    <cellStyle name="Bad 4" xfId="9830" xr:uid="{00000000-0005-0000-0000-000068260000}"/>
    <cellStyle name="Bad 4 2" xfId="9831" xr:uid="{00000000-0005-0000-0000-000069260000}"/>
    <cellStyle name="Bad 4 2 2" xfId="9832" xr:uid="{00000000-0005-0000-0000-00006A260000}"/>
    <cellStyle name="Bad 4 3" xfId="9833" xr:uid="{00000000-0005-0000-0000-00006B260000}"/>
    <cellStyle name="Bad 5" xfId="9834" xr:uid="{00000000-0005-0000-0000-00006C260000}"/>
    <cellStyle name="Bad 5 2" xfId="9835" xr:uid="{00000000-0005-0000-0000-00006D260000}"/>
    <cellStyle name="Bad 6" xfId="9836" xr:uid="{00000000-0005-0000-0000-00006E260000}"/>
    <cellStyle name="Bad 6 2" xfId="9837" xr:uid="{00000000-0005-0000-0000-00006F260000}"/>
    <cellStyle name="Bad 7" xfId="9838" xr:uid="{00000000-0005-0000-0000-000070260000}"/>
    <cellStyle name="Bad 7 2" xfId="9839" xr:uid="{00000000-0005-0000-0000-000071260000}"/>
    <cellStyle name="Bad 8" xfId="9840" xr:uid="{00000000-0005-0000-0000-000072260000}"/>
    <cellStyle name="Bad 8 2" xfId="9841" xr:uid="{00000000-0005-0000-0000-000073260000}"/>
    <cellStyle name="Bad 9" xfId="9842" xr:uid="{00000000-0005-0000-0000-000074260000}"/>
    <cellStyle name="Bad 9 2" xfId="9843" xr:uid="{00000000-0005-0000-0000-000075260000}"/>
    <cellStyle name="biaoti" xfId="9844" xr:uid="{00000000-0005-0000-0000-000076260000}"/>
    <cellStyle name="biaoti 10" xfId="9845" xr:uid="{00000000-0005-0000-0000-000077260000}"/>
    <cellStyle name="biaoti 10 2" xfId="9846" xr:uid="{00000000-0005-0000-0000-000078260000}"/>
    <cellStyle name="biaoti 11" xfId="9847" xr:uid="{00000000-0005-0000-0000-000079260000}"/>
    <cellStyle name="biaoti 11 2" xfId="9848" xr:uid="{00000000-0005-0000-0000-00007A260000}"/>
    <cellStyle name="biaoti 12" xfId="9849" xr:uid="{00000000-0005-0000-0000-00007B260000}"/>
    <cellStyle name="biaoti 2" xfId="9850" xr:uid="{00000000-0005-0000-0000-00007C260000}"/>
    <cellStyle name="biaoti 2 2" xfId="9851" xr:uid="{00000000-0005-0000-0000-00007D260000}"/>
    <cellStyle name="biaoti 2 2 2" xfId="9852" xr:uid="{00000000-0005-0000-0000-00007E260000}"/>
    <cellStyle name="biaoti 2 2 2 2" xfId="9853" xr:uid="{00000000-0005-0000-0000-00007F260000}"/>
    <cellStyle name="biaoti 2 2 2 3" xfId="9854" xr:uid="{00000000-0005-0000-0000-000080260000}"/>
    <cellStyle name="biaoti 2 2 3" xfId="9855" xr:uid="{00000000-0005-0000-0000-000081260000}"/>
    <cellStyle name="biaoti 2 2 3 2" xfId="9856" xr:uid="{00000000-0005-0000-0000-000082260000}"/>
    <cellStyle name="biaoti 2 2 3 3" xfId="9857" xr:uid="{00000000-0005-0000-0000-000083260000}"/>
    <cellStyle name="biaoti 2 2 4" xfId="9858" xr:uid="{00000000-0005-0000-0000-000084260000}"/>
    <cellStyle name="biaoti 2 2 5" xfId="9859" xr:uid="{00000000-0005-0000-0000-000085260000}"/>
    <cellStyle name="biaoti 2 3" xfId="9860" xr:uid="{00000000-0005-0000-0000-000086260000}"/>
    <cellStyle name="biaoti 2 3 2" xfId="9861" xr:uid="{00000000-0005-0000-0000-000087260000}"/>
    <cellStyle name="biaoti 2 3 2 2" xfId="9862" xr:uid="{00000000-0005-0000-0000-000088260000}"/>
    <cellStyle name="biaoti 2 3 2 3" xfId="9863" xr:uid="{00000000-0005-0000-0000-000089260000}"/>
    <cellStyle name="biaoti 2 3 3" xfId="9864" xr:uid="{00000000-0005-0000-0000-00008A260000}"/>
    <cellStyle name="biaoti 2 3 3 2" xfId="9865" xr:uid="{00000000-0005-0000-0000-00008B260000}"/>
    <cellStyle name="biaoti 2 3 3 3" xfId="9866" xr:uid="{00000000-0005-0000-0000-00008C260000}"/>
    <cellStyle name="biaoti 2 3 4" xfId="9867" xr:uid="{00000000-0005-0000-0000-00008D260000}"/>
    <cellStyle name="biaoti 2 3 5" xfId="9868" xr:uid="{00000000-0005-0000-0000-00008E260000}"/>
    <cellStyle name="biaoti 2 4" xfId="9869" xr:uid="{00000000-0005-0000-0000-00008F260000}"/>
    <cellStyle name="biaoti 2 4 2" xfId="9870" xr:uid="{00000000-0005-0000-0000-000090260000}"/>
    <cellStyle name="biaoti 2 4 3" xfId="9871" xr:uid="{00000000-0005-0000-0000-000091260000}"/>
    <cellStyle name="biaoti 2 5" xfId="9872" xr:uid="{00000000-0005-0000-0000-000092260000}"/>
    <cellStyle name="biaoti 2 5 2" xfId="9873" xr:uid="{00000000-0005-0000-0000-000093260000}"/>
    <cellStyle name="biaoti 2 5 3" xfId="9874" xr:uid="{00000000-0005-0000-0000-000094260000}"/>
    <cellStyle name="biaoti 2 6" xfId="9875" xr:uid="{00000000-0005-0000-0000-000095260000}"/>
    <cellStyle name="biaoti 2 7" xfId="9876" xr:uid="{00000000-0005-0000-0000-000096260000}"/>
    <cellStyle name="biaoti 3" xfId="9877" xr:uid="{00000000-0005-0000-0000-000097260000}"/>
    <cellStyle name="biaoti 3 2" xfId="9878" xr:uid="{00000000-0005-0000-0000-000098260000}"/>
    <cellStyle name="biaoti 3 2 2" xfId="9879" xr:uid="{00000000-0005-0000-0000-000099260000}"/>
    <cellStyle name="biaoti 3 2 3" xfId="9880" xr:uid="{00000000-0005-0000-0000-00009A260000}"/>
    <cellStyle name="biaoti 3 3" xfId="9881" xr:uid="{00000000-0005-0000-0000-00009B260000}"/>
    <cellStyle name="biaoti 3 3 2" xfId="9882" xr:uid="{00000000-0005-0000-0000-00009C260000}"/>
    <cellStyle name="biaoti 3 3 3" xfId="9883" xr:uid="{00000000-0005-0000-0000-00009D260000}"/>
    <cellStyle name="biaoti 3 4" xfId="9884" xr:uid="{00000000-0005-0000-0000-00009E260000}"/>
    <cellStyle name="biaoti 3 5" xfId="9885" xr:uid="{00000000-0005-0000-0000-00009F260000}"/>
    <cellStyle name="biaoti 4" xfId="9886" xr:uid="{00000000-0005-0000-0000-0000A0260000}"/>
    <cellStyle name="biaoti 4 2" xfId="9887" xr:uid="{00000000-0005-0000-0000-0000A1260000}"/>
    <cellStyle name="biaoti 4 3" xfId="9888" xr:uid="{00000000-0005-0000-0000-0000A2260000}"/>
    <cellStyle name="biaoti 5" xfId="9889" xr:uid="{00000000-0005-0000-0000-0000A3260000}"/>
    <cellStyle name="biaoti 5 2" xfId="9890" xr:uid="{00000000-0005-0000-0000-0000A4260000}"/>
    <cellStyle name="biaoti 5 3" xfId="9891" xr:uid="{00000000-0005-0000-0000-0000A5260000}"/>
    <cellStyle name="biaoti 6" xfId="9892" xr:uid="{00000000-0005-0000-0000-0000A6260000}"/>
    <cellStyle name="biaoti 6 2" xfId="9893" xr:uid="{00000000-0005-0000-0000-0000A7260000}"/>
    <cellStyle name="biaoti 7" xfId="9894" xr:uid="{00000000-0005-0000-0000-0000A8260000}"/>
    <cellStyle name="biaoti 7 2" xfId="9895" xr:uid="{00000000-0005-0000-0000-0000A9260000}"/>
    <cellStyle name="biaoti 8" xfId="9896" xr:uid="{00000000-0005-0000-0000-0000AA260000}"/>
    <cellStyle name="biaoti 8 2" xfId="9897" xr:uid="{00000000-0005-0000-0000-0000AB260000}"/>
    <cellStyle name="biaoti 9" xfId="9898" xr:uid="{00000000-0005-0000-0000-0000AC260000}"/>
    <cellStyle name="biaoti 9 2" xfId="9899" xr:uid="{00000000-0005-0000-0000-0000AD260000}"/>
    <cellStyle name="Blue Headline" xfId="9900" xr:uid="{00000000-0005-0000-0000-0000AE260000}"/>
    <cellStyle name="Body" xfId="9901" xr:uid="{00000000-0005-0000-0000-0000AF260000}"/>
    <cellStyle name="Body 2" xfId="9902" xr:uid="{00000000-0005-0000-0000-0000B0260000}"/>
    <cellStyle name="Body 2 2" xfId="9903" xr:uid="{00000000-0005-0000-0000-0000B1260000}"/>
    <cellStyle name="Body 3" xfId="9904" xr:uid="{00000000-0005-0000-0000-0000B2260000}"/>
    <cellStyle name="Body Text" xfId="9905" xr:uid="{00000000-0005-0000-0000-0000B3260000}"/>
    <cellStyle name="Bom" xfId="9906" xr:uid="{00000000-0005-0000-0000-0000B4260000}"/>
    <cellStyle name="Border" xfId="9907" xr:uid="{00000000-0005-0000-0000-0000B5260000}"/>
    <cellStyle name="Border 10" xfId="9908" xr:uid="{00000000-0005-0000-0000-0000B6260000}"/>
    <cellStyle name="Border 11" xfId="9909" xr:uid="{00000000-0005-0000-0000-0000B7260000}"/>
    <cellStyle name="Border 12" xfId="9910" xr:uid="{00000000-0005-0000-0000-0000B8260000}"/>
    <cellStyle name="Border 13" xfId="9911" xr:uid="{00000000-0005-0000-0000-0000B9260000}"/>
    <cellStyle name="Border 14" xfId="9912" xr:uid="{00000000-0005-0000-0000-0000BA260000}"/>
    <cellStyle name="Border 15" xfId="9913" xr:uid="{00000000-0005-0000-0000-0000BB260000}"/>
    <cellStyle name="Border 16" xfId="9914" xr:uid="{00000000-0005-0000-0000-0000BC260000}"/>
    <cellStyle name="Border 17" xfId="9915" xr:uid="{00000000-0005-0000-0000-0000BD260000}"/>
    <cellStyle name="Border 18" xfId="9916" xr:uid="{00000000-0005-0000-0000-0000BE260000}"/>
    <cellStyle name="Border 19" xfId="9917" xr:uid="{00000000-0005-0000-0000-0000BF260000}"/>
    <cellStyle name="Border 2" xfId="9918" xr:uid="{00000000-0005-0000-0000-0000C0260000}"/>
    <cellStyle name="Border 2 10" xfId="9919" xr:uid="{00000000-0005-0000-0000-0000C1260000}"/>
    <cellStyle name="Border 2 11" xfId="9920" xr:uid="{00000000-0005-0000-0000-0000C2260000}"/>
    <cellStyle name="Border 2 12" xfId="9921" xr:uid="{00000000-0005-0000-0000-0000C3260000}"/>
    <cellStyle name="Border 2 13" xfId="9922" xr:uid="{00000000-0005-0000-0000-0000C4260000}"/>
    <cellStyle name="Border 2 14" xfId="9923" xr:uid="{00000000-0005-0000-0000-0000C5260000}"/>
    <cellStyle name="Border 2 15" xfId="9924" xr:uid="{00000000-0005-0000-0000-0000C6260000}"/>
    <cellStyle name="Border 2 16" xfId="9925" xr:uid="{00000000-0005-0000-0000-0000C7260000}"/>
    <cellStyle name="Border 2 17" xfId="9926" xr:uid="{00000000-0005-0000-0000-0000C8260000}"/>
    <cellStyle name="Border 2 18" xfId="9927" xr:uid="{00000000-0005-0000-0000-0000C9260000}"/>
    <cellStyle name="Border 2 19" xfId="9928" xr:uid="{00000000-0005-0000-0000-0000CA260000}"/>
    <cellStyle name="Border 2 2" xfId="9929" xr:uid="{00000000-0005-0000-0000-0000CB260000}"/>
    <cellStyle name="Border 2 2 2" xfId="9930" xr:uid="{00000000-0005-0000-0000-0000CC260000}"/>
    <cellStyle name="Border 2 2 3" xfId="9931" xr:uid="{00000000-0005-0000-0000-0000CD260000}"/>
    <cellStyle name="Border 2 20" xfId="9932" xr:uid="{00000000-0005-0000-0000-0000CE260000}"/>
    <cellStyle name="Border 2 21" xfId="9933" xr:uid="{00000000-0005-0000-0000-0000CF260000}"/>
    <cellStyle name="Border 2 22" xfId="9934" xr:uid="{00000000-0005-0000-0000-0000D0260000}"/>
    <cellStyle name="Border 2 23" xfId="9935" xr:uid="{00000000-0005-0000-0000-0000D1260000}"/>
    <cellStyle name="Border 2 24" xfId="9936" xr:uid="{00000000-0005-0000-0000-0000D2260000}"/>
    <cellStyle name="Border 2 25" xfId="9937" xr:uid="{00000000-0005-0000-0000-0000D3260000}"/>
    <cellStyle name="Border 2 3" xfId="9938" xr:uid="{00000000-0005-0000-0000-0000D4260000}"/>
    <cellStyle name="Border 2 4" xfId="9939" xr:uid="{00000000-0005-0000-0000-0000D5260000}"/>
    <cellStyle name="Border 2 5" xfId="9940" xr:uid="{00000000-0005-0000-0000-0000D6260000}"/>
    <cellStyle name="Border 2 6" xfId="9941" xr:uid="{00000000-0005-0000-0000-0000D7260000}"/>
    <cellStyle name="Border 2 7" xfId="9942" xr:uid="{00000000-0005-0000-0000-0000D8260000}"/>
    <cellStyle name="Border 2 8" xfId="9943" xr:uid="{00000000-0005-0000-0000-0000D9260000}"/>
    <cellStyle name="Border 2 9" xfId="9944" xr:uid="{00000000-0005-0000-0000-0000DA260000}"/>
    <cellStyle name="Border 20" xfId="9945" xr:uid="{00000000-0005-0000-0000-0000DB260000}"/>
    <cellStyle name="Border 21" xfId="9946" xr:uid="{00000000-0005-0000-0000-0000DC260000}"/>
    <cellStyle name="Border 22" xfId="9947" xr:uid="{00000000-0005-0000-0000-0000DD260000}"/>
    <cellStyle name="Border 23" xfId="9948" xr:uid="{00000000-0005-0000-0000-0000DE260000}"/>
    <cellStyle name="Border 24" xfId="9949" xr:uid="{00000000-0005-0000-0000-0000DF260000}"/>
    <cellStyle name="Border 25" xfId="9950" xr:uid="{00000000-0005-0000-0000-0000E0260000}"/>
    <cellStyle name="Border 26" xfId="9951" xr:uid="{00000000-0005-0000-0000-0000E1260000}"/>
    <cellStyle name="Border 27" xfId="9952" xr:uid="{00000000-0005-0000-0000-0000E2260000}"/>
    <cellStyle name="Border 28" xfId="9953" xr:uid="{00000000-0005-0000-0000-0000E3260000}"/>
    <cellStyle name="Border 29" xfId="9954" xr:uid="{00000000-0005-0000-0000-0000E4260000}"/>
    <cellStyle name="Border 3" xfId="9955" xr:uid="{00000000-0005-0000-0000-0000E5260000}"/>
    <cellStyle name="Border 3 2" xfId="9956" xr:uid="{00000000-0005-0000-0000-0000E6260000}"/>
    <cellStyle name="Border 3 2 2" xfId="9957" xr:uid="{00000000-0005-0000-0000-0000E7260000}"/>
    <cellStyle name="Border 3 2 3" xfId="9958" xr:uid="{00000000-0005-0000-0000-0000E8260000}"/>
    <cellStyle name="Border 3 3" xfId="9959" xr:uid="{00000000-0005-0000-0000-0000E9260000}"/>
    <cellStyle name="Border 3 3 2" xfId="9960" xr:uid="{00000000-0005-0000-0000-0000EA260000}"/>
    <cellStyle name="Border 3 3 3" xfId="9961" xr:uid="{00000000-0005-0000-0000-0000EB260000}"/>
    <cellStyle name="Border 3 4" xfId="9962" xr:uid="{00000000-0005-0000-0000-0000EC260000}"/>
    <cellStyle name="Border 3 5" xfId="9963" xr:uid="{00000000-0005-0000-0000-0000ED260000}"/>
    <cellStyle name="Border 30" xfId="9964" xr:uid="{00000000-0005-0000-0000-0000EE260000}"/>
    <cellStyle name="Border 31" xfId="9965" xr:uid="{00000000-0005-0000-0000-0000EF260000}"/>
    <cellStyle name="Border 32" xfId="9966" xr:uid="{00000000-0005-0000-0000-0000F0260000}"/>
    <cellStyle name="Border 33" xfId="9967" xr:uid="{00000000-0005-0000-0000-0000F1260000}"/>
    <cellStyle name="Border 34" xfId="9968" xr:uid="{00000000-0005-0000-0000-0000F2260000}"/>
    <cellStyle name="Border 35" xfId="9969" xr:uid="{00000000-0005-0000-0000-0000F3260000}"/>
    <cellStyle name="Border 36" xfId="9970" xr:uid="{00000000-0005-0000-0000-0000F4260000}"/>
    <cellStyle name="Border 4" xfId="9971" xr:uid="{00000000-0005-0000-0000-0000F5260000}"/>
    <cellStyle name="Border 4 2" xfId="9972" xr:uid="{00000000-0005-0000-0000-0000F6260000}"/>
    <cellStyle name="Border 4 2 2" xfId="9973" xr:uid="{00000000-0005-0000-0000-0000F7260000}"/>
    <cellStyle name="Border 4 2 3" xfId="9974" xr:uid="{00000000-0005-0000-0000-0000F8260000}"/>
    <cellStyle name="Border 4 3" xfId="9975" xr:uid="{00000000-0005-0000-0000-0000F9260000}"/>
    <cellStyle name="Border 4 3 2" xfId="9976" xr:uid="{00000000-0005-0000-0000-0000FA260000}"/>
    <cellStyle name="Border 4 3 3" xfId="9977" xr:uid="{00000000-0005-0000-0000-0000FB260000}"/>
    <cellStyle name="Border 4 4" xfId="9978" xr:uid="{00000000-0005-0000-0000-0000FC260000}"/>
    <cellStyle name="Border 4 5" xfId="9979" xr:uid="{00000000-0005-0000-0000-0000FD260000}"/>
    <cellStyle name="Border 5" xfId="9980" xr:uid="{00000000-0005-0000-0000-0000FE260000}"/>
    <cellStyle name="Border 5 2" xfId="9981" xr:uid="{00000000-0005-0000-0000-0000FF260000}"/>
    <cellStyle name="Border 5 3" xfId="9982" xr:uid="{00000000-0005-0000-0000-000000270000}"/>
    <cellStyle name="Border 6" xfId="9983" xr:uid="{00000000-0005-0000-0000-000001270000}"/>
    <cellStyle name="Border 7" xfId="9984" xr:uid="{00000000-0005-0000-0000-000002270000}"/>
    <cellStyle name="Border 8" xfId="9985" xr:uid="{00000000-0005-0000-0000-000003270000}"/>
    <cellStyle name="Border 9" xfId="9986" xr:uid="{00000000-0005-0000-0000-000004270000}"/>
    <cellStyle name="British Pound" xfId="9987" xr:uid="{00000000-0005-0000-0000-000005270000}"/>
    <cellStyle name="Ç¥ÁØ_¿ù°£¿ä¾àº¸°í" xfId="9988" xr:uid="{00000000-0005-0000-0000-000006270000}"/>
    <cellStyle name="C￥AØ_≫c¾÷ºIº° AN°e " xfId="9989" xr:uid="{00000000-0005-0000-0000-000007270000}"/>
    <cellStyle name="Ç¥ÁØ_ÀÎÀç°³¹ß¿ø" xfId="9990" xr:uid="{00000000-0005-0000-0000-000008270000}"/>
    <cellStyle name="C2" xfId="9991" xr:uid="{00000000-0005-0000-0000-000009270000}"/>
    <cellStyle name="C600 PN" xfId="9992" xr:uid="{00000000-0005-0000-0000-00000A270000}"/>
    <cellStyle name="Calc Currency (0)" xfId="9993" xr:uid="{00000000-0005-0000-0000-00000B270000}"/>
    <cellStyle name="Calc Currency (0) 2" xfId="9994" xr:uid="{00000000-0005-0000-0000-00000C270000}"/>
    <cellStyle name="Calc Currency (0) 2 2" xfId="9995" xr:uid="{00000000-0005-0000-0000-00000D270000}"/>
    <cellStyle name="Calc Currency (0) 3" xfId="9996" xr:uid="{00000000-0005-0000-0000-00000E270000}"/>
    <cellStyle name="Calc Currency (2)" xfId="9997" xr:uid="{00000000-0005-0000-0000-00000F270000}"/>
    <cellStyle name="Calc Percent (0)" xfId="9998" xr:uid="{00000000-0005-0000-0000-000010270000}"/>
    <cellStyle name="Calc Percent (1)" xfId="9999" xr:uid="{00000000-0005-0000-0000-000011270000}"/>
    <cellStyle name="Calc Percent (1) 2" xfId="10000" xr:uid="{00000000-0005-0000-0000-000012270000}"/>
    <cellStyle name="Calc Percent (1) 2 2" xfId="10001" xr:uid="{00000000-0005-0000-0000-000013270000}"/>
    <cellStyle name="Calc Percent (1) 3" xfId="10002" xr:uid="{00000000-0005-0000-0000-000014270000}"/>
    <cellStyle name="Calc Percent (2)" xfId="10003" xr:uid="{00000000-0005-0000-0000-000015270000}"/>
    <cellStyle name="Calc Percent (2) 2" xfId="10004" xr:uid="{00000000-0005-0000-0000-000016270000}"/>
    <cellStyle name="Calc Percent (2) 3" xfId="10005" xr:uid="{00000000-0005-0000-0000-000017270000}"/>
    <cellStyle name="Calc Units (0)" xfId="10006" xr:uid="{00000000-0005-0000-0000-000018270000}"/>
    <cellStyle name="Calc Units (0) 2" xfId="10007" xr:uid="{00000000-0005-0000-0000-000019270000}"/>
    <cellStyle name="Calc Units (0) 2 2" xfId="10008" xr:uid="{00000000-0005-0000-0000-00001A270000}"/>
    <cellStyle name="Calc Units (0) 3" xfId="10009" xr:uid="{00000000-0005-0000-0000-00001B270000}"/>
    <cellStyle name="Calc Units (1)" xfId="10010" xr:uid="{00000000-0005-0000-0000-00001C270000}"/>
    <cellStyle name="Calc Units (1) 2" xfId="10011" xr:uid="{00000000-0005-0000-0000-00001D270000}"/>
    <cellStyle name="Calc Units (1) 3" xfId="10012" xr:uid="{00000000-0005-0000-0000-00001E270000}"/>
    <cellStyle name="Calc Units (2)" xfId="10013" xr:uid="{00000000-0005-0000-0000-00001F270000}"/>
    <cellStyle name="Calcul" xfId="10014" xr:uid="{00000000-0005-0000-0000-000020270000}"/>
    <cellStyle name="Calcul 10" xfId="10015" xr:uid="{00000000-0005-0000-0000-000021270000}"/>
    <cellStyle name="Calcul 11" xfId="10016" xr:uid="{00000000-0005-0000-0000-000022270000}"/>
    <cellStyle name="Calcul 12" xfId="10017" xr:uid="{00000000-0005-0000-0000-000023270000}"/>
    <cellStyle name="Calcul 13" xfId="10018" xr:uid="{00000000-0005-0000-0000-000024270000}"/>
    <cellStyle name="Calcul 14" xfId="10019" xr:uid="{00000000-0005-0000-0000-000025270000}"/>
    <cellStyle name="Calcul 15" xfId="10020" xr:uid="{00000000-0005-0000-0000-000026270000}"/>
    <cellStyle name="Calcul 16" xfId="10021" xr:uid="{00000000-0005-0000-0000-000027270000}"/>
    <cellStyle name="Calcul 17" xfId="10022" xr:uid="{00000000-0005-0000-0000-000028270000}"/>
    <cellStyle name="Calcul 18" xfId="10023" xr:uid="{00000000-0005-0000-0000-000029270000}"/>
    <cellStyle name="Calcul 19" xfId="10024" xr:uid="{00000000-0005-0000-0000-00002A270000}"/>
    <cellStyle name="Calcul 2" xfId="10025" xr:uid="{00000000-0005-0000-0000-00002B270000}"/>
    <cellStyle name="Calcul 2 10" xfId="10026" xr:uid="{00000000-0005-0000-0000-00002C270000}"/>
    <cellStyle name="Calcul 2 11" xfId="10027" xr:uid="{00000000-0005-0000-0000-00002D270000}"/>
    <cellStyle name="Calcul 2 12" xfId="10028" xr:uid="{00000000-0005-0000-0000-00002E270000}"/>
    <cellStyle name="Calcul 2 13" xfId="10029" xr:uid="{00000000-0005-0000-0000-00002F270000}"/>
    <cellStyle name="Calcul 2 14" xfId="10030" xr:uid="{00000000-0005-0000-0000-000030270000}"/>
    <cellStyle name="Calcul 2 15" xfId="10031" xr:uid="{00000000-0005-0000-0000-000031270000}"/>
    <cellStyle name="Calcul 2 16" xfId="10032" xr:uid="{00000000-0005-0000-0000-000032270000}"/>
    <cellStyle name="Calcul 2 17" xfId="10033" xr:uid="{00000000-0005-0000-0000-000033270000}"/>
    <cellStyle name="Calcul 2 18" xfId="10034" xr:uid="{00000000-0005-0000-0000-000034270000}"/>
    <cellStyle name="Calcul 2 19" xfId="10035" xr:uid="{00000000-0005-0000-0000-000035270000}"/>
    <cellStyle name="Calcul 2 2" xfId="10036" xr:uid="{00000000-0005-0000-0000-000036270000}"/>
    <cellStyle name="Calcul 2 2 10" xfId="10037" xr:uid="{00000000-0005-0000-0000-000037270000}"/>
    <cellStyle name="Calcul 2 2 11" xfId="10038" xr:uid="{00000000-0005-0000-0000-000038270000}"/>
    <cellStyle name="Calcul 2 2 12" xfId="10039" xr:uid="{00000000-0005-0000-0000-000039270000}"/>
    <cellStyle name="Calcul 2 2 13" xfId="10040" xr:uid="{00000000-0005-0000-0000-00003A270000}"/>
    <cellStyle name="Calcul 2 2 14" xfId="10041" xr:uid="{00000000-0005-0000-0000-00003B270000}"/>
    <cellStyle name="Calcul 2 2 15" xfId="10042" xr:uid="{00000000-0005-0000-0000-00003C270000}"/>
    <cellStyle name="Calcul 2 2 16" xfId="10043" xr:uid="{00000000-0005-0000-0000-00003D270000}"/>
    <cellStyle name="Calcul 2 2 17" xfId="10044" xr:uid="{00000000-0005-0000-0000-00003E270000}"/>
    <cellStyle name="Calcul 2 2 18" xfId="10045" xr:uid="{00000000-0005-0000-0000-00003F270000}"/>
    <cellStyle name="Calcul 2 2 19" xfId="10046" xr:uid="{00000000-0005-0000-0000-000040270000}"/>
    <cellStyle name="Calcul 2 2 2" xfId="10047" xr:uid="{00000000-0005-0000-0000-000041270000}"/>
    <cellStyle name="Calcul 2 2 2 2" xfId="10048" xr:uid="{00000000-0005-0000-0000-000042270000}"/>
    <cellStyle name="Calcul 2 2 2 2 2" xfId="10049" xr:uid="{00000000-0005-0000-0000-000043270000}"/>
    <cellStyle name="Calcul 2 2 2 2 3" xfId="10050" xr:uid="{00000000-0005-0000-0000-000044270000}"/>
    <cellStyle name="Calcul 2 2 2 3" xfId="10051" xr:uid="{00000000-0005-0000-0000-000045270000}"/>
    <cellStyle name="Calcul 2 2 2 3 2" xfId="10052" xr:uid="{00000000-0005-0000-0000-000046270000}"/>
    <cellStyle name="Calcul 2 2 2 3 3" xfId="10053" xr:uid="{00000000-0005-0000-0000-000047270000}"/>
    <cellStyle name="Calcul 2 2 2 4" xfId="10054" xr:uid="{00000000-0005-0000-0000-000048270000}"/>
    <cellStyle name="Calcul 2 2 2 5" xfId="10055" xr:uid="{00000000-0005-0000-0000-000049270000}"/>
    <cellStyle name="Calcul 2 2 20" xfId="10056" xr:uid="{00000000-0005-0000-0000-00004A270000}"/>
    <cellStyle name="Calcul 2 2 21" xfId="10057" xr:uid="{00000000-0005-0000-0000-00004B270000}"/>
    <cellStyle name="Calcul 2 2 22" xfId="10058" xr:uid="{00000000-0005-0000-0000-00004C270000}"/>
    <cellStyle name="Calcul 2 2 23" xfId="10059" xr:uid="{00000000-0005-0000-0000-00004D270000}"/>
    <cellStyle name="Calcul 2 2 24" xfId="10060" xr:uid="{00000000-0005-0000-0000-00004E270000}"/>
    <cellStyle name="Calcul 2 2 25" xfId="10061" xr:uid="{00000000-0005-0000-0000-00004F270000}"/>
    <cellStyle name="Calcul 2 2 26" xfId="10062" xr:uid="{00000000-0005-0000-0000-000050270000}"/>
    <cellStyle name="Calcul 2 2 27" xfId="10063" xr:uid="{00000000-0005-0000-0000-000051270000}"/>
    <cellStyle name="Calcul 2 2 28" xfId="10064" xr:uid="{00000000-0005-0000-0000-000052270000}"/>
    <cellStyle name="Calcul 2 2 29" xfId="10065" xr:uid="{00000000-0005-0000-0000-000053270000}"/>
    <cellStyle name="Calcul 2 2 3" xfId="10066" xr:uid="{00000000-0005-0000-0000-000054270000}"/>
    <cellStyle name="Calcul 2 2 3 2" xfId="10067" xr:uid="{00000000-0005-0000-0000-000055270000}"/>
    <cellStyle name="Calcul 2 2 3 2 2" xfId="10068" xr:uid="{00000000-0005-0000-0000-000056270000}"/>
    <cellStyle name="Calcul 2 2 3 2 3" xfId="10069" xr:uid="{00000000-0005-0000-0000-000057270000}"/>
    <cellStyle name="Calcul 2 2 3 3" xfId="10070" xr:uid="{00000000-0005-0000-0000-000058270000}"/>
    <cellStyle name="Calcul 2 2 3 3 2" xfId="10071" xr:uid="{00000000-0005-0000-0000-000059270000}"/>
    <cellStyle name="Calcul 2 2 3 3 3" xfId="10072" xr:uid="{00000000-0005-0000-0000-00005A270000}"/>
    <cellStyle name="Calcul 2 2 3 4" xfId="10073" xr:uid="{00000000-0005-0000-0000-00005B270000}"/>
    <cellStyle name="Calcul 2 2 3 5" xfId="10074" xr:uid="{00000000-0005-0000-0000-00005C270000}"/>
    <cellStyle name="Calcul 2 2 30" xfId="10075" xr:uid="{00000000-0005-0000-0000-00005D270000}"/>
    <cellStyle name="Calcul 2 2 31" xfId="10076" xr:uid="{00000000-0005-0000-0000-00005E270000}"/>
    <cellStyle name="Calcul 2 2 32" xfId="10077" xr:uid="{00000000-0005-0000-0000-00005F270000}"/>
    <cellStyle name="Calcul 2 2 33" xfId="10078" xr:uid="{00000000-0005-0000-0000-000060270000}"/>
    <cellStyle name="Calcul 2 2 34" xfId="10079" xr:uid="{00000000-0005-0000-0000-000061270000}"/>
    <cellStyle name="Calcul 2 2 4" xfId="10080" xr:uid="{00000000-0005-0000-0000-000062270000}"/>
    <cellStyle name="Calcul 2 2 4 2" xfId="10081" xr:uid="{00000000-0005-0000-0000-000063270000}"/>
    <cellStyle name="Calcul 2 2 4 3" xfId="10082" xr:uid="{00000000-0005-0000-0000-000064270000}"/>
    <cellStyle name="Calcul 2 2 5" xfId="10083" xr:uid="{00000000-0005-0000-0000-000065270000}"/>
    <cellStyle name="Calcul 2 2 5 2" xfId="10084" xr:uid="{00000000-0005-0000-0000-000066270000}"/>
    <cellStyle name="Calcul 2 2 5 3" xfId="10085" xr:uid="{00000000-0005-0000-0000-000067270000}"/>
    <cellStyle name="Calcul 2 2 6" xfId="10086" xr:uid="{00000000-0005-0000-0000-000068270000}"/>
    <cellStyle name="Calcul 2 2 7" xfId="10087" xr:uid="{00000000-0005-0000-0000-000069270000}"/>
    <cellStyle name="Calcul 2 2 8" xfId="10088" xr:uid="{00000000-0005-0000-0000-00006A270000}"/>
    <cellStyle name="Calcul 2 2 9" xfId="10089" xr:uid="{00000000-0005-0000-0000-00006B270000}"/>
    <cellStyle name="Calcul 2 20" xfId="10090" xr:uid="{00000000-0005-0000-0000-00006C270000}"/>
    <cellStyle name="Calcul 2 21" xfId="10091" xr:uid="{00000000-0005-0000-0000-00006D270000}"/>
    <cellStyle name="Calcul 2 22" xfId="10092" xr:uid="{00000000-0005-0000-0000-00006E270000}"/>
    <cellStyle name="Calcul 2 23" xfId="10093" xr:uid="{00000000-0005-0000-0000-00006F270000}"/>
    <cellStyle name="Calcul 2 24" xfId="10094" xr:uid="{00000000-0005-0000-0000-000070270000}"/>
    <cellStyle name="Calcul 2 25" xfId="10095" xr:uid="{00000000-0005-0000-0000-000071270000}"/>
    <cellStyle name="Calcul 2 26" xfId="10096" xr:uid="{00000000-0005-0000-0000-000072270000}"/>
    <cellStyle name="Calcul 2 27" xfId="10097" xr:uid="{00000000-0005-0000-0000-000073270000}"/>
    <cellStyle name="Calcul 2 28" xfId="10098" xr:uid="{00000000-0005-0000-0000-000074270000}"/>
    <cellStyle name="Calcul 2 29" xfId="10099" xr:uid="{00000000-0005-0000-0000-000075270000}"/>
    <cellStyle name="Calcul 2 3" xfId="10100" xr:uid="{00000000-0005-0000-0000-000076270000}"/>
    <cellStyle name="Calcul 2 3 2" xfId="10101" xr:uid="{00000000-0005-0000-0000-000077270000}"/>
    <cellStyle name="Calcul 2 3 2 2" xfId="10102" xr:uid="{00000000-0005-0000-0000-000078270000}"/>
    <cellStyle name="Calcul 2 3 2 3" xfId="10103" xr:uid="{00000000-0005-0000-0000-000079270000}"/>
    <cellStyle name="Calcul 2 3 3" xfId="10104" xr:uid="{00000000-0005-0000-0000-00007A270000}"/>
    <cellStyle name="Calcul 2 3 3 2" xfId="10105" xr:uid="{00000000-0005-0000-0000-00007B270000}"/>
    <cellStyle name="Calcul 2 3 3 3" xfId="10106" xr:uid="{00000000-0005-0000-0000-00007C270000}"/>
    <cellStyle name="Calcul 2 3 4" xfId="10107" xr:uid="{00000000-0005-0000-0000-00007D270000}"/>
    <cellStyle name="Calcul 2 3 5" xfId="10108" xr:uid="{00000000-0005-0000-0000-00007E270000}"/>
    <cellStyle name="Calcul 2 30" xfId="10109" xr:uid="{00000000-0005-0000-0000-00007F270000}"/>
    <cellStyle name="Calcul 2 31" xfId="10110" xr:uid="{00000000-0005-0000-0000-000080270000}"/>
    <cellStyle name="Calcul 2 32" xfId="10111" xr:uid="{00000000-0005-0000-0000-000081270000}"/>
    <cellStyle name="Calcul 2 4" xfId="10112" xr:uid="{00000000-0005-0000-0000-000082270000}"/>
    <cellStyle name="Calcul 2 4 2" xfId="10113" xr:uid="{00000000-0005-0000-0000-000083270000}"/>
    <cellStyle name="Calcul 2 4 3" xfId="10114" xr:uid="{00000000-0005-0000-0000-000084270000}"/>
    <cellStyle name="Calcul 2 5" xfId="10115" xr:uid="{00000000-0005-0000-0000-000085270000}"/>
    <cellStyle name="Calcul 2 5 2" xfId="10116" xr:uid="{00000000-0005-0000-0000-000086270000}"/>
    <cellStyle name="Calcul 2 5 3" xfId="10117" xr:uid="{00000000-0005-0000-0000-000087270000}"/>
    <cellStyle name="Calcul 2 6" xfId="10118" xr:uid="{00000000-0005-0000-0000-000088270000}"/>
    <cellStyle name="Calcul 2 7" xfId="10119" xr:uid="{00000000-0005-0000-0000-000089270000}"/>
    <cellStyle name="Calcul 2 8" xfId="10120" xr:uid="{00000000-0005-0000-0000-00008A270000}"/>
    <cellStyle name="Calcul 2 9" xfId="10121" xr:uid="{00000000-0005-0000-0000-00008B270000}"/>
    <cellStyle name="Calcul 20" xfId="10122" xr:uid="{00000000-0005-0000-0000-00008C270000}"/>
    <cellStyle name="Calcul 21" xfId="10123" xr:uid="{00000000-0005-0000-0000-00008D270000}"/>
    <cellStyle name="Calcul 22" xfId="10124" xr:uid="{00000000-0005-0000-0000-00008E270000}"/>
    <cellStyle name="Calcul 23" xfId="10125" xr:uid="{00000000-0005-0000-0000-00008F270000}"/>
    <cellStyle name="Calcul 24" xfId="10126" xr:uid="{00000000-0005-0000-0000-000090270000}"/>
    <cellStyle name="Calcul 25" xfId="10127" xr:uid="{00000000-0005-0000-0000-000091270000}"/>
    <cellStyle name="Calcul 26" xfId="10128" xr:uid="{00000000-0005-0000-0000-000092270000}"/>
    <cellStyle name="Calcul 27" xfId="10129" xr:uid="{00000000-0005-0000-0000-000093270000}"/>
    <cellStyle name="Calcul 28" xfId="10130" xr:uid="{00000000-0005-0000-0000-000094270000}"/>
    <cellStyle name="Calcul 29" xfId="10131" xr:uid="{00000000-0005-0000-0000-000095270000}"/>
    <cellStyle name="Calcul 3" xfId="10132" xr:uid="{00000000-0005-0000-0000-000096270000}"/>
    <cellStyle name="Calcul 3 10" xfId="10133" xr:uid="{00000000-0005-0000-0000-000097270000}"/>
    <cellStyle name="Calcul 3 11" xfId="10134" xr:uid="{00000000-0005-0000-0000-000098270000}"/>
    <cellStyle name="Calcul 3 12" xfId="10135" xr:uid="{00000000-0005-0000-0000-000099270000}"/>
    <cellStyle name="Calcul 3 13" xfId="10136" xr:uid="{00000000-0005-0000-0000-00009A270000}"/>
    <cellStyle name="Calcul 3 14" xfId="10137" xr:uid="{00000000-0005-0000-0000-00009B270000}"/>
    <cellStyle name="Calcul 3 15" xfId="10138" xr:uid="{00000000-0005-0000-0000-00009C270000}"/>
    <cellStyle name="Calcul 3 16" xfId="10139" xr:uid="{00000000-0005-0000-0000-00009D270000}"/>
    <cellStyle name="Calcul 3 17" xfId="10140" xr:uid="{00000000-0005-0000-0000-00009E270000}"/>
    <cellStyle name="Calcul 3 18" xfId="10141" xr:uid="{00000000-0005-0000-0000-00009F270000}"/>
    <cellStyle name="Calcul 3 19" xfId="10142" xr:uid="{00000000-0005-0000-0000-0000A0270000}"/>
    <cellStyle name="Calcul 3 2" xfId="10143" xr:uid="{00000000-0005-0000-0000-0000A1270000}"/>
    <cellStyle name="Calcul 3 2 2" xfId="10144" xr:uid="{00000000-0005-0000-0000-0000A2270000}"/>
    <cellStyle name="Calcul 3 2 2 2" xfId="10145" xr:uid="{00000000-0005-0000-0000-0000A3270000}"/>
    <cellStyle name="Calcul 3 2 2 3" xfId="10146" xr:uid="{00000000-0005-0000-0000-0000A4270000}"/>
    <cellStyle name="Calcul 3 2 3" xfId="10147" xr:uid="{00000000-0005-0000-0000-0000A5270000}"/>
    <cellStyle name="Calcul 3 2 3 2" xfId="10148" xr:uid="{00000000-0005-0000-0000-0000A6270000}"/>
    <cellStyle name="Calcul 3 2 3 3" xfId="10149" xr:uid="{00000000-0005-0000-0000-0000A7270000}"/>
    <cellStyle name="Calcul 3 2 4" xfId="10150" xr:uid="{00000000-0005-0000-0000-0000A8270000}"/>
    <cellStyle name="Calcul 3 2 5" xfId="10151" xr:uid="{00000000-0005-0000-0000-0000A9270000}"/>
    <cellStyle name="Calcul 3 20" xfId="10152" xr:uid="{00000000-0005-0000-0000-0000AA270000}"/>
    <cellStyle name="Calcul 3 21" xfId="10153" xr:uid="{00000000-0005-0000-0000-0000AB270000}"/>
    <cellStyle name="Calcul 3 22" xfId="10154" xr:uid="{00000000-0005-0000-0000-0000AC270000}"/>
    <cellStyle name="Calcul 3 23" xfId="10155" xr:uid="{00000000-0005-0000-0000-0000AD270000}"/>
    <cellStyle name="Calcul 3 24" xfId="10156" xr:uid="{00000000-0005-0000-0000-0000AE270000}"/>
    <cellStyle name="Calcul 3 25" xfId="10157" xr:uid="{00000000-0005-0000-0000-0000AF270000}"/>
    <cellStyle name="Calcul 3 26" xfId="10158" xr:uid="{00000000-0005-0000-0000-0000B0270000}"/>
    <cellStyle name="Calcul 3 27" xfId="10159" xr:uid="{00000000-0005-0000-0000-0000B1270000}"/>
    <cellStyle name="Calcul 3 28" xfId="10160" xr:uid="{00000000-0005-0000-0000-0000B2270000}"/>
    <cellStyle name="Calcul 3 29" xfId="10161" xr:uid="{00000000-0005-0000-0000-0000B3270000}"/>
    <cellStyle name="Calcul 3 3" xfId="10162" xr:uid="{00000000-0005-0000-0000-0000B4270000}"/>
    <cellStyle name="Calcul 3 3 2" xfId="10163" xr:uid="{00000000-0005-0000-0000-0000B5270000}"/>
    <cellStyle name="Calcul 3 3 2 2" xfId="10164" xr:uid="{00000000-0005-0000-0000-0000B6270000}"/>
    <cellStyle name="Calcul 3 3 2 3" xfId="10165" xr:uid="{00000000-0005-0000-0000-0000B7270000}"/>
    <cellStyle name="Calcul 3 3 3" xfId="10166" xr:uid="{00000000-0005-0000-0000-0000B8270000}"/>
    <cellStyle name="Calcul 3 3 3 2" xfId="10167" xr:uid="{00000000-0005-0000-0000-0000B9270000}"/>
    <cellStyle name="Calcul 3 3 3 3" xfId="10168" xr:uid="{00000000-0005-0000-0000-0000BA270000}"/>
    <cellStyle name="Calcul 3 3 4" xfId="10169" xr:uid="{00000000-0005-0000-0000-0000BB270000}"/>
    <cellStyle name="Calcul 3 3 5" xfId="10170" xr:uid="{00000000-0005-0000-0000-0000BC270000}"/>
    <cellStyle name="Calcul 3 30" xfId="10171" xr:uid="{00000000-0005-0000-0000-0000BD270000}"/>
    <cellStyle name="Calcul 3 31" xfId="10172" xr:uid="{00000000-0005-0000-0000-0000BE270000}"/>
    <cellStyle name="Calcul 3 32" xfId="10173" xr:uid="{00000000-0005-0000-0000-0000BF270000}"/>
    <cellStyle name="Calcul 3 33" xfId="10174" xr:uid="{00000000-0005-0000-0000-0000C0270000}"/>
    <cellStyle name="Calcul 3 34" xfId="10175" xr:uid="{00000000-0005-0000-0000-0000C1270000}"/>
    <cellStyle name="Calcul 3 4" xfId="10176" xr:uid="{00000000-0005-0000-0000-0000C2270000}"/>
    <cellStyle name="Calcul 3 4 2" xfId="10177" xr:uid="{00000000-0005-0000-0000-0000C3270000}"/>
    <cellStyle name="Calcul 3 4 3" xfId="10178" xr:uid="{00000000-0005-0000-0000-0000C4270000}"/>
    <cellStyle name="Calcul 3 5" xfId="10179" xr:uid="{00000000-0005-0000-0000-0000C5270000}"/>
    <cellStyle name="Calcul 3 5 2" xfId="10180" xr:uid="{00000000-0005-0000-0000-0000C6270000}"/>
    <cellStyle name="Calcul 3 5 3" xfId="10181" xr:uid="{00000000-0005-0000-0000-0000C7270000}"/>
    <cellStyle name="Calcul 3 6" xfId="10182" xr:uid="{00000000-0005-0000-0000-0000C8270000}"/>
    <cellStyle name="Calcul 3 7" xfId="10183" xr:uid="{00000000-0005-0000-0000-0000C9270000}"/>
    <cellStyle name="Calcul 3 8" xfId="10184" xr:uid="{00000000-0005-0000-0000-0000CA270000}"/>
    <cellStyle name="Calcul 3 9" xfId="10185" xr:uid="{00000000-0005-0000-0000-0000CB270000}"/>
    <cellStyle name="Calcul 30" xfId="10186" xr:uid="{00000000-0005-0000-0000-0000CC270000}"/>
    <cellStyle name="Calcul 31" xfId="10187" xr:uid="{00000000-0005-0000-0000-0000CD270000}"/>
    <cellStyle name="Calcul 32" xfId="10188" xr:uid="{00000000-0005-0000-0000-0000CE270000}"/>
    <cellStyle name="Calcul 33" xfId="10189" xr:uid="{00000000-0005-0000-0000-0000CF270000}"/>
    <cellStyle name="Calcul 4" xfId="10190" xr:uid="{00000000-0005-0000-0000-0000D0270000}"/>
    <cellStyle name="Calcul 4 2" xfId="10191" xr:uid="{00000000-0005-0000-0000-0000D1270000}"/>
    <cellStyle name="Calcul 4 2 2" xfId="10192" xr:uid="{00000000-0005-0000-0000-0000D2270000}"/>
    <cellStyle name="Calcul 4 2 3" xfId="10193" xr:uid="{00000000-0005-0000-0000-0000D3270000}"/>
    <cellStyle name="Calcul 4 3" xfId="10194" xr:uid="{00000000-0005-0000-0000-0000D4270000}"/>
    <cellStyle name="Calcul 4 3 2" xfId="10195" xr:uid="{00000000-0005-0000-0000-0000D5270000}"/>
    <cellStyle name="Calcul 4 3 3" xfId="10196" xr:uid="{00000000-0005-0000-0000-0000D6270000}"/>
    <cellStyle name="Calcul 4 4" xfId="10197" xr:uid="{00000000-0005-0000-0000-0000D7270000}"/>
    <cellStyle name="Calcul 4 5" xfId="10198" xr:uid="{00000000-0005-0000-0000-0000D8270000}"/>
    <cellStyle name="Calcul 5" xfId="10199" xr:uid="{00000000-0005-0000-0000-0000D9270000}"/>
    <cellStyle name="Calcul 5 2" xfId="10200" xr:uid="{00000000-0005-0000-0000-0000DA270000}"/>
    <cellStyle name="Calcul 5 3" xfId="10201" xr:uid="{00000000-0005-0000-0000-0000DB270000}"/>
    <cellStyle name="Calcul 6" xfId="10202" xr:uid="{00000000-0005-0000-0000-0000DC270000}"/>
    <cellStyle name="Calcul 6 2" xfId="10203" xr:uid="{00000000-0005-0000-0000-0000DD270000}"/>
    <cellStyle name="Calcul 6 3" xfId="10204" xr:uid="{00000000-0005-0000-0000-0000DE270000}"/>
    <cellStyle name="Calcul 7" xfId="10205" xr:uid="{00000000-0005-0000-0000-0000DF270000}"/>
    <cellStyle name="Calcul 8" xfId="10206" xr:uid="{00000000-0005-0000-0000-0000E0270000}"/>
    <cellStyle name="Calcul 9" xfId="10207" xr:uid="{00000000-0005-0000-0000-0000E1270000}"/>
    <cellStyle name="Calculation 10" xfId="10208" xr:uid="{00000000-0005-0000-0000-0000E2270000}"/>
    <cellStyle name="Calculation 10 2" xfId="10209" xr:uid="{00000000-0005-0000-0000-0000E3270000}"/>
    <cellStyle name="Calculation 11" xfId="10210" xr:uid="{00000000-0005-0000-0000-0000E4270000}"/>
    <cellStyle name="Calculation 11 2" xfId="10211" xr:uid="{00000000-0005-0000-0000-0000E5270000}"/>
    <cellStyle name="Calculation 12" xfId="10212" xr:uid="{00000000-0005-0000-0000-0000E6270000}"/>
    <cellStyle name="Calculation 12 2" xfId="10213" xr:uid="{00000000-0005-0000-0000-0000E7270000}"/>
    <cellStyle name="Calculation 13" xfId="10214" xr:uid="{00000000-0005-0000-0000-0000E8270000}"/>
    <cellStyle name="Calculation 13 2" xfId="10215" xr:uid="{00000000-0005-0000-0000-0000E9270000}"/>
    <cellStyle name="Calculation 14" xfId="10216" xr:uid="{00000000-0005-0000-0000-0000EA270000}"/>
    <cellStyle name="Calculation 14 2" xfId="10217" xr:uid="{00000000-0005-0000-0000-0000EB270000}"/>
    <cellStyle name="Calculation 15" xfId="10218" xr:uid="{00000000-0005-0000-0000-0000EC270000}"/>
    <cellStyle name="Calculation 15 2" xfId="10219" xr:uid="{00000000-0005-0000-0000-0000ED270000}"/>
    <cellStyle name="Calculation 16" xfId="10220" xr:uid="{00000000-0005-0000-0000-0000EE270000}"/>
    <cellStyle name="Calculation 16 2" xfId="10221" xr:uid="{00000000-0005-0000-0000-0000EF270000}"/>
    <cellStyle name="Calculation 17" xfId="10222" xr:uid="{00000000-0005-0000-0000-0000F0270000}"/>
    <cellStyle name="Calculation 17 2" xfId="10223" xr:uid="{00000000-0005-0000-0000-0000F1270000}"/>
    <cellStyle name="Calculation 18" xfId="10224" xr:uid="{00000000-0005-0000-0000-0000F2270000}"/>
    <cellStyle name="Calculation 18 2" xfId="10225" xr:uid="{00000000-0005-0000-0000-0000F3270000}"/>
    <cellStyle name="Calculation 19" xfId="10226" xr:uid="{00000000-0005-0000-0000-0000F4270000}"/>
    <cellStyle name="Calculation 19 2" xfId="10227" xr:uid="{00000000-0005-0000-0000-0000F5270000}"/>
    <cellStyle name="Calculation 2" xfId="10228" xr:uid="{00000000-0005-0000-0000-0000F6270000}"/>
    <cellStyle name="Calculation 2 10" xfId="10229" xr:uid="{00000000-0005-0000-0000-0000F7270000}"/>
    <cellStyle name="Calculation 2 10 2" xfId="10230" xr:uid="{00000000-0005-0000-0000-0000F8270000}"/>
    <cellStyle name="Calculation 2 11" xfId="10231" xr:uid="{00000000-0005-0000-0000-0000F9270000}"/>
    <cellStyle name="Calculation 2 11 2" xfId="10232" xr:uid="{00000000-0005-0000-0000-0000FA270000}"/>
    <cellStyle name="Calculation 2 12" xfId="10233" xr:uid="{00000000-0005-0000-0000-0000FB270000}"/>
    <cellStyle name="Calculation 2 12 2" xfId="10234" xr:uid="{00000000-0005-0000-0000-0000FC270000}"/>
    <cellStyle name="Calculation 2 13" xfId="10235" xr:uid="{00000000-0005-0000-0000-0000FD270000}"/>
    <cellStyle name="Calculation 2 13 2" xfId="10236" xr:uid="{00000000-0005-0000-0000-0000FE270000}"/>
    <cellStyle name="Calculation 2 14" xfId="10237" xr:uid="{00000000-0005-0000-0000-0000FF270000}"/>
    <cellStyle name="Calculation 2 14 2" xfId="10238" xr:uid="{00000000-0005-0000-0000-000000280000}"/>
    <cellStyle name="Calculation 2 15" xfId="10239" xr:uid="{00000000-0005-0000-0000-000001280000}"/>
    <cellStyle name="Calculation 2 15 2" xfId="10240" xr:uid="{00000000-0005-0000-0000-000002280000}"/>
    <cellStyle name="Calculation 2 16" xfId="10241" xr:uid="{00000000-0005-0000-0000-000003280000}"/>
    <cellStyle name="Calculation 2 16 2" xfId="10242" xr:uid="{00000000-0005-0000-0000-000004280000}"/>
    <cellStyle name="Calculation 2 17" xfId="10243" xr:uid="{00000000-0005-0000-0000-000005280000}"/>
    <cellStyle name="Calculation 2 17 2" xfId="10244" xr:uid="{00000000-0005-0000-0000-000006280000}"/>
    <cellStyle name="Calculation 2 18" xfId="10245" xr:uid="{00000000-0005-0000-0000-000007280000}"/>
    <cellStyle name="Calculation 2 18 2" xfId="10246" xr:uid="{00000000-0005-0000-0000-000008280000}"/>
    <cellStyle name="Calculation 2 19" xfId="10247" xr:uid="{00000000-0005-0000-0000-000009280000}"/>
    <cellStyle name="Calculation 2 19 2" xfId="10248" xr:uid="{00000000-0005-0000-0000-00000A280000}"/>
    <cellStyle name="Calculation 2 2" xfId="10249" xr:uid="{00000000-0005-0000-0000-00000B280000}"/>
    <cellStyle name="Calculation 2 2 10" xfId="10250" xr:uid="{00000000-0005-0000-0000-00000C280000}"/>
    <cellStyle name="Calculation 2 2 11" xfId="10251" xr:uid="{00000000-0005-0000-0000-00000D280000}"/>
    <cellStyle name="Calculation 2 2 12" xfId="10252" xr:uid="{00000000-0005-0000-0000-00000E280000}"/>
    <cellStyle name="Calculation 2 2 13" xfId="10253" xr:uid="{00000000-0005-0000-0000-00000F280000}"/>
    <cellStyle name="Calculation 2 2 14" xfId="10254" xr:uid="{00000000-0005-0000-0000-000010280000}"/>
    <cellStyle name="Calculation 2 2 15" xfId="10255" xr:uid="{00000000-0005-0000-0000-000011280000}"/>
    <cellStyle name="Calculation 2 2 16" xfId="10256" xr:uid="{00000000-0005-0000-0000-000012280000}"/>
    <cellStyle name="Calculation 2 2 17" xfId="10257" xr:uid="{00000000-0005-0000-0000-000013280000}"/>
    <cellStyle name="Calculation 2 2 18" xfId="10258" xr:uid="{00000000-0005-0000-0000-000014280000}"/>
    <cellStyle name="Calculation 2 2 19" xfId="10259" xr:uid="{00000000-0005-0000-0000-000015280000}"/>
    <cellStyle name="Calculation 2 2 2" xfId="10260" xr:uid="{00000000-0005-0000-0000-000016280000}"/>
    <cellStyle name="Calculation 2 2 2 2" xfId="10261" xr:uid="{00000000-0005-0000-0000-000017280000}"/>
    <cellStyle name="Calculation 2 2 20" xfId="10262" xr:uid="{00000000-0005-0000-0000-000018280000}"/>
    <cellStyle name="Calculation 2 2 21" xfId="10263" xr:uid="{00000000-0005-0000-0000-000019280000}"/>
    <cellStyle name="Calculation 2 2 22" xfId="10264" xr:uid="{00000000-0005-0000-0000-00001A280000}"/>
    <cellStyle name="Calculation 2 2 23" xfId="10265" xr:uid="{00000000-0005-0000-0000-00001B280000}"/>
    <cellStyle name="Calculation 2 2 24" xfId="10266" xr:uid="{00000000-0005-0000-0000-00001C280000}"/>
    <cellStyle name="Calculation 2 2 25" xfId="10267" xr:uid="{00000000-0005-0000-0000-00001D280000}"/>
    <cellStyle name="Calculation 2 2 26" xfId="10268" xr:uid="{00000000-0005-0000-0000-00001E280000}"/>
    <cellStyle name="Calculation 2 2 27" xfId="10269" xr:uid="{00000000-0005-0000-0000-00001F280000}"/>
    <cellStyle name="Calculation 2 2 28" xfId="10270" xr:uid="{00000000-0005-0000-0000-000020280000}"/>
    <cellStyle name="Calculation 2 2 29" xfId="10271" xr:uid="{00000000-0005-0000-0000-000021280000}"/>
    <cellStyle name="Calculation 2 2 3" xfId="10272" xr:uid="{00000000-0005-0000-0000-000022280000}"/>
    <cellStyle name="Calculation 2 2 3 10" xfId="10273" xr:uid="{00000000-0005-0000-0000-000023280000}"/>
    <cellStyle name="Calculation 2 2 3 11" xfId="10274" xr:uid="{00000000-0005-0000-0000-000024280000}"/>
    <cellStyle name="Calculation 2 2 3 12" xfId="10275" xr:uid="{00000000-0005-0000-0000-000025280000}"/>
    <cellStyle name="Calculation 2 2 3 13" xfId="10276" xr:uid="{00000000-0005-0000-0000-000026280000}"/>
    <cellStyle name="Calculation 2 2 3 14" xfId="10277" xr:uid="{00000000-0005-0000-0000-000027280000}"/>
    <cellStyle name="Calculation 2 2 3 15" xfId="10278" xr:uid="{00000000-0005-0000-0000-000028280000}"/>
    <cellStyle name="Calculation 2 2 3 16" xfId="10279" xr:uid="{00000000-0005-0000-0000-000029280000}"/>
    <cellStyle name="Calculation 2 2 3 17" xfId="10280" xr:uid="{00000000-0005-0000-0000-00002A280000}"/>
    <cellStyle name="Calculation 2 2 3 18" xfId="10281" xr:uid="{00000000-0005-0000-0000-00002B280000}"/>
    <cellStyle name="Calculation 2 2 3 19" xfId="10282" xr:uid="{00000000-0005-0000-0000-00002C280000}"/>
    <cellStyle name="Calculation 2 2 3 2" xfId="10283" xr:uid="{00000000-0005-0000-0000-00002D280000}"/>
    <cellStyle name="Calculation 2 2 3 2 10" xfId="10284" xr:uid="{00000000-0005-0000-0000-00002E280000}"/>
    <cellStyle name="Calculation 2 2 3 2 11" xfId="10285" xr:uid="{00000000-0005-0000-0000-00002F280000}"/>
    <cellStyle name="Calculation 2 2 3 2 12" xfId="10286" xr:uid="{00000000-0005-0000-0000-000030280000}"/>
    <cellStyle name="Calculation 2 2 3 2 13" xfId="10287" xr:uid="{00000000-0005-0000-0000-000031280000}"/>
    <cellStyle name="Calculation 2 2 3 2 14" xfId="10288" xr:uid="{00000000-0005-0000-0000-000032280000}"/>
    <cellStyle name="Calculation 2 2 3 2 15" xfId="10289" xr:uid="{00000000-0005-0000-0000-000033280000}"/>
    <cellStyle name="Calculation 2 2 3 2 16" xfId="10290" xr:uid="{00000000-0005-0000-0000-000034280000}"/>
    <cellStyle name="Calculation 2 2 3 2 17" xfId="10291" xr:uid="{00000000-0005-0000-0000-000035280000}"/>
    <cellStyle name="Calculation 2 2 3 2 18" xfId="10292" xr:uid="{00000000-0005-0000-0000-000036280000}"/>
    <cellStyle name="Calculation 2 2 3 2 19" xfId="10293" xr:uid="{00000000-0005-0000-0000-000037280000}"/>
    <cellStyle name="Calculation 2 2 3 2 2" xfId="10294" xr:uid="{00000000-0005-0000-0000-000038280000}"/>
    <cellStyle name="Calculation 2 2 3 2 2 2" xfId="10295" xr:uid="{00000000-0005-0000-0000-000039280000}"/>
    <cellStyle name="Calculation 2 2 3 2 2 2 2" xfId="10296" xr:uid="{00000000-0005-0000-0000-00003A280000}"/>
    <cellStyle name="Calculation 2 2 3 2 2 2 3" xfId="10297" xr:uid="{00000000-0005-0000-0000-00003B280000}"/>
    <cellStyle name="Calculation 2 2 3 2 2 3" xfId="10298" xr:uid="{00000000-0005-0000-0000-00003C280000}"/>
    <cellStyle name="Calculation 2 2 3 2 2 3 2" xfId="10299" xr:uid="{00000000-0005-0000-0000-00003D280000}"/>
    <cellStyle name="Calculation 2 2 3 2 2 3 3" xfId="10300" xr:uid="{00000000-0005-0000-0000-00003E280000}"/>
    <cellStyle name="Calculation 2 2 3 2 2 4" xfId="10301" xr:uid="{00000000-0005-0000-0000-00003F280000}"/>
    <cellStyle name="Calculation 2 2 3 2 2 5" xfId="10302" xr:uid="{00000000-0005-0000-0000-000040280000}"/>
    <cellStyle name="Calculation 2 2 3 2 20" xfId="10303" xr:uid="{00000000-0005-0000-0000-000041280000}"/>
    <cellStyle name="Calculation 2 2 3 2 21" xfId="10304" xr:uid="{00000000-0005-0000-0000-000042280000}"/>
    <cellStyle name="Calculation 2 2 3 2 22" xfId="10305" xr:uid="{00000000-0005-0000-0000-000043280000}"/>
    <cellStyle name="Calculation 2 2 3 2 23" xfId="10306" xr:uid="{00000000-0005-0000-0000-000044280000}"/>
    <cellStyle name="Calculation 2 2 3 2 24" xfId="10307" xr:uid="{00000000-0005-0000-0000-000045280000}"/>
    <cellStyle name="Calculation 2 2 3 2 25" xfId="10308" xr:uid="{00000000-0005-0000-0000-000046280000}"/>
    <cellStyle name="Calculation 2 2 3 2 26" xfId="10309" xr:uid="{00000000-0005-0000-0000-000047280000}"/>
    <cellStyle name="Calculation 2 2 3 2 27" xfId="10310" xr:uid="{00000000-0005-0000-0000-000048280000}"/>
    <cellStyle name="Calculation 2 2 3 2 28" xfId="10311" xr:uid="{00000000-0005-0000-0000-000049280000}"/>
    <cellStyle name="Calculation 2 2 3 2 29" xfId="10312" xr:uid="{00000000-0005-0000-0000-00004A280000}"/>
    <cellStyle name="Calculation 2 2 3 2 3" xfId="10313" xr:uid="{00000000-0005-0000-0000-00004B280000}"/>
    <cellStyle name="Calculation 2 2 3 2 3 2" xfId="10314" xr:uid="{00000000-0005-0000-0000-00004C280000}"/>
    <cellStyle name="Calculation 2 2 3 2 3 2 2" xfId="10315" xr:uid="{00000000-0005-0000-0000-00004D280000}"/>
    <cellStyle name="Calculation 2 2 3 2 3 2 3" xfId="10316" xr:uid="{00000000-0005-0000-0000-00004E280000}"/>
    <cellStyle name="Calculation 2 2 3 2 3 3" xfId="10317" xr:uid="{00000000-0005-0000-0000-00004F280000}"/>
    <cellStyle name="Calculation 2 2 3 2 3 3 2" xfId="10318" xr:uid="{00000000-0005-0000-0000-000050280000}"/>
    <cellStyle name="Calculation 2 2 3 2 3 3 3" xfId="10319" xr:uid="{00000000-0005-0000-0000-000051280000}"/>
    <cellStyle name="Calculation 2 2 3 2 3 4" xfId="10320" xr:uid="{00000000-0005-0000-0000-000052280000}"/>
    <cellStyle name="Calculation 2 2 3 2 3 5" xfId="10321" xr:uid="{00000000-0005-0000-0000-000053280000}"/>
    <cellStyle name="Calculation 2 2 3 2 30" xfId="10322" xr:uid="{00000000-0005-0000-0000-000054280000}"/>
    <cellStyle name="Calculation 2 2 3 2 31" xfId="10323" xr:uid="{00000000-0005-0000-0000-000055280000}"/>
    <cellStyle name="Calculation 2 2 3 2 32" xfId="10324" xr:uid="{00000000-0005-0000-0000-000056280000}"/>
    <cellStyle name="Calculation 2 2 3 2 33" xfId="10325" xr:uid="{00000000-0005-0000-0000-000057280000}"/>
    <cellStyle name="Calculation 2 2 3 2 34" xfId="10326" xr:uid="{00000000-0005-0000-0000-000058280000}"/>
    <cellStyle name="Calculation 2 2 3 2 4" xfId="10327" xr:uid="{00000000-0005-0000-0000-000059280000}"/>
    <cellStyle name="Calculation 2 2 3 2 4 2" xfId="10328" xr:uid="{00000000-0005-0000-0000-00005A280000}"/>
    <cellStyle name="Calculation 2 2 3 2 4 3" xfId="10329" xr:uid="{00000000-0005-0000-0000-00005B280000}"/>
    <cellStyle name="Calculation 2 2 3 2 5" xfId="10330" xr:uid="{00000000-0005-0000-0000-00005C280000}"/>
    <cellStyle name="Calculation 2 2 3 2 5 2" xfId="10331" xr:uid="{00000000-0005-0000-0000-00005D280000}"/>
    <cellStyle name="Calculation 2 2 3 2 5 3" xfId="10332" xr:uid="{00000000-0005-0000-0000-00005E280000}"/>
    <cellStyle name="Calculation 2 2 3 2 6" xfId="10333" xr:uid="{00000000-0005-0000-0000-00005F280000}"/>
    <cellStyle name="Calculation 2 2 3 2 7" xfId="10334" xr:uid="{00000000-0005-0000-0000-000060280000}"/>
    <cellStyle name="Calculation 2 2 3 2 8" xfId="10335" xr:uid="{00000000-0005-0000-0000-000061280000}"/>
    <cellStyle name="Calculation 2 2 3 2 9" xfId="10336" xr:uid="{00000000-0005-0000-0000-000062280000}"/>
    <cellStyle name="Calculation 2 2 3 20" xfId="10337" xr:uid="{00000000-0005-0000-0000-000063280000}"/>
    <cellStyle name="Calculation 2 2 3 21" xfId="10338" xr:uid="{00000000-0005-0000-0000-000064280000}"/>
    <cellStyle name="Calculation 2 2 3 22" xfId="10339" xr:uid="{00000000-0005-0000-0000-000065280000}"/>
    <cellStyle name="Calculation 2 2 3 23" xfId="10340" xr:uid="{00000000-0005-0000-0000-000066280000}"/>
    <cellStyle name="Calculation 2 2 3 24" xfId="10341" xr:uid="{00000000-0005-0000-0000-000067280000}"/>
    <cellStyle name="Calculation 2 2 3 25" xfId="10342" xr:uid="{00000000-0005-0000-0000-000068280000}"/>
    <cellStyle name="Calculation 2 2 3 26" xfId="10343" xr:uid="{00000000-0005-0000-0000-000069280000}"/>
    <cellStyle name="Calculation 2 2 3 27" xfId="10344" xr:uid="{00000000-0005-0000-0000-00006A280000}"/>
    <cellStyle name="Calculation 2 2 3 28" xfId="10345" xr:uid="{00000000-0005-0000-0000-00006B280000}"/>
    <cellStyle name="Calculation 2 2 3 29" xfId="10346" xr:uid="{00000000-0005-0000-0000-00006C280000}"/>
    <cellStyle name="Calculation 2 2 3 3" xfId="10347" xr:uid="{00000000-0005-0000-0000-00006D280000}"/>
    <cellStyle name="Calculation 2 2 3 3 2" xfId="10348" xr:uid="{00000000-0005-0000-0000-00006E280000}"/>
    <cellStyle name="Calculation 2 2 3 3 2 2" xfId="10349" xr:uid="{00000000-0005-0000-0000-00006F280000}"/>
    <cellStyle name="Calculation 2 2 3 3 2 3" xfId="10350" xr:uid="{00000000-0005-0000-0000-000070280000}"/>
    <cellStyle name="Calculation 2 2 3 3 3" xfId="10351" xr:uid="{00000000-0005-0000-0000-000071280000}"/>
    <cellStyle name="Calculation 2 2 3 3 3 2" xfId="10352" xr:uid="{00000000-0005-0000-0000-000072280000}"/>
    <cellStyle name="Calculation 2 2 3 3 3 3" xfId="10353" xr:uid="{00000000-0005-0000-0000-000073280000}"/>
    <cellStyle name="Calculation 2 2 3 3 4" xfId="10354" xr:uid="{00000000-0005-0000-0000-000074280000}"/>
    <cellStyle name="Calculation 2 2 3 3 5" xfId="10355" xr:uid="{00000000-0005-0000-0000-000075280000}"/>
    <cellStyle name="Calculation 2 2 3 30" xfId="10356" xr:uid="{00000000-0005-0000-0000-000076280000}"/>
    <cellStyle name="Calculation 2 2 3 31" xfId="10357" xr:uid="{00000000-0005-0000-0000-000077280000}"/>
    <cellStyle name="Calculation 2 2 3 32" xfId="10358" xr:uid="{00000000-0005-0000-0000-000078280000}"/>
    <cellStyle name="Calculation 2 2 3 4" xfId="10359" xr:uid="{00000000-0005-0000-0000-000079280000}"/>
    <cellStyle name="Calculation 2 2 3 4 2" xfId="10360" xr:uid="{00000000-0005-0000-0000-00007A280000}"/>
    <cellStyle name="Calculation 2 2 3 4 3" xfId="10361" xr:uid="{00000000-0005-0000-0000-00007B280000}"/>
    <cellStyle name="Calculation 2 2 3 5" xfId="10362" xr:uid="{00000000-0005-0000-0000-00007C280000}"/>
    <cellStyle name="Calculation 2 2 3 5 2" xfId="10363" xr:uid="{00000000-0005-0000-0000-00007D280000}"/>
    <cellStyle name="Calculation 2 2 3 5 3" xfId="10364" xr:uid="{00000000-0005-0000-0000-00007E280000}"/>
    <cellStyle name="Calculation 2 2 3 6" xfId="10365" xr:uid="{00000000-0005-0000-0000-00007F280000}"/>
    <cellStyle name="Calculation 2 2 3 7" xfId="10366" xr:uid="{00000000-0005-0000-0000-000080280000}"/>
    <cellStyle name="Calculation 2 2 3 8" xfId="10367" xr:uid="{00000000-0005-0000-0000-000081280000}"/>
    <cellStyle name="Calculation 2 2 3 9" xfId="10368" xr:uid="{00000000-0005-0000-0000-000082280000}"/>
    <cellStyle name="Calculation 2 2 30" xfId="10369" xr:uid="{00000000-0005-0000-0000-000083280000}"/>
    <cellStyle name="Calculation 2 2 31" xfId="10370" xr:uid="{00000000-0005-0000-0000-000084280000}"/>
    <cellStyle name="Calculation 2 2 32" xfId="10371" xr:uid="{00000000-0005-0000-0000-000085280000}"/>
    <cellStyle name="Calculation 2 2 33" xfId="10372" xr:uid="{00000000-0005-0000-0000-000086280000}"/>
    <cellStyle name="Calculation 2 2 34" xfId="10373" xr:uid="{00000000-0005-0000-0000-000087280000}"/>
    <cellStyle name="Calculation 2 2 4" xfId="10374" xr:uid="{00000000-0005-0000-0000-000088280000}"/>
    <cellStyle name="Calculation 2 2 4 10" xfId="10375" xr:uid="{00000000-0005-0000-0000-000089280000}"/>
    <cellStyle name="Calculation 2 2 4 11" xfId="10376" xr:uid="{00000000-0005-0000-0000-00008A280000}"/>
    <cellStyle name="Calculation 2 2 4 12" xfId="10377" xr:uid="{00000000-0005-0000-0000-00008B280000}"/>
    <cellStyle name="Calculation 2 2 4 13" xfId="10378" xr:uid="{00000000-0005-0000-0000-00008C280000}"/>
    <cellStyle name="Calculation 2 2 4 14" xfId="10379" xr:uid="{00000000-0005-0000-0000-00008D280000}"/>
    <cellStyle name="Calculation 2 2 4 15" xfId="10380" xr:uid="{00000000-0005-0000-0000-00008E280000}"/>
    <cellStyle name="Calculation 2 2 4 16" xfId="10381" xr:uid="{00000000-0005-0000-0000-00008F280000}"/>
    <cellStyle name="Calculation 2 2 4 17" xfId="10382" xr:uid="{00000000-0005-0000-0000-000090280000}"/>
    <cellStyle name="Calculation 2 2 4 18" xfId="10383" xr:uid="{00000000-0005-0000-0000-000091280000}"/>
    <cellStyle name="Calculation 2 2 4 19" xfId="10384" xr:uid="{00000000-0005-0000-0000-000092280000}"/>
    <cellStyle name="Calculation 2 2 4 2" xfId="10385" xr:uid="{00000000-0005-0000-0000-000093280000}"/>
    <cellStyle name="Calculation 2 2 4 2 2" xfId="10386" xr:uid="{00000000-0005-0000-0000-000094280000}"/>
    <cellStyle name="Calculation 2 2 4 2 2 2" xfId="10387" xr:uid="{00000000-0005-0000-0000-000095280000}"/>
    <cellStyle name="Calculation 2 2 4 2 2 3" xfId="10388" xr:uid="{00000000-0005-0000-0000-000096280000}"/>
    <cellStyle name="Calculation 2 2 4 2 3" xfId="10389" xr:uid="{00000000-0005-0000-0000-000097280000}"/>
    <cellStyle name="Calculation 2 2 4 2 3 2" xfId="10390" xr:uid="{00000000-0005-0000-0000-000098280000}"/>
    <cellStyle name="Calculation 2 2 4 2 3 3" xfId="10391" xr:uid="{00000000-0005-0000-0000-000099280000}"/>
    <cellStyle name="Calculation 2 2 4 2 4" xfId="10392" xr:uid="{00000000-0005-0000-0000-00009A280000}"/>
    <cellStyle name="Calculation 2 2 4 2 5" xfId="10393" xr:uid="{00000000-0005-0000-0000-00009B280000}"/>
    <cellStyle name="Calculation 2 2 4 20" xfId="10394" xr:uid="{00000000-0005-0000-0000-00009C280000}"/>
    <cellStyle name="Calculation 2 2 4 21" xfId="10395" xr:uid="{00000000-0005-0000-0000-00009D280000}"/>
    <cellStyle name="Calculation 2 2 4 22" xfId="10396" xr:uid="{00000000-0005-0000-0000-00009E280000}"/>
    <cellStyle name="Calculation 2 2 4 23" xfId="10397" xr:uid="{00000000-0005-0000-0000-00009F280000}"/>
    <cellStyle name="Calculation 2 2 4 24" xfId="10398" xr:uid="{00000000-0005-0000-0000-0000A0280000}"/>
    <cellStyle name="Calculation 2 2 4 25" xfId="10399" xr:uid="{00000000-0005-0000-0000-0000A1280000}"/>
    <cellStyle name="Calculation 2 2 4 26" xfId="10400" xr:uid="{00000000-0005-0000-0000-0000A2280000}"/>
    <cellStyle name="Calculation 2 2 4 27" xfId="10401" xr:uid="{00000000-0005-0000-0000-0000A3280000}"/>
    <cellStyle name="Calculation 2 2 4 28" xfId="10402" xr:uid="{00000000-0005-0000-0000-0000A4280000}"/>
    <cellStyle name="Calculation 2 2 4 29" xfId="10403" xr:uid="{00000000-0005-0000-0000-0000A5280000}"/>
    <cellStyle name="Calculation 2 2 4 3" xfId="10404" xr:uid="{00000000-0005-0000-0000-0000A6280000}"/>
    <cellStyle name="Calculation 2 2 4 3 2" xfId="10405" xr:uid="{00000000-0005-0000-0000-0000A7280000}"/>
    <cellStyle name="Calculation 2 2 4 3 2 2" xfId="10406" xr:uid="{00000000-0005-0000-0000-0000A8280000}"/>
    <cellStyle name="Calculation 2 2 4 3 2 3" xfId="10407" xr:uid="{00000000-0005-0000-0000-0000A9280000}"/>
    <cellStyle name="Calculation 2 2 4 3 3" xfId="10408" xr:uid="{00000000-0005-0000-0000-0000AA280000}"/>
    <cellStyle name="Calculation 2 2 4 3 3 2" xfId="10409" xr:uid="{00000000-0005-0000-0000-0000AB280000}"/>
    <cellStyle name="Calculation 2 2 4 3 3 3" xfId="10410" xr:uid="{00000000-0005-0000-0000-0000AC280000}"/>
    <cellStyle name="Calculation 2 2 4 3 4" xfId="10411" xr:uid="{00000000-0005-0000-0000-0000AD280000}"/>
    <cellStyle name="Calculation 2 2 4 3 5" xfId="10412" xr:uid="{00000000-0005-0000-0000-0000AE280000}"/>
    <cellStyle name="Calculation 2 2 4 30" xfId="10413" xr:uid="{00000000-0005-0000-0000-0000AF280000}"/>
    <cellStyle name="Calculation 2 2 4 31" xfId="10414" xr:uid="{00000000-0005-0000-0000-0000B0280000}"/>
    <cellStyle name="Calculation 2 2 4 32" xfId="10415" xr:uid="{00000000-0005-0000-0000-0000B1280000}"/>
    <cellStyle name="Calculation 2 2 4 33" xfId="10416" xr:uid="{00000000-0005-0000-0000-0000B2280000}"/>
    <cellStyle name="Calculation 2 2 4 34" xfId="10417" xr:uid="{00000000-0005-0000-0000-0000B3280000}"/>
    <cellStyle name="Calculation 2 2 4 4" xfId="10418" xr:uid="{00000000-0005-0000-0000-0000B4280000}"/>
    <cellStyle name="Calculation 2 2 4 4 2" xfId="10419" xr:uid="{00000000-0005-0000-0000-0000B5280000}"/>
    <cellStyle name="Calculation 2 2 4 4 3" xfId="10420" xr:uid="{00000000-0005-0000-0000-0000B6280000}"/>
    <cellStyle name="Calculation 2 2 4 5" xfId="10421" xr:uid="{00000000-0005-0000-0000-0000B7280000}"/>
    <cellStyle name="Calculation 2 2 4 5 2" xfId="10422" xr:uid="{00000000-0005-0000-0000-0000B8280000}"/>
    <cellStyle name="Calculation 2 2 4 5 3" xfId="10423" xr:uid="{00000000-0005-0000-0000-0000B9280000}"/>
    <cellStyle name="Calculation 2 2 4 6" xfId="10424" xr:uid="{00000000-0005-0000-0000-0000BA280000}"/>
    <cellStyle name="Calculation 2 2 4 7" xfId="10425" xr:uid="{00000000-0005-0000-0000-0000BB280000}"/>
    <cellStyle name="Calculation 2 2 4 8" xfId="10426" xr:uid="{00000000-0005-0000-0000-0000BC280000}"/>
    <cellStyle name="Calculation 2 2 4 9" xfId="10427" xr:uid="{00000000-0005-0000-0000-0000BD280000}"/>
    <cellStyle name="Calculation 2 2 5" xfId="10428" xr:uid="{00000000-0005-0000-0000-0000BE280000}"/>
    <cellStyle name="Calculation 2 2 5 2" xfId="10429" xr:uid="{00000000-0005-0000-0000-0000BF280000}"/>
    <cellStyle name="Calculation 2 2 5 2 2" xfId="10430" xr:uid="{00000000-0005-0000-0000-0000C0280000}"/>
    <cellStyle name="Calculation 2 2 5 2 3" xfId="10431" xr:uid="{00000000-0005-0000-0000-0000C1280000}"/>
    <cellStyle name="Calculation 2 2 5 3" xfId="10432" xr:uid="{00000000-0005-0000-0000-0000C2280000}"/>
    <cellStyle name="Calculation 2 2 5 3 2" xfId="10433" xr:uid="{00000000-0005-0000-0000-0000C3280000}"/>
    <cellStyle name="Calculation 2 2 5 3 3" xfId="10434" xr:uid="{00000000-0005-0000-0000-0000C4280000}"/>
    <cellStyle name="Calculation 2 2 5 4" xfId="10435" xr:uid="{00000000-0005-0000-0000-0000C5280000}"/>
    <cellStyle name="Calculation 2 2 5 5" xfId="10436" xr:uid="{00000000-0005-0000-0000-0000C6280000}"/>
    <cellStyle name="Calculation 2 2 6" xfId="10437" xr:uid="{00000000-0005-0000-0000-0000C7280000}"/>
    <cellStyle name="Calculation 2 2 6 2" xfId="10438" xr:uid="{00000000-0005-0000-0000-0000C8280000}"/>
    <cellStyle name="Calculation 2 2 6 3" xfId="10439" xr:uid="{00000000-0005-0000-0000-0000C9280000}"/>
    <cellStyle name="Calculation 2 2 7" xfId="10440" xr:uid="{00000000-0005-0000-0000-0000CA280000}"/>
    <cellStyle name="Calculation 2 2 7 2" xfId="10441" xr:uid="{00000000-0005-0000-0000-0000CB280000}"/>
    <cellStyle name="Calculation 2 2 7 3" xfId="10442" xr:uid="{00000000-0005-0000-0000-0000CC280000}"/>
    <cellStyle name="Calculation 2 2 8" xfId="10443" xr:uid="{00000000-0005-0000-0000-0000CD280000}"/>
    <cellStyle name="Calculation 2 2 9" xfId="10444" xr:uid="{00000000-0005-0000-0000-0000CE280000}"/>
    <cellStyle name="Calculation 2 20" xfId="10445" xr:uid="{00000000-0005-0000-0000-0000CF280000}"/>
    <cellStyle name="Calculation 2 20 10" xfId="10446" xr:uid="{00000000-0005-0000-0000-0000D0280000}"/>
    <cellStyle name="Calculation 2 20 11" xfId="10447" xr:uid="{00000000-0005-0000-0000-0000D1280000}"/>
    <cellStyle name="Calculation 2 20 12" xfId="10448" xr:uid="{00000000-0005-0000-0000-0000D2280000}"/>
    <cellStyle name="Calculation 2 20 13" xfId="10449" xr:uid="{00000000-0005-0000-0000-0000D3280000}"/>
    <cellStyle name="Calculation 2 20 14" xfId="10450" xr:uid="{00000000-0005-0000-0000-0000D4280000}"/>
    <cellStyle name="Calculation 2 20 15" xfId="10451" xr:uid="{00000000-0005-0000-0000-0000D5280000}"/>
    <cellStyle name="Calculation 2 20 16" xfId="10452" xr:uid="{00000000-0005-0000-0000-0000D6280000}"/>
    <cellStyle name="Calculation 2 20 17" xfId="10453" xr:uid="{00000000-0005-0000-0000-0000D7280000}"/>
    <cellStyle name="Calculation 2 20 18" xfId="10454" xr:uid="{00000000-0005-0000-0000-0000D8280000}"/>
    <cellStyle name="Calculation 2 20 19" xfId="10455" xr:uid="{00000000-0005-0000-0000-0000D9280000}"/>
    <cellStyle name="Calculation 2 20 2" xfId="10456" xr:uid="{00000000-0005-0000-0000-0000DA280000}"/>
    <cellStyle name="Calculation 2 20 2 10" xfId="10457" xr:uid="{00000000-0005-0000-0000-0000DB280000}"/>
    <cellStyle name="Calculation 2 20 2 11" xfId="10458" xr:uid="{00000000-0005-0000-0000-0000DC280000}"/>
    <cellStyle name="Calculation 2 20 2 12" xfId="10459" xr:uid="{00000000-0005-0000-0000-0000DD280000}"/>
    <cellStyle name="Calculation 2 20 2 13" xfId="10460" xr:uid="{00000000-0005-0000-0000-0000DE280000}"/>
    <cellStyle name="Calculation 2 20 2 14" xfId="10461" xr:uid="{00000000-0005-0000-0000-0000DF280000}"/>
    <cellStyle name="Calculation 2 20 2 15" xfId="10462" xr:uid="{00000000-0005-0000-0000-0000E0280000}"/>
    <cellStyle name="Calculation 2 20 2 16" xfId="10463" xr:uid="{00000000-0005-0000-0000-0000E1280000}"/>
    <cellStyle name="Calculation 2 20 2 17" xfId="10464" xr:uid="{00000000-0005-0000-0000-0000E2280000}"/>
    <cellStyle name="Calculation 2 20 2 18" xfId="10465" xr:uid="{00000000-0005-0000-0000-0000E3280000}"/>
    <cellStyle name="Calculation 2 20 2 19" xfId="10466" xr:uid="{00000000-0005-0000-0000-0000E4280000}"/>
    <cellStyle name="Calculation 2 20 2 2" xfId="10467" xr:uid="{00000000-0005-0000-0000-0000E5280000}"/>
    <cellStyle name="Calculation 2 20 2 2 2" xfId="10468" xr:uid="{00000000-0005-0000-0000-0000E6280000}"/>
    <cellStyle name="Calculation 2 20 2 2 2 2" xfId="10469" xr:uid="{00000000-0005-0000-0000-0000E7280000}"/>
    <cellStyle name="Calculation 2 20 2 2 2 3" xfId="10470" xr:uid="{00000000-0005-0000-0000-0000E8280000}"/>
    <cellStyle name="Calculation 2 20 2 2 3" xfId="10471" xr:uid="{00000000-0005-0000-0000-0000E9280000}"/>
    <cellStyle name="Calculation 2 20 2 2 3 2" xfId="10472" xr:uid="{00000000-0005-0000-0000-0000EA280000}"/>
    <cellStyle name="Calculation 2 20 2 2 3 3" xfId="10473" xr:uid="{00000000-0005-0000-0000-0000EB280000}"/>
    <cellStyle name="Calculation 2 20 2 2 4" xfId="10474" xr:uid="{00000000-0005-0000-0000-0000EC280000}"/>
    <cellStyle name="Calculation 2 20 2 2 5" xfId="10475" xr:uid="{00000000-0005-0000-0000-0000ED280000}"/>
    <cellStyle name="Calculation 2 20 2 20" xfId="10476" xr:uid="{00000000-0005-0000-0000-0000EE280000}"/>
    <cellStyle name="Calculation 2 20 2 21" xfId="10477" xr:uid="{00000000-0005-0000-0000-0000EF280000}"/>
    <cellStyle name="Calculation 2 20 2 22" xfId="10478" xr:uid="{00000000-0005-0000-0000-0000F0280000}"/>
    <cellStyle name="Calculation 2 20 2 23" xfId="10479" xr:uid="{00000000-0005-0000-0000-0000F1280000}"/>
    <cellStyle name="Calculation 2 20 2 24" xfId="10480" xr:uid="{00000000-0005-0000-0000-0000F2280000}"/>
    <cellStyle name="Calculation 2 20 2 25" xfId="10481" xr:uid="{00000000-0005-0000-0000-0000F3280000}"/>
    <cellStyle name="Calculation 2 20 2 26" xfId="10482" xr:uid="{00000000-0005-0000-0000-0000F4280000}"/>
    <cellStyle name="Calculation 2 20 2 27" xfId="10483" xr:uid="{00000000-0005-0000-0000-0000F5280000}"/>
    <cellStyle name="Calculation 2 20 2 28" xfId="10484" xr:uid="{00000000-0005-0000-0000-0000F6280000}"/>
    <cellStyle name="Calculation 2 20 2 29" xfId="10485" xr:uid="{00000000-0005-0000-0000-0000F7280000}"/>
    <cellStyle name="Calculation 2 20 2 3" xfId="10486" xr:uid="{00000000-0005-0000-0000-0000F8280000}"/>
    <cellStyle name="Calculation 2 20 2 3 2" xfId="10487" xr:uid="{00000000-0005-0000-0000-0000F9280000}"/>
    <cellStyle name="Calculation 2 20 2 3 2 2" xfId="10488" xr:uid="{00000000-0005-0000-0000-0000FA280000}"/>
    <cellStyle name="Calculation 2 20 2 3 2 3" xfId="10489" xr:uid="{00000000-0005-0000-0000-0000FB280000}"/>
    <cellStyle name="Calculation 2 20 2 3 3" xfId="10490" xr:uid="{00000000-0005-0000-0000-0000FC280000}"/>
    <cellStyle name="Calculation 2 20 2 3 3 2" xfId="10491" xr:uid="{00000000-0005-0000-0000-0000FD280000}"/>
    <cellStyle name="Calculation 2 20 2 3 3 3" xfId="10492" xr:uid="{00000000-0005-0000-0000-0000FE280000}"/>
    <cellStyle name="Calculation 2 20 2 3 4" xfId="10493" xr:uid="{00000000-0005-0000-0000-0000FF280000}"/>
    <cellStyle name="Calculation 2 20 2 3 5" xfId="10494" xr:uid="{00000000-0005-0000-0000-000000290000}"/>
    <cellStyle name="Calculation 2 20 2 30" xfId="10495" xr:uid="{00000000-0005-0000-0000-000001290000}"/>
    <cellStyle name="Calculation 2 20 2 31" xfId="10496" xr:uid="{00000000-0005-0000-0000-000002290000}"/>
    <cellStyle name="Calculation 2 20 2 32" xfId="10497" xr:uid="{00000000-0005-0000-0000-000003290000}"/>
    <cellStyle name="Calculation 2 20 2 33" xfId="10498" xr:uid="{00000000-0005-0000-0000-000004290000}"/>
    <cellStyle name="Calculation 2 20 2 34" xfId="10499" xr:uid="{00000000-0005-0000-0000-000005290000}"/>
    <cellStyle name="Calculation 2 20 2 4" xfId="10500" xr:uid="{00000000-0005-0000-0000-000006290000}"/>
    <cellStyle name="Calculation 2 20 2 4 2" xfId="10501" xr:uid="{00000000-0005-0000-0000-000007290000}"/>
    <cellStyle name="Calculation 2 20 2 4 3" xfId="10502" xr:uid="{00000000-0005-0000-0000-000008290000}"/>
    <cellStyle name="Calculation 2 20 2 5" xfId="10503" xr:uid="{00000000-0005-0000-0000-000009290000}"/>
    <cellStyle name="Calculation 2 20 2 5 2" xfId="10504" xr:uid="{00000000-0005-0000-0000-00000A290000}"/>
    <cellStyle name="Calculation 2 20 2 5 3" xfId="10505" xr:uid="{00000000-0005-0000-0000-00000B290000}"/>
    <cellStyle name="Calculation 2 20 2 6" xfId="10506" xr:uid="{00000000-0005-0000-0000-00000C290000}"/>
    <cellStyle name="Calculation 2 20 2 7" xfId="10507" xr:uid="{00000000-0005-0000-0000-00000D290000}"/>
    <cellStyle name="Calculation 2 20 2 8" xfId="10508" xr:uid="{00000000-0005-0000-0000-00000E290000}"/>
    <cellStyle name="Calculation 2 20 2 9" xfId="10509" xr:uid="{00000000-0005-0000-0000-00000F290000}"/>
    <cellStyle name="Calculation 2 20 20" xfId="10510" xr:uid="{00000000-0005-0000-0000-000010290000}"/>
    <cellStyle name="Calculation 2 20 21" xfId="10511" xr:uid="{00000000-0005-0000-0000-000011290000}"/>
    <cellStyle name="Calculation 2 20 22" xfId="10512" xr:uid="{00000000-0005-0000-0000-000012290000}"/>
    <cellStyle name="Calculation 2 20 23" xfId="10513" xr:uid="{00000000-0005-0000-0000-000013290000}"/>
    <cellStyle name="Calculation 2 20 24" xfId="10514" xr:uid="{00000000-0005-0000-0000-000014290000}"/>
    <cellStyle name="Calculation 2 20 25" xfId="10515" xr:uid="{00000000-0005-0000-0000-000015290000}"/>
    <cellStyle name="Calculation 2 20 26" xfId="10516" xr:uid="{00000000-0005-0000-0000-000016290000}"/>
    <cellStyle name="Calculation 2 20 27" xfId="10517" xr:uid="{00000000-0005-0000-0000-000017290000}"/>
    <cellStyle name="Calculation 2 20 28" xfId="10518" xr:uid="{00000000-0005-0000-0000-000018290000}"/>
    <cellStyle name="Calculation 2 20 29" xfId="10519" xr:uid="{00000000-0005-0000-0000-000019290000}"/>
    <cellStyle name="Calculation 2 20 3" xfId="10520" xr:uid="{00000000-0005-0000-0000-00001A290000}"/>
    <cellStyle name="Calculation 2 20 3 2" xfId="10521" xr:uid="{00000000-0005-0000-0000-00001B290000}"/>
    <cellStyle name="Calculation 2 20 3 2 2" xfId="10522" xr:uid="{00000000-0005-0000-0000-00001C290000}"/>
    <cellStyle name="Calculation 2 20 3 2 3" xfId="10523" xr:uid="{00000000-0005-0000-0000-00001D290000}"/>
    <cellStyle name="Calculation 2 20 3 3" xfId="10524" xr:uid="{00000000-0005-0000-0000-00001E290000}"/>
    <cellStyle name="Calculation 2 20 3 3 2" xfId="10525" xr:uid="{00000000-0005-0000-0000-00001F290000}"/>
    <cellStyle name="Calculation 2 20 3 3 3" xfId="10526" xr:uid="{00000000-0005-0000-0000-000020290000}"/>
    <cellStyle name="Calculation 2 20 3 4" xfId="10527" xr:uid="{00000000-0005-0000-0000-000021290000}"/>
    <cellStyle name="Calculation 2 20 3 5" xfId="10528" xr:uid="{00000000-0005-0000-0000-000022290000}"/>
    <cellStyle name="Calculation 2 20 30" xfId="10529" xr:uid="{00000000-0005-0000-0000-000023290000}"/>
    <cellStyle name="Calculation 2 20 31" xfId="10530" xr:uid="{00000000-0005-0000-0000-000024290000}"/>
    <cellStyle name="Calculation 2 20 32" xfId="10531" xr:uid="{00000000-0005-0000-0000-000025290000}"/>
    <cellStyle name="Calculation 2 20 4" xfId="10532" xr:uid="{00000000-0005-0000-0000-000026290000}"/>
    <cellStyle name="Calculation 2 20 4 2" xfId="10533" xr:uid="{00000000-0005-0000-0000-000027290000}"/>
    <cellStyle name="Calculation 2 20 4 3" xfId="10534" xr:uid="{00000000-0005-0000-0000-000028290000}"/>
    <cellStyle name="Calculation 2 20 5" xfId="10535" xr:uid="{00000000-0005-0000-0000-000029290000}"/>
    <cellStyle name="Calculation 2 20 5 2" xfId="10536" xr:uid="{00000000-0005-0000-0000-00002A290000}"/>
    <cellStyle name="Calculation 2 20 5 3" xfId="10537" xr:uid="{00000000-0005-0000-0000-00002B290000}"/>
    <cellStyle name="Calculation 2 20 6" xfId="10538" xr:uid="{00000000-0005-0000-0000-00002C290000}"/>
    <cellStyle name="Calculation 2 20 7" xfId="10539" xr:uid="{00000000-0005-0000-0000-00002D290000}"/>
    <cellStyle name="Calculation 2 20 8" xfId="10540" xr:uid="{00000000-0005-0000-0000-00002E290000}"/>
    <cellStyle name="Calculation 2 20 9" xfId="10541" xr:uid="{00000000-0005-0000-0000-00002F290000}"/>
    <cellStyle name="Calculation 2 21" xfId="10542" xr:uid="{00000000-0005-0000-0000-000030290000}"/>
    <cellStyle name="Calculation 2 21 10" xfId="10543" xr:uid="{00000000-0005-0000-0000-000031290000}"/>
    <cellStyle name="Calculation 2 21 11" xfId="10544" xr:uid="{00000000-0005-0000-0000-000032290000}"/>
    <cellStyle name="Calculation 2 21 12" xfId="10545" xr:uid="{00000000-0005-0000-0000-000033290000}"/>
    <cellStyle name="Calculation 2 21 13" xfId="10546" xr:uid="{00000000-0005-0000-0000-000034290000}"/>
    <cellStyle name="Calculation 2 21 14" xfId="10547" xr:uid="{00000000-0005-0000-0000-000035290000}"/>
    <cellStyle name="Calculation 2 21 15" xfId="10548" xr:uid="{00000000-0005-0000-0000-000036290000}"/>
    <cellStyle name="Calculation 2 21 16" xfId="10549" xr:uid="{00000000-0005-0000-0000-000037290000}"/>
    <cellStyle name="Calculation 2 21 17" xfId="10550" xr:uid="{00000000-0005-0000-0000-000038290000}"/>
    <cellStyle name="Calculation 2 21 18" xfId="10551" xr:uid="{00000000-0005-0000-0000-000039290000}"/>
    <cellStyle name="Calculation 2 21 19" xfId="10552" xr:uid="{00000000-0005-0000-0000-00003A290000}"/>
    <cellStyle name="Calculation 2 21 2" xfId="10553" xr:uid="{00000000-0005-0000-0000-00003B290000}"/>
    <cellStyle name="Calculation 2 21 2 2" xfId="10554" xr:uid="{00000000-0005-0000-0000-00003C290000}"/>
    <cellStyle name="Calculation 2 21 2 2 2" xfId="10555" xr:uid="{00000000-0005-0000-0000-00003D290000}"/>
    <cellStyle name="Calculation 2 21 2 2 3" xfId="10556" xr:uid="{00000000-0005-0000-0000-00003E290000}"/>
    <cellStyle name="Calculation 2 21 2 3" xfId="10557" xr:uid="{00000000-0005-0000-0000-00003F290000}"/>
    <cellStyle name="Calculation 2 21 2 3 2" xfId="10558" xr:uid="{00000000-0005-0000-0000-000040290000}"/>
    <cellStyle name="Calculation 2 21 2 3 3" xfId="10559" xr:uid="{00000000-0005-0000-0000-000041290000}"/>
    <cellStyle name="Calculation 2 21 2 4" xfId="10560" xr:uid="{00000000-0005-0000-0000-000042290000}"/>
    <cellStyle name="Calculation 2 21 2 5" xfId="10561" xr:uid="{00000000-0005-0000-0000-000043290000}"/>
    <cellStyle name="Calculation 2 21 20" xfId="10562" xr:uid="{00000000-0005-0000-0000-000044290000}"/>
    <cellStyle name="Calculation 2 21 21" xfId="10563" xr:uid="{00000000-0005-0000-0000-000045290000}"/>
    <cellStyle name="Calculation 2 21 22" xfId="10564" xr:uid="{00000000-0005-0000-0000-000046290000}"/>
    <cellStyle name="Calculation 2 21 23" xfId="10565" xr:uid="{00000000-0005-0000-0000-000047290000}"/>
    <cellStyle name="Calculation 2 21 24" xfId="10566" xr:uid="{00000000-0005-0000-0000-000048290000}"/>
    <cellStyle name="Calculation 2 21 25" xfId="10567" xr:uid="{00000000-0005-0000-0000-000049290000}"/>
    <cellStyle name="Calculation 2 21 26" xfId="10568" xr:uid="{00000000-0005-0000-0000-00004A290000}"/>
    <cellStyle name="Calculation 2 21 27" xfId="10569" xr:uid="{00000000-0005-0000-0000-00004B290000}"/>
    <cellStyle name="Calculation 2 21 28" xfId="10570" xr:uid="{00000000-0005-0000-0000-00004C290000}"/>
    <cellStyle name="Calculation 2 21 29" xfId="10571" xr:uid="{00000000-0005-0000-0000-00004D290000}"/>
    <cellStyle name="Calculation 2 21 3" xfId="10572" xr:uid="{00000000-0005-0000-0000-00004E290000}"/>
    <cellStyle name="Calculation 2 21 3 2" xfId="10573" xr:uid="{00000000-0005-0000-0000-00004F290000}"/>
    <cellStyle name="Calculation 2 21 3 2 2" xfId="10574" xr:uid="{00000000-0005-0000-0000-000050290000}"/>
    <cellStyle name="Calculation 2 21 3 2 3" xfId="10575" xr:uid="{00000000-0005-0000-0000-000051290000}"/>
    <cellStyle name="Calculation 2 21 3 3" xfId="10576" xr:uid="{00000000-0005-0000-0000-000052290000}"/>
    <cellStyle name="Calculation 2 21 3 3 2" xfId="10577" xr:uid="{00000000-0005-0000-0000-000053290000}"/>
    <cellStyle name="Calculation 2 21 3 3 3" xfId="10578" xr:uid="{00000000-0005-0000-0000-000054290000}"/>
    <cellStyle name="Calculation 2 21 3 4" xfId="10579" xr:uid="{00000000-0005-0000-0000-000055290000}"/>
    <cellStyle name="Calculation 2 21 3 5" xfId="10580" xr:uid="{00000000-0005-0000-0000-000056290000}"/>
    <cellStyle name="Calculation 2 21 30" xfId="10581" xr:uid="{00000000-0005-0000-0000-000057290000}"/>
    <cellStyle name="Calculation 2 21 31" xfId="10582" xr:uid="{00000000-0005-0000-0000-000058290000}"/>
    <cellStyle name="Calculation 2 21 32" xfId="10583" xr:uid="{00000000-0005-0000-0000-000059290000}"/>
    <cellStyle name="Calculation 2 21 33" xfId="10584" xr:uid="{00000000-0005-0000-0000-00005A290000}"/>
    <cellStyle name="Calculation 2 21 34" xfId="10585" xr:uid="{00000000-0005-0000-0000-00005B290000}"/>
    <cellStyle name="Calculation 2 21 4" xfId="10586" xr:uid="{00000000-0005-0000-0000-00005C290000}"/>
    <cellStyle name="Calculation 2 21 4 2" xfId="10587" xr:uid="{00000000-0005-0000-0000-00005D290000}"/>
    <cellStyle name="Calculation 2 21 4 3" xfId="10588" xr:uid="{00000000-0005-0000-0000-00005E290000}"/>
    <cellStyle name="Calculation 2 21 5" xfId="10589" xr:uid="{00000000-0005-0000-0000-00005F290000}"/>
    <cellStyle name="Calculation 2 21 5 2" xfId="10590" xr:uid="{00000000-0005-0000-0000-000060290000}"/>
    <cellStyle name="Calculation 2 21 5 3" xfId="10591" xr:uid="{00000000-0005-0000-0000-000061290000}"/>
    <cellStyle name="Calculation 2 21 6" xfId="10592" xr:uid="{00000000-0005-0000-0000-000062290000}"/>
    <cellStyle name="Calculation 2 21 7" xfId="10593" xr:uid="{00000000-0005-0000-0000-000063290000}"/>
    <cellStyle name="Calculation 2 21 8" xfId="10594" xr:uid="{00000000-0005-0000-0000-000064290000}"/>
    <cellStyle name="Calculation 2 21 9" xfId="10595" xr:uid="{00000000-0005-0000-0000-000065290000}"/>
    <cellStyle name="Calculation 2 22" xfId="10596" xr:uid="{00000000-0005-0000-0000-000066290000}"/>
    <cellStyle name="Calculation 2 22 2" xfId="10597" xr:uid="{00000000-0005-0000-0000-000067290000}"/>
    <cellStyle name="Calculation 2 22 2 2" xfId="10598" xr:uid="{00000000-0005-0000-0000-000068290000}"/>
    <cellStyle name="Calculation 2 22 2 3" xfId="10599" xr:uid="{00000000-0005-0000-0000-000069290000}"/>
    <cellStyle name="Calculation 2 22 3" xfId="10600" xr:uid="{00000000-0005-0000-0000-00006A290000}"/>
    <cellStyle name="Calculation 2 22 3 2" xfId="10601" xr:uid="{00000000-0005-0000-0000-00006B290000}"/>
    <cellStyle name="Calculation 2 22 3 3" xfId="10602" xr:uid="{00000000-0005-0000-0000-00006C290000}"/>
    <cellStyle name="Calculation 2 22 4" xfId="10603" xr:uid="{00000000-0005-0000-0000-00006D290000}"/>
    <cellStyle name="Calculation 2 22 5" xfId="10604" xr:uid="{00000000-0005-0000-0000-00006E290000}"/>
    <cellStyle name="Calculation 2 23" xfId="10605" xr:uid="{00000000-0005-0000-0000-00006F290000}"/>
    <cellStyle name="Calculation 2 23 2" xfId="10606" xr:uid="{00000000-0005-0000-0000-000070290000}"/>
    <cellStyle name="Calculation 2 23 3" xfId="10607" xr:uid="{00000000-0005-0000-0000-000071290000}"/>
    <cellStyle name="Calculation 2 24" xfId="10608" xr:uid="{00000000-0005-0000-0000-000072290000}"/>
    <cellStyle name="Calculation 2 24 2" xfId="10609" xr:uid="{00000000-0005-0000-0000-000073290000}"/>
    <cellStyle name="Calculation 2 24 3" xfId="10610" xr:uid="{00000000-0005-0000-0000-000074290000}"/>
    <cellStyle name="Calculation 2 25" xfId="10611" xr:uid="{00000000-0005-0000-0000-000075290000}"/>
    <cellStyle name="Calculation 2 26" xfId="10612" xr:uid="{00000000-0005-0000-0000-000076290000}"/>
    <cellStyle name="Calculation 2 27" xfId="10613" xr:uid="{00000000-0005-0000-0000-000077290000}"/>
    <cellStyle name="Calculation 2 28" xfId="10614" xr:uid="{00000000-0005-0000-0000-000078290000}"/>
    <cellStyle name="Calculation 2 29" xfId="10615" xr:uid="{00000000-0005-0000-0000-000079290000}"/>
    <cellStyle name="Calculation 2 3" xfId="10616" xr:uid="{00000000-0005-0000-0000-00007A290000}"/>
    <cellStyle name="Calculation 2 3 10" xfId="10617" xr:uid="{00000000-0005-0000-0000-00007B290000}"/>
    <cellStyle name="Calculation 2 3 11" xfId="10618" xr:uid="{00000000-0005-0000-0000-00007C290000}"/>
    <cellStyle name="Calculation 2 3 12" xfId="10619" xr:uid="{00000000-0005-0000-0000-00007D290000}"/>
    <cellStyle name="Calculation 2 3 13" xfId="10620" xr:uid="{00000000-0005-0000-0000-00007E290000}"/>
    <cellStyle name="Calculation 2 3 14" xfId="10621" xr:uid="{00000000-0005-0000-0000-00007F290000}"/>
    <cellStyle name="Calculation 2 3 15" xfId="10622" xr:uid="{00000000-0005-0000-0000-000080290000}"/>
    <cellStyle name="Calculation 2 3 16" xfId="10623" xr:uid="{00000000-0005-0000-0000-000081290000}"/>
    <cellStyle name="Calculation 2 3 17" xfId="10624" xr:uid="{00000000-0005-0000-0000-000082290000}"/>
    <cellStyle name="Calculation 2 3 18" xfId="10625" xr:uid="{00000000-0005-0000-0000-000083290000}"/>
    <cellStyle name="Calculation 2 3 19" xfId="10626" xr:uid="{00000000-0005-0000-0000-000084290000}"/>
    <cellStyle name="Calculation 2 3 2" xfId="10627" xr:uid="{00000000-0005-0000-0000-000085290000}"/>
    <cellStyle name="Calculation 2 3 2 10" xfId="10628" xr:uid="{00000000-0005-0000-0000-000086290000}"/>
    <cellStyle name="Calculation 2 3 2 11" xfId="10629" xr:uid="{00000000-0005-0000-0000-000087290000}"/>
    <cellStyle name="Calculation 2 3 2 12" xfId="10630" xr:uid="{00000000-0005-0000-0000-000088290000}"/>
    <cellStyle name="Calculation 2 3 2 13" xfId="10631" xr:uid="{00000000-0005-0000-0000-000089290000}"/>
    <cellStyle name="Calculation 2 3 2 14" xfId="10632" xr:uid="{00000000-0005-0000-0000-00008A290000}"/>
    <cellStyle name="Calculation 2 3 2 15" xfId="10633" xr:uid="{00000000-0005-0000-0000-00008B290000}"/>
    <cellStyle name="Calculation 2 3 2 16" xfId="10634" xr:uid="{00000000-0005-0000-0000-00008C290000}"/>
    <cellStyle name="Calculation 2 3 2 17" xfId="10635" xr:uid="{00000000-0005-0000-0000-00008D290000}"/>
    <cellStyle name="Calculation 2 3 2 18" xfId="10636" xr:uid="{00000000-0005-0000-0000-00008E290000}"/>
    <cellStyle name="Calculation 2 3 2 19" xfId="10637" xr:uid="{00000000-0005-0000-0000-00008F290000}"/>
    <cellStyle name="Calculation 2 3 2 2" xfId="10638" xr:uid="{00000000-0005-0000-0000-000090290000}"/>
    <cellStyle name="Calculation 2 3 2 2 10" xfId="10639" xr:uid="{00000000-0005-0000-0000-000091290000}"/>
    <cellStyle name="Calculation 2 3 2 2 11" xfId="10640" xr:uid="{00000000-0005-0000-0000-000092290000}"/>
    <cellStyle name="Calculation 2 3 2 2 12" xfId="10641" xr:uid="{00000000-0005-0000-0000-000093290000}"/>
    <cellStyle name="Calculation 2 3 2 2 13" xfId="10642" xr:uid="{00000000-0005-0000-0000-000094290000}"/>
    <cellStyle name="Calculation 2 3 2 2 14" xfId="10643" xr:uid="{00000000-0005-0000-0000-000095290000}"/>
    <cellStyle name="Calculation 2 3 2 2 15" xfId="10644" xr:uid="{00000000-0005-0000-0000-000096290000}"/>
    <cellStyle name="Calculation 2 3 2 2 16" xfId="10645" xr:uid="{00000000-0005-0000-0000-000097290000}"/>
    <cellStyle name="Calculation 2 3 2 2 17" xfId="10646" xr:uid="{00000000-0005-0000-0000-000098290000}"/>
    <cellStyle name="Calculation 2 3 2 2 18" xfId="10647" xr:uid="{00000000-0005-0000-0000-000099290000}"/>
    <cellStyle name="Calculation 2 3 2 2 19" xfId="10648" xr:uid="{00000000-0005-0000-0000-00009A290000}"/>
    <cellStyle name="Calculation 2 3 2 2 2" xfId="10649" xr:uid="{00000000-0005-0000-0000-00009B290000}"/>
    <cellStyle name="Calculation 2 3 2 2 2 2" xfId="10650" xr:uid="{00000000-0005-0000-0000-00009C290000}"/>
    <cellStyle name="Calculation 2 3 2 2 2 2 2" xfId="10651" xr:uid="{00000000-0005-0000-0000-00009D290000}"/>
    <cellStyle name="Calculation 2 3 2 2 2 2 3" xfId="10652" xr:uid="{00000000-0005-0000-0000-00009E290000}"/>
    <cellStyle name="Calculation 2 3 2 2 2 3" xfId="10653" xr:uid="{00000000-0005-0000-0000-00009F290000}"/>
    <cellStyle name="Calculation 2 3 2 2 2 3 2" xfId="10654" xr:uid="{00000000-0005-0000-0000-0000A0290000}"/>
    <cellStyle name="Calculation 2 3 2 2 2 3 3" xfId="10655" xr:uid="{00000000-0005-0000-0000-0000A1290000}"/>
    <cellStyle name="Calculation 2 3 2 2 2 4" xfId="10656" xr:uid="{00000000-0005-0000-0000-0000A2290000}"/>
    <cellStyle name="Calculation 2 3 2 2 2 5" xfId="10657" xr:uid="{00000000-0005-0000-0000-0000A3290000}"/>
    <cellStyle name="Calculation 2 3 2 2 20" xfId="10658" xr:uid="{00000000-0005-0000-0000-0000A4290000}"/>
    <cellStyle name="Calculation 2 3 2 2 21" xfId="10659" xr:uid="{00000000-0005-0000-0000-0000A5290000}"/>
    <cellStyle name="Calculation 2 3 2 2 22" xfId="10660" xr:uid="{00000000-0005-0000-0000-0000A6290000}"/>
    <cellStyle name="Calculation 2 3 2 2 23" xfId="10661" xr:uid="{00000000-0005-0000-0000-0000A7290000}"/>
    <cellStyle name="Calculation 2 3 2 2 24" xfId="10662" xr:uid="{00000000-0005-0000-0000-0000A8290000}"/>
    <cellStyle name="Calculation 2 3 2 2 25" xfId="10663" xr:uid="{00000000-0005-0000-0000-0000A9290000}"/>
    <cellStyle name="Calculation 2 3 2 2 26" xfId="10664" xr:uid="{00000000-0005-0000-0000-0000AA290000}"/>
    <cellStyle name="Calculation 2 3 2 2 27" xfId="10665" xr:uid="{00000000-0005-0000-0000-0000AB290000}"/>
    <cellStyle name="Calculation 2 3 2 2 28" xfId="10666" xr:uid="{00000000-0005-0000-0000-0000AC290000}"/>
    <cellStyle name="Calculation 2 3 2 2 29" xfId="10667" xr:uid="{00000000-0005-0000-0000-0000AD290000}"/>
    <cellStyle name="Calculation 2 3 2 2 3" xfId="10668" xr:uid="{00000000-0005-0000-0000-0000AE290000}"/>
    <cellStyle name="Calculation 2 3 2 2 3 2" xfId="10669" xr:uid="{00000000-0005-0000-0000-0000AF290000}"/>
    <cellStyle name="Calculation 2 3 2 2 3 2 2" xfId="10670" xr:uid="{00000000-0005-0000-0000-0000B0290000}"/>
    <cellStyle name="Calculation 2 3 2 2 3 2 3" xfId="10671" xr:uid="{00000000-0005-0000-0000-0000B1290000}"/>
    <cellStyle name="Calculation 2 3 2 2 3 3" xfId="10672" xr:uid="{00000000-0005-0000-0000-0000B2290000}"/>
    <cellStyle name="Calculation 2 3 2 2 3 3 2" xfId="10673" xr:uid="{00000000-0005-0000-0000-0000B3290000}"/>
    <cellStyle name="Calculation 2 3 2 2 3 3 3" xfId="10674" xr:uid="{00000000-0005-0000-0000-0000B4290000}"/>
    <cellStyle name="Calculation 2 3 2 2 3 4" xfId="10675" xr:uid="{00000000-0005-0000-0000-0000B5290000}"/>
    <cellStyle name="Calculation 2 3 2 2 3 5" xfId="10676" xr:uid="{00000000-0005-0000-0000-0000B6290000}"/>
    <cellStyle name="Calculation 2 3 2 2 30" xfId="10677" xr:uid="{00000000-0005-0000-0000-0000B7290000}"/>
    <cellStyle name="Calculation 2 3 2 2 31" xfId="10678" xr:uid="{00000000-0005-0000-0000-0000B8290000}"/>
    <cellStyle name="Calculation 2 3 2 2 32" xfId="10679" xr:uid="{00000000-0005-0000-0000-0000B9290000}"/>
    <cellStyle name="Calculation 2 3 2 2 33" xfId="10680" xr:uid="{00000000-0005-0000-0000-0000BA290000}"/>
    <cellStyle name="Calculation 2 3 2 2 34" xfId="10681" xr:uid="{00000000-0005-0000-0000-0000BB290000}"/>
    <cellStyle name="Calculation 2 3 2 2 4" xfId="10682" xr:uid="{00000000-0005-0000-0000-0000BC290000}"/>
    <cellStyle name="Calculation 2 3 2 2 4 2" xfId="10683" xr:uid="{00000000-0005-0000-0000-0000BD290000}"/>
    <cellStyle name="Calculation 2 3 2 2 4 3" xfId="10684" xr:uid="{00000000-0005-0000-0000-0000BE290000}"/>
    <cellStyle name="Calculation 2 3 2 2 5" xfId="10685" xr:uid="{00000000-0005-0000-0000-0000BF290000}"/>
    <cellStyle name="Calculation 2 3 2 2 5 2" xfId="10686" xr:uid="{00000000-0005-0000-0000-0000C0290000}"/>
    <cellStyle name="Calculation 2 3 2 2 5 3" xfId="10687" xr:uid="{00000000-0005-0000-0000-0000C1290000}"/>
    <cellStyle name="Calculation 2 3 2 2 6" xfId="10688" xr:uid="{00000000-0005-0000-0000-0000C2290000}"/>
    <cellStyle name="Calculation 2 3 2 2 7" xfId="10689" xr:uid="{00000000-0005-0000-0000-0000C3290000}"/>
    <cellStyle name="Calculation 2 3 2 2 8" xfId="10690" xr:uid="{00000000-0005-0000-0000-0000C4290000}"/>
    <cellStyle name="Calculation 2 3 2 2 9" xfId="10691" xr:uid="{00000000-0005-0000-0000-0000C5290000}"/>
    <cellStyle name="Calculation 2 3 2 20" xfId="10692" xr:uid="{00000000-0005-0000-0000-0000C6290000}"/>
    <cellStyle name="Calculation 2 3 2 21" xfId="10693" xr:uid="{00000000-0005-0000-0000-0000C7290000}"/>
    <cellStyle name="Calculation 2 3 2 22" xfId="10694" xr:uid="{00000000-0005-0000-0000-0000C8290000}"/>
    <cellStyle name="Calculation 2 3 2 23" xfId="10695" xr:uid="{00000000-0005-0000-0000-0000C9290000}"/>
    <cellStyle name="Calculation 2 3 2 24" xfId="10696" xr:uid="{00000000-0005-0000-0000-0000CA290000}"/>
    <cellStyle name="Calculation 2 3 2 25" xfId="10697" xr:uid="{00000000-0005-0000-0000-0000CB290000}"/>
    <cellStyle name="Calculation 2 3 2 26" xfId="10698" xr:uid="{00000000-0005-0000-0000-0000CC290000}"/>
    <cellStyle name="Calculation 2 3 2 27" xfId="10699" xr:uid="{00000000-0005-0000-0000-0000CD290000}"/>
    <cellStyle name="Calculation 2 3 2 28" xfId="10700" xr:uid="{00000000-0005-0000-0000-0000CE290000}"/>
    <cellStyle name="Calculation 2 3 2 29" xfId="10701" xr:uid="{00000000-0005-0000-0000-0000CF290000}"/>
    <cellStyle name="Calculation 2 3 2 3" xfId="10702" xr:uid="{00000000-0005-0000-0000-0000D0290000}"/>
    <cellStyle name="Calculation 2 3 2 3 2" xfId="10703" xr:uid="{00000000-0005-0000-0000-0000D1290000}"/>
    <cellStyle name="Calculation 2 3 2 3 2 2" xfId="10704" xr:uid="{00000000-0005-0000-0000-0000D2290000}"/>
    <cellStyle name="Calculation 2 3 2 3 2 3" xfId="10705" xr:uid="{00000000-0005-0000-0000-0000D3290000}"/>
    <cellStyle name="Calculation 2 3 2 3 3" xfId="10706" xr:uid="{00000000-0005-0000-0000-0000D4290000}"/>
    <cellStyle name="Calculation 2 3 2 3 3 2" xfId="10707" xr:uid="{00000000-0005-0000-0000-0000D5290000}"/>
    <cellStyle name="Calculation 2 3 2 3 3 3" xfId="10708" xr:uid="{00000000-0005-0000-0000-0000D6290000}"/>
    <cellStyle name="Calculation 2 3 2 3 4" xfId="10709" xr:uid="{00000000-0005-0000-0000-0000D7290000}"/>
    <cellStyle name="Calculation 2 3 2 3 5" xfId="10710" xr:uid="{00000000-0005-0000-0000-0000D8290000}"/>
    <cellStyle name="Calculation 2 3 2 30" xfId="10711" xr:uid="{00000000-0005-0000-0000-0000D9290000}"/>
    <cellStyle name="Calculation 2 3 2 31" xfId="10712" xr:uid="{00000000-0005-0000-0000-0000DA290000}"/>
    <cellStyle name="Calculation 2 3 2 32" xfId="10713" xr:uid="{00000000-0005-0000-0000-0000DB290000}"/>
    <cellStyle name="Calculation 2 3 2 4" xfId="10714" xr:uid="{00000000-0005-0000-0000-0000DC290000}"/>
    <cellStyle name="Calculation 2 3 2 4 2" xfId="10715" xr:uid="{00000000-0005-0000-0000-0000DD290000}"/>
    <cellStyle name="Calculation 2 3 2 4 3" xfId="10716" xr:uid="{00000000-0005-0000-0000-0000DE290000}"/>
    <cellStyle name="Calculation 2 3 2 5" xfId="10717" xr:uid="{00000000-0005-0000-0000-0000DF290000}"/>
    <cellStyle name="Calculation 2 3 2 5 2" xfId="10718" xr:uid="{00000000-0005-0000-0000-0000E0290000}"/>
    <cellStyle name="Calculation 2 3 2 5 3" xfId="10719" xr:uid="{00000000-0005-0000-0000-0000E1290000}"/>
    <cellStyle name="Calculation 2 3 2 6" xfId="10720" xr:uid="{00000000-0005-0000-0000-0000E2290000}"/>
    <cellStyle name="Calculation 2 3 2 7" xfId="10721" xr:uid="{00000000-0005-0000-0000-0000E3290000}"/>
    <cellStyle name="Calculation 2 3 2 8" xfId="10722" xr:uid="{00000000-0005-0000-0000-0000E4290000}"/>
    <cellStyle name="Calculation 2 3 2 9" xfId="10723" xr:uid="{00000000-0005-0000-0000-0000E5290000}"/>
    <cellStyle name="Calculation 2 3 20" xfId="10724" xr:uid="{00000000-0005-0000-0000-0000E6290000}"/>
    <cellStyle name="Calculation 2 3 21" xfId="10725" xr:uid="{00000000-0005-0000-0000-0000E7290000}"/>
    <cellStyle name="Calculation 2 3 22" xfId="10726" xr:uid="{00000000-0005-0000-0000-0000E8290000}"/>
    <cellStyle name="Calculation 2 3 23" xfId="10727" xr:uid="{00000000-0005-0000-0000-0000E9290000}"/>
    <cellStyle name="Calculation 2 3 24" xfId="10728" xr:uid="{00000000-0005-0000-0000-0000EA290000}"/>
    <cellStyle name="Calculation 2 3 25" xfId="10729" xr:uid="{00000000-0005-0000-0000-0000EB290000}"/>
    <cellStyle name="Calculation 2 3 26" xfId="10730" xr:uid="{00000000-0005-0000-0000-0000EC290000}"/>
    <cellStyle name="Calculation 2 3 27" xfId="10731" xr:uid="{00000000-0005-0000-0000-0000ED290000}"/>
    <cellStyle name="Calculation 2 3 28" xfId="10732" xr:uid="{00000000-0005-0000-0000-0000EE290000}"/>
    <cellStyle name="Calculation 2 3 29" xfId="10733" xr:uid="{00000000-0005-0000-0000-0000EF290000}"/>
    <cellStyle name="Calculation 2 3 3" xfId="10734" xr:uid="{00000000-0005-0000-0000-0000F0290000}"/>
    <cellStyle name="Calculation 2 3 3 10" xfId="10735" xr:uid="{00000000-0005-0000-0000-0000F1290000}"/>
    <cellStyle name="Calculation 2 3 3 11" xfId="10736" xr:uid="{00000000-0005-0000-0000-0000F2290000}"/>
    <cellStyle name="Calculation 2 3 3 12" xfId="10737" xr:uid="{00000000-0005-0000-0000-0000F3290000}"/>
    <cellStyle name="Calculation 2 3 3 13" xfId="10738" xr:uid="{00000000-0005-0000-0000-0000F4290000}"/>
    <cellStyle name="Calculation 2 3 3 14" xfId="10739" xr:uid="{00000000-0005-0000-0000-0000F5290000}"/>
    <cellStyle name="Calculation 2 3 3 15" xfId="10740" xr:uid="{00000000-0005-0000-0000-0000F6290000}"/>
    <cellStyle name="Calculation 2 3 3 16" xfId="10741" xr:uid="{00000000-0005-0000-0000-0000F7290000}"/>
    <cellStyle name="Calculation 2 3 3 17" xfId="10742" xr:uid="{00000000-0005-0000-0000-0000F8290000}"/>
    <cellStyle name="Calculation 2 3 3 18" xfId="10743" xr:uid="{00000000-0005-0000-0000-0000F9290000}"/>
    <cellStyle name="Calculation 2 3 3 19" xfId="10744" xr:uid="{00000000-0005-0000-0000-0000FA290000}"/>
    <cellStyle name="Calculation 2 3 3 2" xfId="10745" xr:uid="{00000000-0005-0000-0000-0000FB290000}"/>
    <cellStyle name="Calculation 2 3 3 2 2" xfId="10746" xr:uid="{00000000-0005-0000-0000-0000FC290000}"/>
    <cellStyle name="Calculation 2 3 3 2 2 2" xfId="10747" xr:uid="{00000000-0005-0000-0000-0000FD290000}"/>
    <cellStyle name="Calculation 2 3 3 2 2 3" xfId="10748" xr:uid="{00000000-0005-0000-0000-0000FE290000}"/>
    <cellStyle name="Calculation 2 3 3 2 3" xfId="10749" xr:uid="{00000000-0005-0000-0000-0000FF290000}"/>
    <cellStyle name="Calculation 2 3 3 2 3 2" xfId="10750" xr:uid="{00000000-0005-0000-0000-0000002A0000}"/>
    <cellStyle name="Calculation 2 3 3 2 3 3" xfId="10751" xr:uid="{00000000-0005-0000-0000-0000012A0000}"/>
    <cellStyle name="Calculation 2 3 3 2 4" xfId="10752" xr:uid="{00000000-0005-0000-0000-0000022A0000}"/>
    <cellStyle name="Calculation 2 3 3 2 5" xfId="10753" xr:uid="{00000000-0005-0000-0000-0000032A0000}"/>
    <cellStyle name="Calculation 2 3 3 20" xfId="10754" xr:uid="{00000000-0005-0000-0000-0000042A0000}"/>
    <cellStyle name="Calculation 2 3 3 21" xfId="10755" xr:uid="{00000000-0005-0000-0000-0000052A0000}"/>
    <cellStyle name="Calculation 2 3 3 22" xfId="10756" xr:uid="{00000000-0005-0000-0000-0000062A0000}"/>
    <cellStyle name="Calculation 2 3 3 23" xfId="10757" xr:uid="{00000000-0005-0000-0000-0000072A0000}"/>
    <cellStyle name="Calculation 2 3 3 24" xfId="10758" xr:uid="{00000000-0005-0000-0000-0000082A0000}"/>
    <cellStyle name="Calculation 2 3 3 25" xfId="10759" xr:uid="{00000000-0005-0000-0000-0000092A0000}"/>
    <cellStyle name="Calculation 2 3 3 26" xfId="10760" xr:uid="{00000000-0005-0000-0000-00000A2A0000}"/>
    <cellStyle name="Calculation 2 3 3 27" xfId="10761" xr:uid="{00000000-0005-0000-0000-00000B2A0000}"/>
    <cellStyle name="Calculation 2 3 3 28" xfId="10762" xr:uid="{00000000-0005-0000-0000-00000C2A0000}"/>
    <cellStyle name="Calculation 2 3 3 29" xfId="10763" xr:uid="{00000000-0005-0000-0000-00000D2A0000}"/>
    <cellStyle name="Calculation 2 3 3 3" xfId="10764" xr:uid="{00000000-0005-0000-0000-00000E2A0000}"/>
    <cellStyle name="Calculation 2 3 3 3 2" xfId="10765" xr:uid="{00000000-0005-0000-0000-00000F2A0000}"/>
    <cellStyle name="Calculation 2 3 3 3 2 2" xfId="10766" xr:uid="{00000000-0005-0000-0000-0000102A0000}"/>
    <cellStyle name="Calculation 2 3 3 3 2 3" xfId="10767" xr:uid="{00000000-0005-0000-0000-0000112A0000}"/>
    <cellStyle name="Calculation 2 3 3 3 3" xfId="10768" xr:uid="{00000000-0005-0000-0000-0000122A0000}"/>
    <cellStyle name="Calculation 2 3 3 3 3 2" xfId="10769" xr:uid="{00000000-0005-0000-0000-0000132A0000}"/>
    <cellStyle name="Calculation 2 3 3 3 3 3" xfId="10770" xr:uid="{00000000-0005-0000-0000-0000142A0000}"/>
    <cellStyle name="Calculation 2 3 3 3 4" xfId="10771" xr:uid="{00000000-0005-0000-0000-0000152A0000}"/>
    <cellStyle name="Calculation 2 3 3 3 5" xfId="10772" xr:uid="{00000000-0005-0000-0000-0000162A0000}"/>
    <cellStyle name="Calculation 2 3 3 30" xfId="10773" xr:uid="{00000000-0005-0000-0000-0000172A0000}"/>
    <cellStyle name="Calculation 2 3 3 31" xfId="10774" xr:uid="{00000000-0005-0000-0000-0000182A0000}"/>
    <cellStyle name="Calculation 2 3 3 32" xfId="10775" xr:uid="{00000000-0005-0000-0000-0000192A0000}"/>
    <cellStyle name="Calculation 2 3 3 33" xfId="10776" xr:uid="{00000000-0005-0000-0000-00001A2A0000}"/>
    <cellStyle name="Calculation 2 3 3 34" xfId="10777" xr:uid="{00000000-0005-0000-0000-00001B2A0000}"/>
    <cellStyle name="Calculation 2 3 3 4" xfId="10778" xr:uid="{00000000-0005-0000-0000-00001C2A0000}"/>
    <cellStyle name="Calculation 2 3 3 4 2" xfId="10779" xr:uid="{00000000-0005-0000-0000-00001D2A0000}"/>
    <cellStyle name="Calculation 2 3 3 4 3" xfId="10780" xr:uid="{00000000-0005-0000-0000-00001E2A0000}"/>
    <cellStyle name="Calculation 2 3 3 5" xfId="10781" xr:uid="{00000000-0005-0000-0000-00001F2A0000}"/>
    <cellStyle name="Calculation 2 3 3 5 2" xfId="10782" xr:uid="{00000000-0005-0000-0000-0000202A0000}"/>
    <cellStyle name="Calculation 2 3 3 5 3" xfId="10783" xr:uid="{00000000-0005-0000-0000-0000212A0000}"/>
    <cellStyle name="Calculation 2 3 3 6" xfId="10784" xr:uid="{00000000-0005-0000-0000-0000222A0000}"/>
    <cellStyle name="Calculation 2 3 3 7" xfId="10785" xr:uid="{00000000-0005-0000-0000-0000232A0000}"/>
    <cellStyle name="Calculation 2 3 3 8" xfId="10786" xr:uid="{00000000-0005-0000-0000-0000242A0000}"/>
    <cellStyle name="Calculation 2 3 3 9" xfId="10787" xr:uid="{00000000-0005-0000-0000-0000252A0000}"/>
    <cellStyle name="Calculation 2 3 30" xfId="10788" xr:uid="{00000000-0005-0000-0000-0000262A0000}"/>
    <cellStyle name="Calculation 2 3 31" xfId="10789" xr:uid="{00000000-0005-0000-0000-0000272A0000}"/>
    <cellStyle name="Calculation 2 3 32" xfId="10790" xr:uid="{00000000-0005-0000-0000-0000282A0000}"/>
    <cellStyle name="Calculation 2 3 33" xfId="10791" xr:uid="{00000000-0005-0000-0000-0000292A0000}"/>
    <cellStyle name="Calculation 2 3 4" xfId="10792" xr:uid="{00000000-0005-0000-0000-00002A2A0000}"/>
    <cellStyle name="Calculation 2 3 4 2" xfId="10793" xr:uid="{00000000-0005-0000-0000-00002B2A0000}"/>
    <cellStyle name="Calculation 2 3 4 2 2" xfId="10794" xr:uid="{00000000-0005-0000-0000-00002C2A0000}"/>
    <cellStyle name="Calculation 2 3 4 2 3" xfId="10795" xr:uid="{00000000-0005-0000-0000-00002D2A0000}"/>
    <cellStyle name="Calculation 2 3 4 3" xfId="10796" xr:uid="{00000000-0005-0000-0000-00002E2A0000}"/>
    <cellStyle name="Calculation 2 3 4 3 2" xfId="10797" xr:uid="{00000000-0005-0000-0000-00002F2A0000}"/>
    <cellStyle name="Calculation 2 3 4 3 3" xfId="10798" xr:uid="{00000000-0005-0000-0000-0000302A0000}"/>
    <cellStyle name="Calculation 2 3 4 4" xfId="10799" xr:uid="{00000000-0005-0000-0000-0000312A0000}"/>
    <cellStyle name="Calculation 2 3 4 5" xfId="10800" xr:uid="{00000000-0005-0000-0000-0000322A0000}"/>
    <cellStyle name="Calculation 2 3 5" xfId="10801" xr:uid="{00000000-0005-0000-0000-0000332A0000}"/>
    <cellStyle name="Calculation 2 3 5 2" xfId="10802" xr:uid="{00000000-0005-0000-0000-0000342A0000}"/>
    <cellStyle name="Calculation 2 3 5 3" xfId="10803" xr:uid="{00000000-0005-0000-0000-0000352A0000}"/>
    <cellStyle name="Calculation 2 3 6" xfId="10804" xr:uid="{00000000-0005-0000-0000-0000362A0000}"/>
    <cellStyle name="Calculation 2 3 6 2" xfId="10805" xr:uid="{00000000-0005-0000-0000-0000372A0000}"/>
    <cellStyle name="Calculation 2 3 6 3" xfId="10806" xr:uid="{00000000-0005-0000-0000-0000382A0000}"/>
    <cellStyle name="Calculation 2 3 7" xfId="10807" xr:uid="{00000000-0005-0000-0000-0000392A0000}"/>
    <cellStyle name="Calculation 2 3 8" xfId="10808" xr:uid="{00000000-0005-0000-0000-00003A2A0000}"/>
    <cellStyle name="Calculation 2 3 9" xfId="10809" xr:uid="{00000000-0005-0000-0000-00003B2A0000}"/>
    <cellStyle name="Calculation 2 30" xfId="10810" xr:uid="{00000000-0005-0000-0000-00003C2A0000}"/>
    <cellStyle name="Calculation 2 31" xfId="10811" xr:uid="{00000000-0005-0000-0000-00003D2A0000}"/>
    <cellStyle name="Calculation 2 32" xfId="10812" xr:uid="{00000000-0005-0000-0000-00003E2A0000}"/>
    <cellStyle name="Calculation 2 33" xfId="10813" xr:uid="{00000000-0005-0000-0000-00003F2A0000}"/>
    <cellStyle name="Calculation 2 34" xfId="10814" xr:uid="{00000000-0005-0000-0000-0000402A0000}"/>
    <cellStyle name="Calculation 2 35" xfId="10815" xr:uid="{00000000-0005-0000-0000-0000412A0000}"/>
    <cellStyle name="Calculation 2 36" xfId="10816" xr:uid="{00000000-0005-0000-0000-0000422A0000}"/>
    <cellStyle name="Calculation 2 37" xfId="10817" xr:uid="{00000000-0005-0000-0000-0000432A0000}"/>
    <cellStyle name="Calculation 2 38" xfId="10818" xr:uid="{00000000-0005-0000-0000-0000442A0000}"/>
    <cellStyle name="Calculation 2 39" xfId="10819" xr:uid="{00000000-0005-0000-0000-0000452A0000}"/>
    <cellStyle name="Calculation 2 4" xfId="10820" xr:uid="{00000000-0005-0000-0000-0000462A0000}"/>
    <cellStyle name="Calculation 2 4 10" xfId="10821" xr:uid="{00000000-0005-0000-0000-0000472A0000}"/>
    <cellStyle name="Calculation 2 4 11" xfId="10822" xr:uid="{00000000-0005-0000-0000-0000482A0000}"/>
    <cellStyle name="Calculation 2 4 12" xfId="10823" xr:uid="{00000000-0005-0000-0000-0000492A0000}"/>
    <cellStyle name="Calculation 2 4 13" xfId="10824" xr:uid="{00000000-0005-0000-0000-00004A2A0000}"/>
    <cellStyle name="Calculation 2 4 14" xfId="10825" xr:uid="{00000000-0005-0000-0000-00004B2A0000}"/>
    <cellStyle name="Calculation 2 4 15" xfId="10826" xr:uid="{00000000-0005-0000-0000-00004C2A0000}"/>
    <cellStyle name="Calculation 2 4 16" xfId="10827" xr:uid="{00000000-0005-0000-0000-00004D2A0000}"/>
    <cellStyle name="Calculation 2 4 17" xfId="10828" xr:uid="{00000000-0005-0000-0000-00004E2A0000}"/>
    <cellStyle name="Calculation 2 4 18" xfId="10829" xr:uid="{00000000-0005-0000-0000-00004F2A0000}"/>
    <cellStyle name="Calculation 2 4 19" xfId="10830" xr:uid="{00000000-0005-0000-0000-0000502A0000}"/>
    <cellStyle name="Calculation 2 4 2" xfId="10831" xr:uid="{00000000-0005-0000-0000-0000512A0000}"/>
    <cellStyle name="Calculation 2 4 2 10" xfId="10832" xr:uid="{00000000-0005-0000-0000-0000522A0000}"/>
    <cellStyle name="Calculation 2 4 2 11" xfId="10833" xr:uid="{00000000-0005-0000-0000-0000532A0000}"/>
    <cellStyle name="Calculation 2 4 2 12" xfId="10834" xr:uid="{00000000-0005-0000-0000-0000542A0000}"/>
    <cellStyle name="Calculation 2 4 2 13" xfId="10835" xr:uid="{00000000-0005-0000-0000-0000552A0000}"/>
    <cellStyle name="Calculation 2 4 2 14" xfId="10836" xr:uid="{00000000-0005-0000-0000-0000562A0000}"/>
    <cellStyle name="Calculation 2 4 2 15" xfId="10837" xr:uid="{00000000-0005-0000-0000-0000572A0000}"/>
    <cellStyle name="Calculation 2 4 2 16" xfId="10838" xr:uid="{00000000-0005-0000-0000-0000582A0000}"/>
    <cellStyle name="Calculation 2 4 2 17" xfId="10839" xr:uid="{00000000-0005-0000-0000-0000592A0000}"/>
    <cellStyle name="Calculation 2 4 2 18" xfId="10840" xr:uid="{00000000-0005-0000-0000-00005A2A0000}"/>
    <cellStyle name="Calculation 2 4 2 19" xfId="10841" xr:uid="{00000000-0005-0000-0000-00005B2A0000}"/>
    <cellStyle name="Calculation 2 4 2 2" xfId="10842" xr:uid="{00000000-0005-0000-0000-00005C2A0000}"/>
    <cellStyle name="Calculation 2 4 2 2 10" xfId="10843" xr:uid="{00000000-0005-0000-0000-00005D2A0000}"/>
    <cellStyle name="Calculation 2 4 2 2 11" xfId="10844" xr:uid="{00000000-0005-0000-0000-00005E2A0000}"/>
    <cellStyle name="Calculation 2 4 2 2 12" xfId="10845" xr:uid="{00000000-0005-0000-0000-00005F2A0000}"/>
    <cellStyle name="Calculation 2 4 2 2 13" xfId="10846" xr:uid="{00000000-0005-0000-0000-0000602A0000}"/>
    <cellStyle name="Calculation 2 4 2 2 14" xfId="10847" xr:uid="{00000000-0005-0000-0000-0000612A0000}"/>
    <cellStyle name="Calculation 2 4 2 2 15" xfId="10848" xr:uid="{00000000-0005-0000-0000-0000622A0000}"/>
    <cellStyle name="Calculation 2 4 2 2 16" xfId="10849" xr:uid="{00000000-0005-0000-0000-0000632A0000}"/>
    <cellStyle name="Calculation 2 4 2 2 17" xfId="10850" xr:uid="{00000000-0005-0000-0000-0000642A0000}"/>
    <cellStyle name="Calculation 2 4 2 2 18" xfId="10851" xr:uid="{00000000-0005-0000-0000-0000652A0000}"/>
    <cellStyle name="Calculation 2 4 2 2 19" xfId="10852" xr:uid="{00000000-0005-0000-0000-0000662A0000}"/>
    <cellStyle name="Calculation 2 4 2 2 2" xfId="10853" xr:uid="{00000000-0005-0000-0000-0000672A0000}"/>
    <cellStyle name="Calculation 2 4 2 2 2 2" xfId="10854" xr:uid="{00000000-0005-0000-0000-0000682A0000}"/>
    <cellStyle name="Calculation 2 4 2 2 2 2 2" xfId="10855" xr:uid="{00000000-0005-0000-0000-0000692A0000}"/>
    <cellStyle name="Calculation 2 4 2 2 2 2 3" xfId="10856" xr:uid="{00000000-0005-0000-0000-00006A2A0000}"/>
    <cellStyle name="Calculation 2 4 2 2 2 3" xfId="10857" xr:uid="{00000000-0005-0000-0000-00006B2A0000}"/>
    <cellStyle name="Calculation 2 4 2 2 2 3 2" xfId="10858" xr:uid="{00000000-0005-0000-0000-00006C2A0000}"/>
    <cellStyle name="Calculation 2 4 2 2 2 3 3" xfId="10859" xr:uid="{00000000-0005-0000-0000-00006D2A0000}"/>
    <cellStyle name="Calculation 2 4 2 2 2 4" xfId="10860" xr:uid="{00000000-0005-0000-0000-00006E2A0000}"/>
    <cellStyle name="Calculation 2 4 2 2 2 5" xfId="10861" xr:uid="{00000000-0005-0000-0000-00006F2A0000}"/>
    <cellStyle name="Calculation 2 4 2 2 20" xfId="10862" xr:uid="{00000000-0005-0000-0000-0000702A0000}"/>
    <cellStyle name="Calculation 2 4 2 2 21" xfId="10863" xr:uid="{00000000-0005-0000-0000-0000712A0000}"/>
    <cellStyle name="Calculation 2 4 2 2 22" xfId="10864" xr:uid="{00000000-0005-0000-0000-0000722A0000}"/>
    <cellStyle name="Calculation 2 4 2 2 23" xfId="10865" xr:uid="{00000000-0005-0000-0000-0000732A0000}"/>
    <cellStyle name="Calculation 2 4 2 2 24" xfId="10866" xr:uid="{00000000-0005-0000-0000-0000742A0000}"/>
    <cellStyle name="Calculation 2 4 2 2 25" xfId="10867" xr:uid="{00000000-0005-0000-0000-0000752A0000}"/>
    <cellStyle name="Calculation 2 4 2 2 26" xfId="10868" xr:uid="{00000000-0005-0000-0000-0000762A0000}"/>
    <cellStyle name="Calculation 2 4 2 2 27" xfId="10869" xr:uid="{00000000-0005-0000-0000-0000772A0000}"/>
    <cellStyle name="Calculation 2 4 2 2 28" xfId="10870" xr:uid="{00000000-0005-0000-0000-0000782A0000}"/>
    <cellStyle name="Calculation 2 4 2 2 29" xfId="10871" xr:uid="{00000000-0005-0000-0000-0000792A0000}"/>
    <cellStyle name="Calculation 2 4 2 2 3" xfId="10872" xr:uid="{00000000-0005-0000-0000-00007A2A0000}"/>
    <cellStyle name="Calculation 2 4 2 2 3 2" xfId="10873" xr:uid="{00000000-0005-0000-0000-00007B2A0000}"/>
    <cellStyle name="Calculation 2 4 2 2 3 2 2" xfId="10874" xr:uid="{00000000-0005-0000-0000-00007C2A0000}"/>
    <cellStyle name="Calculation 2 4 2 2 3 2 3" xfId="10875" xr:uid="{00000000-0005-0000-0000-00007D2A0000}"/>
    <cellStyle name="Calculation 2 4 2 2 3 3" xfId="10876" xr:uid="{00000000-0005-0000-0000-00007E2A0000}"/>
    <cellStyle name="Calculation 2 4 2 2 3 3 2" xfId="10877" xr:uid="{00000000-0005-0000-0000-00007F2A0000}"/>
    <cellStyle name="Calculation 2 4 2 2 3 3 3" xfId="10878" xr:uid="{00000000-0005-0000-0000-0000802A0000}"/>
    <cellStyle name="Calculation 2 4 2 2 3 4" xfId="10879" xr:uid="{00000000-0005-0000-0000-0000812A0000}"/>
    <cellStyle name="Calculation 2 4 2 2 3 5" xfId="10880" xr:uid="{00000000-0005-0000-0000-0000822A0000}"/>
    <cellStyle name="Calculation 2 4 2 2 30" xfId="10881" xr:uid="{00000000-0005-0000-0000-0000832A0000}"/>
    <cellStyle name="Calculation 2 4 2 2 31" xfId="10882" xr:uid="{00000000-0005-0000-0000-0000842A0000}"/>
    <cellStyle name="Calculation 2 4 2 2 32" xfId="10883" xr:uid="{00000000-0005-0000-0000-0000852A0000}"/>
    <cellStyle name="Calculation 2 4 2 2 33" xfId="10884" xr:uid="{00000000-0005-0000-0000-0000862A0000}"/>
    <cellStyle name="Calculation 2 4 2 2 34" xfId="10885" xr:uid="{00000000-0005-0000-0000-0000872A0000}"/>
    <cellStyle name="Calculation 2 4 2 2 4" xfId="10886" xr:uid="{00000000-0005-0000-0000-0000882A0000}"/>
    <cellStyle name="Calculation 2 4 2 2 4 2" xfId="10887" xr:uid="{00000000-0005-0000-0000-0000892A0000}"/>
    <cellStyle name="Calculation 2 4 2 2 4 3" xfId="10888" xr:uid="{00000000-0005-0000-0000-00008A2A0000}"/>
    <cellStyle name="Calculation 2 4 2 2 5" xfId="10889" xr:uid="{00000000-0005-0000-0000-00008B2A0000}"/>
    <cellStyle name="Calculation 2 4 2 2 5 2" xfId="10890" xr:uid="{00000000-0005-0000-0000-00008C2A0000}"/>
    <cellStyle name="Calculation 2 4 2 2 5 3" xfId="10891" xr:uid="{00000000-0005-0000-0000-00008D2A0000}"/>
    <cellStyle name="Calculation 2 4 2 2 6" xfId="10892" xr:uid="{00000000-0005-0000-0000-00008E2A0000}"/>
    <cellStyle name="Calculation 2 4 2 2 7" xfId="10893" xr:uid="{00000000-0005-0000-0000-00008F2A0000}"/>
    <cellStyle name="Calculation 2 4 2 2 8" xfId="10894" xr:uid="{00000000-0005-0000-0000-0000902A0000}"/>
    <cellStyle name="Calculation 2 4 2 2 9" xfId="10895" xr:uid="{00000000-0005-0000-0000-0000912A0000}"/>
    <cellStyle name="Calculation 2 4 2 20" xfId="10896" xr:uid="{00000000-0005-0000-0000-0000922A0000}"/>
    <cellStyle name="Calculation 2 4 2 21" xfId="10897" xr:uid="{00000000-0005-0000-0000-0000932A0000}"/>
    <cellStyle name="Calculation 2 4 2 22" xfId="10898" xr:uid="{00000000-0005-0000-0000-0000942A0000}"/>
    <cellStyle name="Calculation 2 4 2 23" xfId="10899" xr:uid="{00000000-0005-0000-0000-0000952A0000}"/>
    <cellStyle name="Calculation 2 4 2 24" xfId="10900" xr:uid="{00000000-0005-0000-0000-0000962A0000}"/>
    <cellStyle name="Calculation 2 4 2 25" xfId="10901" xr:uid="{00000000-0005-0000-0000-0000972A0000}"/>
    <cellStyle name="Calculation 2 4 2 26" xfId="10902" xr:uid="{00000000-0005-0000-0000-0000982A0000}"/>
    <cellStyle name="Calculation 2 4 2 27" xfId="10903" xr:uid="{00000000-0005-0000-0000-0000992A0000}"/>
    <cellStyle name="Calculation 2 4 2 28" xfId="10904" xr:uid="{00000000-0005-0000-0000-00009A2A0000}"/>
    <cellStyle name="Calculation 2 4 2 29" xfId="10905" xr:uid="{00000000-0005-0000-0000-00009B2A0000}"/>
    <cellStyle name="Calculation 2 4 2 3" xfId="10906" xr:uid="{00000000-0005-0000-0000-00009C2A0000}"/>
    <cellStyle name="Calculation 2 4 2 3 2" xfId="10907" xr:uid="{00000000-0005-0000-0000-00009D2A0000}"/>
    <cellStyle name="Calculation 2 4 2 3 2 2" xfId="10908" xr:uid="{00000000-0005-0000-0000-00009E2A0000}"/>
    <cellStyle name="Calculation 2 4 2 3 2 3" xfId="10909" xr:uid="{00000000-0005-0000-0000-00009F2A0000}"/>
    <cellStyle name="Calculation 2 4 2 3 3" xfId="10910" xr:uid="{00000000-0005-0000-0000-0000A02A0000}"/>
    <cellStyle name="Calculation 2 4 2 3 3 2" xfId="10911" xr:uid="{00000000-0005-0000-0000-0000A12A0000}"/>
    <cellStyle name="Calculation 2 4 2 3 3 3" xfId="10912" xr:uid="{00000000-0005-0000-0000-0000A22A0000}"/>
    <cellStyle name="Calculation 2 4 2 3 4" xfId="10913" xr:uid="{00000000-0005-0000-0000-0000A32A0000}"/>
    <cellStyle name="Calculation 2 4 2 3 5" xfId="10914" xr:uid="{00000000-0005-0000-0000-0000A42A0000}"/>
    <cellStyle name="Calculation 2 4 2 30" xfId="10915" xr:uid="{00000000-0005-0000-0000-0000A52A0000}"/>
    <cellStyle name="Calculation 2 4 2 31" xfId="10916" xr:uid="{00000000-0005-0000-0000-0000A62A0000}"/>
    <cellStyle name="Calculation 2 4 2 32" xfId="10917" xr:uid="{00000000-0005-0000-0000-0000A72A0000}"/>
    <cellStyle name="Calculation 2 4 2 4" xfId="10918" xr:uid="{00000000-0005-0000-0000-0000A82A0000}"/>
    <cellStyle name="Calculation 2 4 2 4 2" xfId="10919" xr:uid="{00000000-0005-0000-0000-0000A92A0000}"/>
    <cellStyle name="Calculation 2 4 2 4 3" xfId="10920" xr:uid="{00000000-0005-0000-0000-0000AA2A0000}"/>
    <cellStyle name="Calculation 2 4 2 5" xfId="10921" xr:uid="{00000000-0005-0000-0000-0000AB2A0000}"/>
    <cellStyle name="Calculation 2 4 2 5 2" xfId="10922" xr:uid="{00000000-0005-0000-0000-0000AC2A0000}"/>
    <cellStyle name="Calculation 2 4 2 5 3" xfId="10923" xr:uid="{00000000-0005-0000-0000-0000AD2A0000}"/>
    <cellStyle name="Calculation 2 4 2 6" xfId="10924" xr:uid="{00000000-0005-0000-0000-0000AE2A0000}"/>
    <cellStyle name="Calculation 2 4 2 7" xfId="10925" xr:uid="{00000000-0005-0000-0000-0000AF2A0000}"/>
    <cellStyle name="Calculation 2 4 2 8" xfId="10926" xr:uid="{00000000-0005-0000-0000-0000B02A0000}"/>
    <cellStyle name="Calculation 2 4 2 9" xfId="10927" xr:uid="{00000000-0005-0000-0000-0000B12A0000}"/>
    <cellStyle name="Calculation 2 4 20" xfId="10928" xr:uid="{00000000-0005-0000-0000-0000B22A0000}"/>
    <cellStyle name="Calculation 2 4 21" xfId="10929" xr:uid="{00000000-0005-0000-0000-0000B32A0000}"/>
    <cellStyle name="Calculation 2 4 22" xfId="10930" xr:uid="{00000000-0005-0000-0000-0000B42A0000}"/>
    <cellStyle name="Calculation 2 4 23" xfId="10931" xr:uid="{00000000-0005-0000-0000-0000B52A0000}"/>
    <cellStyle name="Calculation 2 4 24" xfId="10932" xr:uid="{00000000-0005-0000-0000-0000B62A0000}"/>
    <cellStyle name="Calculation 2 4 25" xfId="10933" xr:uid="{00000000-0005-0000-0000-0000B72A0000}"/>
    <cellStyle name="Calculation 2 4 26" xfId="10934" xr:uid="{00000000-0005-0000-0000-0000B82A0000}"/>
    <cellStyle name="Calculation 2 4 27" xfId="10935" xr:uid="{00000000-0005-0000-0000-0000B92A0000}"/>
    <cellStyle name="Calculation 2 4 28" xfId="10936" xr:uid="{00000000-0005-0000-0000-0000BA2A0000}"/>
    <cellStyle name="Calculation 2 4 29" xfId="10937" xr:uid="{00000000-0005-0000-0000-0000BB2A0000}"/>
    <cellStyle name="Calculation 2 4 3" xfId="10938" xr:uid="{00000000-0005-0000-0000-0000BC2A0000}"/>
    <cellStyle name="Calculation 2 4 3 10" xfId="10939" xr:uid="{00000000-0005-0000-0000-0000BD2A0000}"/>
    <cellStyle name="Calculation 2 4 3 11" xfId="10940" xr:uid="{00000000-0005-0000-0000-0000BE2A0000}"/>
    <cellStyle name="Calculation 2 4 3 12" xfId="10941" xr:uid="{00000000-0005-0000-0000-0000BF2A0000}"/>
    <cellStyle name="Calculation 2 4 3 13" xfId="10942" xr:uid="{00000000-0005-0000-0000-0000C02A0000}"/>
    <cellStyle name="Calculation 2 4 3 14" xfId="10943" xr:uid="{00000000-0005-0000-0000-0000C12A0000}"/>
    <cellStyle name="Calculation 2 4 3 15" xfId="10944" xr:uid="{00000000-0005-0000-0000-0000C22A0000}"/>
    <cellStyle name="Calculation 2 4 3 16" xfId="10945" xr:uid="{00000000-0005-0000-0000-0000C32A0000}"/>
    <cellStyle name="Calculation 2 4 3 17" xfId="10946" xr:uid="{00000000-0005-0000-0000-0000C42A0000}"/>
    <cellStyle name="Calculation 2 4 3 18" xfId="10947" xr:uid="{00000000-0005-0000-0000-0000C52A0000}"/>
    <cellStyle name="Calculation 2 4 3 19" xfId="10948" xr:uid="{00000000-0005-0000-0000-0000C62A0000}"/>
    <cellStyle name="Calculation 2 4 3 2" xfId="10949" xr:uid="{00000000-0005-0000-0000-0000C72A0000}"/>
    <cellStyle name="Calculation 2 4 3 2 2" xfId="10950" xr:uid="{00000000-0005-0000-0000-0000C82A0000}"/>
    <cellStyle name="Calculation 2 4 3 2 2 2" xfId="10951" xr:uid="{00000000-0005-0000-0000-0000C92A0000}"/>
    <cellStyle name="Calculation 2 4 3 2 2 3" xfId="10952" xr:uid="{00000000-0005-0000-0000-0000CA2A0000}"/>
    <cellStyle name="Calculation 2 4 3 2 3" xfId="10953" xr:uid="{00000000-0005-0000-0000-0000CB2A0000}"/>
    <cellStyle name="Calculation 2 4 3 2 3 2" xfId="10954" xr:uid="{00000000-0005-0000-0000-0000CC2A0000}"/>
    <cellStyle name="Calculation 2 4 3 2 3 3" xfId="10955" xr:uid="{00000000-0005-0000-0000-0000CD2A0000}"/>
    <cellStyle name="Calculation 2 4 3 2 4" xfId="10956" xr:uid="{00000000-0005-0000-0000-0000CE2A0000}"/>
    <cellStyle name="Calculation 2 4 3 2 5" xfId="10957" xr:uid="{00000000-0005-0000-0000-0000CF2A0000}"/>
    <cellStyle name="Calculation 2 4 3 20" xfId="10958" xr:uid="{00000000-0005-0000-0000-0000D02A0000}"/>
    <cellStyle name="Calculation 2 4 3 21" xfId="10959" xr:uid="{00000000-0005-0000-0000-0000D12A0000}"/>
    <cellStyle name="Calculation 2 4 3 22" xfId="10960" xr:uid="{00000000-0005-0000-0000-0000D22A0000}"/>
    <cellStyle name="Calculation 2 4 3 23" xfId="10961" xr:uid="{00000000-0005-0000-0000-0000D32A0000}"/>
    <cellStyle name="Calculation 2 4 3 24" xfId="10962" xr:uid="{00000000-0005-0000-0000-0000D42A0000}"/>
    <cellStyle name="Calculation 2 4 3 25" xfId="10963" xr:uid="{00000000-0005-0000-0000-0000D52A0000}"/>
    <cellStyle name="Calculation 2 4 3 26" xfId="10964" xr:uid="{00000000-0005-0000-0000-0000D62A0000}"/>
    <cellStyle name="Calculation 2 4 3 27" xfId="10965" xr:uid="{00000000-0005-0000-0000-0000D72A0000}"/>
    <cellStyle name="Calculation 2 4 3 28" xfId="10966" xr:uid="{00000000-0005-0000-0000-0000D82A0000}"/>
    <cellStyle name="Calculation 2 4 3 29" xfId="10967" xr:uid="{00000000-0005-0000-0000-0000D92A0000}"/>
    <cellStyle name="Calculation 2 4 3 3" xfId="10968" xr:uid="{00000000-0005-0000-0000-0000DA2A0000}"/>
    <cellStyle name="Calculation 2 4 3 3 2" xfId="10969" xr:uid="{00000000-0005-0000-0000-0000DB2A0000}"/>
    <cellStyle name="Calculation 2 4 3 3 2 2" xfId="10970" xr:uid="{00000000-0005-0000-0000-0000DC2A0000}"/>
    <cellStyle name="Calculation 2 4 3 3 2 3" xfId="10971" xr:uid="{00000000-0005-0000-0000-0000DD2A0000}"/>
    <cellStyle name="Calculation 2 4 3 3 3" xfId="10972" xr:uid="{00000000-0005-0000-0000-0000DE2A0000}"/>
    <cellStyle name="Calculation 2 4 3 3 3 2" xfId="10973" xr:uid="{00000000-0005-0000-0000-0000DF2A0000}"/>
    <cellStyle name="Calculation 2 4 3 3 3 3" xfId="10974" xr:uid="{00000000-0005-0000-0000-0000E02A0000}"/>
    <cellStyle name="Calculation 2 4 3 3 4" xfId="10975" xr:uid="{00000000-0005-0000-0000-0000E12A0000}"/>
    <cellStyle name="Calculation 2 4 3 3 5" xfId="10976" xr:uid="{00000000-0005-0000-0000-0000E22A0000}"/>
    <cellStyle name="Calculation 2 4 3 30" xfId="10977" xr:uid="{00000000-0005-0000-0000-0000E32A0000}"/>
    <cellStyle name="Calculation 2 4 3 31" xfId="10978" xr:uid="{00000000-0005-0000-0000-0000E42A0000}"/>
    <cellStyle name="Calculation 2 4 3 32" xfId="10979" xr:uid="{00000000-0005-0000-0000-0000E52A0000}"/>
    <cellStyle name="Calculation 2 4 3 33" xfId="10980" xr:uid="{00000000-0005-0000-0000-0000E62A0000}"/>
    <cellStyle name="Calculation 2 4 3 34" xfId="10981" xr:uid="{00000000-0005-0000-0000-0000E72A0000}"/>
    <cellStyle name="Calculation 2 4 3 4" xfId="10982" xr:uid="{00000000-0005-0000-0000-0000E82A0000}"/>
    <cellStyle name="Calculation 2 4 3 4 2" xfId="10983" xr:uid="{00000000-0005-0000-0000-0000E92A0000}"/>
    <cellStyle name="Calculation 2 4 3 4 3" xfId="10984" xr:uid="{00000000-0005-0000-0000-0000EA2A0000}"/>
    <cellStyle name="Calculation 2 4 3 5" xfId="10985" xr:uid="{00000000-0005-0000-0000-0000EB2A0000}"/>
    <cellStyle name="Calculation 2 4 3 5 2" xfId="10986" xr:uid="{00000000-0005-0000-0000-0000EC2A0000}"/>
    <cellStyle name="Calculation 2 4 3 5 3" xfId="10987" xr:uid="{00000000-0005-0000-0000-0000ED2A0000}"/>
    <cellStyle name="Calculation 2 4 3 6" xfId="10988" xr:uid="{00000000-0005-0000-0000-0000EE2A0000}"/>
    <cellStyle name="Calculation 2 4 3 7" xfId="10989" xr:uid="{00000000-0005-0000-0000-0000EF2A0000}"/>
    <cellStyle name="Calculation 2 4 3 8" xfId="10990" xr:uid="{00000000-0005-0000-0000-0000F02A0000}"/>
    <cellStyle name="Calculation 2 4 3 9" xfId="10991" xr:uid="{00000000-0005-0000-0000-0000F12A0000}"/>
    <cellStyle name="Calculation 2 4 30" xfId="10992" xr:uid="{00000000-0005-0000-0000-0000F22A0000}"/>
    <cellStyle name="Calculation 2 4 31" xfId="10993" xr:uid="{00000000-0005-0000-0000-0000F32A0000}"/>
    <cellStyle name="Calculation 2 4 32" xfId="10994" xr:uid="{00000000-0005-0000-0000-0000F42A0000}"/>
    <cellStyle name="Calculation 2 4 33" xfId="10995" xr:uid="{00000000-0005-0000-0000-0000F52A0000}"/>
    <cellStyle name="Calculation 2 4 4" xfId="10996" xr:uid="{00000000-0005-0000-0000-0000F62A0000}"/>
    <cellStyle name="Calculation 2 4 4 2" xfId="10997" xr:uid="{00000000-0005-0000-0000-0000F72A0000}"/>
    <cellStyle name="Calculation 2 4 4 2 2" xfId="10998" xr:uid="{00000000-0005-0000-0000-0000F82A0000}"/>
    <cellStyle name="Calculation 2 4 4 2 3" xfId="10999" xr:uid="{00000000-0005-0000-0000-0000F92A0000}"/>
    <cellStyle name="Calculation 2 4 4 3" xfId="11000" xr:uid="{00000000-0005-0000-0000-0000FA2A0000}"/>
    <cellStyle name="Calculation 2 4 4 3 2" xfId="11001" xr:uid="{00000000-0005-0000-0000-0000FB2A0000}"/>
    <cellStyle name="Calculation 2 4 4 3 3" xfId="11002" xr:uid="{00000000-0005-0000-0000-0000FC2A0000}"/>
    <cellStyle name="Calculation 2 4 4 4" xfId="11003" xr:uid="{00000000-0005-0000-0000-0000FD2A0000}"/>
    <cellStyle name="Calculation 2 4 4 5" xfId="11004" xr:uid="{00000000-0005-0000-0000-0000FE2A0000}"/>
    <cellStyle name="Calculation 2 4 5" xfId="11005" xr:uid="{00000000-0005-0000-0000-0000FF2A0000}"/>
    <cellStyle name="Calculation 2 4 5 2" xfId="11006" xr:uid="{00000000-0005-0000-0000-0000002B0000}"/>
    <cellStyle name="Calculation 2 4 5 3" xfId="11007" xr:uid="{00000000-0005-0000-0000-0000012B0000}"/>
    <cellStyle name="Calculation 2 4 6" xfId="11008" xr:uid="{00000000-0005-0000-0000-0000022B0000}"/>
    <cellStyle name="Calculation 2 4 6 2" xfId="11009" xr:uid="{00000000-0005-0000-0000-0000032B0000}"/>
    <cellStyle name="Calculation 2 4 6 3" xfId="11010" xr:uid="{00000000-0005-0000-0000-0000042B0000}"/>
    <cellStyle name="Calculation 2 4 7" xfId="11011" xr:uid="{00000000-0005-0000-0000-0000052B0000}"/>
    <cellStyle name="Calculation 2 4 8" xfId="11012" xr:uid="{00000000-0005-0000-0000-0000062B0000}"/>
    <cellStyle name="Calculation 2 4 9" xfId="11013" xr:uid="{00000000-0005-0000-0000-0000072B0000}"/>
    <cellStyle name="Calculation 2 40" xfId="11014" xr:uid="{00000000-0005-0000-0000-0000082B0000}"/>
    <cellStyle name="Calculation 2 41" xfId="11015" xr:uid="{00000000-0005-0000-0000-0000092B0000}"/>
    <cellStyle name="Calculation 2 42" xfId="11016" xr:uid="{00000000-0005-0000-0000-00000A2B0000}"/>
    <cellStyle name="Calculation 2 43" xfId="11017" xr:uid="{00000000-0005-0000-0000-00000B2B0000}"/>
    <cellStyle name="Calculation 2 44" xfId="11018" xr:uid="{00000000-0005-0000-0000-00000C2B0000}"/>
    <cellStyle name="Calculation 2 45" xfId="11019" xr:uid="{00000000-0005-0000-0000-00000D2B0000}"/>
    <cellStyle name="Calculation 2 46" xfId="11020" xr:uid="{00000000-0005-0000-0000-00000E2B0000}"/>
    <cellStyle name="Calculation 2 47" xfId="11021" xr:uid="{00000000-0005-0000-0000-00000F2B0000}"/>
    <cellStyle name="Calculation 2 48" xfId="11022" xr:uid="{00000000-0005-0000-0000-0000102B0000}"/>
    <cellStyle name="Calculation 2 49" xfId="11023" xr:uid="{00000000-0005-0000-0000-0000112B0000}"/>
    <cellStyle name="Calculation 2 5" xfId="11024" xr:uid="{00000000-0005-0000-0000-0000122B0000}"/>
    <cellStyle name="Calculation 2 5 2" xfId="11025" xr:uid="{00000000-0005-0000-0000-0000132B0000}"/>
    <cellStyle name="Calculation 2 50" xfId="11026" xr:uid="{00000000-0005-0000-0000-0000142B0000}"/>
    <cellStyle name="Calculation 2 51" xfId="11027" xr:uid="{00000000-0005-0000-0000-0000152B0000}"/>
    <cellStyle name="Calculation 2 6" xfId="11028" xr:uid="{00000000-0005-0000-0000-0000162B0000}"/>
    <cellStyle name="Calculation 2 6 2" xfId="11029" xr:uid="{00000000-0005-0000-0000-0000172B0000}"/>
    <cellStyle name="Calculation 2 7" xfId="11030" xr:uid="{00000000-0005-0000-0000-0000182B0000}"/>
    <cellStyle name="Calculation 2 7 2" xfId="11031" xr:uid="{00000000-0005-0000-0000-0000192B0000}"/>
    <cellStyle name="Calculation 2 8" xfId="11032" xr:uid="{00000000-0005-0000-0000-00001A2B0000}"/>
    <cellStyle name="Calculation 2 8 2" xfId="11033" xr:uid="{00000000-0005-0000-0000-00001B2B0000}"/>
    <cellStyle name="Calculation 2 9" xfId="11034" xr:uid="{00000000-0005-0000-0000-00001C2B0000}"/>
    <cellStyle name="Calculation 2 9 2" xfId="11035" xr:uid="{00000000-0005-0000-0000-00001D2B0000}"/>
    <cellStyle name="Calculation 20" xfId="11036" xr:uid="{00000000-0005-0000-0000-00001E2B0000}"/>
    <cellStyle name="Calculation 20 2" xfId="11037" xr:uid="{00000000-0005-0000-0000-00001F2B0000}"/>
    <cellStyle name="Calculation 21" xfId="11038" xr:uid="{00000000-0005-0000-0000-0000202B0000}"/>
    <cellStyle name="Calculation 21 2" xfId="11039" xr:uid="{00000000-0005-0000-0000-0000212B0000}"/>
    <cellStyle name="Calculation 22" xfId="11040" xr:uid="{00000000-0005-0000-0000-0000222B0000}"/>
    <cellStyle name="Calculation 22 2" xfId="11041" xr:uid="{00000000-0005-0000-0000-0000232B0000}"/>
    <cellStyle name="Calculation 23" xfId="11042" xr:uid="{00000000-0005-0000-0000-0000242B0000}"/>
    <cellStyle name="Calculation 23 2" xfId="11043" xr:uid="{00000000-0005-0000-0000-0000252B0000}"/>
    <cellStyle name="Calculation 24" xfId="11044" xr:uid="{00000000-0005-0000-0000-0000262B0000}"/>
    <cellStyle name="Calculation 24 2" xfId="11045" xr:uid="{00000000-0005-0000-0000-0000272B0000}"/>
    <cellStyle name="Calculation 25" xfId="11046" xr:uid="{00000000-0005-0000-0000-0000282B0000}"/>
    <cellStyle name="Calculation 25 2" xfId="11047" xr:uid="{00000000-0005-0000-0000-0000292B0000}"/>
    <cellStyle name="Calculation 26" xfId="11048" xr:uid="{00000000-0005-0000-0000-00002A2B0000}"/>
    <cellStyle name="Calculation 26 2" xfId="11049" xr:uid="{00000000-0005-0000-0000-00002B2B0000}"/>
    <cellStyle name="Calculation 27" xfId="11050" xr:uid="{00000000-0005-0000-0000-00002C2B0000}"/>
    <cellStyle name="Calculation 27 2" xfId="11051" xr:uid="{00000000-0005-0000-0000-00002D2B0000}"/>
    <cellStyle name="Calculation 3" xfId="11052" xr:uid="{00000000-0005-0000-0000-00002E2B0000}"/>
    <cellStyle name="Calculation 3 10" xfId="11053" xr:uid="{00000000-0005-0000-0000-00002F2B0000}"/>
    <cellStyle name="Calculation 3 11" xfId="11054" xr:uid="{00000000-0005-0000-0000-0000302B0000}"/>
    <cellStyle name="Calculation 3 12" xfId="11055" xr:uid="{00000000-0005-0000-0000-0000312B0000}"/>
    <cellStyle name="Calculation 3 13" xfId="11056" xr:uid="{00000000-0005-0000-0000-0000322B0000}"/>
    <cellStyle name="Calculation 3 14" xfId="11057" xr:uid="{00000000-0005-0000-0000-0000332B0000}"/>
    <cellStyle name="Calculation 3 15" xfId="11058" xr:uid="{00000000-0005-0000-0000-0000342B0000}"/>
    <cellStyle name="Calculation 3 16" xfId="11059" xr:uid="{00000000-0005-0000-0000-0000352B0000}"/>
    <cellStyle name="Calculation 3 17" xfId="11060" xr:uid="{00000000-0005-0000-0000-0000362B0000}"/>
    <cellStyle name="Calculation 3 18" xfId="11061" xr:uid="{00000000-0005-0000-0000-0000372B0000}"/>
    <cellStyle name="Calculation 3 19" xfId="11062" xr:uid="{00000000-0005-0000-0000-0000382B0000}"/>
    <cellStyle name="Calculation 3 2" xfId="11063" xr:uid="{00000000-0005-0000-0000-0000392B0000}"/>
    <cellStyle name="Calculation 3 2 10" xfId="11064" xr:uid="{00000000-0005-0000-0000-00003A2B0000}"/>
    <cellStyle name="Calculation 3 2 11" xfId="11065" xr:uid="{00000000-0005-0000-0000-00003B2B0000}"/>
    <cellStyle name="Calculation 3 2 12" xfId="11066" xr:uid="{00000000-0005-0000-0000-00003C2B0000}"/>
    <cellStyle name="Calculation 3 2 13" xfId="11067" xr:uid="{00000000-0005-0000-0000-00003D2B0000}"/>
    <cellStyle name="Calculation 3 2 14" xfId="11068" xr:uid="{00000000-0005-0000-0000-00003E2B0000}"/>
    <cellStyle name="Calculation 3 2 15" xfId="11069" xr:uid="{00000000-0005-0000-0000-00003F2B0000}"/>
    <cellStyle name="Calculation 3 2 16" xfId="11070" xr:uid="{00000000-0005-0000-0000-0000402B0000}"/>
    <cellStyle name="Calculation 3 2 17" xfId="11071" xr:uid="{00000000-0005-0000-0000-0000412B0000}"/>
    <cellStyle name="Calculation 3 2 18" xfId="11072" xr:uid="{00000000-0005-0000-0000-0000422B0000}"/>
    <cellStyle name="Calculation 3 2 19" xfId="11073" xr:uid="{00000000-0005-0000-0000-0000432B0000}"/>
    <cellStyle name="Calculation 3 2 2" xfId="11074" xr:uid="{00000000-0005-0000-0000-0000442B0000}"/>
    <cellStyle name="Calculation 3 2 2 10" xfId="11075" xr:uid="{00000000-0005-0000-0000-0000452B0000}"/>
    <cellStyle name="Calculation 3 2 2 11" xfId="11076" xr:uid="{00000000-0005-0000-0000-0000462B0000}"/>
    <cellStyle name="Calculation 3 2 2 12" xfId="11077" xr:uid="{00000000-0005-0000-0000-0000472B0000}"/>
    <cellStyle name="Calculation 3 2 2 13" xfId="11078" xr:uid="{00000000-0005-0000-0000-0000482B0000}"/>
    <cellStyle name="Calculation 3 2 2 14" xfId="11079" xr:uid="{00000000-0005-0000-0000-0000492B0000}"/>
    <cellStyle name="Calculation 3 2 2 15" xfId="11080" xr:uid="{00000000-0005-0000-0000-00004A2B0000}"/>
    <cellStyle name="Calculation 3 2 2 16" xfId="11081" xr:uid="{00000000-0005-0000-0000-00004B2B0000}"/>
    <cellStyle name="Calculation 3 2 2 17" xfId="11082" xr:uid="{00000000-0005-0000-0000-00004C2B0000}"/>
    <cellStyle name="Calculation 3 2 2 18" xfId="11083" xr:uid="{00000000-0005-0000-0000-00004D2B0000}"/>
    <cellStyle name="Calculation 3 2 2 19" xfId="11084" xr:uid="{00000000-0005-0000-0000-00004E2B0000}"/>
    <cellStyle name="Calculation 3 2 2 2" xfId="11085" xr:uid="{00000000-0005-0000-0000-00004F2B0000}"/>
    <cellStyle name="Calculation 3 2 2 2 10" xfId="11086" xr:uid="{00000000-0005-0000-0000-0000502B0000}"/>
    <cellStyle name="Calculation 3 2 2 2 11" xfId="11087" xr:uid="{00000000-0005-0000-0000-0000512B0000}"/>
    <cellStyle name="Calculation 3 2 2 2 12" xfId="11088" xr:uid="{00000000-0005-0000-0000-0000522B0000}"/>
    <cellStyle name="Calculation 3 2 2 2 13" xfId="11089" xr:uid="{00000000-0005-0000-0000-0000532B0000}"/>
    <cellStyle name="Calculation 3 2 2 2 14" xfId="11090" xr:uid="{00000000-0005-0000-0000-0000542B0000}"/>
    <cellStyle name="Calculation 3 2 2 2 15" xfId="11091" xr:uid="{00000000-0005-0000-0000-0000552B0000}"/>
    <cellStyle name="Calculation 3 2 2 2 16" xfId="11092" xr:uid="{00000000-0005-0000-0000-0000562B0000}"/>
    <cellStyle name="Calculation 3 2 2 2 17" xfId="11093" xr:uid="{00000000-0005-0000-0000-0000572B0000}"/>
    <cellStyle name="Calculation 3 2 2 2 18" xfId="11094" xr:uid="{00000000-0005-0000-0000-0000582B0000}"/>
    <cellStyle name="Calculation 3 2 2 2 19" xfId="11095" xr:uid="{00000000-0005-0000-0000-0000592B0000}"/>
    <cellStyle name="Calculation 3 2 2 2 2" xfId="11096" xr:uid="{00000000-0005-0000-0000-00005A2B0000}"/>
    <cellStyle name="Calculation 3 2 2 2 2 2" xfId="11097" xr:uid="{00000000-0005-0000-0000-00005B2B0000}"/>
    <cellStyle name="Calculation 3 2 2 2 2 2 2" xfId="11098" xr:uid="{00000000-0005-0000-0000-00005C2B0000}"/>
    <cellStyle name="Calculation 3 2 2 2 2 2 3" xfId="11099" xr:uid="{00000000-0005-0000-0000-00005D2B0000}"/>
    <cellStyle name="Calculation 3 2 2 2 2 3" xfId="11100" xr:uid="{00000000-0005-0000-0000-00005E2B0000}"/>
    <cellStyle name="Calculation 3 2 2 2 2 3 2" xfId="11101" xr:uid="{00000000-0005-0000-0000-00005F2B0000}"/>
    <cellStyle name="Calculation 3 2 2 2 2 3 3" xfId="11102" xr:uid="{00000000-0005-0000-0000-0000602B0000}"/>
    <cellStyle name="Calculation 3 2 2 2 2 4" xfId="11103" xr:uid="{00000000-0005-0000-0000-0000612B0000}"/>
    <cellStyle name="Calculation 3 2 2 2 2 5" xfId="11104" xr:uid="{00000000-0005-0000-0000-0000622B0000}"/>
    <cellStyle name="Calculation 3 2 2 2 20" xfId="11105" xr:uid="{00000000-0005-0000-0000-0000632B0000}"/>
    <cellStyle name="Calculation 3 2 2 2 21" xfId="11106" xr:uid="{00000000-0005-0000-0000-0000642B0000}"/>
    <cellStyle name="Calculation 3 2 2 2 22" xfId="11107" xr:uid="{00000000-0005-0000-0000-0000652B0000}"/>
    <cellStyle name="Calculation 3 2 2 2 23" xfId="11108" xr:uid="{00000000-0005-0000-0000-0000662B0000}"/>
    <cellStyle name="Calculation 3 2 2 2 24" xfId="11109" xr:uid="{00000000-0005-0000-0000-0000672B0000}"/>
    <cellStyle name="Calculation 3 2 2 2 25" xfId="11110" xr:uid="{00000000-0005-0000-0000-0000682B0000}"/>
    <cellStyle name="Calculation 3 2 2 2 26" xfId="11111" xr:uid="{00000000-0005-0000-0000-0000692B0000}"/>
    <cellStyle name="Calculation 3 2 2 2 27" xfId="11112" xr:uid="{00000000-0005-0000-0000-00006A2B0000}"/>
    <cellStyle name="Calculation 3 2 2 2 28" xfId="11113" xr:uid="{00000000-0005-0000-0000-00006B2B0000}"/>
    <cellStyle name="Calculation 3 2 2 2 29" xfId="11114" xr:uid="{00000000-0005-0000-0000-00006C2B0000}"/>
    <cellStyle name="Calculation 3 2 2 2 3" xfId="11115" xr:uid="{00000000-0005-0000-0000-00006D2B0000}"/>
    <cellStyle name="Calculation 3 2 2 2 3 2" xfId="11116" xr:uid="{00000000-0005-0000-0000-00006E2B0000}"/>
    <cellStyle name="Calculation 3 2 2 2 3 2 2" xfId="11117" xr:uid="{00000000-0005-0000-0000-00006F2B0000}"/>
    <cellStyle name="Calculation 3 2 2 2 3 2 3" xfId="11118" xr:uid="{00000000-0005-0000-0000-0000702B0000}"/>
    <cellStyle name="Calculation 3 2 2 2 3 3" xfId="11119" xr:uid="{00000000-0005-0000-0000-0000712B0000}"/>
    <cellStyle name="Calculation 3 2 2 2 3 3 2" xfId="11120" xr:uid="{00000000-0005-0000-0000-0000722B0000}"/>
    <cellStyle name="Calculation 3 2 2 2 3 3 3" xfId="11121" xr:uid="{00000000-0005-0000-0000-0000732B0000}"/>
    <cellStyle name="Calculation 3 2 2 2 3 4" xfId="11122" xr:uid="{00000000-0005-0000-0000-0000742B0000}"/>
    <cellStyle name="Calculation 3 2 2 2 3 5" xfId="11123" xr:uid="{00000000-0005-0000-0000-0000752B0000}"/>
    <cellStyle name="Calculation 3 2 2 2 30" xfId="11124" xr:uid="{00000000-0005-0000-0000-0000762B0000}"/>
    <cellStyle name="Calculation 3 2 2 2 31" xfId="11125" xr:uid="{00000000-0005-0000-0000-0000772B0000}"/>
    <cellStyle name="Calculation 3 2 2 2 32" xfId="11126" xr:uid="{00000000-0005-0000-0000-0000782B0000}"/>
    <cellStyle name="Calculation 3 2 2 2 33" xfId="11127" xr:uid="{00000000-0005-0000-0000-0000792B0000}"/>
    <cellStyle name="Calculation 3 2 2 2 34" xfId="11128" xr:uid="{00000000-0005-0000-0000-00007A2B0000}"/>
    <cellStyle name="Calculation 3 2 2 2 4" xfId="11129" xr:uid="{00000000-0005-0000-0000-00007B2B0000}"/>
    <cellStyle name="Calculation 3 2 2 2 4 2" xfId="11130" xr:uid="{00000000-0005-0000-0000-00007C2B0000}"/>
    <cellStyle name="Calculation 3 2 2 2 4 3" xfId="11131" xr:uid="{00000000-0005-0000-0000-00007D2B0000}"/>
    <cellStyle name="Calculation 3 2 2 2 5" xfId="11132" xr:uid="{00000000-0005-0000-0000-00007E2B0000}"/>
    <cellStyle name="Calculation 3 2 2 2 5 2" xfId="11133" xr:uid="{00000000-0005-0000-0000-00007F2B0000}"/>
    <cellStyle name="Calculation 3 2 2 2 5 3" xfId="11134" xr:uid="{00000000-0005-0000-0000-0000802B0000}"/>
    <cellStyle name="Calculation 3 2 2 2 6" xfId="11135" xr:uid="{00000000-0005-0000-0000-0000812B0000}"/>
    <cellStyle name="Calculation 3 2 2 2 7" xfId="11136" xr:uid="{00000000-0005-0000-0000-0000822B0000}"/>
    <cellStyle name="Calculation 3 2 2 2 8" xfId="11137" xr:uid="{00000000-0005-0000-0000-0000832B0000}"/>
    <cellStyle name="Calculation 3 2 2 2 9" xfId="11138" xr:uid="{00000000-0005-0000-0000-0000842B0000}"/>
    <cellStyle name="Calculation 3 2 2 20" xfId="11139" xr:uid="{00000000-0005-0000-0000-0000852B0000}"/>
    <cellStyle name="Calculation 3 2 2 21" xfId="11140" xr:uid="{00000000-0005-0000-0000-0000862B0000}"/>
    <cellStyle name="Calculation 3 2 2 22" xfId="11141" xr:uid="{00000000-0005-0000-0000-0000872B0000}"/>
    <cellStyle name="Calculation 3 2 2 23" xfId="11142" xr:uid="{00000000-0005-0000-0000-0000882B0000}"/>
    <cellStyle name="Calculation 3 2 2 24" xfId="11143" xr:uid="{00000000-0005-0000-0000-0000892B0000}"/>
    <cellStyle name="Calculation 3 2 2 25" xfId="11144" xr:uid="{00000000-0005-0000-0000-00008A2B0000}"/>
    <cellStyle name="Calculation 3 2 2 26" xfId="11145" xr:uid="{00000000-0005-0000-0000-00008B2B0000}"/>
    <cellStyle name="Calculation 3 2 2 27" xfId="11146" xr:uid="{00000000-0005-0000-0000-00008C2B0000}"/>
    <cellStyle name="Calculation 3 2 2 28" xfId="11147" xr:uid="{00000000-0005-0000-0000-00008D2B0000}"/>
    <cellStyle name="Calculation 3 2 2 29" xfId="11148" xr:uid="{00000000-0005-0000-0000-00008E2B0000}"/>
    <cellStyle name="Calculation 3 2 2 3" xfId="11149" xr:uid="{00000000-0005-0000-0000-00008F2B0000}"/>
    <cellStyle name="Calculation 3 2 2 3 2" xfId="11150" xr:uid="{00000000-0005-0000-0000-0000902B0000}"/>
    <cellStyle name="Calculation 3 2 2 3 2 2" xfId="11151" xr:uid="{00000000-0005-0000-0000-0000912B0000}"/>
    <cellStyle name="Calculation 3 2 2 3 2 3" xfId="11152" xr:uid="{00000000-0005-0000-0000-0000922B0000}"/>
    <cellStyle name="Calculation 3 2 2 3 3" xfId="11153" xr:uid="{00000000-0005-0000-0000-0000932B0000}"/>
    <cellStyle name="Calculation 3 2 2 3 3 2" xfId="11154" xr:uid="{00000000-0005-0000-0000-0000942B0000}"/>
    <cellStyle name="Calculation 3 2 2 3 3 3" xfId="11155" xr:uid="{00000000-0005-0000-0000-0000952B0000}"/>
    <cellStyle name="Calculation 3 2 2 3 4" xfId="11156" xr:uid="{00000000-0005-0000-0000-0000962B0000}"/>
    <cellStyle name="Calculation 3 2 2 3 5" xfId="11157" xr:uid="{00000000-0005-0000-0000-0000972B0000}"/>
    <cellStyle name="Calculation 3 2 2 30" xfId="11158" xr:uid="{00000000-0005-0000-0000-0000982B0000}"/>
    <cellStyle name="Calculation 3 2 2 31" xfId="11159" xr:uid="{00000000-0005-0000-0000-0000992B0000}"/>
    <cellStyle name="Calculation 3 2 2 32" xfId="11160" xr:uid="{00000000-0005-0000-0000-00009A2B0000}"/>
    <cellStyle name="Calculation 3 2 2 4" xfId="11161" xr:uid="{00000000-0005-0000-0000-00009B2B0000}"/>
    <cellStyle name="Calculation 3 2 2 4 2" xfId="11162" xr:uid="{00000000-0005-0000-0000-00009C2B0000}"/>
    <cellStyle name="Calculation 3 2 2 4 3" xfId="11163" xr:uid="{00000000-0005-0000-0000-00009D2B0000}"/>
    <cellStyle name="Calculation 3 2 2 5" xfId="11164" xr:uid="{00000000-0005-0000-0000-00009E2B0000}"/>
    <cellStyle name="Calculation 3 2 2 5 2" xfId="11165" xr:uid="{00000000-0005-0000-0000-00009F2B0000}"/>
    <cellStyle name="Calculation 3 2 2 5 3" xfId="11166" xr:uid="{00000000-0005-0000-0000-0000A02B0000}"/>
    <cellStyle name="Calculation 3 2 2 6" xfId="11167" xr:uid="{00000000-0005-0000-0000-0000A12B0000}"/>
    <cellStyle name="Calculation 3 2 2 7" xfId="11168" xr:uid="{00000000-0005-0000-0000-0000A22B0000}"/>
    <cellStyle name="Calculation 3 2 2 8" xfId="11169" xr:uid="{00000000-0005-0000-0000-0000A32B0000}"/>
    <cellStyle name="Calculation 3 2 2 9" xfId="11170" xr:uid="{00000000-0005-0000-0000-0000A42B0000}"/>
    <cellStyle name="Calculation 3 2 20" xfId="11171" xr:uid="{00000000-0005-0000-0000-0000A52B0000}"/>
    <cellStyle name="Calculation 3 2 21" xfId="11172" xr:uid="{00000000-0005-0000-0000-0000A62B0000}"/>
    <cellStyle name="Calculation 3 2 22" xfId="11173" xr:uid="{00000000-0005-0000-0000-0000A72B0000}"/>
    <cellStyle name="Calculation 3 2 23" xfId="11174" xr:uid="{00000000-0005-0000-0000-0000A82B0000}"/>
    <cellStyle name="Calculation 3 2 24" xfId="11175" xr:uid="{00000000-0005-0000-0000-0000A92B0000}"/>
    <cellStyle name="Calculation 3 2 25" xfId="11176" xr:uid="{00000000-0005-0000-0000-0000AA2B0000}"/>
    <cellStyle name="Calculation 3 2 26" xfId="11177" xr:uid="{00000000-0005-0000-0000-0000AB2B0000}"/>
    <cellStyle name="Calculation 3 2 27" xfId="11178" xr:uid="{00000000-0005-0000-0000-0000AC2B0000}"/>
    <cellStyle name="Calculation 3 2 28" xfId="11179" xr:uid="{00000000-0005-0000-0000-0000AD2B0000}"/>
    <cellStyle name="Calculation 3 2 29" xfId="11180" xr:uid="{00000000-0005-0000-0000-0000AE2B0000}"/>
    <cellStyle name="Calculation 3 2 3" xfId="11181" xr:uid="{00000000-0005-0000-0000-0000AF2B0000}"/>
    <cellStyle name="Calculation 3 2 3 10" xfId="11182" xr:uid="{00000000-0005-0000-0000-0000B02B0000}"/>
    <cellStyle name="Calculation 3 2 3 11" xfId="11183" xr:uid="{00000000-0005-0000-0000-0000B12B0000}"/>
    <cellStyle name="Calculation 3 2 3 12" xfId="11184" xr:uid="{00000000-0005-0000-0000-0000B22B0000}"/>
    <cellStyle name="Calculation 3 2 3 13" xfId="11185" xr:uid="{00000000-0005-0000-0000-0000B32B0000}"/>
    <cellStyle name="Calculation 3 2 3 14" xfId="11186" xr:uid="{00000000-0005-0000-0000-0000B42B0000}"/>
    <cellStyle name="Calculation 3 2 3 15" xfId="11187" xr:uid="{00000000-0005-0000-0000-0000B52B0000}"/>
    <cellStyle name="Calculation 3 2 3 16" xfId="11188" xr:uid="{00000000-0005-0000-0000-0000B62B0000}"/>
    <cellStyle name="Calculation 3 2 3 17" xfId="11189" xr:uid="{00000000-0005-0000-0000-0000B72B0000}"/>
    <cellStyle name="Calculation 3 2 3 18" xfId="11190" xr:uid="{00000000-0005-0000-0000-0000B82B0000}"/>
    <cellStyle name="Calculation 3 2 3 19" xfId="11191" xr:uid="{00000000-0005-0000-0000-0000B92B0000}"/>
    <cellStyle name="Calculation 3 2 3 2" xfId="11192" xr:uid="{00000000-0005-0000-0000-0000BA2B0000}"/>
    <cellStyle name="Calculation 3 2 3 2 2" xfId="11193" xr:uid="{00000000-0005-0000-0000-0000BB2B0000}"/>
    <cellStyle name="Calculation 3 2 3 2 2 2" xfId="11194" xr:uid="{00000000-0005-0000-0000-0000BC2B0000}"/>
    <cellStyle name="Calculation 3 2 3 2 2 3" xfId="11195" xr:uid="{00000000-0005-0000-0000-0000BD2B0000}"/>
    <cellStyle name="Calculation 3 2 3 2 3" xfId="11196" xr:uid="{00000000-0005-0000-0000-0000BE2B0000}"/>
    <cellStyle name="Calculation 3 2 3 2 3 2" xfId="11197" xr:uid="{00000000-0005-0000-0000-0000BF2B0000}"/>
    <cellStyle name="Calculation 3 2 3 2 3 3" xfId="11198" xr:uid="{00000000-0005-0000-0000-0000C02B0000}"/>
    <cellStyle name="Calculation 3 2 3 2 4" xfId="11199" xr:uid="{00000000-0005-0000-0000-0000C12B0000}"/>
    <cellStyle name="Calculation 3 2 3 2 5" xfId="11200" xr:uid="{00000000-0005-0000-0000-0000C22B0000}"/>
    <cellStyle name="Calculation 3 2 3 20" xfId="11201" xr:uid="{00000000-0005-0000-0000-0000C32B0000}"/>
    <cellStyle name="Calculation 3 2 3 21" xfId="11202" xr:uid="{00000000-0005-0000-0000-0000C42B0000}"/>
    <cellStyle name="Calculation 3 2 3 22" xfId="11203" xr:uid="{00000000-0005-0000-0000-0000C52B0000}"/>
    <cellStyle name="Calculation 3 2 3 23" xfId="11204" xr:uid="{00000000-0005-0000-0000-0000C62B0000}"/>
    <cellStyle name="Calculation 3 2 3 24" xfId="11205" xr:uid="{00000000-0005-0000-0000-0000C72B0000}"/>
    <cellStyle name="Calculation 3 2 3 25" xfId="11206" xr:uid="{00000000-0005-0000-0000-0000C82B0000}"/>
    <cellStyle name="Calculation 3 2 3 26" xfId="11207" xr:uid="{00000000-0005-0000-0000-0000C92B0000}"/>
    <cellStyle name="Calculation 3 2 3 27" xfId="11208" xr:uid="{00000000-0005-0000-0000-0000CA2B0000}"/>
    <cellStyle name="Calculation 3 2 3 28" xfId="11209" xr:uid="{00000000-0005-0000-0000-0000CB2B0000}"/>
    <cellStyle name="Calculation 3 2 3 29" xfId="11210" xr:uid="{00000000-0005-0000-0000-0000CC2B0000}"/>
    <cellStyle name="Calculation 3 2 3 3" xfId="11211" xr:uid="{00000000-0005-0000-0000-0000CD2B0000}"/>
    <cellStyle name="Calculation 3 2 3 3 2" xfId="11212" xr:uid="{00000000-0005-0000-0000-0000CE2B0000}"/>
    <cellStyle name="Calculation 3 2 3 3 2 2" xfId="11213" xr:uid="{00000000-0005-0000-0000-0000CF2B0000}"/>
    <cellStyle name="Calculation 3 2 3 3 2 3" xfId="11214" xr:uid="{00000000-0005-0000-0000-0000D02B0000}"/>
    <cellStyle name="Calculation 3 2 3 3 3" xfId="11215" xr:uid="{00000000-0005-0000-0000-0000D12B0000}"/>
    <cellStyle name="Calculation 3 2 3 3 3 2" xfId="11216" xr:uid="{00000000-0005-0000-0000-0000D22B0000}"/>
    <cellStyle name="Calculation 3 2 3 3 3 3" xfId="11217" xr:uid="{00000000-0005-0000-0000-0000D32B0000}"/>
    <cellStyle name="Calculation 3 2 3 3 4" xfId="11218" xr:uid="{00000000-0005-0000-0000-0000D42B0000}"/>
    <cellStyle name="Calculation 3 2 3 3 5" xfId="11219" xr:uid="{00000000-0005-0000-0000-0000D52B0000}"/>
    <cellStyle name="Calculation 3 2 3 30" xfId="11220" xr:uid="{00000000-0005-0000-0000-0000D62B0000}"/>
    <cellStyle name="Calculation 3 2 3 31" xfId="11221" xr:uid="{00000000-0005-0000-0000-0000D72B0000}"/>
    <cellStyle name="Calculation 3 2 3 32" xfId="11222" xr:uid="{00000000-0005-0000-0000-0000D82B0000}"/>
    <cellStyle name="Calculation 3 2 3 33" xfId="11223" xr:uid="{00000000-0005-0000-0000-0000D92B0000}"/>
    <cellStyle name="Calculation 3 2 3 34" xfId="11224" xr:uid="{00000000-0005-0000-0000-0000DA2B0000}"/>
    <cellStyle name="Calculation 3 2 3 4" xfId="11225" xr:uid="{00000000-0005-0000-0000-0000DB2B0000}"/>
    <cellStyle name="Calculation 3 2 3 4 2" xfId="11226" xr:uid="{00000000-0005-0000-0000-0000DC2B0000}"/>
    <cellStyle name="Calculation 3 2 3 4 3" xfId="11227" xr:uid="{00000000-0005-0000-0000-0000DD2B0000}"/>
    <cellStyle name="Calculation 3 2 3 5" xfId="11228" xr:uid="{00000000-0005-0000-0000-0000DE2B0000}"/>
    <cellStyle name="Calculation 3 2 3 5 2" xfId="11229" xr:uid="{00000000-0005-0000-0000-0000DF2B0000}"/>
    <cellStyle name="Calculation 3 2 3 5 3" xfId="11230" xr:uid="{00000000-0005-0000-0000-0000E02B0000}"/>
    <cellStyle name="Calculation 3 2 3 6" xfId="11231" xr:uid="{00000000-0005-0000-0000-0000E12B0000}"/>
    <cellStyle name="Calculation 3 2 3 7" xfId="11232" xr:uid="{00000000-0005-0000-0000-0000E22B0000}"/>
    <cellStyle name="Calculation 3 2 3 8" xfId="11233" xr:uid="{00000000-0005-0000-0000-0000E32B0000}"/>
    <cellStyle name="Calculation 3 2 3 9" xfId="11234" xr:uid="{00000000-0005-0000-0000-0000E42B0000}"/>
    <cellStyle name="Calculation 3 2 30" xfId="11235" xr:uid="{00000000-0005-0000-0000-0000E52B0000}"/>
    <cellStyle name="Calculation 3 2 31" xfId="11236" xr:uid="{00000000-0005-0000-0000-0000E62B0000}"/>
    <cellStyle name="Calculation 3 2 32" xfId="11237" xr:uid="{00000000-0005-0000-0000-0000E72B0000}"/>
    <cellStyle name="Calculation 3 2 33" xfId="11238" xr:uid="{00000000-0005-0000-0000-0000E82B0000}"/>
    <cellStyle name="Calculation 3 2 4" xfId="11239" xr:uid="{00000000-0005-0000-0000-0000E92B0000}"/>
    <cellStyle name="Calculation 3 2 4 2" xfId="11240" xr:uid="{00000000-0005-0000-0000-0000EA2B0000}"/>
    <cellStyle name="Calculation 3 2 4 2 2" xfId="11241" xr:uid="{00000000-0005-0000-0000-0000EB2B0000}"/>
    <cellStyle name="Calculation 3 2 4 2 3" xfId="11242" xr:uid="{00000000-0005-0000-0000-0000EC2B0000}"/>
    <cellStyle name="Calculation 3 2 4 3" xfId="11243" xr:uid="{00000000-0005-0000-0000-0000ED2B0000}"/>
    <cellStyle name="Calculation 3 2 4 3 2" xfId="11244" xr:uid="{00000000-0005-0000-0000-0000EE2B0000}"/>
    <cellStyle name="Calculation 3 2 4 3 3" xfId="11245" xr:uid="{00000000-0005-0000-0000-0000EF2B0000}"/>
    <cellStyle name="Calculation 3 2 4 4" xfId="11246" xr:uid="{00000000-0005-0000-0000-0000F02B0000}"/>
    <cellStyle name="Calculation 3 2 4 5" xfId="11247" xr:uid="{00000000-0005-0000-0000-0000F12B0000}"/>
    <cellStyle name="Calculation 3 2 5" xfId="11248" xr:uid="{00000000-0005-0000-0000-0000F22B0000}"/>
    <cellStyle name="Calculation 3 2 5 2" xfId="11249" xr:uid="{00000000-0005-0000-0000-0000F32B0000}"/>
    <cellStyle name="Calculation 3 2 5 3" xfId="11250" xr:uid="{00000000-0005-0000-0000-0000F42B0000}"/>
    <cellStyle name="Calculation 3 2 6" xfId="11251" xr:uid="{00000000-0005-0000-0000-0000F52B0000}"/>
    <cellStyle name="Calculation 3 2 6 2" xfId="11252" xr:uid="{00000000-0005-0000-0000-0000F62B0000}"/>
    <cellStyle name="Calculation 3 2 6 3" xfId="11253" xr:uid="{00000000-0005-0000-0000-0000F72B0000}"/>
    <cellStyle name="Calculation 3 2 7" xfId="11254" xr:uid="{00000000-0005-0000-0000-0000F82B0000}"/>
    <cellStyle name="Calculation 3 2 8" xfId="11255" xr:uid="{00000000-0005-0000-0000-0000F92B0000}"/>
    <cellStyle name="Calculation 3 2 9" xfId="11256" xr:uid="{00000000-0005-0000-0000-0000FA2B0000}"/>
    <cellStyle name="Calculation 3 20" xfId="11257" xr:uid="{00000000-0005-0000-0000-0000FB2B0000}"/>
    <cellStyle name="Calculation 3 21" xfId="11258" xr:uid="{00000000-0005-0000-0000-0000FC2B0000}"/>
    <cellStyle name="Calculation 3 22" xfId="11259" xr:uid="{00000000-0005-0000-0000-0000FD2B0000}"/>
    <cellStyle name="Calculation 3 23" xfId="11260" xr:uid="{00000000-0005-0000-0000-0000FE2B0000}"/>
    <cellStyle name="Calculation 3 24" xfId="11261" xr:uid="{00000000-0005-0000-0000-0000FF2B0000}"/>
    <cellStyle name="Calculation 3 25" xfId="11262" xr:uid="{00000000-0005-0000-0000-0000002C0000}"/>
    <cellStyle name="Calculation 3 26" xfId="11263" xr:uid="{00000000-0005-0000-0000-0000012C0000}"/>
    <cellStyle name="Calculation 3 27" xfId="11264" xr:uid="{00000000-0005-0000-0000-0000022C0000}"/>
    <cellStyle name="Calculation 3 28" xfId="11265" xr:uid="{00000000-0005-0000-0000-0000032C0000}"/>
    <cellStyle name="Calculation 3 29" xfId="11266" xr:uid="{00000000-0005-0000-0000-0000042C0000}"/>
    <cellStyle name="Calculation 3 3" xfId="11267" xr:uid="{00000000-0005-0000-0000-0000052C0000}"/>
    <cellStyle name="Calculation 3 3 10" xfId="11268" xr:uid="{00000000-0005-0000-0000-0000062C0000}"/>
    <cellStyle name="Calculation 3 3 11" xfId="11269" xr:uid="{00000000-0005-0000-0000-0000072C0000}"/>
    <cellStyle name="Calculation 3 3 12" xfId="11270" xr:uid="{00000000-0005-0000-0000-0000082C0000}"/>
    <cellStyle name="Calculation 3 3 13" xfId="11271" xr:uid="{00000000-0005-0000-0000-0000092C0000}"/>
    <cellStyle name="Calculation 3 3 14" xfId="11272" xr:uid="{00000000-0005-0000-0000-00000A2C0000}"/>
    <cellStyle name="Calculation 3 3 15" xfId="11273" xr:uid="{00000000-0005-0000-0000-00000B2C0000}"/>
    <cellStyle name="Calculation 3 3 16" xfId="11274" xr:uid="{00000000-0005-0000-0000-00000C2C0000}"/>
    <cellStyle name="Calculation 3 3 17" xfId="11275" xr:uid="{00000000-0005-0000-0000-00000D2C0000}"/>
    <cellStyle name="Calculation 3 3 18" xfId="11276" xr:uid="{00000000-0005-0000-0000-00000E2C0000}"/>
    <cellStyle name="Calculation 3 3 19" xfId="11277" xr:uid="{00000000-0005-0000-0000-00000F2C0000}"/>
    <cellStyle name="Calculation 3 3 2" xfId="11278" xr:uid="{00000000-0005-0000-0000-0000102C0000}"/>
    <cellStyle name="Calculation 3 3 2 10" xfId="11279" xr:uid="{00000000-0005-0000-0000-0000112C0000}"/>
    <cellStyle name="Calculation 3 3 2 11" xfId="11280" xr:uid="{00000000-0005-0000-0000-0000122C0000}"/>
    <cellStyle name="Calculation 3 3 2 12" xfId="11281" xr:uid="{00000000-0005-0000-0000-0000132C0000}"/>
    <cellStyle name="Calculation 3 3 2 13" xfId="11282" xr:uid="{00000000-0005-0000-0000-0000142C0000}"/>
    <cellStyle name="Calculation 3 3 2 14" xfId="11283" xr:uid="{00000000-0005-0000-0000-0000152C0000}"/>
    <cellStyle name="Calculation 3 3 2 15" xfId="11284" xr:uid="{00000000-0005-0000-0000-0000162C0000}"/>
    <cellStyle name="Calculation 3 3 2 16" xfId="11285" xr:uid="{00000000-0005-0000-0000-0000172C0000}"/>
    <cellStyle name="Calculation 3 3 2 17" xfId="11286" xr:uid="{00000000-0005-0000-0000-0000182C0000}"/>
    <cellStyle name="Calculation 3 3 2 18" xfId="11287" xr:uid="{00000000-0005-0000-0000-0000192C0000}"/>
    <cellStyle name="Calculation 3 3 2 19" xfId="11288" xr:uid="{00000000-0005-0000-0000-00001A2C0000}"/>
    <cellStyle name="Calculation 3 3 2 2" xfId="11289" xr:uid="{00000000-0005-0000-0000-00001B2C0000}"/>
    <cellStyle name="Calculation 3 3 2 2 2" xfId="11290" xr:uid="{00000000-0005-0000-0000-00001C2C0000}"/>
    <cellStyle name="Calculation 3 3 2 2 2 2" xfId="11291" xr:uid="{00000000-0005-0000-0000-00001D2C0000}"/>
    <cellStyle name="Calculation 3 3 2 2 2 3" xfId="11292" xr:uid="{00000000-0005-0000-0000-00001E2C0000}"/>
    <cellStyle name="Calculation 3 3 2 2 3" xfId="11293" xr:uid="{00000000-0005-0000-0000-00001F2C0000}"/>
    <cellStyle name="Calculation 3 3 2 2 3 2" xfId="11294" xr:uid="{00000000-0005-0000-0000-0000202C0000}"/>
    <cellStyle name="Calculation 3 3 2 2 3 3" xfId="11295" xr:uid="{00000000-0005-0000-0000-0000212C0000}"/>
    <cellStyle name="Calculation 3 3 2 2 4" xfId="11296" xr:uid="{00000000-0005-0000-0000-0000222C0000}"/>
    <cellStyle name="Calculation 3 3 2 2 5" xfId="11297" xr:uid="{00000000-0005-0000-0000-0000232C0000}"/>
    <cellStyle name="Calculation 3 3 2 20" xfId="11298" xr:uid="{00000000-0005-0000-0000-0000242C0000}"/>
    <cellStyle name="Calculation 3 3 2 21" xfId="11299" xr:uid="{00000000-0005-0000-0000-0000252C0000}"/>
    <cellStyle name="Calculation 3 3 2 22" xfId="11300" xr:uid="{00000000-0005-0000-0000-0000262C0000}"/>
    <cellStyle name="Calculation 3 3 2 23" xfId="11301" xr:uid="{00000000-0005-0000-0000-0000272C0000}"/>
    <cellStyle name="Calculation 3 3 2 24" xfId="11302" xr:uid="{00000000-0005-0000-0000-0000282C0000}"/>
    <cellStyle name="Calculation 3 3 2 25" xfId="11303" xr:uid="{00000000-0005-0000-0000-0000292C0000}"/>
    <cellStyle name="Calculation 3 3 2 26" xfId="11304" xr:uid="{00000000-0005-0000-0000-00002A2C0000}"/>
    <cellStyle name="Calculation 3 3 2 27" xfId="11305" xr:uid="{00000000-0005-0000-0000-00002B2C0000}"/>
    <cellStyle name="Calculation 3 3 2 28" xfId="11306" xr:uid="{00000000-0005-0000-0000-00002C2C0000}"/>
    <cellStyle name="Calculation 3 3 2 29" xfId="11307" xr:uid="{00000000-0005-0000-0000-00002D2C0000}"/>
    <cellStyle name="Calculation 3 3 2 3" xfId="11308" xr:uid="{00000000-0005-0000-0000-00002E2C0000}"/>
    <cellStyle name="Calculation 3 3 2 3 2" xfId="11309" xr:uid="{00000000-0005-0000-0000-00002F2C0000}"/>
    <cellStyle name="Calculation 3 3 2 3 2 2" xfId="11310" xr:uid="{00000000-0005-0000-0000-0000302C0000}"/>
    <cellStyle name="Calculation 3 3 2 3 2 3" xfId="11311" xr:uid="{00000000-0005-0000-0000-0000312C0000}"/>
    <cellStyle name="Calculation 3 3 2 3 3" xfId="11312" xr:uid="{00000000-0005-0000-0000-0000322C0000}"/>
    <cellStyle name="Calculation 3 3 2 3 3 2" xfId="11313" xr:uid="{00000000-0005-0000-0000-0000332C0000}"/>
    <cellStyle name="Calculation 3 3 2 3 3 3" xfId="11314" xr:uid="{00000000-0005-0000-0000-0000342C0000}"/>
    <cellStyle name="Calculation 3 3 2 3 4" xfId="11315" xr:uid="{00000000-0005-0000-0000-0000352C0000}"/>
    <cellStyle name="Calculation 3 3 2 3 5" xfId="11316" xr:uid="{00000000-0005-0000-0000-0000362C0000}"/>
    <cellStyle name="Calculation 3 3 2 30" xfId="11317" xr:uid="{00000000-0005-0000-0000-0000372C0000}"/>
    <cellStyle name="Calculation 3 3 2 31" xfId="11318" xr:uid="{00000000-0005-0000-0000-0000382C0000}"/>
    <cellStyle name="Calculation 3 3 2 32" xfId="11319" xr:uid="{00000000-0005-0000-0000-0000392C0000}"/>
    <cellStyle name="Calculation 3 3 2 33" xfId="11320" xr:uid="{00000000-0005-0000-0000-00003A2C0000}"/>
    <cellStyle name="Calculation 3 3 2 34" xfId="11321" xr:uid="{00000000-0005-0000-0000-00003B2C0000}"/>
    <cellStyle name="Calculation 3 3 2 4" xfId="11322" xr:uid="{00000000-0005-0000-0000-00003C2C0000}"/>
    <cellStyle name="Calculation 3 3 2 4 2" xfId="11323" xr:uid="{00000000-0005-0000-0000-00003D2C0000}"/>
    <cellStyle name="Calculation 3 3 2 4 3" xfId="11324" xr:uid="{00000000-0005-0000-0000-00003E2C0000}"/>
    <cellStyle name="Calculation 3 3 2 5" xfId="11325" xr:uid="{00000000-0005-0000-0000-00003F2C0000}"/>
    <cellStyle name="Calculation 3 3 2 5 2" xfId="11326" xr:uid="{00000000-0005-0000-0000-0000402C0000}"/>
    <cellStyle name="Calculation 3 3 2 5 3" xfId="11327" xr:uid="{00000000-0005-0000-0000-0000412C0000}"/>
    <cellStyle name="Calculation 3 3 2 6" xfId="11328" xr:uid="{00000000-0005-0000-0000-0000422C0000}"/>
    <cellStyle name="Calculation 3 3 2 7" xfId="11329" xr:uid="{00000000-0005-0000-0000-0000432C0000}"/>
    <cellStyle name="Calculation 3 3 2 8" xfId="11330" xr:uid="{00000000-0005-0000-0000-0000442C0000}"/>
    <cellStyle name="Calculation 3 3 2 9" xfId="11331" xr:uid="{00000000-0005-0000-0000-0000452C0000}"/>
    <cellStyle name="Calculation 3 3 20" xfId="11332" xr:uid="{00000000-0005-0000-0000-0000462C0000}"/>
    <cellStyle name="Calculation 3 3 21" xfId="11333" xr:uid="{00000000-0005-0000-0000-0000472C0000}"/>
    <cellStyle name="Calculation 3 3 22" xfId="11334" xr:uid="{00000000-0005-0000-0000-0000482C0000}"/>
    <cellStyle name="Calculation 3 3 23" xfId="11335" xr:uid="{00000000-0005-0000-0000-0000492C0000}"/>
    <cellStyle name="Calculation 3 3 24" xfId="11336" xr:uid="{00000000-0005-0000-0000-00004A2C0000}"/>
    <cellStyle name="Calculation 3 3 25" xfId="11337" xr:uid="{00000000-0005-0000-0000-00004B2C0000}"/>
    <cellStyle name="Calculation 3 3 26" xfId="11338" xr:uid="{00000000-0005-0000-0000-00004C2C0000}"/>
    <cellStyle name="Calculation 3 3 27" xfId="11339" xr:uid="{00000000-0005-0000-0000-00004D2C0000}"/>
    <cellStyle name="Calculation 3 3 28" xfId="11340" xr:uid="{00000000-0005-0000-0000-00004E2C0000}"/>
    <cellStyle name="Calculation 3 3 29" xfId="11341" xr:uid="{00000000-0005-0000-0000-00004F2C0000}"/>
    <cellStyle name="Calculation 3 3 3" xfId="11342" xr:uid="{00000000-0005-0000-0000-0000502C0000}"/>
    <cellStyle name="Calculation 3 3 3 2" xfId="11343" xr:uid="{00000000-0005-0000-0000-0000512C0000}"/>
    <cellStyle name="Calculation 3 3 3 2 2" xfId="11344" xr:uid="{00000000-0005-0000-0000-0000522C0000}"/>
    <cellStyle name="Calculation 3 3 3 2 3" xfId="11345" xr:uid="{00000000-0005-0000-0000-0000532C0000}"/>
    <cellStyle name="Calculation 3 3 3 3" xfId="11346" xr:uid="{00000000-0005-0000-0000-0000542C0000}"/>
    <cellStyle name="Calculation 3 3 3 3 2" xfId="11347" xr:uid="{00000000-0005-0000-0000-0000552C0000}"/>
    <cellStyle name="Calculation 3 3 3 3 3" xfId="11348" xr:uid="{00000000-0005-0000-0000-0000562C0000}"/>
    <cellStyle name="Calculation 3 3 3 4" xfId="11349" xr:uid="{00000000-0005-0000-0000-0000572C0000}"/>
    <cellStyle name="Calculation 3 3 3 5" xfId="11350" xr:uid="{00000000-0005-0000-0000-0000582C0000}"/>
    <cellStyle name="Calculation 3 3 30" xfId="11351" xr:uid="{00000000-0005-0000-0000-0000592C0000}"/>
    <cellStyle name="Calculation 3 3 31" xfId="11352" xr:uid="{00000000-0005-0000-0000-00005A2C0000}"/>
    <cellStyle name="Calculation 3 3 32" xfId="11353" xr:uid="{00000000-0005-0000-0000-00005B2C0000}"/>
    <cellStyle name="Calculation 3 3 4" xfId="11354" xr:uid="{00000000-0005-0000-0000-00005C2C0000}"/>
    <cellStyle name="Calculation 3 3 4 2" xfId="11355" xr:uid="{00000000-0005-0000-0000-00005D2C0000}"/>
    <cellStyle name="Calculation 3 3 4 3" xfId="11356" xr:uid="{00000000-0005-0000-0000-00005E2C0000}"/>
    <cellStyle name="Calculation 3 3 5" xfId="11357" xr:uid="{00000000-0005-0000-0000-00005F2C0000}"/>
    <cellStyle name="Calculation 3 3 5 2" xfId="11358" xr:uid="{00000000-0005-0000-0000-0000602C0000}"/>
    <cellStyle name="Calculation 3 3 5 3" xfId="11359" xr:uid="{00000000-0005-0000-0000-0000612C0000}"/>
    <cellStyle name="Calculation 3 3 6" xfId="11360" xr:uid="{00000000-0005-0000-0000-0000622C0000}"/>
    <cellStyle name="Calculation 3 3 7" xfId="11361" xr:uid="{00000000-0005-0000-0000-0000632C0000}"/>
    <cellStyle name="Calculation 3 3 8" xfId="11362" xr:uid="{00000000-0005-0000-0000-0000642C0000}"/>
    <cellStyle name="Calculation 3 3 9" xfId="11363" xr:uid="{00000000-0005-0000-0000-0000652C0000}"/>
    <cellStyle name="Calculation 3 30" xfId="11364" xr:uid="{00000000-0005-0000-0000-0000662C0000}"/>
    <cellStyle name="Calculation 3 31" xfId="11365" xr:uid="{00000000-0005-0000-0000-0000672C0000}"/>
    <cellStyle name="Calculation 3 32" xfId="11366" xr:uid="{00000000-0005-0000-0000-0000682C0000}"/>
    <cellStyle name="Calculation 3 33" xfId="11367" xr:uid="{00000000-0005-0000-0000-0000692C0000}"/>
    <cellStyle name="Calculation 3 34" xfId="11368" xr:uid="{00000000-0005-0000-0000-00006A2C0000}"/>
    <cellStyle name="Calculation 3 4" xfId="11369" xr:uid="{00000000-0005-0000-0000-00006B2C0000}"/>
    <cellStyle name="Calculation 3 4 10" xfId="11370" xr:uid="{00000000-0005-0000-0000-00006C2C0000}"/>
    <cellStyle name="Calculation 3 4 11" xfId="11371" xr:uid="{00000000-0005-0000-0000-00006D2C0000}"/>
    <cellStyle name="Calculation 3 4 12" xfId="11372" xr:uid="{00000000-0005-0000-0000-00006E2C0000}"/>
    <cellStyle name="Calculation 3 4 13" xfId="11373" xr:uid="{00000000-0005-0000-0000-00006F2C0000}"/>
    <cellStyle name="Calculation 3 4 14" xfId="11374" xr:uid="{00000000-0005-0000-0000-0000702C0000}"/>
    <cellStyle name="Calculation 3 4 15" xfId="11375" xr:uid="{00000000-0005-0000-0000-0000712C0000}"/>
    <cellStyle name="Calculation 3 4 16" xfId="11376" xr:uid="{00000000-0005-0000-0000-0000722C0000}"/>
    <cellStyle name="Calculation 3 4 17" xfId="11377" xr:uid="{00000000-0005-0000-0000-0000732C0000}"/>
    <cellStyle name="Calculation 3 4 18" xfId="11378" xr:uid="{00000000-0005-0000-0000-0000742C0000}"/>
    <cellStyle name="Calculation 3 4 19" xfId="11379" xr:uid="{00000000-0005-0000-0000-0000752C0000}"/>
    <cellStyle name="Calculation 3 4 2" xfId="11380" xr:uid="{00000000-0005-0000-0000-0000762C0000}"/>
    <cellStyle name="Calculation 3 4 2 2" xfId="11381" xr:uid="{00000000-0005-0000-0000-0000772C0000}"/>
    <cellStyle name="Calculation 3 4 2 2 2" xfId="11382" xr:uid="{00000000-0005-0000-0000-0000782C0000}"/>
    <cellStyle name="Calculation 3 4 2 2 3" xfId="11383" xr:uid="{00000000-0005-0000-0000-0000792C0000}"/>
    <cellStyle name="Calculation 3 4 2 3" xfId="11384" xr:uid="{00000000-0005-0000-0000-00007A2C0000}"/>
    <cellStyle name="Calculation 3 4 2 3 2" xfId="11385" xr:uid="{00000000-0005-0000-0000-00007B2C0000}"/>
    <cellStyle name="Calculation 3 4 2 3 3" xfId="11386" xr:uid="{00000000-0005-0000-0000-00007C2C0000}"/>
    <cellStyle name="Calculation 3 4 2 4" xfId="11387" xr:uid="{00000000-0005-0000-0000-00007D2C0000}"/>
    <cellStyle name="Calculation 3 4 2 5" xfId="11388" xr:uid="{00000000-0005-0000-0000-00007E2C0000}"/>
    <cellStyle name="Calculation 3 4 20" xfId="11389" xr:uid="{00000000-0005-0000-0000-00007F2C0000}"/>
    <cellStyle name="Calculation 3 4 21" xfId="11390" xr:uid="{00000000-0005-0000-0000-0000802C0000}"/>
    <cellStyle name="Calculation 3 4 22" xfId="11391" xr:uid="{00000000-0005-0000-0000-0000812C0000}"/>
    <cellStyle name="Calculation 3 4 23" xfId="11392" xr:uid="{00000000-0005-0000-0000-0000822C0000}"/>
    <cellStyle name="Calculation 3 4 24" xfId="11393" xr:uid="{00000000-0005-0000-0000-0000832C0000}"/>
    <cellStyle name="Calculation 3 4 25" xfId="11394" xr:uid="{00000000-0005-0000-0000-0000842C0000}"/>
    <cellStyle name="Calculation 3 4 26" xfId="11395" xr:uid="{00000000-0005-0000-0000-0000852C0000}"/>
    <cellStyle name="Calculation 3 4 27" xfId="11396" xr:uid="{00000000-0005-0000-0000-0000862C0000}"/>
    <cellStyle name="Calculation 3 4 28" xfId="11397" xr:uid="{00000000-0005-0000-0000-0000872C0000}"/>
    <cellStyle name="Calculation 3 4 29" xfId="11398" xr:uid="{00000000-0005-0000-0000-0000882C0000}"/>
    <cellStyle name="Calculation 3 4 3" xfId="11399" xr:uid="{00000000-0005-0000-0000-0000892C0000}"/>
    <cellStyle name="Calculation 3 4 3 2" xfId="11400" xr:uid="{00000000-0005-0000-0000-00008A2C0000}"/>
    <cellStyle name="Calculation 3 4 3 2 2" xfId="11401" xr:uid="{00000000-0005-0000-0000-00008B2C0000}"/>
    <cellStyle name="Calculation 3 4 3 2 3" xfId="11402" xr:uid="{00000000-0005-0000-0000-00008C2C0000}"/>
    <cellStyle name="Calculation 3 4 3 3" xfId="11403" xr:uid="{00000000-0005-0000-0000-00008D2C0000}"/>
    <cellStyle name="Calculation 3 4 3 3 2" xfId="11404" xr:uid="{00000000-0005-0000-0000-00008E2C0000}"/>
    <cellStyle name="Calculation 3 4 3 3 3" xfId="11405" xr:uid="{00000000-0005-0000-0000-00008F2C0000}"/>
    <cellStyle name="Calculation 3 4 3 4" xfId="11406" xr:uid="{00000000-0005-0000-0000-0000902C0000}"/>
    <cellStyle name="Calculation 3 4 3 5" xfId="11407" xr:uid="{00000000-0005-0000-0000-0000912C0000}"/>
    <cellStyle name="Calculation 3 4 30" xfId="11408" xr:uid="{00000000-0005-0000-0000-0000922C0000}"/>
    <cellStyle name="Calculation 3 4 31" xfId="11409" xr:uid="{00000000-0005-0000-0000-0000932C0000}"/>
    <cellStyle name="Calculation 3 4 32" xfId="11410" xr:uid="{00000000-0005-0000-0000-0000942C0000}"/>
    <cellStyle name="Calculation 3 4 33" xfId="11411" xr:uid="{00000000-0005-0000-0000-0000952C0000}"/>
    <cellStyle name="Calculation 3 4 34" xfId="11412" xr:uid="{00000000-0005-0000-0000-0000962C0000}"/>
    <cellStyle name="Calculation 3 4 4" xfId="11413" xr:uid="{00000000-0005-0000-0000-0000972C0000}"/>
    <cellStyle name="Calculation 3 4 4 2" xfId="11414" xr:uid="{00000000-0005-0000-0000-0000982C0000}"/>
    <cellStyle name="Calculation 3 4 4 3" xfId="11415" xr:uid="{00000000-0005-0000-0000-0000992C0000}"/>
    <cellStyle name="Calculation 3 4 5" xfId="11416" xr:uid="{00000000-0005-0000-0000-00009A2C0000}"/>
    <cellStyle name="Calculation 3 4 5 2" xfId="11417" xr:uid="{00000000-0005-0000-0000-00009B2C0000}"/>
    <cellStyle name="Calculation 3 4 5 3" xfId="11418" xr:uid="{00000000-0005-0000-0000-00009C2C0000}"/>
    <cellStyle name="Calculation 3 4 6" xfId="11419" xr:uid="{00000000-0005-0000-0000-00009D2C0000}"/>
    <cellStyle name="Calculation 3 4 7" xfId="11420" xr:uid="{00000000-0005-0000-0000-00009E2C0000}"/>
    <cellStyle name="Calculation 3 4 8" xfId="11421" xr:uid="{00000000-0005-0000-0000-00009F2C0000}"/>
    <cellStyle name="Calculation 3 4 9" xfId="11422" xr:uid="{00000000-0005-0000-0000-0000A02C0000}"/>
    <cellStyle name="Calculation 3 5" xfId="11423" xr:uid="{00000000-0005-0000-0000-0000A12C0000}"/>
    <cellStyle name="Calculation 3 5 2" xfId="11424" xr:uid="{00000000-0005-0000-0000-0000A22C0000}"/>
    <cellStyle name="Calculation 3 5 2 2" xfId="11425" xr:uid="{00000000-0005-0000-0000-0000A32C0000}"/>
    <cellStyle name="Calculation 3 5 2 3" xfId="11426" xr:uid="{00000000-0005-0000-0000-0000A42C0000}"/>
    <cellStyle name="Calculation 3 5 3" xfId="11427" xr:uid="{00000000-0005-0000-0000-0000A52C0000}"/>
    <cellStyle name="Calculation 3 5 3 2" xfId="11428" xr:uid="{00000000-0005-0000-0000-0000A62C0000}"/>
    <cellStyle name="Calculation 3 5 3 3" xfId="11429" xr:uid="{00000000-0005-0000-0000-0000A72C0000}"/>
    <cellStyle name="Calculation 3 5 4" xfId="11430" xr:uid="{00000000-0005-0000-0000-0000A82C0000}"/>
    <cellStyle name="Calculation 3 5 5" xfId="11431" xr:uid="{00000000-0005-0000-0000-0000A92C0000}"/>
    <cellStyle name="Calculation 3 6" xfId="11432" xr:uid="{00000000-0005-0000-0000-0000AA2C0000}"/>
    <cellStyle name="Calculation 3 6 2" xfId="11433" xr:uid="{00000000-0005-0000-0000-0000AB2C0000}"/>
    <cellStyle name="Calculation 3 6 3" xfId="11434" xr:uid="{00000000-0005-0000-0000-0000AC2C0000}"/>
    <cellStyle name="Calculation 3 7" xfId="11435" xr:uid="{00000000-0005-0000-0000-0000AD2C0000}"/>
    <cellStyle name="Calculation 3 7 2" xfId="11436" xr:uid="{00000000-0005-0000-0000-0000AE2C0000}"/>
    <cellStyle name="Calculation 3 7 3" xfId="11437" xr:uid="{00000000-0005-0000-0000-0000AF2C0000}"/>
    <cellStyle name="Calculation 3 8" xfId="11438" xr:uid="{00000000-0005-0000-0000-0000B02C0000}"/>
    <cellStyle name="Calculation 3 9" xfId="11439" xr:uid="{00000000-0005-0000-0000-0000B12C0000}"/>
    <cellStyle name="Calculation 4" xfId="11440" xr:uid="{00000000-0005-0000-0000-0000B22C0000}"/>
    <cellStyle name="Calculation 4 2" xfId="11441" xr:uid="{00000000-0005-0000-0000-0000B32C0000}"/>
    <cellStyle name="Calculation 4 2 2" xfId="11442" xr:uid="{00000000-0005-0000-0000-0000B42C0000}"/>
    <cellStyle name="Calculation 4 3" xfId="11443" xr:uid="{00000000-0005-0000-0000-0000B52C0000}"/>
    <cellStyle name="Calculation 4 3 10" xfId="11444" xr:uid="{00000000-0005-0000-0000-0000B62C0000}"/>
    <cellStyle name="Calculation 4 3 11" xfId="11445" xr:uid="{00000000-0005-0000-0000-0000B72C0000}"/>
    <cellStyle name="Calculation 4 3 12" xfId="11446" xr:uid="{00000000-0005-0000-0000-0000B82C0000}"/>
    <cellStyle name="Calculation 4 3 13" xfId="11447" xr:uid="{00000000-0005-0000-0000-0000B92C0000}"/>
    <cellStyle name="Calculation 4 3 14" xfId="11448" xr:uid="{00000000-0005-0000-0000-0000BA2C0000}"/>
    <cellStyle name="Calculation 4 3 15" xfId="11449" xr:uid="{00000000-0005-0000-0000-0000BB2C0000}"/>
    <cellStyle name="Calculation 4 3 16" xfId="11450" xr:uid="{00000000-0005-0000-0000-0000BC2C0000}"/>
    <cellStyle name="Calculation 4 3 17" xfId="11451" xr:uid="{00000000-0005-0000-0000-0000BD2C0000}"/>
    <cellStyle name="Calculation 4 3 18" xfId="11452" xr:uid="{00000000-0005-0000-0000-0000BE2C0000}"/>
    <cellStyle name="Calculation 4 3 19" xfId="11453" xr:uid="{00000000-0005-0000-0000-0000BF2C0000}"/>
    <cellStyle name="Calculation 4 3 2" xfId="11454" xr:uid="{00000000-0005-0000-0000-0000C02C0000}"/>
    <cellStyle name="Calculation 4 3 2 10" xfId="11455" xr:uid="{00000000-0005-0000-0000-0000C12C0000}"/>
    <cellStyle name="Calculation 4 3 2 11" xfId="11456" xr:uid="{00000000-0005-0000-0000-0000C22C0000}"/>
    <cellStyle name="Calculation 4 3 2 12" xfId="11457" xr:uid="{00000000-0005-0000-0000-0000C32C0000}"/>
    <cellStyle name="Calculation 4 3 2 13" xfId="11458" xr:uid="{00000000-0005-0000-0000-0000C42C0000}"/>
    <cellStyle name="Calculation 4 3 2 14" xfId="11459" xr:uid="{00000000-0005-0000-0000-0000C52C0000}"/>
    <cellStyle name="Calculation 4 3 2 15" xfId="11460" xr:uid="{00000000-0005-0000-0000-0000C62C0000}"/>
    <cellStyle name="Calculation 4 3 2 16" xfId="11461" xr:uid="{00000000-0005-0000-0000-0000C72C0000}"/>
    <cellStyle name="Calculation 4 3 2 17" xfId="11462" xr:uid="{00000000-0005-0000-0000-0000C82C0000}"/>
    <cellStyle name="Calculation 4 3 2 18" xfId="11463" xr:uid="{00000000-0005-0000-0000-0000C92C0000}"/>
    <cellStyle name="Calculation 4 3 2 19" xfId="11464" xr:uid="{00000000-0005-0000-0000-0000CA2C0000}"/>
    <cellStyle name="Calculation 4 3 2 2" xfId="11465" xr:uid="{00000000-0005-0000-0000-0000CB2C0000}"/>
    <cellStyle name="Calculation 4 3 2 2 2" xfId="11466" xr:uid="{00000000-0005-0000-0000-0000CC2C0000}"/>
    <cellStyle name="Calculation 4 3 2 2 2 2" xfId="11467" xr:uid="{00000000-0005-0000-0000-0000CD2C0000}"/>
    <cellStyle name="Calculation 4 3 2 2 2 3" xfId="11468" xr:uid="{00000000-0005-0000-0000-0000CE2C0000}"/>
    <cellStyle name="Calculation 4 3 2 2 3" xfId="11469" xr:uid="{00000000-0005-0000-0000-0000CF2C0000}"/>
    <cellStyle name="Calculation 4 3 2 2 3 2" xfId="11470" xr:uid="{00000000-0005-0000-0000-0000D02C0000}"/>
    <cellStyle name="Calculation 4 3 2 2 3 3" xfId="11471" xr:uid="{00000000-0005-0000-0000-0000D12C0000}"/>
    <cellStyle name="Calculation 4 3 2 2 4" xfId="11472" xr:uid="{00000000-0005-0000-0000-0000D22C0000}"/>
    <cellStyle name="Calculation 4 3 2 2 5" xfId="11473" xr:uid="{00000000-0005-0000-0000-0000D32C0000}"/>
    <cellStyle name="Calculation 4 3 2 20" xfId="11474" xr:uid="{00000000-0005-0000-0000-0000D42C0000}"/>
    <cellStyle name="Calculation 4 3 2 21" xfId="11475" xr:uid="{00000000-0005-0000-0000-0000D52C0000}"/>
    <cellStyle name="Calculation 4 3 2 22" xfId="11476" xr:uid="{00000000-0005-0000-0000-0000D62C0000}"/>
    <cellStyle name="Calculation 4 3 2 23" xfId="11477" xr:uid="{00000000-0005-0000-0000-0000D72C0000}"/>
    <cellStyle name="Calculation 4 3 2 24" xfId="11478" xr:uid="{00000000-0005-0000-0000-0000D82C0000}"/>
    <cellStyle name="Calculation 4 3 2 25" xfId="11479" xr:uid="{00000000-0005-0000-0000-0000D92C0000}"/>
    <cellStyle name="Calculation 4 3 2 26" xfId="11480" xr:uid="{00000000-0005-0000-0000-0000DA2C0000}"/>
    <cellStyle name="Calculation 4 3 2 27" xfId="11481" xr:uid="{00000000-0005-0000-0000-0000DB2C0000}"/>
    <cellStyle name="Calculation 4 3 2 28" xfId="11482" xr:uid="{00000000-0005-0000-0000-0000DC2C0000}"/>
    <cellStyle name="Calculation 4 3 2 29" xfId="11483" xr:uid="{00000000-0005-0000-0000-0000DD2C0000}"/>
    <cellStyle name="Calculation 4 3 2 3" xfId="11484" xr:uid="{00000000-0005-0000-0000-0000DE2C0000}"/>
    <cellStyle name="Calculation 4 3 2 3 2" xfId="11485" xr:uid="{00000000-0005-0000-0000-0000DF2C0000}"/>
    <cellStyle name="Calculation 4 3 2 3 2 2" xfId="11486" xr:uid="{00000000-0005-0000-0000-0000E02C0000}"/>
    <cellStyle name="Calculation 4 3 2 3 2 3" xfId="11487" xr:uid="{00000000-0005-0000-0000-0000E12C0000}"/>
    <cellStyle name="Calculation 4 3 2 3 3" xfId="11488" xr:uid="{00000000-0005-0000-0000-0000E22C0000}"/>
    <cellStyle name="Calculation 4 3 2 3 3 2" xfId="11489" xr:uid="{00000000-0005-0000-0000-0000E32C0000}"/>
    <cellStyle name="Calculation 4 3 2 3 3 3" xfId="11490" xr:uid="{00000000-0005-0000-0000-0000E42C0000}"/>
    <cellStyle name="Calculation 4 3 2 3 4" xfId="11491" xr:uid="{00000000-0005-0000-0000-0000E52C0000}"/>
    <cellStyle name="Calculation 4 3 2 3 5" xfId="11492" xr:uid="{00000000-0005-0000-0000-0000E62C0000}"/>
    <cellStyle name="Calculation 4 3 2 30" xfId="11493" xr:uid="{00000000-0005-0000-0000-0000E72C0000}"/>
    <cellStyle name="Calculation 4 3 2 31" xfId="11494" xr:uid="{00000000-0005-0000-0000-0000E82C0000}"/>
    <cellStyle name="Calculation 4 3 2 32" xfId="11495" xr:uid="{00000000-0005-0000-0000-0000E92C0000}"/>
    <cellStyle name="Calculation 4 3 2 33" xfId="11496" xr:uid="{00000000-0005-0000-0000-0000EA2C0000}"/>
    <cellStyle name="Calculation 4 3 2 34" xfId="11497" xr:uid="{00000000-0005-0000-0000-0000EB2C0000}"/>
    <cellStyle name="Calculation 4 3 2 4" xfId="11498" xr:uid="{00000000-0005-0000-0000-0000EC2C0000}"/>
    <cellStyle name="Calculation 4 3 2 4 2" xfId="11499" xr:uid="{00000000-0005-0000-0000-0000ED2C0000}"/>
    <cellStyle name="Calculation 4 3 2 4 3" xfId="11500" xr:uid="{00000000-0005-0000-0000-0000EE2C0000}"/>
    <cellStyle name="Calculation 4 3 2 5" xfId="11501" xr:uid="{00000000-0005-0000-0000-0000EF2C0000}"/>
    <cellStyle name="Calculation 4 3 2 5 2" xfId="11502" xr:uid="{00000000-0005-0000-0000-0000F02C0000}"/>
    <cellStyle name="Calculation 4 3 2 5 3" xfId="11503" xr:uid="{00000000-0005-0000-0000-0000F12C0000}"/>
    <cellStyle name="Calculation 4 3 2 6" xfId="11504" xr:uid="{00000000-0005-0000-0000-0000F22C0000}"/>
    <cellStyle name="Calculation 4 3 2 7" xfId="11505" xr:uid="{00000000-0005-0000-0000-0000F32C0000}"/>
    <cellStyle name="Calculation 4 3 2 8" xfId="11506" xr:uid="{00000000-0005-0000-0000-0000F42C0000}"/>
    <cellStyle name="Calculation 4 3 2 9" xfId="11507" xr:uid="{00000000-0005-0000-0000-0000F52C0000}"/>
    <cellStyle name="Calculation 4 3 20" xfId="11508" xr:uid="{00000000-0005-0000-0000-0000F62C0000}"/>
    <cellStyle name="Calculation 4 3 21" xfId="11509" xr:uid="{00000000-0005-0000-0000-0000F72C0000}"/>
    <cellStyle name="Calculation 4 3 22" xfId="11510" xr:uid="{00000000-0005-0000-0000-0000F82C0000}"/>
    <cellStyle name="Calculation 4 3 23" xfId="11511" xr:uid="{00000000-0005-0000-0000-0000F92C0000}"/>
    <cellStyle name="Calculation 4 3 24" xfId="11512" xr:uid="{00000000-0005-0000-0000-0000FA2C0000}"/>
    <cellStyle name="Calculation 4 3 25" xfId="11513" xr:uid="{00000000-0005-0000-0000-0000FB2C0000}"/>
    <cellStyle name="Calculation 4 3 26" xfId="11514" xr:uid="{00000000-0005-0000-0000-0000FC2C0000}"/>
    <cellStyle name="Calculation 4 3 27" xfId="11515" xr:uid="{00000000-0005-0000-0000-0000FD2C0000}"/>
    <cellStyle name="Calculation 4 3 28" xfId="11516" xr:uid="{00000000-0005-0000-0000-0000FE2C0000}"/>
    <cellStyle name="Calculation 4 3 29" xfId="11517" xr:uid="{00000000-0005-0000-0000-0000FF2C0000}"/>
    <cellStyle name="Calculation 4 3 3" xfId="11518" xr:uid="{00000000-0005-0000-0000-0000002D0000}"/>
    <cellStyle name="Calculation 4 3 3 2" xfId="11519" xr:uid="{00000000-0005-0000-0000-0000012D0000}"/>
    <cellStyle name="Calculation 4 3 3 2 2" xfId="11520" xr:uid="{00000000-0005-0000-0000-0000022D0000}"/>
    <cellStyle name="Calculation 4 3 3 2 3" xfId="11521" xr:uid="{00000000-0005-0000-0000-0000032D0000}"/>
    <cellStyle name="Calculation 4 3 3 3" xfId="11522" xr:uid="{00000000-0005-0000-0000-0000042D0000}"/>
    <cellStyle name="Calculation 4 3 3 3 2" xfId="11523" xr:uid="{00000000-0005-0000-0000-0000052D0000}"/>
    <cellStyle name="Calculation 4 3 3 3 3" xfId="11524" xr:uid="{00000000-0005-0000-0000-0000062D0000}"/>
    <cellStyle name="Calculation 4 3 3 4" xfId="11525" xr:uid="{00000000-0005-0000-0000-0000072D0000}"/>
    <cellStyle name="Calculation 4 3 3 5" xfId="11526" xr:uid="{00000000-0005-0000-0000-0000082D0000}"/>
    <cellStyle name="Calculation 4 3 30" xfId="11527" xr:uid="{00000000-0005-0000-0000-0000092D0000}"/>
    <cellStyle name="Calculation 4 3 31" xfId="11528" xr:uid="{00000000-0005-0000-0000-00000A2D0000}"/>
    <cellStyle name="Calculation 4 3 32" xfId="11529" xr:uid="{00000000-0005-0000-0000-00000B2D0000}"/>
    <cellStyle name="Calculation 4 3 4" xfId="11530" xr:uid="{00000000-0005-0000-0000-00000C2D0000}"/>
    <cellStyle name="Calculation 4 3 4 2" xfId="11531" xr:uid="{00000000-0005-0000-0000-00000D2D0000}"/>
    <cellStyle name="Calculation 4 3 4 3" xfId="11532" xr:uid="{00000000-0005-0000-0000-00000E2D0000}"/>
    <cellStyle name="Calculation 4 3 5" xfId="11533" xr:uid="{00000000-0005-0000-0000-00000F2D0000}"/>
    <cellStyle name="Calculation 4 3 5 2" xfId="11534" xr:uid="{00000000-0005-0000-0000-0000102D0000}"/>
    <cellStyle name="Calculation 4 3 5 3" xfId="11535" xr:uid="{00000000-0005-0000-0000-0000112D0000}"/>
    <cellStyle name="Calculation 4 3 6" xfId="11536" xr:uid="{00000000-0005-0000-0000-0000122D0000}"/>
    <cellStyle name="Calculation 4 3 7" xfId="11537" xr:uid="{00000000-0005-0000-0000-0000132D0000}"/>
    <cellStyle name="Calculation 4 3 8" xfId="11538" xr:uid="{00000000-0005-0000-0000-0000142D0000}"/>
    <cellStyle name="Calculation 4 3 9" xfId="11539" xr:uid="{00000000-0005-0000-0000-0000152D0000}"/>
    <cellStyle name="Calculation 5" xfId="11540" xr:uid="{00000000-0005-0000-0000-0000162D0000}"/>
    <cellStyle name="Calculation 5 10" xfId="11541" xr:uid="{00000000-0005-0000-0000-0000172D0000}"/>
    <cellStyle name="Calculation 5 11" xfId="11542" xr:uid="{00000000-0005-0000-0000-0000182D0000}"/>
    <cellStyle name="Calculation 5 12" xfId="11543" xr:uid="{00000000-0005-0000-0000-0000192D0000}"/>
    <cellStyle name="Calculation 5 13" xfId="11544" xr:uid="{00000000-0005-0000-0000-00001A2D0000}"/>
    <cellStyle name="Calculation 5 14" xfId="11545" xr:uid="{00000000-0005-0000-0000-00001B2D0000}"/>
    <cellStyle name="Calculation 5 15" xfId="11546" xr:uid="{00000000-0005-0000-0000-00001C2D0000}"/>
    <cellStyle name="Calculation 5 16" xfId="11547" xr:uid="{00000000-0005-0000-0000-00001D2D0000}"/>
    <cellStyle name="Calculation 5 17" xfId="11548" xr:uid="{00000000-0005-0000-0000-00001E2D0000}"/>
    <cellStyle name="Calculation 5 18" xfId="11549" xr:uid="{00000000-0005-0000-0000-00001F2D0000}"/>
    <cellStyle name="Calculation 5 19" xfId="11550" xr:uid="{00000000-0005-0000-0000-0000202D0000}"/>
    <cellStyle name="Calculation 5 2" xfId="11551" xr:uid="{00000000-0005-0000-0000-0000212D0000}"/>
    <cellStyle name="Calculation 5 2 10" xfId="11552" xr:uid="{00000000-0005-0000-0000-0000222D0000}"/>
    <cellStyle name="Calculation 5 2 11" xfId="11553" xr:uid="{00000000-0005-0000-0000-0000232D0000}"/>
    <cellStyle name="Calculation 5 2 12" xfId="11554" xr:uid="{00000000-0005-0000-0000-0000242D0000}"/>
    <cellStyle name="Calculation 5 2 13" xfId="11555" xr:uid="{00000000-0005-0000-0000-0000252D0000}"/>
    <cellStyle name="Calculation 5 2 14" xfId="11556" xr:uid="{00000000-0005-0000-0000-0000262D0000}"/>
    <cellStyle name="Calculation 5 2 15" xfId="11557" xr:uid="{00000000-0005-0000-0000-0000272D0000}"/>
    <cellStyle name="Calculation 5 2 16" xfId="11558" xr:uid="{00000000-0005-0000-0000-0000282D0000}"/>
    <cellStyle name="Calculation 5 2 17" xfId="11559" xr:uid="{00000000-0005-0000-0000-0000292D0000}"/>
    <cellStyle name="Calculation 5 2 18" xfId="11560" xr:uid="{00000000-0005-0000-0000-00002A2D0000}"/>
    <cellStyle name="Calculation 5 2 19" xfId="11561" xr:uid="{00000000-0005-0000-0000-00002B2D0000}"/>
    <cellStyle name="Calculation 5 2 2" xfId="11562" xr:uid="{00000000-0005-0000-0000-00002C2D0000}"/>
    <cellStyle name="Calculation 5 2 2 10" xfId="11563" xr:uid="{00000000-0005-0000-0000-00002D2D0000}"/>
    <cellStyle name="Calculation 5 2 2 11" xfId="11564" xr:uid="{00000000-0005-0000-0000-00002E2D0000}"/>
    <cellStyle name="Calculation 5 2 2 12" xfId="11565" xr:uid="{00000000-0005-0000-0000-00002F2D0000}"/>
    <cellStyle name="Calculation 5 2 2 13" xfId="11566" xr:uid="{00000000-0005-0000-0000-0000302D0000}"/>
    <cellStyle name="Calculation 5 2 2 14" xfId="11567" xr:uid="{00000000-0005-0000-0000-0000312D0000}"/>
    <cellStyle name="Calculation 5 2 2 15" xfId="11568" xr:uid="{00000000-0005-0000-0000-0000322D0000}"/>
    <cellStyle name="Calculation 5 2 2 16" xfId="11569" xr:uid="{00000000-0005-0000-0000-0000332D0000}"/>
    <cellStyle name="Calculation 5 2 2 17" xfId="11570" xr:uid="{00000000-0005-0000-0000-0000342D0000}"/>
    <cellStyle name="Calculation 5 2 2 18" xfId="11571" xr:uid="{00000000-0005-0000-0000-0000352D0000}"/>
    <cellStyle name="Calculation 5 2 2 19" xfId="11572" xr:uid="{00000000-0005-0000-0000-0000362D0000}"/>
    <cellStyle name="Calculation 5 2 2 2" xfId="11573" xr:uid="{00000000-0005-0000-0000-0000372D0000}"/>
    <cellStyle name="Calculation 5 2 2 2 2" xfId="11574" xr:uid="{00000000-0005-0000-0000-0000382D0000}"/>
    <cellStyle name="Calculation 5 2 2 2 2 2" xfId="11575" xr:uid="{00000000-0005-0000-0000-0000392D0000}"/>
    <cellStyle name="Calculation 5 2 2 2 2 3" xfId="11576" xr:uid="{00000000-0005-0000-0000-00003A2D0000}"/>
    <cellStyle name="Calculation 5 2 2 2 3" xfId="11577" xr:uid="{00000000-0005-0000-0000-00003B2D0000}"/>
    <cellStyle name="Calculation 5 2 2 2 3 2" xfId="11578" xr:uid="{00000000-0005-0000-0000-00003C2D0000}"/>
    <cellStyle name="Calculation 5 2 2 2 3 3" xfId="11579" xr:uid="{00000000-0005-0000-0000-00003D2D0000}"/>
    <cellStyle name="Calculation 5 2 2 2 4" xfId="11580" xr:uid="{00000000-0005-0000-0000-00003E2D0000}"/>
    <cellStyle name="Calculation 5 2 2 2 5" xfId="11581" xr:uid="{00000000-0005-0000-0000-00003F2D0000}"/>
    <cellStyle name="Calculation 5 2 2 20" xfId="11582" xr:uid="{00000000-0005-0000-0000-0000402D0000}"/>
    <cellStyle name="Calculation 5 2 2 21" xfId="11583" xr:uid="{00000000-0005-0000-0000-0000412D0000}"/>
    <cellStyle name="Calculation 5 2 2 22" xfId="11584" xr:uid="{00000000-0005-0000-0000-0000422D0000}"/>
    <cellStyle name="Calculation 5 2 2 23" xfId="11585" xr:uid="{00000000-0005-0000-0000-0000432D0000}"/>
    <cellStyle name="Calculation 5 2 2 24" xfId="11586" xr:uid="{00000000-0005-0000-0000-0000442D0000}"/>
    <cellStyle name="Calculation 5 2 2 25" xfId="11587" xr:uid="{00000000-0005-0000-0000-0000452D0000}"/>
    <cellStyle name="Calculation 5 2 2 26" xfId="11588" xr:uid="{00000000-0005-0000-0000-0000462D0000}"/>
    <cellStyle name="Calculation 5 2 2 27" xfId="11589" xr:uid="{00000000-0005-0000-0000-0000472D0000}"/>
    <cellStyle name="Calculation 5 2 2 28" xfId="11590" xr:uid="{00000000-0005-0000-0000-0000482D0000}"/>
    <cellStyle name="Calculation 5 2 2 29" xfId="11591" xr:uid="{00000000-0005-0000-0000-0000492D0000}"/>
    <cellStyle name="Calculation 5 2 2 3" xfId="11592" xr:uid="{00000000-0005-0000-0000-00004A2D0000}"/>
    <cellStyle name="Calculation 5 2 2 3 2" xfId="11593" xr:uid="{00000000-0005-0000-0000-00004B2D0000}"/>
    <cellStyle name="Calculation 5 2 2 3 2 2" xfId="11594" xr:uid="{00000000-0005-0000-0000-00004C2D0000}"/>
    <cellStyle name="Calculation 5 2 2 3 2 3" xfId="11595" xr:uid="{00000000-0005-0000-0000-00004D2D0000}"/>
    <cellStyle name="Calculation 5 2 2 3 3" xfId="11596" xr:uid="{00000000-0005-0000-0000-00004E2D0000}"/>
    <cellStyle name="Calculation 5 2 2 3 3 2" xfId="11597" xr:uid="{00000000-0005-0000-0000-00004F2D0000}"/>
    <cellStyle name="Calculation 5 2 2 3 3 3" xfId="11598" xr:uid="{00000000-0005-0000-0000-0000502D0000}"/>
    <cellStyle name="Calculation 5 2 2 3 4" xfId="11599" xr:uid="{00000000-0005-0000-0000-0000512D0000}"/>
    <cellStyle name="Calculation 5 2 2 3 5" xfId="11600" xr:uid="{00000000-0005-0000-0000-0000522D0000}"/>
    <cellStyle name="Calculation 5 2 2 30" xfId="11601" xr:uid="{00000000-0005-0000-0000-0000532D0000}"/>
    <cellStyle name="Calculation 5 2 2 31" xfId="11602" xr:uid="{00000000-0005-0000-0000-0000542D0000}"/>
    <cellStyle name="Calculation 5 2 2 32" xfId="11603" xr:uid="{00000000-0005-0000-0000-0000552D0000}"/>
    <cellStyle name="Calculation 5 2 2 33" xfId="11604" xr:uid="{00000000-0005-0000-0000-0000562D0000}"/>
    <cellStyle name="Calculation 5 2 2 34" xfId="11605" xr:uid="{00000000-0005-0000-0000-0000572D0000}"/>
    <cellStyle name="Calculation 5 2 2 4" xfId="11606" xr:uid="{00000000-0005-0000-0000-0000582D0000}"/>
    <cellStyle name="Calculation 5 2 2 4 2" xfId="11607" xr:uid="{00000000-0005-0000-0000-0000592D0000}"/>
    <cellStyle name="Calculation 5 2 2 4 3" xfId="11608" xr:uid="{00000000-0005-0000-0000-00005A2D0000}"/>
    <cellStyle name="Calculation 5 2 2 5" xfId="11609" xr:uid="{00000000-0005-0000-0000-00005B2D0000}"/>
    <cellStyle name="Calculation 5 2 2 5 2" xfId="11610" xr:uid="{00000000-0005-0000-0000-00005C2D0000}"/>
    <cellStyle name="Calculation 5 2 2 5 3" xfId="11611" xr:uid="{00000000-0005-0000-0000-00005D2D0000}"/>
    <cellStyle name="Calculation 5 2 2 6" xfId="11612" xr:uid="{00000000-0005-0000-0000-00005E2D0000}"/>
    <cellStyle name="Calculation 5 2 2 7" xfId="11613" xr:uid="{00000000-0005-0000-0000-00005F2D0000}"/>
    <cellStyle name="Calculation 5 2 2 8" xfId="11614" xr:uid="{00000000-0005-0000-0000-0000602D0000}"/>
    <cellStyle name="Calculation 5 2 2 9" xfId="11615" xr:uid="{00000000-0005-0000-0000-0000612D0000}"/>
    <cellStyle name="Calculation 5 2 20" xfId="11616" xr:uid="{00000000-0005-0000-0000-0000622D0000}"/>
    <cellStyle name="Calculation 5 2 21" xfId="11617" xr:uid="{00000000-0005-0000-0000-0000632D0000}"/>
    <cellStyle name="Calculation 5 2 22" xfId="11618" xr:uid="{00000000-0005-0000-0000-0000642D0000}"/>
    <cellStyle name="Calculation 5 2 23" xfId="11619" xr:uid="{00000000-0005-0000-0000-0000652D0000}"/>
    <cellStyle name="Calculation 5 2 24" xfId="11620" xr:uid="{00000000-0005-0000-0000-0000662D0000}"/>
    <cellStyle name="Calculation 5 2 25" xfId="11621" xr:uid="{00000000-0005-0000-0000-0000672D0000}"/>
    <cellStyle name="Calculation 5 2 26" xfId="11622" xr:uid="{00000000-0005-0000-0000-0000682D0000}"/>
    <cellStyle name="Calculation 5 2 27" xfId="11623" xr:uid="{00000000-0005-0000-0000-0000692D0000}"/>
    <cellStyle name="Calculation 5 2 28" xfId="11624" xr:uid="{00000000-0005-0000-0000-00006A2D0000}"/>
    <cellStyle name="Calculation 5 2 29" xfId="11625" xr:uid="{00000000-0005-0000-0000-00006B2D0000}"/>
    <cellStyle name="Calculation 5 2 3" xfId="11626" xr:uid="{00000000-0005-0000-0000-00006C2D0000}"/>
    <cellStyle name="Calculation 5 2 3 2" xfId="11627" xr:uid="{00000000-0005-0000-0000-00006D2D0000}"/>
    <cellStyle name="Calculation 5 2 3 2 2" xfId="11628" xr:uid="{00000000-0005-0000-0000-00006E2D0000}"/>
    <cellStyle name="Calculation 5 2 3 2 3" xfId="11629" xr:uid="{00000000-0005-0000-0000-00006F2D0000}"/>
    <cellStyle name="Calculation 5 2 3 3" xfId="11630" xr:uid="{00000000-0005-0000-0000-0000702D0000}"/>
    <cellStyle name="Calculation 5 2 3 3 2" xfId="11631" xr:uid="{00000000-0005-0000-0000-0000712D0000}"/>
    <cellStyle name="Calculation 5 2 3 3 3" xfId="11632" xr:uid="{00000000-0005-0000-0000-0000722D0000}"/>
    <cellStyle name="Calculation 5 2 3 4" xfId="11633" xr:uid="{00000000-0005-0000-0000-0000732D0000}"/>
    <cellStyle name="Calculation 5 2 3 5" xfId="11634" xr:uid="{00000000-0005-0000-0000-0000742D0000}"/>
    <cellStyle name="Calculation 5 2 30" xfId="11635" xr:uid="{00000000-0005-0000-0000-0000752D0000}"/>
    <cellStyle name="Calculation 5 2 31" xfId="11636" xr:uid="{00000000-0005-0000-0000-0000762D0000}"/>
    <cellStyle name="Calculation 5 2 32" xfId="11637" xr:uid="{00000000-0005-0000-0000-0000772D0000}"/>
    <cellStyle name="Calculation 5 2 4" xfId="11638" xr:uid="{00000000-0005-0000-0000-0000782D0000}"/>
    <cellStyle name="Calculation 5 2 4 2" xfId="11639" xr:uid="{00000000-0005-0000-0000-0000792D0000}"/>
    <cellStyle name="Calculation 5 2 4 3" xfId="11640" xr:uid="{00000000-0005-0000-0000-00007A2D0000}"/>
    <cellStyle name="Calculation 5 2 5" xfId="11641" xr:uid="{00000000-0005-0000-0000-00007B2D0000}"/>
    <cellStyle name="Calculation 5 2 5 2" xfId="11642" xr:uid="{00000000-0005-0000-0000-00007C2D0000}"/>
    <cellStyle name="Calculation 5 2 5 3" xfId="11643" xr:uid="{00000000-0005-0000-0000-00007D2D0000}"/>
    <cellStyle name="Calculation 5 2 6" xfId="11644" xr:uid="{00000000-0005-0000-0000-00007E2D0000}"/>
    <cellStyle name="Calculation 5 2 7" xfId="11645" xr:uid="{00000000-0005-0000-0000-00007F2D0000}"/>
    <cellStyle name="Calculation 5 2 8" xfId="11646" xr:uid="{00000000-0005-0000-0000-0000802D0000}"/>
    <cellStyle name="Calculation 5 2 9" xfId="11647" xr:uid="{00000000-0005-0000-0000-0000812D0000}"/>
    <cellStyle name="Calculation 5 20" xfId="11648" xr:uid="{00000000-0005-0000-0000-0000822D0000}"/>
    <cellStyle name="Calculation 5 21" xfId="11649" xr:uid="{00000000-0005-0000-0000-0000832D0000}"/>
    <cellStyle name="Calculation 5 22" xfId="11650" xr:uid="{00000000-0005-0000-0000-0000842D0000}"/>
    <cellStyle name="Calculation 5 23" xfId="11651" xr:uid="{00000000-0005-0000-0000-0000852D0000}"/>
    <cellStyle name="Calculation 5 24" xfId="11652" xr:uid="{00000000-0005-0000-0000-0000862D0000}"/>
    <cellStyle name="Calculation 5 25" xfId="11653" xr:uid="{00000000-0005-0000-0000-0000872D0000}"/>
    <cellStyle name="Calculation 5 26" xfId="11654" xr:uid="{00000000-0005-0000-0000-0000882D0000}"/>
    <cellStyle name="Calculation 5 27" xfId="11655" xr:uid="{00000000-0005-0000-0000-0000892D0000}"/>
    <cellStyle name="Calculation 5 28" xfId="11656" xr:uid="{00000000-0005-0000-0000-00008A2D0000}"/>
    <cellStyle name="Calculation 5 29" xfId="11657" xr:uid="{00000000-0005-0000-0000-00008B2D0000}"/>
    <cellStyle name="Calculation 5 3" xfId="11658" xr:uid="{00000000-0005-0000-0000-00008C2D0000}"/>
    <cellStyle name="Calculation 5 3 10" xfId="11659" xr:uid="{00000000-0005-0000-0000-00008D2D0000}"/>
    <cellStyle name="Calculation 5 3 11" xfId="11660" xr:uid="{00000000-0005-0000-0000-00008E2D0000}"/>
    <cellStyle name="Calculation 5 3 12" xfId="11661" xr:uid="{00000000-0005-0000-0000-00008F2D0000}"/>
    <cellStyle name="Calculation 5 3 13" xfId="11662" xr:uid="{00000000-0005-0000-0000-0000902D0000}"/>
    <cellStyle name="Calculation 5 3 14" xfId="11663" xr:uid="{00000000-0005-0000-0000-0000912D0000}"/>
    <cellStyle name="Calculation 5 3 15" xfId="11664" xr:uid="{00000000-0005-0000-0000-0000922D0000}"/>
    <cellStyle name="Calculation 5 3 16" xfId="11665" xr:uid="{00000000-0005-0000-0000-0000932D0000}"/>
    <cellStyle name="Calculation 5 3 17" xfId="11666" xr:uid="{00000000-0005-0000-0000-0000942D0000}"/>
    <cellStyle name="Calculation 5 3 18" xfId="11667" xr:uid="{00000000-0005-0000-0000-0000952D0000}"/>
    <cellStyle name="Calculation 5 3 19" xfId="11668" xr:uid="{00000000-0005-0000-0000-0000962D0000}"/>
    <cellStyle name="Calculation 5 3 2" xfId="11669" xr:uid="{00000000-0005-0000-0000-0000972D0000}"/>
    <cellStyle name="Calculation 5 3 2 2" xfId="11670" xr:uid="{00000000-0005-0000-0000-0000982D0000}"/>
    <cellStyle name="Calculation 5 3 2 2 2" xfId="11671" xr:uid="{00000000-0005-0000-0000-0000992D0000}"/>
    <cellStyle name="Calculation 5 3 2 2 3" xfId="11672" xr:uid="{00000000-0005-0000-0000-00009A2D0000}"/>
    <cellStyle name="Calculation 5 3 2 3" xfId="11673" xr:uid="{00000000-0005-0000-0000-00009B2D0000}"/>
    <cellStyle name="Calculation 5 3 2 3 2" xfId="11674" xr:uid="{00000000-0005-0000-0000-00009C2D0000}"/>
    <cellStyle name="Calculation 5 3 2 3 3" xfId="11675" xr:uid="{00000000-0005-0000-0000-00009D2D0000}"/>
    <cellStyle name="Calculation 5 3 2 4" xfId="11676" xr:uid="{00000000-0005-0000-0000-00009E2D0000}"/>
    <cellStyle name="Calculation 5 3 2 5" xfId="11677" xr:uid="{00000000-0005-0000-0000-00009F2D0000}"/>
    <cellStyle name="Calculation 5 3 20" xfId="11678" xr:uid="{00000000-0005-0000-0000-0000A02D0000}"/>
    <cellStyle name="Calculation 5 3 21" xfId="11679" xr:uid="{00000000-0005-0000-0000-0000A12D0000}"/>
    <cellStyle name="Calculation 5 3 22" xfId="11680" xr:uid="{00000000-0005-0000-0000-0000A22D0000}"/>
    <cellStyle name="Calculation 5 3 23" xfId="11681" xr:uid="{00000000-0005-0000-0000-0000A32D0000}"/>
    <cellStyle name="Calculation 5 3 24" xfId="11682" xr:uid="{00000000-0005-0000-0000-0000A42D0000}"/>
    <cellStyle name="Calculation 5 3 25" xfId="11683" xr:uid="{00000000-0005-0000-0000-0000A52D0000}"/>
    <cellStyle name="Calculation 5 3 26" xfId="11684" xr:uid="{00000000-0005-0000-0000-0000A62D0000}"/>
    <cellStyle name="Calculation 5 3 27" xfId="11685" xr:uid="{00000000-0005-0000-0000-0000A72D0000}"/>
    <cellStyle name="Calculation 5 3 28" xfId="11686" xr:uid="{00000000-0005-0000-0000-0000A82D0000}"/>
    <cellStyle name="Calculation 5 3 29" xfId="11687" xr:uid="{00000000-0005-0000-0000-0000A92D0000}"/>
    <cellStyle name="Calculation 5 3 3" xfId="11688" xr:uid="{00000000-0005-0000-0000-0000AA2D0000}"/>
    <cellStyle name="Calculation 5 3 3 2" xfId="11689" xr:uid="{00000000-0005-0000-0000-0000AB2D0000}"/>
    <cellStyle name="Calculation 5 3 3 2 2" xfId="11690" xr:uid="{00000000-0005-0000-0000-0000AC2D0000}"/>
    <cellStyle name="Calculation 5 3 3 2 3" xfId="11691" xr:uid="{00000000-0005-0000-0000-0000AD2D0000}"/>
    <cellStyle name="Calculation 5 3 3 3" xfId="11692" xr:uid="{00000000-0005-0000-0000-0000AE2D0000}"/>
    <cellStyle name="Calculation 5 3 3 3 2" xfId="11693" xr:uid="{00000000-0005-0000-0000-0000AF2D0000}"/>
    <cellStyle name="Calculation 5 3 3 3 3" xfId="11694" xr:uid="{00000000-0005-0000-0000-0000B02D0000}"/>
    <cellStyle name="Calculation 5 3 3 4" xfId="11695" xr:uid="{00000000-0005-0000-0000-0000B12D0000}"/>
    <cellStyle name="Calculation 5 3 3 5" xfId="11696" xr:uid="{00000000-0005-0000-0000-0000B22D0000}"/>
    <cellStyle name="Calculation 5 3 30" xfId="11697" xr:uid="{00000000-0005-0000-0000-0000B32D0000}"/>
    <cellStyle name="Calculation 5 3 31" xfId="11698" xr:uid="{00000000-0005-0000-0000-0000B42D0000}"/>
    <cellStyle name="Calculation 5 3 32" xfId="11699" xr:uid="{00000000-0005-0000-0000-0000B52D0000}"/>
    <cellStyle name="Calculation 5 3 33" xfId="11700" xr:uid="{00000000-0005-0000-0000-0000B62D0000}"/>
    <cellStyle name="Calculation 5 3 34" xfId="11701" xr:uid="{00000000-0005-0000-0000-0000B72D0000}"/>
    <cellStyle name="Calculation 5 3 4" xfId="11702" xr:uid="{00000000-0005-0000-0000-0000B82D0000}"/>
    <cellStyle name="Calculation 5 3 4 2" xfId="11703" xr:uid="{00000000-0005-0000-0000-0000B92D0000}"/>
    <cellStyle name="Calculation 5 3 4 3" xfId="11704" xr:uid="{00000000-0005-0000-0000-0000BA2D0000}"/>
    <cellStyle name="Calculation 5 3 5" xfId="11705" xr:uid="{00000000-0005-0000-0000-0000BB2D0000}"/>
    <cellStyle name="Calculation 5 3 5 2" xfId="11706" xr:uid="{00000000-0005-0000-0000-0000BC2D0000}"/>
    <cellStyle name="Calculation 5 3 5 3" xfId="11707" xr:uid="{00000000-0005-0000-0000-0000BD2D0000}"/>
    <cellStyle name="Calculation 5 3 6" xfId="11708" xr:uid="{00000000-0005-0000-0000-0000BE2D0000}"/>
    <cellStyle name="Calculation 5 3 7" xfId="11709" xr:uid="{00000000-0005-0000-0000-0000BF2D0000}"/>
    <cellStyle name="Calculation 5 3 8" xfId="11710" xr:uid="{00000000-0005-0000-0000-0000C02D0000}"/>
    <cellStyle name="Calculation 5 3 9" xfId="11711" xr:uid="{00000000-0005-0000-0000-0000C12D0000}"/>
    <cellStyle name="Calculation 5 30" xfId="11712" xr:uid="{00000000-0005-0000-0000-0000C22D0000}"/>
    <cellStyle name="Calculation 5 31" xfId="11713" xr:uid="{00000000-0005-0000-0000-0000C32D0000}"/>
    <cellStyle name="Calculation 5 32" xfId="11714" xr:uid="{00000000-0005-0000-0000-0000C42D0000}"/>
    <cellStyle name="Calculation 5 33" xfId="11715" xr:uid="{00000000-0005-0000-0000-0000C52D0000}"/>
    <cellStyle name="Calculation 5 4" xfId="11716" xr:uid="{00000000-0005-0000-0000-0000C62D0000}"/>
    <cellStyle name="Calculation 5 4 2" xfId="11717" xr:uid="{00000000-0005-0000-0000-0000C72D0000}"/>
    <cellStyle name="Calculation 5 4 2 2" xfId="11718" xr:uid="{00000000-0005-0000-0000-0000C82D0000}"/>
    <cellStyle name="Calculation 5 4 2 3" xfId="11719" xr:uid="{00000000-0005-0000-0000-0000C92D0000}"/>
    <cellStyle name="Calculation 5 4 3" xfId="11720" xr:uid="{00000000-0005-0000-0000-0000CA2D0000}"/>
    <cellStyle name="Calculation 5 4 3 2" xfId="11721" xr:uid="{00000000-0005-0000-0000-0000CB2D0000}"/>
    <cellStyle name="Calculation 5 4 3 3" xfId="11722" xr:uid="{00000000-0005-0000-0000-0000CC2D0000}"/>
    <cellStyle name="Calculation 5 4 4" xfId="11723" xr:uid="{00000000-0005-0000-0000-0000CD2D0000}"/>
    <cellStyle name="Calculation 5 4 5" xfId="11724" xr:uid="{00000000-0005-0000-0000-0000CE2D0000}"/>
    <cellStyle name="Calculation 5 5" xfId="11725" xr:uid="{00000000-0005-0000-0000-0000CF2D0000}"/>
    <cellStyle name="Calculation 5 5 2" xfId="11726" xr:uid="{00000000-0005-0000-0000-0000D02D0000}"/>
    <cellStyle name="Calculation 5 5 3" xfId="11727" xr:uid="{00000000-0005-0000-0000-0000D12D0000}"/>
    <cellStyle name="Calculation 5 6" xfId="11728" xr:uid="{00000000-0005-0000-0000-0000D22D0000}"/>
    <cellStyle name="Calculation 5 6 2" xfId="11729" xr:uid="{00000000-0005-0000-0000-0000D32D0000}"/>
    <cellStyle name="Calculation 5 6 3" xfId="11730" xr:uid="{00000000-0005-0000-0000-0000D42D0000}"/>
    <cellStyle name="Calculation 5 7" xfId="11731" xr:uid="{00000000-0005-0000-0000-0000D52D0000}"/>
    <cellStyle name="Calculation 5 8" xfId="11732" xr:uid="{00000000-0005-0000-0000-0000D62D0000}"/>
    <cellStyle name="Calculation 5 9" xfId="11733" xr:uid="{00000000-0005-0000-0000-0000D72D0000}"/>
    <cellStyle name="Calculation 6" xfId="11734" xr:uid="{00000000-0005-0000-0000-0000D82D0000}"/>
    <cellStyle name="Calculation 6 10" xfId="11735" xr:uid="{00000000-0005-0000-0000-0000D92D0000}"/>
    <cellStyle name="Calculation 6 11" xfId="11736" xr:uid="{00000000-0005-0000-0000-0000DA2D0000}"/>
    <cellStyle name="Calculation 6 12" xfId="11737" xr:uid="{00000000-0005-0000-0000-0000DB2D0000}"/>
    <cellStyle name="Calculation 6 13" xfId="11738" xr:uid="{00000000-0005-0000-0000-0000DC2D0000}"/>
    <cellStyle name="Calculation 6 14" xfId="11739" xr:uid="{00000000-0005-0000-0000-0000DD2D0000}"/>
    <cellStyle name="Calculation 6 15" xfId="11740" xr:uid="{00000000-0005-0000-0000-0000DE2D0000}"/>
    <cellStyle name="Calculation 6 16" xfId="11741" xr:uid="{00000000-0005-0000-0000-0000DF2D0000}"/>
    <cellStyle name="Calculation 6 17" xfId="11742" xr:uid="{00000000-0005-0000-0000-0000E02D0000}"/>
    <cellStyle name="Calculation 6 18" xfId="11743" xr:uid="{00000000-0005-0000-0000-0000E12D0000}"/>
    <cellStyle name="Calculation 6 19" xfId="11744" xr:uid="{00000000-0005-0000-0000-0000E22D0000}"/>
    <cellStyle name="Calculation 6 2" xfId="11745" xr:uid="{00000000-0005-0000-0000-0000E32D0000}"/>
    <cellStyle name="Calculation 6 2 10" xfId="11746" xr:uid="{00000000-0005-0000-0000-0000E42D0000}"/>
    <cellStyle name="Calculation 6 2 11" xfId="11747" xr:uid="{00000000-0005-0000-0000-0000E52D0000}"/>
    <cellStyle name="Calculation 6 2 12" xfId="11748" xr:uid="{00000000-0005-0000-0000-0000E62D0000}"/>
    <cellStyle name="Calculation 6 2 13" xfId="11749" xr:uid="{00000000-0005-0000-0000-0000E72D0000}"/>
    <cellStyle name="Calculation 6 2 14" xfId="11750" xr:uid="{00000000-0005-0000-0000-0000E82D0000}"/>
    <cellStyle name="Calculation 6 2 15" xfId="11751" xr:uid="{00000000-0005-0000-0000-0000E92D0000}"/>
    <cellStyle name="Calculation 6 2 16" xfId="11752" xr:uid="{00000000-0005-0000-0000-0000EA2D0000}"/>
    <cellStyle name="Calculation 6 2 17" xfId="11753" xr:uid="{00000000-0005-0000-0000-0000EB2D0000}"/>
    <cellStyle name="Calculation 6 2 18" xfId="11754" xr:uid="{00000000-0005-0000-0000-0000EC2D0000}"/>
    <cellStyle name="Calculation 6 2 19" xfId="11755" xr:uid="{00000000-0005-0000-0000-0000ED2D0000}"/>
    <cellStyle name="Calculation 6 2 2" xfId="11756" xr:uid="{00000000-0005-0000-0000-0000EE2D0000}"/>
    <cellStyle name="Calculation 6 2 2 10" xfId="11757" xr:uid="{00000000-0005-0000-0000-0000EF2D0000}"/>
    <cellStyle name="Calculation 6 2 2 11" xfId="11758" xr:uid="{00000000-0005-0000-0000-0000F02D0000}"/>
    <cellStyle name="Calculation 6 2 2 12" xfId="11759" xr:uid="{00000000-0005-0000-0000-0000F12D0000}"/>
    <cellStyle name="Calculation 6 2 2 13" xfId="11760" xr:uid="{00000000-0005-0000-0000-0000F22D0000}"/>
    <cellStyle name="Calculation 6 2 2 14" xfId="11761" xr:uid="{00000000-0005-0000-0000-0000F32D0000}"/>
    <cellStyle name="Calculation 6 2 2 15" xfId="11762" xr:uid="{00000000-0005-0000-0000-0000F42D0000}"/>
    <cellStyle name="Calculation 6 2 2 16" xfId="11763" xr:uid="{00000000-0005-0000-0000-0000F52D0000}"/>
    <cellStyle name="Calculation 6 2 2 17" xfId="11764" xr:uid="{00000000-0005-0000-0000-0000F62D0000}"/>
    <cellStyle name="Calculation 6 2 2 18" xfId="11765" xr:uid="{00000000-0005-0000-0000-0000F72D0000}"/>
    <cellStyle name="Calculation 6 2 2 19" xfId="11766" xr:uid="{00000000-0005-0000-0000-0000F82D0000}"/>
    <cellStyle name="Calculation 6 2 2 2" xfId="11767" xr:uid="{00000000-0005-0000-0000-0000F92D0000}"/>
    <cellStyle name="Calculation 6 2 2 2 2" xfId="11768" xr:uid="{00000000-0005-0000-0000-0000FA2D0000}"/>
    <cellStyle name="Calculation 6 2 2 2 2 2" xfId="11769" xr:uid="{00000000-0005-0000-0000-0000FB2D0000}"/>
    <cellStyle name="Calculation 6 2 2 2 2 3" xfId="11770" xr:uid="{00000000-0005-0000-0000-0000FC2D0000}"/>
    <cellStyle name="Calculation 6 2 2 2 3" xfId="11771" xr:uid="{00000000-0005-0000-0000-0000FD2D0000}"/>
    <cellStyle name="Calculation 6 2 2 2 3 2" xfId="11772" xr:uid="{00000000-0005-0000-0000-0000FE2D0000}"/>
    <cellStyle name="Calculation 6 2 2 2 3 3" xfId="11773" xr:uid="{00000000-0005-0000-0000-0000FF2D0000}"/>
    <cellStyle name="Calculation 6 2 2 2 4" xfId="11774" xr:uid="{00000000-0005-0000-0000-0000002E0000}"/>
    <cellStyle name="Calculation 6 2 2 2 5" xfId="11775" xr:uid="{00000000-0005-0000-0000-0000012E0000}"/>
    <cellStyle name="Calculation 6 2 2 20" xfId="11776" xr:uid="{00000000-0005-0000-0000-0000022E0000}"/>
    <cellStyle name="Calculation 6 2 2 21" xfId="11777" xr:uid="{00000000-0005-0000-0000-0000032E0000}"/>
    <cellStyle name="Calculation 6 2 2 22" xfId="11778" xr:uid="{00000000-0005-0000-0000-0000042E0000}"/>
    <cellStyle name="Calculation 6 2 2 23" xfId="11779" xr:uid="{00000000-0005-0000-0000-0000052E0000}"/>
    <cellStyle name="Calculation 6 2 2 24" xfId="11780" xr:uid="{00000000-0005-0000-0000-0000062E0000}"/>
    <cellStyle name="Calculation 6 2 2 25" xfId="11781" xr:uid="{00000000-0005-0000-0000-0000072E0000}"/>
    <cellStyle name="Calculation 6 2 2 26" xfId="11782" xr:uid="{00000000-0005-0000-0000-0000082E0000}"/>
    <cellStyle name="Calculation 6 2 2 27" xfId="11783" xr:uid="{00000000-0005-0000-0000-0000092E0000}"/>
    <cellStyle name="Calculation 6 2 2 28" xfId="11784" xr:uid="{00000000-0005-0000-0000-00000A2E0000}"/>
    <cellStyle name="Calculation 6 2 2 29" xfId="11785" xr:uid="{00000000-0005-0000-0000-00000B2E0000}"/>
    <cellStyle name="Calculation 6 2 2 3" xfId="11786" xr:uid="{00000000-0005-0000-0000-00000C2E0000}"/>
    <cellStyle name="Calculation 6 2 2 3 2" xfId="11787" xr:uid="{00000000-0005-0000-0000-00000D2E0000}"/>
    <cellStyle name="Calculation 6 2 2 3 2 2" xfId="11788" xr:uid="{00000000-0005-0000-0000-00000E2E0000}"/>
    <cellStyle name="Calculation 6 2 2 3 2 3" xfId="11789" xr:uid="{00000000-0005-0000-0000-00000F2E0000}"/>
    <cellStyle name="Calculation 6 2 2 3 3" xfId="11790" xr:uid="{00000000-0005-0000-0000-0000102E0000}"/>
    <cellStyle name="Calculation 6 2 2 3 3 2" xfId="11791" xr:uid="{00000000-0005-0000-0000-0000112E0000}"/>
    <cellStyle name="Calculation 6 2 2 3 3 3" xfId="11792" xr:uid="{00000000-0005-0000-0000-0000122E0000}"/>
    <cellStyle name="Calculation 6 2 2 3 4" xfId="11793" xr:uid="{00000000-0005-0000-0000-0000132E0000}"/>
    <cellStyle name="Calculation 6 2 2 3 5" xfId="11794" xr:uid="{00000000-0005-0000-0000-0000142E0000}"/>
    <cellStyle name="Calculation 6 2 2 30" xfId="11795" xr:uid="{00000000-0005-0000-0000-0000152E0000}"/>
    <cellStyle name="Calculation 6 2 2 31" xfId="11796" xr:uid="{00000000-0005-0000-0000-0000162E0000}"/>
    <cellStyle name="Calculation 6 2 2 32" xfId="11797" xr:uid="{00000000-0005-0000-0000-0000172E0000}"/>
    <cellStyle name="Calculation 6 2 2 33" xfId="11798" xr:uid="{00000000-0005-0000-0000-0000182E0000}"/>
    <cellStyle name="Calculation 6 2 2 34" xfId="11799" xr:uid="{00000000-0005-0000-0000-0000192E0000}"/>
    <cellStyle name="Calculation 6 2 2 4" xfId="11800" xr:uid="{00000000-0005-0000-0000-00001A2E0000}"/>
    <cellStyle name="Calculation 6 2 2 4 2" xfId="11801" xr:uid="{00000000-0005-0000-0000-00001B2E0000}"/>
    <cellStyle name="Calculation 6 2 2 4 3" xfId="11802" xr:uid="{00000000-0005-0000-0000-00001C2E0000}"/>
    <cellStyle name="Calculation 6 2 2 5" xfId="11803" xr:uid="{00000000-0005-0000-0000-00001D2E0000}"/>
    <cellStyle name="Calculation 6 2 2 5 2" xfId="11804" xr:uid="{00000000-0005-0000-0000-00001E2E0000}"/>
    <cellStyle name="Calculation 6 2 2 5 3" xfId="11805" xr:uid="{00000000-0005-0000-0000-00001F2E0000}"/>
    <cellStyle name="Calculation 6 2 2 6" xfId="11806" xr:uid="{00000000-0005-0000-0000-0000202E0000}"/>
    <cellStyle name="Calculation 6 2 2 7" xfId="11807" xr:uid="{00000000-0005-0000-0000-0000212E0000}"/>
    <cellStyle name="Calculation 6 2 2 8" xfId="11808" xr:uid="{00000000-0005-0000-0000-0000222E0000}"/>
    <cellStyle name="Calculation 6 2 2 9" xfId="11809" xr:uid="{00000000-0005-0000-0000-0000232E0000}"/>
    <cellStyle name="Calculation 6 2 20" xfId="11810" xr:uid="{00000000-0005-0000-0000-0000242E0000}"/>
    <cellStyle name="Calculation 6 2 21" xfId="11811" xr:uid="{00000000-0005-0000-0000-0000252E0000}"/>
    <cellStyle name="Calculation 6 2 22" xfId="11812" xr:uid="{00000000-0005-0000-0000-0000262E0000}"/>
    <cellStyle name="Calculation 6 2 23" xfId="11813" xr:uid="{00000000-0005-0000-0000-0000272E0000}"/>
    <cellStyle name="Calculation 6 2 24" xfId="11814" xr:uid="{00000000-0005-0000-0000-0000282E0000}"/>
    <cellStyle name="Calculation 6 2 25" xfId="11815" xr:uid="{00000000-0005-0000-0000-0000292E0000}"/>
    <cellStyle name="Calculation 6 2 26" xfId="11816" xr:uid="{00000000-0005-0000-0000-00002A2E0000}"/>
    <cellStyle name="Calculation 6 2 27" xfId="11817" xr:uid="{00000000-0005-0000-0000-00002B2E0000}"/>
    <cellStyle name="Calculation 6 2 28" xfId="11818" xr:uid="{00000000-0005-0000-0000-00002C2E0000}"/>
    <cellStyle name="Calculation 6 2 29" xfId="11819" xr:uid="{00000000-0005-0000-0000-00002D2E0000}"/>
    <cellStyle name="Calculation 6 2 3" xfId="11820" xr:uid="{00000000-0005-0000-0000-00002E2E0000}"/>
    <cellStyle name="Calculation 6 2 3 2" xfId="11821" xr:uid="{00000000-0005-0000-0000-00002F2E0000}"/>
    <cellStyle name="Calculation 6 2 3 2 2" xfId="11822" xr:uid="{00000000-0005-0000-0000-0000302E0000}"/>
    <cellStyle name="Calculation 6 2 3 2 3" xfId="11823" xr:uid="{00000000-0005-0000-0000-0000312E0000}"/>
    <cellStyle name="Calculation 6 2 3 3" xfId="11824" xr:uid="{00000000-0005-0000-0000-0000322E0000}"/>
    <cellStyle name="Calculation 6 2 3 3 2" xfId="11825" xr:uid="{00000000-0005-0000-0000-0000332E0000}"/>
    <cellStyle name="Calculation 6 2 3 3 3" xfId="11826" xr:uid="{00000000-0005-0000-0000-0000342E0000}"/>
    <cellStyle name="Calculation 6 2 3 4" xfId="11827" xr:uid="{00000000-0005-0000-0000-0000352E0000}"/>
    <cellStyle name="Calculation 6 2 3 5" xfId="11828" xr:uid="{00000000-0005-0000-0000-0000362E0000}"/>
    <cellStyle name="Calculation 6 2 30" xfId="11829" xr:uid="{00000000-0005-0000-0000-0000372E0000}"/>
    <cellStyle name="Calculation 6 2 31" xfId="11830" xr:uid="{00000000-0005-0000-0000-0000382E0000}"/>
    <cellStyle name="Calculation 6 2 32" xfId="11831" xr:uid="{00000000-0005-0000-0000-0000392E0000}"/>
    <cellStyle name="Calculation 6 2 4" xfId="11832" xr:uid="{00000000-0005-0000-0000-00003A2E0000}"/>
    <cellStyle name="Calculation 6 2 4 2" xfId="11833" xr:uid="{00000000-0005-0000-0000-00003B2E0000}"/>
    <cellStyle name="Calculation 6 2 4 3" xfId="11834" xr:uid="{00000000-0005-0000-0000-00003C2E0000}"/>
    <cellStyle name="Calculation 6 2 5" xfId="11835" xr:uid="{00000000-0005-0000-0000-00003D2E0000}"/>
    <cellStyle name="Calculation 6 2 5 2" xfId="11836" xr:uid="{00000000-0005-0000-0000-00003E2E0000}"/>
    <cellStyle name="Calculation 6 2 5 3" xfId="11837" xr:uid="{00000000-0005-0000-0000-00003F2E0000}"/>
    <cellStyle name="Calculation 6 2 6" xfId="11838" xr:uid="{00000000-0005-0000-0000-0000402E0000}"/>
    <cellStyle name="Calculation 6 2 7" xfId="11839" xr:uid="{00000000-0005-0000-0000-0000412E0000}"/>
    <cellStyle name="Calculation 6 2 8" xfId="11840" xr:uid="{00000000-0005-0000-0000-0000422E0000}"/>
    <cellStyle name="Calculation 6 2 9" xfId="11841" xr:uid="{00000000-0005-0000-0000-0000432E0000}"/>
    <cellStyle name="Calculation 6 20" xfId="11842" xr:uid="{00000000-0005-0000-0000-0000442E0000}"/>
    <cellStyle name="Calculation 6 21" xfId="11843" xr:uid="{00000000-0005-0000-0000-0000452E0000}"/>
    <cellStyle name="Calculation 6 22" xfId="11844" xr:uid="{00000000-0005-0000-0000-0000462E0000}"/>
    <cellStyle name="Calculation 6 23" xfId="11845" xr:uid="{00000000-0005-0000-0000-0000472E0000}"/>
    <cellStyle name="Calculation 6 24" xfId="11846" xr:uid="{00000000-0005-0000-0000-0000482E0000}"/>
    <cellStyle name="Calculation 6 25" xfId="11847" xr:uid="{00000000-0005-0000-0000-0000492E0000}"/>
    <cellStyle name="Calculation 6 26" xfId="11848" xr:uid="{00000000-0005-0000-0000-00004A2E0000}"/>
    <cellStyle name="Calculation 6 27" xfId="11849" xr:uid="{00000000-0005-0000-0000-00004B2E0000}"/>
    <cellStyle name="Calculation 6 28" xfId="11850" xr:uid="{00000000-0005-0000-0000-00004C2E0000}"/>
    <cellStyle name="Calculation 6 29" xfId="11851" xr:uid="{00000000-0005-0000-0000-00004D2E0000}"/>
    <cellStyle name="Calculation 6 3" xfId="11852" xr:uid="{00000000-0005-0000-0000-00004E2E0000}"/>
    <cellStyle name="Calculation 6 3 10" xfId="11853" xr:uid="{00000000-0005-0000-0000-00004F2E0000}"/>
    <cellStyle name="Calculation 6 3 11" xfId="11854" xr:uid="{00000000-0005-0000-0000-0000502E0000}"/>
    <cellStyle name="Calculation 6 3 12" xfId="11855" xr:uid="{00000000-0005-0000-0000-0000512E0000}"/>
    <cellStyle name="Calculation 6 3 13" xfId="11856" xr:uid="{00000000-0005-0000-0000-0000522E0000}"/>
    <cellStyle name="Calculation 6 3 14" xfId="11857" xr:uid="{00000000-0005-0000-0000-0000532E0000}"/>
    <cellStyle name="Calculation 6 3 15" xfId="11858" xr:uid="{00000000-0005-0000-0000-0000542E0000}"/>
    <cellStyle name="Calculation 6 3 16" xfId="11859" xr:uid="{00000000-0005-0000-0000-0000552E0000}"/>
    <cellStyle name="Calculation 6 3 17" xfId="11860" xr:uid="{00000000-0005-0000-0000-0000562E0000}"/>
    <cellStyle name="Calculation 6 3 18" xfId="11861" xr:uid="{00000000-0005-0000-0000-0000572E0000}"/>
    <cellStyle name="Calculation 6 3 19" xfId="11862" xr:uid="{00000000-0005-0000-0000-0000582E0000}"/>
    <cellStyle name="Calculation 6 3 2" xfId="11863" xr:uid="{00000000-0005-0000-0000-0000592E0000}"/>
    <cellStyle name="Calculation 6 3 2 2" xfId="11864" xr:uid="{00000000-0005-0000-0000-00005A2E0000}"/>
    <cellStyle name="Calculation 6 3 2 2 2" xfId="11865" xr:uid="{00000000-0005-0000-0000-00005B2E0000}"/>
    <cellStyle name="Calculation 6 3 2 2 3" xfId="11866" xr:uid="{00000000-0005-0000-0000-00005C2E0000}"/>
    <cellStyle name="Calculation 6 3 2 3" xfId="11867" xr:uid="{00000000-0005-0000-0000-00005D2E0000}"/>
    <cellStyle name="Calculation 6 3 2 3 2" xfId="11868" xr:uid="{00000000-0005-0000-0000-00005E2E0000}"/>
    <cellStyle name="Calculation 6 3 2 3 3" xfId="11869" xr:uid="{00000000-0005-0000-0000-00005F2E0000}"/>
    <cellStyle name="Calculation 6 3 2 4" xfId="11870" xr:uid="{00000000-0005-0000-0000-0000602E0000}"/>
    <cellStyle name="Calculation 6 3 2 5" xfId="11871" xr:uid="{00000000-0005-0000-0000-0000612E0000}"/>
    <cellStyle name="Calculation 6 3 20" xfId="11872" xr:uid="{00000000-0005-0000-0000-0000622E0000}"/>
    <cellStyle name="Calculation 6 3 21" xfId="11873" xr:uid="{00000000-0005-0000-0000-0000632E0000}"/>
    <cellStyle name="Calculation 6 3 22" xfId="11874" xr:uid="{00000000-0005-0000-0000-0000642E0000}"/>
    <cellStyle name="Calculation 6 3 23" xfId="11875" xr:uid="{00000000-0005-0000-0000-0000652E0000}"/>
    <cellStyle name="Calculation 6 3 24" xfId="11876" xr:uid="{00000000-0005-0000-0000-0000662E0000}"/>
    <cellStyle name="Calculation 6 3 25" xfId="11877" xr:uid="{00000000-0005-0000-0000-0000672E0000}"/>
    <cellStyle name="Calculation 6 3 26" xfId="11878" xr:uid="{00000000-0005-0000-0000-0000682E0000}"/>
    <cellStyle name="Calculation 6 3 27" xfId="11879" xr:uid="{00000000-0005-0000-0000-0000692E0000}"/>
    <cellStyle name="Calculation 6 3 28" xfId="11880" xr:uid="{00000000-0005-0000-0000-00006A2E0000}"/>
    <cellStyle name="Calculation 6 3 29" xfId="11881" xr:uid="{00000000-0005-0000-0000-00006B2E0000}"/>
    <cellStyle name="Calculation 6 3 3" xfId="11882" xr:uid="{00000000-0005-0000-0000-00006C2E0000}"/>
    <cellStyle name="Calculation 6 3 3 2" xfId="11883" xr:uid="{00000000-0005-0000-0000-00006D2E0000}"/>
    <cellStyle name="Calculation 6 3 3 2 2" xfId="11884" xr:uid="{00000000-0005-0000-0000-00006E2E0000}"/>
    <cellStyle name="Calculation 6 3 3 2 3" xfId="11885" xr:uid="{00000000-0005-0000-0000-00006F2E0000}"/>
    <cellStyle name="Calculation 6 3 3 3" xfId="11886" xr:uid="{00000000-0005-0000-0000-0000702E0000}"/>
    <cellStyle name="Calculation 6 3 3 3 2" xfId="11887" xr:uid="{00000000-0005-0000-0000-0000712E0000}"/>
    <cellStyle name="Calculation 6 3 3 3 3" xfId="11888" xr:uid="{00000000-0005-0000-0000-0000722E0000}"/>
    <cellStyle name="Calculation 6 3 3 4" xfId="11889" xr:uid="{00000000-0005-0000-0000-0000732E0000}"/>
    <cellStyle name="Calculation 6 3 3 5" xfId="11890" xr:uid="{00000000-0005-0000-0000-0000742E0000}"/>
    <cellStyle name="Calculation 6 3 30" xfId="11891" xr:uid="{00000000-0005-0000-0000-0000752E0000}"/>
    <cellStyle name="Calculation 6 3 31" xfId="11892" xr:uid="{00000000-0005-0000-0000-0000762E0000}"/>
    <cellStyle name="Calculation 6 3 32" xfId="11893" xr:uid="{00000000-0005-0000-0000-0000772E0000}"/>
    <cellStyle name="Calculation 6 3 33" xfId="11894" xr:uid="{00000000-0005-0000-0000-0000782E0000}"/>
    <cellStyle name="Calculation 6 3 34" xfId="11895" xr:uid="{00000000-0005-0000-0000-0000792E0000}"/>
    <cellStyle name="Calculation 6 3 4" xfId="11896" xr:uid="{00000000-0005-0000-0000-00007A2E0000}"/>
    <cellStyle name="Calculation 6 3 4 2" xfId="11897" xr:uid="{00000000-0005-0000-0000-00007B2E0000}"/>
    <cellStyle name="Calculation 6 3 4 3" xfId="11898" xr:uid="{00000000-0005-0000-0000-00007C2E0000}"/>
    <cellStyle name="Calculation 6 3 5" xfId="11899" xr:uid="{00000000-0005-0000-0000-00007D2E0000}"/>
    <cellStyle name="Calculation 6 3 5 2" xfId="11900" xr:uid="{00000000-0005-0000-0000-00007E2E0000}"/>
    <cellStyle name="Calculation 6 3 5 3" xfId="11901" xr:uid="{00000000-0005-0000-0000-00007F2E0000}"/>
    <cellStyle name="Calculation 6 3 6" xfId="11902" xr:uid="{00000000-0005-0000-0000-0000802E0000}"/>
    <cellStyle name="Calculation 6 3 7" xfId="11903" xr:uid="{00000000-0005-0000-0000-0000812E0000}"/>
    <cellStyle name="Calculation 6 3 8" xfId="11904" xr:uid="{00000000-0005-0000-0000-0000822E0000}"/>
    <cellStyle name="Calculation 6 3 9" xfId="11905" xr:uid="{00000000-0005-0000-0000-0000832E0000}"/>
    <cellStyle name="Calculation 6 30" xfId="11906" xr:uid="{00000000-0005-0000-0000-0000842E0000}"/>
    <cellStyle name="Calculation 6 31" xfId="11907" xr:uid="{00000000-0005-0000-0000-0000852E0000}"/>
    <cellStyle name="Calculation 6 32" xfId="11908" xr:uid="{00000000-0005-0000-0000-0000862E0000}"/>
    <cellStyle name="Calculation 6 33" xfId="11909" xr:uid="{00000000-0005-0000-0000-0000872E0000}"/>
    <cellStyle name="Calculation 6 4" xfId="11910" xr:uid="{00000000-0005-0000-0000-0000882E0000}"/>
    <cellStyle name="Calculation 6 4 2" xfId="11911" xr:uid="{00000000-0005-0000-0000-0000892E0000}"/>
    <cellStyle name="Calculation 6 4 2 2" xfId="11912" xr:uid="{00000000-0005-0000-0000-00008A2E0000}"/>
    <cellStyle name="Calculation 6 4 2 3" xfId="11913" xr:uid="{00000000-0005-0000-0000-00008B2E0000}"/>
    <cellStyle name="Calculation 6 4 3" xfId="11914" xr:uid="{00000000-0005-0000-0000-00008C2E0000}"/>
    <cellStyle name="Calculation 6 4 3 2" xfId="11915" xr:uid="{00000000-0005-0000-0000-00008D2E0000}"/>
    <cellStyle name="Calculation 6 4 3 3" xfId="11916" xr:uid="{00000000-0005-0000-0000-00008E2E0000}"/>
    <cellStyle name="Calculation 6 4 4" xfId="11917" xr:uid="{00000000-0005-0000-0000-00008F2E0000}"/>
    <cellStyle name="Calculation 6 4 5" xfId="11918" xr:uid="{00000000-0005-0000-0000-0000902E0000}"/>
    <cellStyle name="Calculation 6 5" xfId="11919" xr:uid="{00000000-0005-0000-0000-0000912E0000}"/>
    <cellStyle name="Calculation 6 5 2" xfId="11920" xr:uid="{00000000-0005-0000-0000-0000922E0000}"/>
    <cellStyle name="Calculation 6 5 3" xfId="11921" xr:uid="{00000000-0005-0000-0000-0000932E0000}"/>
    <cellStyle name="Calculation 6 6" xfId="11922" xr:uid="{00000000-0005-0000-0000-0000942E0000}"/>
    <cellStyle name="Calculation 6 6 2" xfId="11923" xr:uid="{00000000-0005-0000-0000-0000952E0000}"/>
    <cellStyle name="Calculation 6 6 3" xfId="11924" xr:uid="{00000000-0005-0000-0000-0000962E0000}"/>
    <cellStyle name="Calculation 6 7" xfId="11925" xr:uid="{00000000-0005-0000-0000-0000972E0000}"/>
    <cellStyle name="Calculation 6 8" xfId="11926" xr:uid="{00000000-0005-0000-0000-0000982E0000}"/>
    <cellStyle name="Calculation 6 9" xfId="11927" xr:uid="{00000000-0005-0000-0000-0000992E0000}"/>
    <cellStyle name="Calculation 7" xfId="11928" xr:uid="{00000000-0005-0000-0000-00009A2E0000}"/>
    <cellStyle name="Calculation 7 2" xfId="11929" xr:uid="{00000000-0005-0000-0000-00009B2E0000}"/>
    <cellStyle name="Calculation 8" xfId="11930" xr:uid="{00000000-0005-0000-0000-00009C2E0000}"/>
    <cellStyle name="Calculation 8 2" xfId="11931" xr:uid="{00000000-0005-0000-0000-00009D2E0000}"/>
    <cellStyle name="Calculation 9" xfId="11932" xr:uid="{00000000-0005-0000-0000-00009E2E0000}"/>
    <cellStyle name="Calculation 9 2" xfId="11933" xr:uid="{00000000-0005-0000-0000-00009F2E0000}"/>
    <cellStyle name="Cálculo" xfId="11934" xr:uid="{00000000-0005-0000-0000-0000A02E0000}"/>
    <cellStyle name="Cálculo 10" xfId="11935" xr:uid="{00000000-0005-0000-0000-0000A12E0000}"/>
    <cellStyle name="Cálculo 11" xfId="11936" xr:uid="{00000000-0005-0000-0000-0000A22E0000}"/>
    <cellStyle name="Cálculo 12" xfId="11937" xr:uid="{00000000-0005-0000-0000-0000A32E0000}"/>
    <cellStyle name="Cálculo 13" xfId="11938" xr:uid="{00000000-0005-0000-0000-0000A42E0000}"/>
    <cellStyle name="Cálculo 14" xfId="11939" xr:uid="{00000000-0005-0000-0000-0000A52E0000}"/>
    <cellStyle name="Cálculo 15" xfId="11940" xr:uid="{00000000-0005-0000-0000-0000A62E0000}"/>
    <cellStyle name="Cálculo 16" xfId="11941" xr:uid="{00000000-0005-0000-0000-0000A72E0000}"/>
    <cellStyle name="Cálculo 17" xfId="11942" xr:uid="{00000000-0005-0000-0000-0000A82E0000}"/>
    <cellStyle name="Cálculo 18" xfId="11943" xr:uid="{00000000-0005-0000-0000-0000A92E0000}"/>
    <cellStyle name="Cálculo 19" xfId="11944" xr:uid="{00000000-0005-0000-0000-0000AA2E0000}"/>
    <cellStyle name="Cálculo 2" xfId="11945" xr:uid="{00000000-0005-0000-0000-0000AB2E0000}"/>
    <cellStyle name="Cálculo 2 10" xfId="11946" xr:uid="{00000000-0005-0000-0000-0000AC2E0000}"/>
    <cellStyle name="Cálculo 2 11" xfId="11947" xr:uid="{00000000-0005-0000-0000-0000AD2E0000}"/>
    <cellStyle name="Cálculo 2 12" xfId="11948" xr:uid="{00000000-0005-0000-0000-0000AE2E0000}"/>
    <cellStyle name="Cálculo 2 13" xfId="11949" xr:uid="{00000000-0005-0000-0000-0000AF2E0000}"/>
    <cellStyle name="Cálculo 2 14" xfId="11950" xr:uid="{00000000-0005-0000-0000-0000B02E0000}"/>
    <cellStyle name="Cálculo 2 15" xfId="11951" xr:uid="{00000000-0005-0000-0000-0000B12E0000}"/>
    <cellStyle name="Cálculo 2 16" xfId="11952" xr:uid="{00000000-0005-0000-0000-0000B22E0000}"/>
    <cellStyle name="Cálculo 2 17" xfId="11953" xr:uid="{00000000-0005-0000-0000-0000B32E0000}"/>
    <cellStyle name="Cálculo 2 18" xfId="11954" xr:uid="{00000000-0005-0000-0000-0000B42E0000}"/>
    <cellStyle name="Cálculo 2 19" xfId="11955" xr:uid="{00000000-0005-0000-0000-0000B52E0000}"/>
    <cellStyle name="Cálculo 2 2" xfId="11956" xr:uid="{00000000-0005-0000-0000-0000B62E0000}"/>
    <cellStyle name="Cálculo 2 2 2" xfId="11957" xr:uid="{00000000-0005-0000-0000-0000B72E0000}"/>
    <cellStyle name="Cálculo 2 2 2 2" xfId="11958" xr:uid="{00000000-0005-0000-0000-0000B82E0000}"/>
    <cellStyle name="Cálculo 2 2 2 3" xfId="11959" xr:uid="{00000000-0005-0000-0000-0000B92E0000}"/>
    <cellStyle name="Cálculo 2 2 3" xfId="11960" xr:uid="{00000000-0005-0000-0000-0000BA2E0000}"/>
    <cellStyle name="Cálculo 2 2 3 2" xfId="11961" xr:uid="{00000000-0005-0000-0000-0000BB2E0000}"/>
    <cellStyle name="Cálculo 2 2 3 3" xfId="11962" xr:uid="{00000000-0005-0000-0000-0000BC2E0000}"/>
    <cellStyle name="Cálculo 2 2 4" xfId="11963" xr:uid="{00000000-0005-0000-0000-0000BD2E0000}"/>
    <cellStyle name="Cálculo 2 2 5" xfId="11964" xr:uid="{00000000-0005-0000-0000-0000BE2E0000}"/>
    <cellStyle name="Cálculo 2 20" xfId="11965" xr:uid="{00000000-0005-0000-0000-0000BF2E0000}"/>
    <cellStyle name="Cálculo 2 21" xfId="11966" xr:uid="{00000000-0005-0000-0000-0000C02E0000}"/>
    <cellStyle name="Cálculo 2 22" xfId="11967" xr:uid="{00000000-0005-0000-0000-0000C12E0000}"/>
    <cellStyle name="Cálculo 2 23" xfId="11968" xr:uid="{00000000-0005-0000-0000-0000C22E0000}"/>
    <cellStyle name="Cálculo 2 24" xfId="11969" xr:uid="{00000000-0005-0000-0000-0000C32E0000}"/>
    <cellStyle name="Cálculo 2 25" xfId="11970" xr:uid="{00000000-0005-0000-0000-0000C42E0000}"/>
    <cellStyle name="Cálculo 2 26" xfId="11971" xr:uid="{00000000-0005-0000-0000-0000C52E0000}"/>
    <cellStyle name="Cálculo 2 27" xfId="11972" xr:uid="{00000000-0005-0000-0000-0000C62E0000}"/>
    <cellStyle name="Cálculo 2 28" xfId="11973" xr:uid="{00000000-0005-0000-0000-0000C72E0000}"/>
    <cellStyle name="Cálculo 2 29" xfId="11974" xr:uid="{00000000-0005-0000-0000-0000C82E0000}"/>
    <cellStyle name="Cálculo 2 3" xfId="11975" xr:uid="{00000000-0005-0000-0000-0000C92E0000}"/>
    <cellStyle name="Cálculo 2 3 2" xfId="11976" xr:uid="{00000000-0005-0000-0000-0000CA2E0000}"/>
    <cellStyle name="Cálculo 2 3 2 2" xfId="11977" xr:uid="{00000000-0005-0000-0000-0000CB2E0000}"/>
    <cellStyle name="Cálculo 2 3 2 3" xfId="11978" xr:uid="{00000000-0005-0000-0000-0000CC2E0000}"/>
    <cellStyle name="Cálculo 2 3 3" xfId="11979" xr:uid="{00000000-0005-0000-0000-0000CD2E0000}"/>
    <cellStyle name="Cálculo 2 3 3 2" xfId="11980" xr:uid="{00000000-0005-0000-0000-0000CE2E0000}"/>
    <cellStyle name="Cálculo 2 3 3 3" xfId="11981" xr:uid="{00000000-0005-0000-0000-0000CF2E0000}"/>
    <cellStyle name="Cálculo 2 3 4" xfId="11982" xr:uid="{00000000-0005-0000-0000-0000D02E0000}"/>
    <cellStyle name="Cálculo 2 3 5" xfId="11983" xr:uid="{00000000-0005-0000-0000-0000D12E0000}"/>
    <cellStyle name="Cálculo 2 30" xfId="11984" xr:uid="{00000000-0005-0000-0000-0000D22E0000}"/>
    <cellStyle name="Cálculo 2 31" xfId="11985" xr:uid="{00000000-0005-0000-0000-0000D32E0000}"/>
    <cellStyle name="Cálculo 2 32" xfId="11986" xr:uid="{00000000-0005-0000-0000-0000D42E0000}"/>
    <cellStyle name="Cálculo 2 33" xfId="11987" xr:uid="{00000000-0005-0000-0000-0000D52E0000}"/>
    <cellStyle name="Cálculo 2 34" xfId="11988" xr:uid="{00000000-0005-0000-0000-0000D62E0000}"/>
    <cellStyle name="Cálculo 2 4" xfId="11989" xr:uid="{00000000-0005-0000-0000-0000D72E0000}"/>
    <cellStyle name="Cálculo 2 4 2" xfId="11990" xr:uid="{00000000-0005-0000-0000-0000D82E0000}"/>
    <cellStyle name="Cálculo 2 4 3" xfId="11991" xr:uid="{00000000-0005-0000-0000-0000D92E0000}"/>
    <cellStyle name="Cálculo 2 5" xfId="11992" xr:uid="{00000000-0005-0000-0000-0000DA2E0000}"/>
    <cellStyle name="Cálculo 2 5 2" xfId="11993" xr:uid="{00000000-0005-0000-0000-0000DB2E0000}"/>
    <cellStyle name="Cálculo 2 5 3" xfId="11994" xr:uid="{00000000-0005-0000-0000-0000DC2E0000}"/>
    <cellStyle name="Cálculo 2 6" xfId="11995" xr:uid="{00000000-0005-0000-0000-0000DD2E0000}"/>
    <cellStyle name="Cálculo 2 7" xfId="11996" xr:uid="{00000000-0005-0000-0000-0000DE2E0000}"/>
    <cellStyle name="Cálculo 2 8" xfId="11997" xr:uid="{00000000-0005-0000-0000-0000DF2E0000}"/>
    <cellStyle name="Cálculo 2 9" xfId="11998" xr:uid="{00000000-0005-0000-0000-0000E02E0000}"/>
    <cellStyle name="Cálculo 20" xfId="11999" xr:uid="{00000000-0005-0000-0000-0000E12E0000}"/>
    <cellStyle name="Cálculo 21" xfId="12000" xr:uid="{00000000-0005-0000-0000-0000E22E0000}"/>
    <cellStyle name="Cálculo 22" xfId="12001" xr:uid="{00000000-0005-0000-0000-0000E32E0000}"/>
    <cellStyle name="Cálculo 23" xfId="12002" xr:uid="{00000000-0005-0000-0000-0000E42E0000}"/>
    <cellStyle name="Cálculo 24" xfId="12003" xr:uid="{00000000-0005-0000-0000-0000E52E0000}"/>
    <cellStyle name="Cálculo 25" xfId="12004" xr:uid="{00000000-0005-0000-0000-0000E62E0000}"/>
    <cellStyle name="Cálculo 26" xfId="12005" xr:uid="{00000000-0005-0000-0000-0000E72E0000}"/>
    <cellStyle name="Cálculo 27" xfId="12006" xr:uid="{00000000-0005-0000-0000-0000E82E0000}"/>
    <cellStyle name="Cálculo 28" xfId="12007" xr:uid="{00000000-0005-0000-0000-0000E92E0000}"/>
    <cellStyle name="Cálculo 29" xfId="12008" xr:uid="{00000000-0005-0000-0000-0000EA2E0000}"/>
    <cellStyle name="Cálculo 3" xfId="12009" xr:uid="{00000000-0005-0000-0000-0000EB2E0000}"/>
    <cellStyle name="Cálculo 3 2" xfId="12010" xr:uid="{00000000-0005-0000-0000-0000EC2E0000}"/>
    <cellStyle name="Cálculo 3 2 2" xfId="12011" xr:uid="{00000000-0005-0000-0000-0000ED2E0000}"/>
    <cellStyle name="Cálculo 3 2 3" xfId="12012" xr:uid="{00000000-0005-0000-0000-0000EE2E0000}"/>
    <cellStyle name="Cálculo 3 3" xfId="12013" xr:uid="{00000000-0005-0000-0000-0000EF2E0000}"/>
    <cellStyle name="Cálculo 3 3 2" xfId="12014" xr:uid="{00000000-0005-0000-0000-0000F02E0000}"/>
    <cellStyle name="Cálculo 3 3 3" xfId="12015" xr:uid="{00000000-0005-0000-0000-0000F12E0000}"/>
    <cellStyle name="Cálculo 3 4" xfId="12016" xr:uid="{00000000-0005-0000-0000-0000F22E0000}"/>
    <cellStyle name="Cálculo 3 5" xfId="12017" xr:uid="{00000000-0005-0000-0000-0000F32E0000}"/>
    <cellStyle name="Cálculo 30" xfId="12018" xr:uid="{00000000-0005-0000-0000-0000F42E0000}"/>
    <cellStyle name="Cálculo 31" xfId="12019" xr:uid="{00000000-0005-0000-0000-0000F52E0000}"/>
    <cellStyle name="Cálculo 32" xfId="12020" xr:uid="{00000000-0005-0000-0000-0000F62E0000}"/>
    <cellStyle name="Cálculo 4" xfId="12021" xr:uid="{00000000-0005-0000-0000-0000F72E0000}"/>
    <cellStyle name="Cálculo 4 2" xfId="12022" xr:uid="{00000000-0005-0000-0000-0000F82E0000}"/>
    <cellStyle name="Cálculo 4 3" xfId="12023" xr:uid="{00000000-0005-0000-0000-0000F92E0000}"/>
    <cellStyle name="Cálculo 5" xfId="12024" xr:uid="{00000000-0005-0000-0000-0000FA2E0000}"/>
    <cellStyle name="Cálculo 5 2" xfId="12025" xr:uid="{00000000-0005-0000-0000-0000FB2E0000}"/>
    <cellStyle name="Cálculo 5 3" xfId="12026" xr:uid="{00000000-0005-0000-0000-0000FC2E0000}"/>
    <cellStyle name="Cálculo 6" xfId="12027" xr:uid="{00000000-0005-0000-0000-0000FD2E0000}"/>
    <cellStyle name="Cálculo 7" xfId="12028" xr:uid="{00000000-0005-0000-0000-0000FE2E0000}"/>
    <cellStyle name="Cálculo 8" xfId="12029" xr:uid="{00000000-0005-0000-0000-0000FF2E0000}"/>
    <cellStyle name="Cálculo 9" xfId="12030" xr:uid="{00000000-0005-0000-0000-0000002F0000}"/>
    <cellStyle name="category" xfId="12031" xr:uid="{00000000-0005-0000-0000-0000012F0000}"/>
    <cellStyle name="Cellule liée" xfId="12032" xr:uid="{00000000-0005-0000-0000-0000022F0000}"/>
    <cellStyle name="Cellule liée 2" xfId="12033" xr:uid="{00000000-0005-0000-0000-0000032F0000}"/>
    <cellStyle name="Célula de Verificação" xfId="12034" xr:uid="{00000000-0005-0000-0000-0000042F0000}"/>
    <cellStyle name="Célula de Verificação 2" xfId="12035" xr:uid="{00000000-0005-0000-0000-0000052F0000}"/>
    <cellStyle name="Célula de Verificação 2 2" xfId="12036" xr:uid="{00000000-0005-0000-0000-0000062F0000}"/>
    <cellStyle name="Célula de Verificação 3" xfId="12037" xr:uid="{00000000-0005-0000-0000-0000072F0000}"/>
    <cellStyle name="Célula de Verificação 4" xfId="12038" xr:uid="{00000000-0005-0000-0000-0000082F0000}"/>
    <cellStyle name="Célula Vinculada" xfId="12039" xr:uid="{00000000-0005-0000-0000-0000092F0000}"/>
    <cellStyle name="Check Cell 10" xfId="12040" xr:uid="{00000000-0005-0000-0000-00000A2F0000}"/>
    <cellStyle name="Check Cell 10 2" xfId="12041" xr:uid="{00000000-0005-0000-0000-00000B2F0000}"/>
    <cellStyle name="Check Cell 11" xfId="12042" xr:uid="{00000000-0005-0000-0000-00000C2F0000}"/>
    <cellStyle name="Check Cell 11 2" xfId="12043" xr:uid="{00000000-0005-0000-0000-00000D2F0000}"/>
    <cellStyle name="Check Cell 12" xfId="12044" xr:uid="{00000000-0005-0000-0000-00000E2F0000}"/>
    <cellStyle name="Check Cell 12 2" xfId="12045" xr:uid="{00000000-0005-0000-0000-00000F2F0000}"/>
    <cellStyle name="Check Cell 13" xfId="12046" xr:uid="{00000000-0005-0000-0000-0000102F0000}"/>
    <cellStyle name="Check Cell 13 2" xfId="12047" xr:uid="{00000000-0005-0000-0000-0000112F0000}"/>
    <cellStyle name="Check Cell 14" xfId="12048" xr:uid="{00000000-0005-0000-0000-0000122F0000}"/>
    <cellStyle name="Check Cell 14 2" xfId="12049" xr:uid="{00000000-0005-0000-0000-0000132F0000}"/>
    <cellStyle name="Check Cell 15" xfId="12050" xr:uid="{00000000-0005-0000-0000-0000142F0000}"/>
    <cellStyle name="Check Cell 15 2" xfId="12051" xr:uid="{00000000-0005-0000-0000-0000152F0000}"/>
    <cellStyle name="Check Cell 16" xfId="12052" xr:uid="{00000000-0005-0000-0000-0000162F0000}"/>
    <cellStyle name="Check Cell 16 2" xfId="12053" xr:uid="{00000000-0005-0000-0000-0000172F0000}"/>
    <cellStyle name="Check Cell 17" xfId="12054" xr:uid="{00000000-0005-0000-0000-0000182F0000}"/>
    <cellStyle name="Check Cell 17 2" xfId="12055" xr:uid="{00000000-0005-0000-0000-0000192F0000}"/>
    <cellStyle name="Check Cell 18" xfId="12056" xr:uid="{00000000-0005-0000-0000-00001A2F0000}"/>
    <cellStyle name="Check Cell 18 2" xfId="12057" xr:uid="{00000000-0005-0000-0000-00001B2F0000}"/>
    <cellStyle name="Check Cell 19" xfId="12058" xr:uid="{00000000-0005-0000-0000-00001C2F0000}"/>
    <cellStyle name="Check Cell 19 2" xfId="12059" xr:uid="{00000000-0005-0000-0000-00001D2F0000}"/>
    <cellStyle name="Check Cell 2" xfId="12060" xr:uid="{00000000-0005-0000-0000-00001E2F0000}"/>
    <cellStyle name="Check Cell 2 10" xfId="12061" xr:uid="{00000000-0005-0000-0000-00001F2F0000}"/>
    <cellStyle name="Check Cell 2 10 2" xfId="12062" xr:uid="{00000000-0005-0000-0000-0000202F0000}"/>
    <cellStyle name="Check Cell 2 11" xfId="12063" xr:uid="{00000000-0005-0000-0000-0000212F0000}"/>
    <cellStyle name="Check Cell 2 11 2" xfId="12064" xr:uid="{00000000-0005-0000-0000-0000222F0000}"/>
    <cellStyle name="Check Cell 2 12" xfId="12065" xr:uid="{00000000-0005-0000-0000-0000232F0000}"/>
    <cellStyle name="Check Cell 2 12 2" xfId="12066" xr:uid="{00000000-0005-0000-0000-0000242F0000}"/>
    <cellStyle name="Check Cell 2 13" xfId="12067" xr:uid="{00000000-0005-0000-0000-0000252F0000}"/>
    <cellStyle name="Check Cell 2 13 2" xfId="12068" xr:uid="{00000000-0005-0000-0000-0000262F0000}"/>
    <cellStyle name="Check Cell 2 14" xfId="12069" xr:uid="{00000000-0005-0000-0000-0000272F0000}"/>
    <cellStyle name="Check Cell 2 14 2" xfId="12070" xr:uid="{00000000-0005-0000-0000-0000282F0000}"/>
    <cellStyle name="Check Cell 2 15" xfId="12071" xr:uid="{00000000-0005-0000-0000-0000292F0000}"/>
    <cellStyle name="Check Cell 2 15 2" xfId="12072" xr:uid="{00000000-0005-0000-0000-00002A2F0000}"/>
    <cellStyle name="Check Cell 2 16" xfId="12073" xr:uid="{00000000-0005-0000-0000-00002B2F0000}"/>
    <cellStyle name="Check Cell 2 16 2" xfId="12074" xr:uid="{00000000-0005-0000-0000-00002C2F0000}"/>
    <cellStyle name="Check Cell 2 17" xfId="12075" xr:uid="{00000000-0005-0000-0000-00002D2F0000}"/>
    <cellStyle name="Check Cell 2 17 2" xfId="12076" xr:uid="{00000000-0005-0000-0000-00002E2F0000}"/>
    <cellStyle name="Check Cell 2 18" xfId="12077" xr:uid="{00000000-0005-0000-0000-00002F2F0000}"/>
    <cellStyle name="Check Cell 2 18 2" xfId="12078" xr:uid="{00000000-0005-0000-0000-0000302F0000}"/>
    <cellStyle name="Check Cell 2 19" xfId="12079" xr:uid="{00000000-0005-0000-0000-0000312F0000}"/>
    <cellStyle name="Check Cell 2 19 2" xfId="12080" xr:uid="{00000000-0005-0000-0000-0000322F0000}"/>
    <cellStyle name="Check Cell 2 2" xfId="12081" xr:uid="{00000000-0005-0000-0000-0000332F0000}"/>
    <cellStyle name="Check Cell 2 2 2" xfId="12082" xr:uid="{00000000-0005-0000-0000-0000342F0000}"/>
    <cellStyle name="Check Cell 2 2 2 2" xfId="12083" xr:uid="{00000000-0005-0000-0000-0000352F0000}"/>
    <cellStyle name="Check Cell 2 2 3" xfId="12084" xr:uid="{00000000-0005-0000-0000-0000362F0000}"/>
    <cellStyle name="Check Cell 2 2 3 2" xfId="12085" xr:uid="{00000000-0005-0000-0000-0000372F0000}"/>
    <cellStyle name="Check Cell 2 2 3 2 2" xfId="12086" xr:uid="{00000000-0005-0000-0000-0000382F0000}"/>
    <cellStyle name="Check Cell 2 2 3 3" xfId="12087" xr:uid="{00000000-0005-0000-0000-0000392F0000}"/>
    <cellStyle name="Check Cell 2 2 3 4" xfId="12088" xr:uid="{00000000-0005-0000-0000-00003A2F0000}"/>
    <cellStyle name="Check Cell 2 2 4" xfId="12089" xr:uid="{00000000-0005-0000-0000-00003B2F0000}"/>
    <cellStyle name="Check Cell 2 2 4 2" xfId="12090" xr:uid="{00000000-0005-0000-0000-00003C2F0000}"/>
    <cellStyle name="Check Cell 2 2 5" xfId="12091" xr:uid="{00000000-0005-0000-0000-00003D2F0000}"/>
    <cellStyle name="Check Cell 2 2 6" xfId="12092" xr:uid="{00000000-0005-0000-0000-00003E2F0000}"/>
    <cellStyle name="Check Cell 2 20" xfId="12093" xr:uid="{00000000-0005-0000-0000-00003F2F0000}"/>
    <cellStyle name="Check Cell 2 20 2" xfId="12094" xr:uid="{00000000-0005-0000-0000-0000402F0000}"/>
    <cellStyle name="Check Cell 2 20 2 2" xfId="12095" xr:uid="{00000000-0005-0000-0000-0000412F0000}"/>
    <cellStyle name="Check Cell 2 20 3" xfId="12096" xr:uid="{00000000-0005-0000-0000-0000422F0000}"/>
    <cellStyle name="Check Cell 2 20 4" xfId="12097" xr:uid="{00000000-0005-0000-0000-0000432F0000}"/>
    <cellStyle name="Check Cell 2 21" xfId="12098" xr:uid="{00000000-0005-0000-0000-0000442F0000}"/>
    <cellStyle name="Check Cell 2 21 2" xfId="12099" xr:uid="{00000000-0005-0000-0000-0000452F0000}"/>
    <cellStyle name="Check Cell 2 22" xfId="12100" xr:uid="{00000000-0005-0000-0000-0000462F0000}"/>
    <cellStyle name="Check Cell 2 23" xfId="12101" xr:uid="{00000000-0005-0000-0000-0000472F0000}"/>
    <cellStyle name="Check Cell 2 3" xfId="12102" xr:uid="{00000000-0005-0000-0000-0000482F0000}"/>
    <cellStyle name="Check Cell 2 3 2" xfId="12103" xr:uid="{00000000-0005-0000-0000-0000492F0000}"/>
    <cellStyle name="Check Cell 2 3 2 2" xfId="12104" xr:uid="{00000000-0005-0000-0000-00004A2F0000}"/>
    <cellStyle name="Check Cell 2 3 2 2 2" xfId="12105" xr:uid="{00000000-0005-0000-0000-00004B2F0000}"/>
    <cellStyle name="Check Cell 2 3 2 3" xfId="12106" xr:uid="{00000000-0005-0000-0000-00004C2F0000}"/>
    <cellStyle name="Check Cell 2 3 2 4" xfId="12107" xr:uid="{00000000-0005-0000-0000-00004D2F0000}"/>
    <cellStyle name="Check Cell 2 3 3" xfId="12108" xr:uid="{00000000-0005-0000-0000-00004E2F0000}"/>
    <cellStyle name="Check Cell 2 3 3 2" xfId="12109" xr:uid="{00000000-0005-0000-0000-00004F2F0000}"/>
    <cellStyle name="Check Cell 2 3 4" xfId="12110" xr:uid="{00000000-0005-0000-0000-0000502F0000}"/>
    <cellStyle name="Check Cell 2 3 5" xfId="12111" xr:uid="{00000000-0005-0000-0000-0000512F0000}"/>
    <cellStyle name="Check Cell 2 4" xfId="12112" xr:uid="{00000000-0005-0000-0000-0000522F0000}"/>
    <cellStyle name="Check Cell 2 4 2" xfId="12113" xr:uid="{00000000-0005-0000-0000-0000532F0000}"/>
    <cellStyle name="Check Cell 2 4 2 2" xfId="12114" xr:uid="{00000000-0005-0000-0000-0000542F0000}"/>
    <cellStyle name="Check Cell 2 4 2 2 2" xfId="12115" xr:uid="{00000000-0005-0000-0000-0000552F0000}"/>
    <cellStyle name="Check Cell 2 4 2 3" xfId="12116" xr:uid="{00000000-0005-0000-0000-0000562F0000}"/>
    <cellStyle name="Check Cell 2 4 2 4" xfId="12117" xr:uid="{00000000-0005-0000-0000-0000572F0000}"/>
    <cellStyle name="Check Cell 2 4 3" xfId="12118" xr:uid="{00000000-0005-0000-0000-0000582F0000}"/>
    <cellStyle name="Check Cell 2 4 3 2" xfId="12119" xr:uid="{00000000-0005-0000-0000-0000592F0000}"/>
    <cellStyle name="Check Cell 2 4 4" xfId="12120" xr:uid="{00000000-0005-0000-0000-00005A2F0000}"/>
    <cellStyle name="Check Cell 2 4 5" xfId="12121" xr:uid="{00000000-0005-0000-0000-00005B2F0000}"/>
    <cellStyle name="Check Cell 2 5" xfId="12122" xr:uid="{00000000-0005-0000-0000-00005C2F0000}"/>
    <cellStyle name="Check Cell 2 5 2" xfId="12123" xr:uid="{00000000-0005-0000-0000-00005D2F0000}"/>
    <cellStyle name="Check Cell 2 6" xfId="12124" xr:uid="{00000000-0005-0000-0000-00005E2F0000}"/>
    <cellStyle name="Check Cell 2 6 2" xfId="12125" xr:uid="{00000000-0005-0000-0000-00005F2F0000}"/>
    <cellStyle name="Check Cell 2 7" xfId="12126" xr:uid="{00000000-0005-0000-0000-0000602F0000}"/>
    <cellStyle name="Check Cell 2 7 2" xfId="12127" xr:uid="{00000000-0005-0000-0000-0000612F0000}"/>
    <cellStyle name="Check Cell 2 8" xfId="12128" xr:uid="{00000000-0005-0000-0000-0000622F0000}"/>
    <cellStyle name="Check Cell 2 8 2" xfId="12129" xr:uid="{00000000-0005-0000-0000-0000632F0000}"/>
    <cellStyle name="Check Cell 2 9" xfId="12130" xr:uid="{00000000-0005-0000-0000-0000642F0000}"/>
    <cellStyle name="Check Cell 2 9 2" xfId="12131" xr:uid="{00000000-0005-0000-0000-0000652F0000}"/>
    <cellStyle name="Check Cell 20" xfId="12132" xr:uid="{00000000-0005-0000-0000-0000662F0000}"/>
    <cellStyle name="Check Cell 20 2" xfId="12133" xr:uid="{00000000-0005-0000-0000-0000672F0000}"/>
    <cellStyle name="Check Cell 21" xfId="12134" xr:uid="{00000000-0005-0000-0000-0000682F0000}"/>
    <cellStyle name="Check Cell 21 2" xfId="12135" xr:uid="{00000000-0005-0000-0000-0000692F0000}"/>
    <cellStyle name="Check Cell 22" xfId="12136" xr:uid="{00000000-0005-0000-0000-00006A2F0000}"/>
    <cellStyle name="Check Cell 22 2" xfId="12137" xr:uid="{00000000-0005-0000-0000-00006B2F0000}"/>
    <cellStyle name="Check Cell 23" xfId="12138" xr:uid="{00000000-0005-0000-0000-00006C2F0000}"/>
    <cellStyle name="Check Cell 23 2" xfId="12139" xr:uid="{00000000-0005-0000-0000-00006D2F0000}"/>
    <cellStyle name="Check Cell 24" xfId="12140" xr:uid="{00000000-0005-0000-0000-00006E2F0000}"/>
    <cellStyle name="Check Cell 24 2" xfId="12141" xr:uid="{00000000-0005-0000-0000-00006F2F0000}"/>
    <cellStyle name="Check Cell 25" xfId="12142" xr:uid="{00000000-0005-0000-0000-0000702F0000}"/>
    <cellStyle name="Check Cell 25 2" xfId="12143" xr:uid="{00000000-0005-0000-0000-0000712F0000}"/>
    <cellStyle name="Check Cell 26" xfId="12144" xr:uid="{00000000-0005-0000-0000-0000722F0000}"/>
    <cellStyle name="Check Cell 26 2" xfId="12145" xr:uid="{00000000-0005-0000-0000-0000732F0000}"/>
    <cellStyle name="Check Cell 27" xfId="12146" xr:uid="{00000000-0005-0000-0000-0000742F0000}"/>
    <cellStyle name="Check Cell 27 2" xfId="12147" xr:uid="{00000000-0005-0000-0000-0000752F0000}"/>
    <cellStyle name="Check Cell 3" xfId="12148" xr:uid="{00000000-0005-0000-0000-0000762F0000}"/>
    <cellStyle name="Check Cell 3 2" xfId="12149" xr:uid="{00000000-0005-0000-0000-0000772F0000}"/>
    <cellStyle name="Check Cell 3 2 2" xfId="12150" xr:uid="{00000000-0005-0000-0000-0000782F0000}"/>
    <cellStyle name="Check Cell 3 2 2 2" xfId="12151" xr:uid="{00000000-0005-0000-0000-0000792F0000}"/>
    <cellStyle name="Check Cell 3 2 2 2 2" xfId="12152" xr:uid="{00000000-0005-0000-0000-00007A2F0000}"/>
    <cellStyle name="Check Cell 3 2 2 3" xfId="12153" xr:uid="{00000000-0005-0000-0000-00007B2F0000}"/>
    <cellStyle name="Check Cell 3 2 2 4" xfId="12154" xr:uid="{00000000-0005-0000-0000-00007C2F0000}"/>
    <cellStyle name="Check Cell 3 2 3" xfId="12155" xr:uid="{00000000-0005-0000-0000-00007D2F0000}"/>
    <cellStyle name="Check Cell 3 2 3 2" xfId="12156" xr:uid="{00000000-0005-0000-0000-00007E2F0000}"/>
    <cellStyle name="Check Cell 3 2 4" xfId="12157" xr:uid="{00000000-0005-0000-0000-00007F2F0000}"/>
    <cellStyle name="Check Cell 3 2 5" xfId="12158" xr:uid="{00000000-0005-0000-0000-0000802F0000}"/>
    <cellStyle name="Check Cell 3 3" xfId="12159" xr:uid="{00000000-0005-0000-0000-0000812F0000}"/>
    <cellStyle name="Check Cell 3 3 2" xfId="12160" xr:uid="{00000000-0005-0000-0000-0000822F0000}"/>
    <cellStyle name="Check Cell 3 3 2 2" xfId="12161" xr:uid="{00000000-0005-0000-0000-0000832F0000}"/>
    <cellStyle name="Check Cell 3 3 3" xfId="12162" xr:uid="{00000000-0005-0000-0000-0000842F0000}"/>
    <cellStyle name="Check Cell 3 3 4" xfId="12163" xr:uid="{00000000-0005-0000-0000-0000852F0000}"/>
    <cellStyle name="Check Cell 3 4" xfId="12164" xr:uid="{00000000-0005-0000-0000-0000862F0000}"/>
    <cellStyle name="Check Cell 3 4 2" xfId="12165" xr:uid="{00000000-0005-0000-0000-0000872F0000}"/>
    <cellStyle name="Check Cell 3 5" xfId="12166" xr:uid="{00000000-0005-0000-0000-0000882F0000}"/>
    <cellStyle name="Check Cell 3 6" xfId="12167" xr:uid="{00000000-0005-0000-0000-0000892F0000}"/>
    <cellStyle name="Check Cell 4" xfId="12168" xr:uid="{00000000-0005-0000-0000-00008A2F0000}"/>
    <cellStyle name="Check Cell 4 2" xfId="12169" xr:uid="{00000000-0005-0000-0000-00008B2F0000}"/>
    <cellStyle name="Check Cell 4 2 2" xfId="12170" xr:uid="{00000000-0005-0000-0000-00008C2F0000}"/>
    <cellStyle name="Check Cell 4 3" xfId="12171" xr:uid="{00000000-0005-0000-0000-00008D2F0000}"/>
    <cellStyle name="Check Cell 4 3 2" xfId="12172" xr:uid="{00000000-0005-0000-0000-00008E2F0000}"/>
    <cellStyle name="Check Cell 4 3 2 2" xfId="12173" xr:uid="{00000000-0005-0000-0000-00008F2F0000}"/>
    <cellStyle name="Check Cell 4 3 3" xfId="12174" xr:uid="{00000000-0005-0000-0000-0000902F0000}"/>
    <cellStyle name="Check Cell 4 3 4" xfId="12175" xr:uid="{00000000-0005-0000-0000-0000912F0000}"/>
    <cellStyle name="Check Cell 5" xfId="12176" xr:uid="{00000000-0005-0000-0000-0000922F0000}"/>
    <cellStyle name="Check Cell 5 2" xfId="12177" xr:uid="{00000000-0005-0000-0000-0000932F0000}"/>
    <cellStyle name="Check Cell 5 2 2" xfId="12178" xr:uid="{00000000-0005-0000-0000-0000942F0000}"/>
    <cellStyle name="Check Cell 5 2 2 2" xfId="12179" xr:uid="{00000000-0005-0000-0000-0000952F0000}"/>
    <cellStyle name="Check Cell 5 2 3" xfId="12180" xr:uid="{00000000-0005-0000-0000-0000962F0000}"/>
    <cellStyle name="Check Cell 5 2 4" xfId="12181" xr:uid="{00000000-0005-0000-0000-0000972F0000}"/>
    <cellStyle name="Check Cell 5 3" xfId="12182" xr:uid="{00000000-0005-0000-0000-0000982F0000}"/>
    <cellStyle name="Check Cell 5 3 2" xfId="12183" xr:uid="{00000000-0005-0000-0000-0000992F0000}"/>
    <cellStyle name="Check Cell 5 4" xfId="12184" xr:uid="{00000000-0005-0000-0000-00009A2F0000}"/>
    <cellStyle name="Check Cell 5 5" xfId="12185" xr:uid="{00000000-0005-0000-0000-00009B2F0000}"/>
    <cellStyle name="Check Cell 6" xfId="12186" xr:uid="{00000000-0005-0000-0000-00009C2F0000}"/>
    <cellStyle name="Check Cell 6 2" xfId="12187" xr:uid="{00000000-0005-0000-0000-00009D2F0000}"/>
    <cellStyle name="Check Cell 6 2 2" xfId="12188" xr:uid="{00000000-0005-0000-0000-00009E2F0000}"/>
    <cellStyle name="Check Cell 6 2 2 2" xfId="12189" xr:uid="{00000000-0005-0000-0000-00009F2F0000}"/>
    <cellStyle name="Check Cell 6 2 3" xfId="12190" xr:uid="{00000000-0005-0000-0000-0000A02F0000}"/>
    <cellStyle name="Check Cell 6 2 4" xfId="12191" xr:uid="{00000000-0005-0000-0000-0000A12F0000}"/>
    <cellStyle name="Check Cell 6 3" xfId="12192" xr:uid="{00000000-0005-0000-0000-0000A22F0000}"/>
    <cellStyle name="Check Cell 6 3 2" xfId="12193" xr:uid="{00000000-0005-0000-0000-0000A32F0000}"/>
    <cellStyle name="Check Cell 6 4" xfId="12194" xr:uid="{00000000-0005-0000-0000-0000A42F0000}"/>
    <cellStyle name="Check Cell 6 5" xfId="12195" xr:uid="{00000000-0005-0000-0000-0000A52F0000}"/>
    <cellStyle name="Check Cell 7" xfId="12196" xr:uid="{00000000-0005-0000-0000-0000A62F0000}"/>
    <cellStyle name="Check Cell 7 2" xfId="12197" xr:uid="{00000000-0005-0000-0000-0000A72F0000}"/>
    <cellStyle name="Check Cell 8" xfId="12198" xr:uid="{00000000-0005-0000-0000-0000A82F0000}"/>
    <cellStyle name="Check Cell 8 2" xfId="12199" xr:uid="{00000000-0005-0000-0000-0000A92F0000}"/>
    <cellStyle name="Check Cell 9" xfId="12200" xr:uid="{00000000-0005-0000-0000-0000AA2F0000}"/>
    <cellStyle name="Check Cell 9 2" xfId="12201" xr:uid="{00000000-0005-0000-0000-0000AB2F0000}"/>
    <cellStyle name="Checksum" xfId="12202" xr:uid="{00000000-0005-0000-0000-0000AC2F0000}"/>
    <cellStyle name="ÇÏÀÌÆÛ¸µÅ©" xfId="12203" xr:uid="{00000000-0005-0000-0000-0000AD2F0000}"/>
    <cellStyle name="ÇÏÀÌÆÛ¸µÅ© 2" xfId="12204" xr:uid="{00000000-0005-0000-0000-0000AE2F0000}"/>
    <cellStyle name="ÇÏÀÌÆÛ¸µÅ© 2 2" xfId="12205" xr:uid="{00000000-0005-0000-0000-0000AF2F0000}"/>
    <cellStyle name="ÇÏÀÌÆÛ¸µÅ© 3" xfId="12206" xr:uid="{00000000-0005-0000-0000-0000B02F0000}"/>
    <cellStyle name="Column Header" xfId="12207" xr:uid="{00000000-0005-0000-0000-0000B12F0000}"/>
    <cellStyle name="Column Heading" xfId="12208" xr:uid="{00000000-0005-0000-0000-0000B22F0000}"/>
    <cellStyle name="Column Heading 2" xfId="12209" xr:uid="{00000000-0005-0000-0000-0000B32F0000}"/>
    <cellStyle name="Column Heading 2 10" xfId="12210" xr:uid="{00000000-0005-0000-0000-0000B42F0000}"/>
    <cellStyle name="Column Heading 2 11" xfId="12211" xr:uid="{00000000-0005-0000-0000-0000B52F0000}"/>
    <cellStyle name="Column Heading 2 12" xfId="12212" xr:uid="{00000000-0005-0000-0000-0000B62F0000}"/>
    <cellStyle name="Column Heading 2 13" xfId="12213" xr:uid="{00000000-0005-0000-0000-0000B72F0000}"/>
    <cellStyle name="Column Heading 2 14" xfId="12214" xr:uid="{00000000-0005-0000-0000-0000B82F0000}"/>
    <cellStyle name="Column Heading 2 15" xfId="12215" xr:uid="{00000000-0005-0000-0000-0000B92F0000}"/>
    <cellStyle name="Column Heading 2 16" xfId="12216" xr:uid="{00000000-0005-0000-0000-0000BA2F0000}"/>
    <cellStyle name="Column Heading 2 17" xfId="12217" xr:uid="{00000000-0005-0000-0000-0000BB2F0000}"/>
    <cellStyle name="Column Heading 2 18" xfId="12218" xr:uid="{00000000-0005-0000-0000-0000BC2F0000}"/>
    <cellStyle name="Column Heading 2 19" xfId="12219" xr:uid="{00000000-0005-0000-0000-0000BD2F0000}"/>
    <cellStyle name="Column Heading 2 2" xfId="12220" xr:uid="{00000000-0005-0000-0000-0000BE2F0000}"/>
    <cellStyle name="Column Heading 2 2 2" xfId="12221" xr:uid="{00000000-0005-0000-0000-0000BF2F0000}"/>
    <cellStyle name="Column Heading 2 2 2 2" xfId="12222" xr:uid="{00000000-0005-0000-0000-0000C02F0000}"/>
    <cellStyle name="Column Heading 2 2 2 3" xfId="12223" xr:uid="{00000000-0005-0000-0000-0000C12F0000}"/>
    <cellStyle name="Column Heading 2 2 3" xfId="12224" xr:uid="{00000000-0005-0000-0000-0000C22F0000}"/>
    <cellStyle name="Column Heading 2 2 3 2" xfId="12225" xr:uid="{00000000-0005-0000-0000-0000C32F0000}"/>
    <cellStyle name="Column Heading 2 2 3 3" xfId="12226" xr:uid="{00000000-0005-0000-0000-0000C42F0000}"/>
    <cellStyle name="Column Heading 2 2 4" xfId="12227" xr:uid="{00000000-0005-0000-0000-0000C52F0000}"/>
    <cellStyle name="Column Heading 2 2 5" xfId="12228" xr:uid="{00000000-0005-0000-0000-0000C62F0000}"/>
    <cellStyle name="Column Heading 2 20" xfId="12229" xr:uid="{00000000-0005-0000-0000-0000C72F0000}"/>
    <cellStyle name="Column Heading 2 21" xfId="12230" xr:uid="{00000000-0005-0000-0000-0000C82F0000}"/>
    <cellStyle name="Column Heading 2 22" xfId="12231" xr:uid="{00000000-0005-0000-0000-0000C92F0000}"/>
    <cellStyle name="Column Heading 2 23" xfId="12232" xr:uid="{00000000-0005-0000-0000-0000CA2F0000}"/>
    <cellStyle name="Column Heading 2 24" xfId="12233" xr:uid="{00000000-0005-0000-0000-0000CB2F0000}"/>
    <cellStyle name="Column Heading 2 25" xfId="12234" xr:uid="{00000000-0005-0000-0000-0000CC2F0000}"/>
    <cellStyle name="Column Heading 2 26" xfId="12235" xr:uid="{00000000-0005-0000-0000-0000CD2F0000}"/>
    <cellStyle name="Column Heading 2 27" xfId="12236" xr:uid="{00000000-0005-0000-0000-0000CE2F0000}"/>
    <cellStyle name="Column Heading 2 28" xfId="12237" xr:uid="{00000000-0005-0000-0000-0000CF2F0000}"/>
    <cellStyle name="Column Heading 2 29" xfId="12238" xr:uid="{00000000-0005-0000-0000-0000D02F0000}"/>
    <cellStyle name="Column Heading 2 3" xfId="12239" xr:uid="{00000000-0005-0000-0000-0000D12F0000}"/>
    <cellStyle name="Column Heading 2 3 2" xfId="12240" xr:uid="{00000000-0005-0000-0000-0000D22F0000}"/>
    <cellStyle name="Column Heading 2 3 2 2" xfId="12241" xr:uid="{00000000-0005-0000-0000-0000D32F0000}"/>
    <cellStyle name="Column Heading 2 3 2 3" xfId="12242" xr:uid="{00000000-0005-0000-0000-0000D42F0000}"/>
    <cellStyle name="Column Heading 2 3 3" xfId="12243" xr:uid="{00000000-0005-0000-0000-0000D52F0000}"/>
    <cellStyle name="Column Heading 2 3 3 2" xfId="12244" xr:uid="{00000000-0005-0000-0000-0000D62F0000}"/>
    <cellStyle name="Column Heading 2 3 3 3" xfId="12245" xr:uid="{00000000-0005-0000-0000-0000D72F0000}"/>
    <cellStyle name="Column Heading 2 3 4" xfId="12246" xr:uid="{00000000-0005-0000-0000-0000D82F0000}"/>
    <cellStyle name="Column Heading 2 3 5" xfId="12247" xr:uid="{00000000-0005-0000-0000-0000D92F0000}"/>
    <cellStyle name="Column Heading 2 30" xfId="12248" xr:uid="{00000000-0005-0000-0000-0000DA2F0000}"/>
    <cellStyle name="Column Heading 2 31" xfId="12249" xr:uid="{00000000-0005-0000-0000-0000DB2F0000}"/>
    <cellStyle name="Column Heading 2 32" xfId="12250" xr:uid="{00000000-0005-0000-0000-0000DC2F0000}"/>
    <cellStyle name="Column Heading 2 33" xfId="12251" xr:uid="{00000000-0005-0000-0000-0000DD2F0000}"/>
    <cellStyle name="Column Heading 2 4" xfId="12252" xr:uid="{00000000-0005-0000-0000-0000DE2F0000}"/>
    <cellStyle name="Column Heading 2 4 2" xfId="12253" xr:uid="{00000000-0005-0000-0000-0000DF2F0000}"/>
    <cellStyle name="Column Heading 2 4 3" xfId="12254" xr:uid="{00000000-0005-0000-0000-0000E02F0000}"/>
    <cellStyle name="Column Heading 2 5" xfId="12255" xr:uid="{00000000-0005-0000-0000-0000E12F0000}"/>
    <cellStyle name="Column Heading 2 5 2" xfId="12256" xr:uid="{00000000-0005-0000-0000-0000E22F0000}"/>
    <cellStyle name="Column Heading 2 5 3" xfId="12257" xr:uid="{00000000-0005-0000-0000-0000E32F0000}"/>
    <cellStyle name="Column Heading 2 6" xfId="12258" xr:uid="{00000000-0005-0000-0000-0000E42F0000}"/>
    <cellStyle name="Column Heading 2 7" xfId="12259" xr:uid="{00000000-0005-0000-0000-0000E52F0000}"/>
    <cellStyle name="Column Heading 2 8" xfId="12260" xr:uid="{00000000-0005-0000-0000-0000E62F0000}"/>
    <cellStyle name="Column Heading 2 9" xfId="12261" xr:uid="{00000000-0005-0000-0000-0000E72F0000}"/>
    <cellStyle name="Column Heading 3" xfId="12262" xr:uid="{00000000-0005-0000-0000-0000E82F0000}"/>
    <cellStyle name="Column Heading 3 2" xfId="12263" xr:uid="{00000000-0005-0000-0000-0000E92F0000}"/>
    <cellStyle name="Column Heading 3 3" xfId="12264" xr:uid="{00000000-0005-0000-0000-0000EA2F0000}"/>
    <cellStyle name="Column Heading 4" xfId="12265" xr:uid="{00000000-0005-0000-0000-0000EB2F0000}"/>
    <cellStyle name="Column Heading 4 2" xfId="12266" xr:uid="{00000000-0005-0000-0000-0000EC2F0000}"/>
    <cellStyle name="Column Heading 4 3" xfId="12267" xr:uid="{00000000-0005-0000-0000-0000ED2F0000}"/>
    <cellStyle name="Column Heading 5" xfId="12268" xr:uid="{00000000-0005-0000-0000-0000EE2F0000}"/>
    <cellStyle name="Column Heading 6" xfId="12269" xr:uid="{00000000-0005-0000-0000-0000EF2F0000}"/>
    <cellStyle name="Column label" xfId="12270" xr:uid="{00000000-0005-0000-0000-0000F02F0000}"/>
    <cellStyle name="Column label (left aligned)" xfId="12271" xr:uid="{00000000-0005-0000-0000-0000F12F0000}"/>
    <cellStyle name="Column label (no wrap)" xfId="12272" xr:uid="{00000000-0005-0000-0000-0000F22F0000}"/>
    <cellStyle name="Column label (not bold)" xfId="12273" xr:uid="{00000000-0005-0000-0000-0000F32F0000}"/>
    <cellStyle name="Column_Title" xfId="12274" xr:uid="{00000000-0005-0000-0000-0000F42F0000}"/>
    <cellStyle name="Comma  - Style1" xfId="12275" xr:uid="{00000000-0005-0000-0000-0000F52F0000}"/>
    <cellStyle name="Comma  - Style1 2" xfId="12276" xr:uid="{00000000-0005-0000-0000-0000F62F0000}"/>
    <cellStyle name="Comma  - Style1 2 2" xfId="12277" xr:uid="{00000000-0005-0000-0000-0000F72F0000}"/>
    <cellStyle name="Comma  - Style1 3" xfId="12278" xr:uid="{00000000-0005-0000-0000-0000F82F0000}"/>
    <cellStyle name="Comma  - Style2" xfId="12279" xr:uid="{00000000-0005-0000-0000-0000F92F0000}"/>
    <cellStyle name="Comma  - Style2 2" xfId="12280" xr:uid="{00000000-0005-0000-0000-0000FA2F0000}"/>
    <cellStyle name="Comma  - Style2 2 2" xfId="12281" xr:uid="{00000000-0005-0000-0000-0000FB2F0000}"/>
    <cellStyle name="Comma  - Style2 3" xfId="12282" xr:uid="{00000000-0005-0000-0000-0000FC2F0000}"/>
    <cellStyle name="Comma  - Style3" xfId="12283" xr:uid="{00000000-0005-0000-0000-0000FD2F0000}"/>
    <cellStyle name="Comma  - Style3 2" xfId="12284" xr:uid="{00000000-0005-0000-0000-0000FE2F0000}"/>
    <cellStyle name="Comma  - Style3 2 2" xfId="12285" xr:uid="{00000000-0005-0000-0000-0000FF2F0000}"/>
    <cellStyle name="Comma  - Style3 3" xfId="12286" xr:uid="{00000000-0005-0000-0000-000000300000}"/>
    <cellStyle name="Comma  - Style4" xfId="12287" xr:uid="{00000000-0005-0000-0000-000001300000}"/>
    <cellStyle name="Comma  - Style4 2" xfId="12288" xr:uid="{00000000-0005-0000-0000-000002300000}"/>
    <cellStyle name="Comma  - Style4 2 2" xfId="12289" xr:uid="{00000000-0005-0000-0000-000003300000}"/>
    <cellStyle name="Comma  - Style4 3" xfId="12290" xr:uid="{00000000-0005-0000-0000-000004300000}"/>
    <cellStyle name="Comma  - Style5" xfId="12291" xr:uid="{00000000-0005-0000-0000-000005300000}"/>
    <cellStyle name="Comma  - Style5 2" xfId="12292" xr:uid="{00000000-0005-0000-0000-000006300000}"/>
    <cellStyle name="Comma  - Style5 2 2" xfId="12293" xr:uid="{00000000-0005-0000-0000-000007300000}"/>
    <cellStyle name="Comma  - Style5 3" xfId="12294" xr:uid="{00000000-0005-0000-0000-000008300000}"/>
    <cellStyle name="Comma  - Style6" xfId="12295" xr:uid="{00000000-0005-0000-0000-000009300000}"/>
    <cellStyle name="Comma  - Style6 2" xfId="12296" xr:uid="{00000000-0005-0000-0000-00000A300000}"/>
    <cellStyle name="Comma  - Style6 2 2" xfId="12297" xr:uid="{00000000-0005-0000-0000-00000B300000}"/>
    <cellStyle name="Comma  - Style6 3" xfId="12298" xr:uid="{00000000-0005-0000-0000-00000C300000}"/>
    <cellStyle name="Comma  - Style7" xfId="12299" xr:uid="{00000000-0005-0000-0000-00000D300000}"/>
    <cellStyle name="Comma  - Style7 2" xfId="12300" xr:uid="{00000000-0005-0000-0000-00000E300000}"/>
    <cellStyle name="Comma  - Style7 2 2" xfId="12301" xr:uid="{00000000-0005-0000-0000-00000F300000}"/>
    <cellStyle name="Comma  - Style7 3" xfId="12302" xr:uid="{00000000-0005-0000-0000-000010300000}"/>
    <cellStyle name="Comma  - Style8" xfId="12303" xr:uid="{00000000-0005-0000-0000-000011300000}"/>
    <cellStyle name="Comma  - Style8 2" xfId="12304" xr:uid="{00000000-0005-0000-0000-000012300000}"/>
    <cellStyle name="Comma  - Style8 2 2" xfId="12305" xr:uid="{00000000-0005-0000-0000-000013300000}"/>
    <cellStyle name="Comma  - Style8 3" xfId="12306" xr:uid="{00000000-0005-0000-0000-000014300000}"/>
    <cellStyle name="Comma [0] 2" xfId="12307" xr:uid="{00000000-0005-0000-0000-000015300000}"/>
    <cellStyle name="Comma [0] 3" xfId="12308" xr:uid="{00000000-0005-0000-0000-000016300000}"/>
    <cellStyle name="Comma [00]" xfId="12309" xr:uid="{00000000-0005-0000-0000-000017300000}"/>
    <cellStyle name="Comma [00] 2" xfId="12310" xr:uid="{00000000-0005-0000-0000-000018300000}"/>
    <cellStyle name="Comma [00] 2 2" xfId="12311" xr:uid="{00000000-0005-0000-0000-000019300000}"/>
    <cellStyle name="Comma [00] 3" xfId="12312" xr:uid="{00000000-0005-0000-0000-00001A300000}"/>
    <cellStyle name="Comma 10" xfId="12313" xr:uid="{00000000-0005-0000-0000-00001B300000}"/>
    <cellStyle name="Comma 10 2" xfId="12314" xr:uid="{00000000-0005-0000-0000-00001C300000}"/>
    <cellStyle name="Comma 11" xfId="12315" xr:uid="{00000000-0005-0000-0000-00001D300000}"/>
    <cellStyle name="Comma 12" xfId="12316" xr:uid="{00000000-0005-0000-0000-00001E300000}"/>
    <cellStyle name="Comma 12 2" xfId="12317" xr:uid="{00000000-0005-0000-0000-00001F300000}"/>
    <cellStyle name="Comma 12 2 2" xfId="12318" xr:uid="{00000000-0005-0000-0000-000020300000}"/>
    <cellStyle name="Comma 12 2 3" xfId="12319" xr:uid="{00000000-0005-0000-0000-000021300000}"/>
    <cellStyle name="Comma 12 3" xfId="12320" xr:uid="{00000000-0005-0000-0000-000022300000}"/>
    <cellStyle name="Comma 12 4" xfId="12321" xr:uid="{00000000-0005-0000-0000-000023300000}"/>
    <cellStyle name="Comma 13" xfId="12322" xr:uid="{00000000-0005-0000-0000-000024300000}"/>
    <cellStyle name="Comma 14" xfId="12323" xr:uid="{00000000-0005-0000-0000-000025300000}"/>
    <cellStyle name="Comma 14 2" xfId="12324" xr:uid="{00000000-0005-0000-0000-000026300000}"/>
    <cellStyle name="Comma 14 3" xfId="12325" xr:uid="{00000000-0005-0000-0000-000027300000}"/>
    <cellStyle name="Comma 14 4" xfId="12326" xr:uid="{00000000-0005-0000-0000-000028300000}"/>
    <cellStyle name="Comma 14 5" xfId="12327" xr:uid="{00000000-0005-0000-0000-000029300000}"/>
    <cellStyle name="Comma 14 6" xfId="12328" xr:uid="{00000000-0005-0000-0000-00002A300000}"/>
    <cellStyle name="Comma 15" xfId="12329" xr:uid="{00000000-0005-0000-0000-00002B300000}"/>
    <cellStyle name="Comma 16" xfId="12330" xr:uid="{00000000-0005-0000-0000-00002C300000}"/>
    <cellStyle name="Comma 17" xfId="12331" xr:uid="{00000000-0005-0000-0000-00002D300000}"/>
    <cellStyle name="Comma 18" xfId="12332" xr:uid="{00000000-0005-0000-0000-00002E300000}"/>
    <cellStyle name="Comma 18 2" xfId="12333" xr:uid="{00000000-0005-0000-0000-00002F300000}"/>
    <cellStyle name="Comma 18 3" xfId="12334" xr:uid="{00000000-0005-0000-0000-000030300000}"/>
    <cellStyle name="Comma 19" xfId="12335" xr:uid="{00000000-0005-0000-0000-000031300000}"/>
    <cellStyle name="Comma 2" xfId="12336" xr:uid="{00000000-0005-0000-0000-000032300000}"/>
    <cellStyle name="Comma 2 10" xfId="12337" xr:uid="{00000000-0005-0000-0000-000033300000}"/>
    <cellStyle name="Comma 2 11" xfId="12338" xr:uid="{00000000-0005-0000-0000-000034300000}"/>
    <cellStyle name="Comma 2 12" xfId="12339" xr:uid="{00000000-0005-0000-0000-000035300000}"/>
    <cellStyle name="Comma 2 13" xfId="12340" xr:uid="{00000000-0005-0000-0000-000036300000}"/>
    <cellStyle name="Comma 2 14" xfId="12341" xr:uid="{00000000-0005-0000-0000-000037300000}"/>
    <cellStyle name="Comma 2 15" xfId="12342" xr:uid="{00000000-0005-0000-0000-000038300000}"/>
    <cellStyle name="Comma 2 16" xfId="12343" xr:uid="{00000000-0005-0000-0000-000039300000}"/>
    <cellStyle name="Comma 2 17" xfId="12344" xr:uid="{00000000-0005-0000-0000-00003A300000}"/>
    <cellStyle name="Comma 2 18" xfId="12345" xr:uid="{00000000-0005-0000-0000-00003B300000}"/>
    <cellStyle name="Comma 2 19" xfId="12346" xr:uid="{00000000-0005-0000-0000-00003C300000}"/>
    <cellStyle name="Comma 2 2" xfId="12347" xr:uid="{00000000-0005-0000-0000-00003D300000}"/>
    <cellStyle name="Comma 2 2 10" xfId="12348" xr:uid="{00000000-0005-0000-0000-00003E300000}"/>
    <cellStyle name="Comma 2 2 10 2" xfId="12349" xr:uid="{00000000-0005-0000-0000-00003F300000}"/>
    <cellStyle name="Comma 2 2 10 3" xfId="12350" xr:uid="{00000000-0005-0000-0000-000040300000}"/>
    <cellStyle name="Comma 2 2 11" xfId="12351" xr:uid="{00000000-0005-0000-0000-000041300000}"/>
    <cellStyle name="Comma 2 2 11 2" xfId="12352" xr:uid="{00000000-0005-0000-0000-000042300000}"/>
    <cellStyle name="Comma 2 2 12" xfId="12353" xr:uid="{00000000-0005-0000-0000-000043300000}"/>
    <cellStyle name="Comma 2 2 12 2" xfId="12354" xr:uid="{00000000-0005-0000-0000-000044300000}"/>
    <cellStyle name="Comma 2 2 13" xfId="12355" xr:uid="{00000000-0005-0000-0000-000045300000}"/>
    <cellStyle name="Comma 2 2 13 2" xfId="12356" xr:uid="{00000000-0005-0000-0000-000046300000}"/>
    <cellStyle name="Comma 2 2 14" xfId="12357" xr:uid="{00000000-0005-0000-0000-000047300000}"/>
    <cellStyle name="Comma 2 2 14 2" xfId="12358" xr:uid="{00000000-0005-0000-0000-000048300000}"/>
    <cellStyle name="Comma 2 2 15" xfId="12359" xr:uid="{00000000-0005-0000-0000-000049300000}"/>
    <cellStyle name="Comma 2 2 15 2" xfId="12360" xr:uid="{00000000-0005-0000-0000-00004A300000}"/>
    <cellStyle name="Comma 2 2 16" xfId="12361" xr:uid="{00000000-0005-0000-0000-00004B300000}"/>
    <cellStyle name="Comma 2 2 16 2" xfId="12362" xr:uid="{00000000-0005-0000-0000-00004C300000}"/>
    <cellStyle name="Comma 2 2 17" xfId="12363" xr:uid="{00000000-0005-0000-0000-00004D300000}"/>
    <cellStyle name="Comma 2 2 17 2" xfId="12364" xr:uid="{00000000-0005-0000-0000-00004E300000}"/>
    <cellStyle name="Comma 2 2 18" xfId="12365" xr:uid="{00000000-0005-0000-0000-00004F300000}"/>
    <cellStyle name="Comma 2 2 18 2" xfId="12366" xr:uid="{00000000-0005-0000-0000-000050300000}"/>
    <cellStyle name="Comma 2 2 19" xfId="12367" xr:uid="{00000000-0005-0000-0000-000051300000}"/>
    <cellStyle name="Comma 2 2 19 2" xfId="12368" xr:uid="{00000000-0005-0000-0000-000052300000}"/>
    <cellStyle name="Comma 2 2 2" xfId="12369" xr:uid="{00000000-0005-0000-0000-000053300000}"/>
    <cellStyle name="Comma 2 2 2 2" xfId="12370" xr:uid="{00000000-0005-0000-0000-000054300000}"/>
    <cellStyle name="Comma 2 2 2 2 2" xfId="12371" xr:uid="{00000000-0005-0000-0000-000055300000}"/>
    <cellStyle name="Comma 2 2 2 2 2 2" xfId="12372" xr:uid="{00000000-0005-0000-0000-000056300000}"/>
    <cellStyle name="Comma 2 2 2 2 3" xfId="12373" xr:uid="{00000000-0005-0000-0000-000057300000}"/>
    <cellStyle name="Comma 2 2 2 3" xfId="12374" xr:uid="{00000000-0005-0000-0000-000058300000}"/>
    <cellStyle name="Comma 2 2 2 3 2" xfId="12375" xr:uid="{00000000-0005-0000-0000-000059300000}"/>
    <cellStyle name="Comma 2 2 2 4" xfId="12376" xr:uid="{00000000-0005-0000-0000-00005A300000}"/>
    <cellStyle name="Comma 2 2 2 4 2" xfId="12377" xr:uid="{00000000-0005-0000-0000-00005B300000}"/>
    <cellStyle name="Comma 2 2 2 5" xfId="12378" xr:uid="{00000000-0005-0000-0000-00005C300000}"/>
    <cellStyle name="Comma 2 2 20" xfId="12379" xr:uid="{00000000-0005-0000-0000-00005D300000}"/>
    <cellStyle name="Comma 2 2 20 2" xfId="12380" xr:uid="{00000000-0005-0000-0000-00005E300000}"/>
    <cellStyle name="Comma 2 2 21" xfId="12381" xr:uid="{00000000-0005-0000-0000-00005F300000}"/>
    <cellStyle name="Comma 2 2 21 2" xfId="12382" xr:uid="{00000000-0005-0000-0000-000060300000}"/>
    <cellStyle name="Comma 2 2 22" xfId="12383" xr:uid="{00000000-0005-0000-0000-000061300000}"/>
    <cellStyle name="Comma 2 2 22 2" xfId="12384" xr:uid="{00000000-0005-0000-0000-000062300000}"/>
    <cellStyle name="Comma 2 2 23" xfId="12385" xr:uid="{00000000-0005-0000-0000-000063300000}"/>
    <cellStyle name="Comma 2 2 23 2" xfId="12386" xr:uid="{00000000-0005-0000-0000-000064300000}"/>
    <cellStyle name="Comma 2 2 24" xfId="12387" xr:uid="{00000000-0005-0000-0000-000065300000}"/>
    <cellStyle name="Comma 2 2 24 2" xfId="12388" xr:uid="{00000000-0005-0000-0000-000066300000}"/>
    <cellStyle name="Comma 2 2 25" xfId="12389" xr:uid="{00000000-0005-0000-0000-000067300000}"/>
    <cellStyle name="Comma 2 2 25 2" xfId="12390" xr:uid="{00000000-0005-0000-0000-000068300000}"/>
    <cellStyle name="Comma 2 2 26" xfId="12391" xr:uid="{00000000-0005-0000-0000-000069300000}"/>
    <cellStyle name="Comma 2 2 26 2" xfId="12392" xr:uid="{00000000-0005-0000-0000-00006A300000}"/>
    <cellStyle name="Comma 2 2 27" xfId="12393" xr:uid="{00000000-0005-0000-0000-00006B300000}"/>
    <cellStyle name="Comma 2 2 27 2" xfId="12394" xr:uid="{00000000-0005-0000-0000-00006C300000}"/>
    <cellStyle name="Comma 2 2 28" xfId="12395" xr:uid="{00000000-0005-0000-0000-00006D300000}"/>
    <cellStyle name="Comma 2 2 28 2" xfId="12396" xr:uid="{00000000-0005-0000-0000-00006E300000}"/>
    <cellStyle name="Comma 2 2 29" xfId="12397" xr:uid="{00000000-0005-0000-0000-00006F300000}"/>
    <cellStyle name="Comma 2 2 29 2" xfId="12398" xr:uid="{00000000-0005-0000-0000-000070300000}"/>
    <cellStyle name="Comma 2 2 3" xfId="12399" xr:uid="{00000000-0005-0000-0000-000071300000}"/>
    <cellStyle name="Comma 2 2 3 2" xfId="12400" xr:uid="{00000000-0005-0000-0000-000072300000}"/>
    <cellStyle name="Comma 2 2 3 2 2" xfId="12401" xr:uid="{00000000-0005-0000-0000-000073300000}"/>
    <cellStyle name="Comma 2 2 3 3" xfId="12402" xr:uid="{00000000-0005-0000-0000-000074300000}"/>
    <cellStyle name="Comma 2 2 30" xfId="12403" xr:uid="{00000000-0005-0000-0000-000075300000}"/>
    <cellStyle name="Comma 2 2 30 2" xfId="12404" xr:uid="{00000000-0005-0000-0000-000076300000}"/>
    <cellStyle name="Comma 2 2 31" xfId="12405" xr:uid="{00000000-0005-0000-0000-000077300000}"/>
    <cellStyle name="Comma 2 2 31 2" xfId="12406" xr:uid="{00000000-0005-0000-0000-000078300000}"/>
    <cellStyle name="Comma 2 2 32" xfId="12407" xr:uid="{00000000-0005-0000-0000-000079300000}"/>
    <cellStyle name="Comma 2 2 32 2" xfId="12408" xr:uid="{00000000-0005-0000-0000-00007A300000}"/>
    <cellStyle name="Comma 2 2 33" xfId="12409" xr:uid="{00000000-0005-0000-0000-00007B300000}"/>
    <cellStyle name="Comma 2 2 33 2" xfId="12410" xr:uid="{00000000-0005-0000-0000-00007C300000}"/>
    <cellStyle name="Comma 2 2 34" xfId="12411" xr:uid="{00000000-0005-0000-0000-00007D300000}"/>
    <cellStyle name="Comma 2 2 34 2" xfId="12412" xr:uid="{00000000-0005-0000-0000-00007E300000}"/>
    <cellStyle name="Comma 2 2 35" xfId="12413" xr:uid="{00000000-0005-0000-0000-00007F300000}"/>
    <cellStyle name="Comma 2 2 35 2" xfId="12414" xr:uid="{00000000-0005-0000-0000-000080300000}"/>
    <cellStyle name="Comma 2 2 36" xfId="12415" xr:uid="{00000000-0005-0000-0000-000081300000}"/>
    <cellStyle name="Comma 2 2 36 2" xfId="12416" xr:uid="{00000000-0005-0000-0000-000082300000}"/>
    <cellStyle name="Comma 2 2 37" xfId="12417" xr:uid="{00000000-0005-0000-0000-000083300000}"/>
    <cellStyle name="Comma 2 2 37 2" xfId="12418" xr:uid="{00000000-0005-0000-0000-000084300000}"/>
    <cellStyle name="Comma 2 2 38" xfId="12419" xr:uid="{00000000-0005-0000-0000-000085300000}"/>
    <cellStyle name="Comma 2 2 38 2" xfId="12420" xr:uid="{00000000-0005-0000-0000-000086300000}"/>
    <cellStyle name="Comma 2 2 39" xfId="12421" xr:uid="{00000000-0005-0000-0000-000087300000}"/>
    <cellStyle name="Comma 2 2 39 2" xfId="12422" xr:uid="{00000000-0005-0000-0000-000088300000}"/>
    <cellStyle name="Comma 2 2 4" xfId="12423" xr:uid="{00000000-0005-0000-0000-000089300000}"/>
    <cellStyle name="Comma 2 2 4 2" xfId="12424" xr:uid="{00000000-0005-0000-0000-00008A300000}"/>
    <cellStyle name="Comma 2 2 40" xfId="12425" xr:uid="{00000000-0005-0000-0000-00008B300000}"/>
    <cellStyle name="Comma 2 2 40 2" xfId="12426" xr:uid="{00000000-0005-0000-0000-00008C300000}"/>
    <cellStyle name="Comma 2 2 41" xfId="12427" xr:uid="{00000000-0005-0000-0000-00008D300000}"/>
    <cellStyle name="Comma 2 2 41 2" xfId="12428" xr:uid="{00000000-0005-0000-0000-00008E300000}"/>
    <cellStyle name="Comma 2 2 42" xfId="12429" xr:uid="{00000000-0005-0000-0000-00008F300000}"/>
    <cellStyle name="Comma 2 2 42 2" xfId="12430" xr:uid="{00000000-0005-0000-0000-000090300000}"/>
    <cellStyle name="Comma 2 2 43" xfId="12431" xr:uid="{00000000-0005-0000-0000-000091300000}"/>
    <cellStyle name="Comma 2 2 43 2" xfId="12432" xr:uid="{00000000-0005-0000-0000-000092300000}"/>
    <cellStyle name="Comma 2 2 44" xfId="12433" xr:uid="{00000000-0005-0000-0000-000093300000}"/>
    <cellStyle name="Comma 2 2 44 2" xfId="12434" xr:uid="{00000000-0005-0000-0000-000094300000}"/>
    <cellStyle name="Comma 2 2 45" xfId="12435" xr:uid="{00000000-0005-0000-0000-000095300000}"/>
    <cellStyle name="Comma 2 2 45 2" xfId="12436" xr:uid="{00000000-0005-0000-0000-000096300000}"/>
    <cellStyle name="Comma 2 2 46" xfId="12437" xr:uid="{00000000-0005-0000-0000-000097300000}"/>
    <cellStyle name="Comma 2 2 46 2" xfId="12438" xr:uid="{00000000-0005-0000-0000-000098300000}"/>
    <cellStyle name="Comma 2 2 47" xfId="12439" xr:uid="{00000000-0005-0000-0000-000099300000}"/>
    <cellStyle name="Comma 2 2 47 2" xfId="12440" xr:uid="{00000000-0005-0000-0000-00009A300000}"/>
    <cellStyle name="Comma 2 2 48" xfId="12441" xr:uid="{00000000-0005-0000-0000-00009B300000}"/>
    <cellStyle name="Comma 2 2 48 2" xfId="12442" xr:uid="{00000000-0005-0000-0000-00009C300000}"/>
    <cellStyle name="Comma 2 2 49" xfId="12443" xr:uid="{00000000-0005-0000-0000-00009D300000}"/>
    <cellStyle name="Comma 2 2 49 2" xfId="12444" xr:uid="{00000000-0005-0000-0000-00009E300000}"/>
    <cellStyle name="Comma 2 2 5" xfId="12445" xr:uid="{00000000-0005-0000-0000-00009F300000}"/>
    <cellStyle name="Comma 2 2 5 2" xfId="12446" xr:uid="{00000000-0005-0000-0000-0000A0300000}"/>
    <cellStyle name="Comma 2 2 50" xfId="12447" xr:uid="{00000000-0005-0000-0000-0000A1300000}"/>
    <cellStyle name="Comma 2 2 50 2" xfId="12448" xr:uid="{00000000-0005-0000-0000-0000A2300000}"/>
    <cellStyle name="Comma 2 2 51" xfId="12449" xr:uid="{00000000-0005-0000-0000-0000A3300000}"/>
    <cellStyle name="Comma 2 2 51 2" xfId="12450" xr:uid="{00000000-0005-0000-0000-0000A4300000}"/>
    <cellStyle name="Comma 2 2 52" xfId="12451" xr:uid="{00000000-0005-0000-0000-0000A5300000}"/>
    <cellStyle name="Comma 2 2 52 2" xfId="12452" xr:uid="{00000000-0005-0000-0000-0000A6300000}"/>
    <cellStyle name="Comma 2 2 53" xfId="12453" xr:uid="{00000000-0005-0000-0000-0000A7300000}"/>
    <cellStyle name="Comma 2 2 53 2" xfId="12454" xr:uid="{00000000-0005-0000-0000-0000A8300000}"/>
    <cellStyle name="Comma 2 2 54" xfId="12455" xr:uid="{00000000-0005-0000-0000-0000A9300000}"/>
    <cellStyle name="Comma 2 2 54 2" xfId="12456" xr:uid="{00000000-0005-0000-0000-0000AA300000}"/>
    <cellStyle name="Comma 2 2 55" xfId="12457" xr:uid="{00000000-0005-0000-0000-0000AB300000}"/>
    <cellStyle name="Comma 2 2 55 2" xfId="12458" xr:uid="{00000000-0005-0000-0000-0000AC300000}"/>
    <cellStyle name="Comma 2 2 56" xfId="12459" xr:uid="{00000000-0005-0000-0000-0000AD300000}"/>
    <cellStyle name="Comma 2 2 56 2" xfId="12460" xr:uid="{00000000-0005-0000-0000-0000AE300000}"/>
    <cellStyle name="Comma 2 2 57" xfId="12461" xr:uid="{00000000-0005-0000-0000-0000AF300000}"/>
    <cellStyle name="Comma 2 2 57 2" xfId="12462" xr:uid="{00000000-0005-0000-0000-0000B0300000}"/>
    <cellStyle name="Comma 2 2 58" xfId="12463" xr:uid="{00000000-0005-0000-0000-0000B1300000}"/>
    <cellStyle name="Comma 2 2 58 2" xfId="12464" xr:uid="{00000000-0005-0000-0000-0000B2300000}"/>
    <cellStyle name="Comma 2 2 59" xfId="12465" xr:uid="{00000000-0005-0000-0000-0000B3300000}"/>
    <cellStyle name="Comma 2 2 59 2" xfId="12466" xr:uid="{00000000-0005-0000-0000-0000B4300000}"/>
    <cellStyle name="Comma 2 2 6" xfId="12467" xr:uid="{00000000-0005-0000-0000-0000B5300000}"/>
    <cellStyle name="Comma 2 2 6 2" xfId="12468" xr:uid="{00000000-0005-0000-0000-0000B6300000}"/>
    <cellStyle name="Comma 2 2 60" xfId="12469" xr:uid="{00000000-0005-0000-0000-0000B7300000}"/>
    <cellStyle name="Comma 2 2 60 2" xfId="12470" xr:uid="{00000000-0005-0000-0000-0000B8300000}"/>
    <cellStyle name="Comma 2 2 61" xfId="12471" xr:uid="{00000000-0005-0000-0000-0000B9300000}"/>
    <cellStyle name="Comma 2 2 61 2" xfId="12472" xr:uid="{00000000-0005-0000-0000-0000BA300000}"/>
    <cellStyle name="Comma 2 2 62" xfId="12473" xr:uid="{00000000-0005-0000-0000-0000BB300000}"/>
    <cellStyle name="Comma 2 2 62 2" xfId="12474" xr:uid="{00000000-0005-0000-0000-0000BC300000}"/>
    <cellStyle name="Comma 2 2 63" xfId="12475" xr:uid="{00000000-0005-0000-0000-0000BD300000}"/>
    <cellStyle name="Comma 2 2 63 2" xfId="12476" xr:uid="{00000000-0005-0000-0000-0000BE300000}"/>
    <cellStyle name="Comma 2 2 64" xfId="12477" xr:uid="{00000000-0005-0000-0000-0000BF300000}"/>
    <cellStyle name="Comma 2 2 64 2" xfId="12478" xr:uid="{00000000-0005-0000-0000-0000C0300000}"/>
    <cellStyle name="Comma 2 2 65" xfId="12479" xr:uid="{00000000-0005-0000-0000-0000C1300000}"/>
    <cellStyle name="Comma 2 2 65 2" xfId="12480" xr:uid="{00000000-0005-0000-0000-0000C2300000}"/>
    <cellStyle name="Comma 2 2 66" xfId="12481" xr:uid="{00000000-0005-0000-0000-0000C3300000}"/>
    <cellStyle name="Comma 2 2 66 2" xfId="12482" xr:uid="{00000000-0005-0000-0000-0000C4300000}"/>
    <cellStyle name="Comma 2 2 67" xfId="12483" xr:uid="{00000000-0005-0000-0000-0000C5300000}"/>
    <cellStyle name="Comma 2 2 67 2" xfId="12484" xr:uid="{00000000-0005-0000-0000-0000C6300000}"/>
    <cellStyle name="Comma 2 2 68" xfId="12485" xr:uid="{00000000-0005-0000-0000-0000C7300000}"/>
    <cellStyle name="Comma 2 2 68 2" xfId="12486" xr:uid="{00000000-0005-0000-0000-0000C8300000}"/>
    <cellStyle name="Comma 2 2 69" xfId="12487" xr:uid="{00000000-0005-0000-0000-0000C9300000}"/>
    <cellStyle name="Comma 2 2 69 2" xfId="12488" xr:uid="{00000000-0005-0000-0000-0000CA300000}"/>
    <cellStyle name="Comma 2 2 7" xfId="12489" xr:uid="{00000000-0005-0000-0000-0000CB300000}"/>
    <cellStyle name="Comma 2 2 7 2" xfId="12490" xr:uid="{00000000-0005-0000-0000-0000CC300000}"/>
    <cellStyle name="Comma 2 2 70" xfId="12491" xr:uid="{00000000-0005-0000-0000-0000CD300000}"/>
    <cellStyle name="Comma 2 2 70 2" xfId="12492" xr:uid="{00000000-0005-0000-0000-0000CE300000}"/>
    <cellStyle name="Comma 2 2 8" xfId="12493" xr:uid="{00000000-0005-0000-0000-0000CF300000}"/>
    <cellStyle name="Comma 2 2 8 2" xfId="12494" xr:uid="{00000000-0005-0000-0000-0000D0300000}"/>
    <cellStyle name="Comma 2 2 9" xfId="12495" xr:uid="{00000000-0005-0000-0000-0000D1300000}"/>
    <cellStyle name="Comma 2 2 9 2" xfId="12496" xr:uid="{00000000-0005-0000-0000-0000D2300000}"/>
    <cellStyle name="Comma 2 20" xfId="12497" xr:uid="{00000000-0005-0000-0000-0000D3300000}"/>
    <cellStyle name="Comma 2 21" xfId="12498" xr:uid="{00000000-0005-0000-0000-0000D4300000}"/>
    <cellStyle name="Comma 2 22" xfId="12499" xr:uid="{00000000-0005-0000-0000-0000D5300000}"/>
    <cellStyle name="Comma 2 23" xfId="12500" xr:uid="{00000000-0005-0000-0000-0000D6300000}"/>
    <cellStyle name="Comma 2 24" xfId="12501" xr:uid="{00000000-0005-0000-0000-0000D7300000}"/>
    <cellStyle name="Comma 2 25" xfId="12502" xr:uid="{00000000-0005-0000-0000-0000D8300000}"/>
    <cellStyle name="Comma 2 26" xfId="12503" xr:uid="{00000000-0005-0000-0000-0000D9300000}"/>
    <cellStyle name="Comma 2 27" xfId="12504" xr:uid="{00000000-0005-0000-0000-0000DA300000}"/>
    <cellStyle name="Comma 2 28" xfId="12505" xr:uid="{00000000-0005-0000-0000-0000DB300000}"/>
    <cellStyle name="Comma 2 29" xfId="12506" xr:uid="{00000000-0005-0000-0000-0000DC300000}"/>
    <cellStyle name="Comma 2 3" xfId="12507" xr:uid="{00000000-0005-0000-0000-0000DD300000}"/>
    <cellStyle name="Comma 2 3 10" xfId="12508" xr:uid="{00000000-0005-0000-0000-0000DE300000}"/>
    <cellStyle name="Comma 2 3 10 2" xfId="12509" xr:uid="{00000000-0005-0000-0000-0000DF300000}"/>
    <cellStyle name="Comma 2 3 11" xfId="12510" xr:uid="{00000000-0005-0000-0000-0000E0300000}"/>
    <cellStyle name="Comma 2 3 11 2" xfId="12511" xr:uid="{00000000-0005-0000-0000-0000E1300000}"/>
    <cellStyle name="Comma 2 3 12" xfId="12512" xr:uid="{00000000-0005-0000-0000-0000E2300000}"/>
    <cellStyle name="Comma 2 3 12 2" xfId="12513" xr:uid="{00000000-0005-0000-0000-0000E3300000}"/>
    <cellStyle name="Comma 2 3 13" xfId="12514" xr:uid="{00000000-0005-0000-0000-0000E4300000}"/>
    <cellStyle name="Comma 2 3 13 2" xfId="12515" xr:uid="{00000000-0005-0000-0000-0000E5300000}"/>
    <cellStyle name="Comma 2 3 14" xfId="12516" xr:uid="{00000000-0005-0000-0000-0000E6300000}"/>
    <cellStyle name="Comma 2 3 14 2" xfId="12517" xr:uid="{00000000-0005-0000-0000-0000E7300000}"/>
    <cellStyle name="Comma 2 3 15" xfId="12518" xr:uid="{00000000-0005-0000-0000-0000E8300000}"/>
    <cellStyle name="Comma 2 3 15 2" xfId="12519" xr:uid="{00000000-0005-0000-0000-0000E9300000}"/>
    <cellStyle name="Comma 2 3 16" xfId="12520" xr:uid="{00000000-0005-0000-0000-0000EA300000}"/>
    <cellStyle name="Comma 2 3 16 2" xfId="12521" xr:uid="{00000000-0005-0000-0000-0000EB300000}"/>
    <cellStyle name="Comma 2 3 17" xfId="12522" xr:uid="{00000000-0005-0000-0000-0000EC300000}"/>
    <cellStyle name="Comma 2 3 17 2" xfId="12523" xr:uid="{00000000-0005-0000-0000-0000ED300000}"/>
    <cellStyle name="Comma 2 3 18" xfId="12524" xr:uid="{00000000-0005-0000-0000-0000EE300000}"/>
    <cellStyle name="Comma 2 3 18 2" xfId="12525" xr:uid="{00000000-0005-0000-0000-0000EF300000}"/>
    <cellStyle name="Comma 2 3 19" xfId="12526" xr:uid="{00000000-0005-0000-0000-0000F0300000}"/>
    <cellStyle name="Comma 2 3 19 2" xfId="12527" xr:uid="{00000000-0005-0000-0000-0000F1300000}"/>
    <cellStyle name="Comma 2 3 2" xfId="12528" xr:uid="{00000000-0005-0000-0000-0000F2300000}"/>
    <cellStyle name="Comma 2 3 2 2" xfId="12529" xr:uid="{00000000-0005-0000-0000-0000F3300000}"/>
    <cellStyle name="Comma 2 3 2 2 2" xfId="12530" xr:uid="{00000000-0005-0000-0000-0000F4300000}"/>
    <cellStyle name="Comma 2 3 2 3" xfId="12531" xr:uid="{00000000-0005-0000-0000-0000F5300000}"/>
    <cellStyle name="Comma 2 3 20" xfId="12532" xr:uid="{00000000-0005-0000-0000-0000F6300000}"/>
    <cellStyle name="Comma 2 3 20 2" xfId="12533" xr:uid="{00000000-0005-0000-0000-0000F7300000}"/>
    <cellStyle name="Comma 2 3 21" xfId="12534" xr:uid="{00000000-0005-0000-0000-0000F8300000}"/>
    <cellStyle name="Comma 2 3 21 2" xfId="12535" xr:uid="{00000000-0005-0000-0000-0000F9300000}"/>
    <cellStyle name="Comma 2 3 22" xfId="12536" xr:uid="{00000000-0005-0000-0000-0000FA300000}"/>
    <cellStyle name="Comma 2 3 22 2" xfId="12537" xr:uid="{00000000-0005-0000-0000-0000FB300000}"/>
    <cellStyle name="Comma 2 3 23" xfId="12538" xr:uid="{00000000-0005-0000-0000-0000FC300000}"/>
    <cellStyle name="Comma 2 3 23 2" xfId="12539" xr:uid="{00000000-0005-0000-0000-0000FD300000}"/>
    <cellStyle name="Comma 2 3 24" xfId="12540" xr:uid="{00000000-0005-0000-0000-0000FE300000}"/>
    <cellStyle name="Comma 2 3 24 2" xfId="12541" xr:uid="{00000000-0005-0000-0000-0000FF300000}"/>
    <cellStyle name="Comma 2 3 25" xfId="12542" xr:uid="{00000000-0005-0000-0000-000000310000}"/>
    <cellStyle name="Comma 2 3 25 2" xfId="12543" xr:uid="{00000000-0005-0000-0000-000001310000}"/>
    <cellStyle name="Comma 2 3 26" xfId="12544" xr:uid="{00000000-0005-0000-0000-000002310000}"/>
    <cellStyle name="Comma 2 3 26 2" xfId="12545" xr:uid="{00000000-0005-0000-0000-000003310000}"/>
    <cellStyle name="Comma 2 3 27" xfId="12546" xr:uid="{00000000-0005-0000-0000-000004310000}"/>
    <cellStyle name="Comma 2 3 27 2" xfId="12547" xr:uid="{00000000-0005-0000-0000-000005310000}"/>
    <cellStyle name="Comma 2 3 28" xfId="12548" xr:uid="{00000000-0005-0000-0000-000006310000}"/>
    <cellStyle name="Comma 2 3 28 2" xfId="12549" xr:uid="{00000000-0005-0000-0000-000007310000}"/>
    <cellStyle name="Comma 2 3 29" xfId="12550" xr:uid="{00000000-0005-0000-0000-000008310000}"/>
    <cellStyle name="Comma 2 3 29 2" xfId="12551" xr:uid="{00000000-0005-0000-0000-000009310000}"/>
    <cellStyle name="Comma 2 3 3" xfId="12552" xr:uid="{00000000-0005-0000-0000-00000A310000}"/>
    <cellStyle name="Comma 2 3 3 2" xfId="12553" xr:uid="{00000000-0005-0000-0000-00000B310000}"/>
    <cellStyle name="Comma 2 3 30" xfId="12554" xr:uid="{00000000-0005-0000-0000-00000C310000}"/>
    <cellStyle name="Comma 2 3 30 2" xfId="12555" xr:uid="{00000000-0005-0000-0000-00000D310000}"/>
    <cellStyle name="Comma 2 3 31" xfId="12556" xr:uid="{00000000-0005-0000-0000-00000E310000}"/>
    <cellStyle name="Comma 2 3 31 2" xfId="12557" xr:uid="{00000000-0005-0000-0000-00000F310000}"/>
    <cellStyle name="Comma 2 3 32" xfId="12558" xr:uid="{00000000-0005-0000-0000-000010310000}"/>
    <cellStyle name="Comma 2 3 32 2" xfId="12559" xr:uid="{00000000-0005-0000-0000-000011310000}"/>
    <cellStyle name="Comma 2 3 33" xfId="12560" xr:uid="{00000000-0005-0000-0000-000012310000}"/>
    <cellStyle name="Comma 2 3 33 2" xfId="12561" xr:uid="{00000000-0005-0000-0000-000013310000}"/>
    <cellStyle name="Comma 2 3 34" xfId="12562" xr:uid="{00000000-0005-0000-0000-000014310000}"/>
    <cellStyle name="Comma 2 3 34 2" xfId="12563" xr:uid="{00000000-0005-0000-0000-000015310000}"/>
    <cellStyle name="Comma 2 3 35" xfId="12564" xr:uid="{00000000-0005-0000-0000-000016310000}"/>
    <cellStyle name="Comma 2 3 35 2" xfId="12565" xr:uid="{00000000-0005-0000-0000-000017310000}"/>
    <cellStyle name="Comma 2 3 36" xfId="12566" xr:uid="{00000000-0005-0000-0000-000018310000}"/>
    <cellStyle name="Comma 2 3 36 2" xfId="12567" xr:uid="{00000000-0005-0000-0000-000019310000}"/>
    <cellStyle name="Comma 2 3 37" xfId="12568" xr:uid="{00000000-0005-0000-0000-00001A310000}"/>
    <cellStyle name="Comma 2 3 37 2" xfId="12569" xr:uid="{00000000-0005-0000-0000-00001B310000}"/>
    <cellStyle name="Comma 2 3 38" xfId="12570" xr:uid="{00000000-0005-0000-0000-00001C310000}"/>
    <cellStyle name="Comma 2 3 38 2" xfId="12571" xr:uid="{00000000-0005-0000-0000-00001D310000}"/>
    <cellStyle name="Comma 2 3 39" xfId="12572" xr:uid="{00000000-0005-0000-0000-00001E310000}"/>
    <cellStyle name="Comma 2 3 39 2" xfId="12573" xr:uid="{00000000-0005-0000-0000-00001F310000}"/>
    <cellStyle name="Comma 2 3 4" xfId="12574" xr:uid="{00000000-0005-0000-0000-000020310000}"/>
    <cellStyle name="Comma 2 3 4 2" xfId="12575" xr:uid="{00000000-0005-0000-0000-000021310000}"/>
    <cellStyle name="Comma 2 3 40" xfId="12576" xr:uid="{00000000-0005-0000-0000-000022310000}"/>
    <cellStyle name="Comma 2 3 40 2" xfId="12577" xr:uid="{00000000-0005-0000-0000-000023310000}"/>
    <cellStyle name="Comma 2 3 41" xfId="12578" xr:uid="{00000000-0005-0000-0000-000024310000}"/>
    <cellStyle name="Comma 2 3 41 2" xfId="12579" xr:uid="{00000000-0005-0000-0000-000025310000}"/>
    <cellStyle name="Comma 2 3 42" xfId="12580" xr:uid="{00000000-0005-0000-0000-000026310000}"/>
    <cellStyle name="Comma 2 3 42 2" xfId="12581" xr:uid="{00000000-0005-0000-0000-000027310000}"/>
    <cellStyle name="Comma 2 3 43" xfId="12582" xr:uid="{00000000-0005-0000-0000-000028310000}"/>
    <cellStyle name="Comma 2 3 43 2" xfId="12583" xr:uid="{00000000-0005-0000-0000-000029310000}"/>
    <cellStyle name="Comma 2 3 44" xfId="12584" xr:uid="{00000000-0005-0000-0000-00002A310000}"/>
    <cellStyle name="Comma 2 3 44 2" xfId="12585" xr:uid="{00000000-0005-0000-0000-00002B310000}"/>
    <cellStyle name="Comma 2 3 45" xfId="12586" xr:uid="{00000000-0005-0000-0000-00002C310000}"/>
    <cellStyle name="Comma 2 3 45 2" xfId="12587" xr:uid="{00000000-0005-0000-0000-00002D310000}"/>
    <cellStyle name="Comma 2 3 46" xfId="12588" xr:uid="{00000000-0005-0000-0000-00002E310000}"/>
    <cellStyle name="Comma 2 3 46 2" xfId="12589" xr:uid="{00000000-0005-0000-0000-00002F310000}"/>
    <cellStyle name="Comma 2 3 47" xfId="12590" xr:uid="{00000000-0005-0000-0000-000030310000}"/>
    <cellStyle name="Comma 2 3 47 2" xfId="12591" xr:uid="{00000000-0005-0000-0000-000031310000}"/>
    <cellStyle name="Comma 2 3 48" xfId="12592" xr:uid="{00000000-0005-0000-0000-000032310000}"/>
    <cellStyle name="Comma 2 3 48 2" xfId="12593" xr:uid="{00000000-0005-0000-0000-000033310000}"/>
    <cellStyle name="Comma 2 3 49" xfId="12594" xr:uid="{00000000-0005-0000-0000-000034310000}"/>
    <cellStyle name="Comma 2 3 49 2" xfId="12595" xr:uid="{00000000-0005-0000-0000-000035310000}"/>
    <cellStyle name="Comma 2 3 5" xfId="12596" xr:uid="{00000000-0005-0000-0000-000036310000}"/>
    <cellStyle name="Comma 2 3 5 2" xfId="12597" xr:uid="{00000000-0005-0000-0000-000037310000}"/>
    <cellStyle name="Comma 2 3 50" xfId="12598" xr:uid="{00000000-0005-0000-0000-000038310000}"/>
    <cellStyle name="Comma 2 3 50 2" xfId="12599" xr:uid="{00000000-0005-0000-0000-000039310000}"/>
    <cellStyle name="Comma 2 3 51" xfId="12600" xr:uid="{00000000-0005-0000-0000-00003A310000}"/>
    <cellStyle name="Comma 2 3 51 2" xfId="12601" xr:uid="{00000000-0005-0000-0000-00003B310000}"/>
    <cellStyle name="Comma 2 3 52" xfId="12602" xr:uid="{00000000-0005-0000-0000-00003C310000}"/>
    <cellStyle name="Comma 2 3 52 2" xfId="12603" xr:uid="{00000000-0005-0000-0000-00003D310000}"/>
    <cellStyle name="Comma 2 3 53" xfId="12604" xr:uid="{00000000-0005-0000-0000-00003E310000}"/>
    <cellStyle name="Comma 2 3 53 2" xfId="12605" xr:uid="{00000000-0005-0000-0000-00003F310000}"/>
    <cellStyle name="Comma 2 3 54" xfId="12606" xr:uid="{00000000-0005-0000-0000-000040310000}"/>
    <cellStyle name="Comma 2 3 54 2" xfId="12607" xr:uid="{00000000-0005-0000-0000-000041310000}"/>
    <cellStyle name="Comma 2 3 55" xfId="12608" xr:uid="{00000000-0005-0000-0000-000042310000}"/>
    <cellStyle name="Comma 2 3 55 2" xfId="12609" xr:uid="{00000000-0005-0000-0000-000043310000}"/>
    <cellStyle name="Comma 2 3 56" xfId="12610" xr:uid="{00000000-0005-0000-0000-000044310000}"/>
    <cellStyle name="Comma 2 3 56 2" xfId="12611" xr:uid="{00000000-0005-0000-0000-000045310000}"/>
    <cellStyle name="Comma 2 3 57" xfId="12612" xr:uid="{00000000-0005-0000-0000-000046310000}"/>
    <cellStyle name="Comma 2 3 57 2" xfId="12613" xr:uid="{00000000-0005-0000-0000-000047310000}"/>
    <cellStyle name="Comma 2 3 58" xfId="12614" xr:uid="{00000000-0005-0000-0000-000048310000}"/>
    <cellStyle name="Comma 2 3 58 2" xfId="12615" xr:uid="{00000000-0005-0000-0000-000049310000}"/>
    <cellStyle name="Comma 2 3 59" xfId="12616" xr:uid="{00000000-0005-0000-0000-00004A310000}"/>
    <cellStyle name="Comma 2 3 59 2" xfId="12617" xr:uid="{00000000-0005-0000-0000-00004B310000}"/>
    <cellStyle name="Comma 2 3 6" xfId="12618" xr:uid="{00000000-0005-0000-0000-00004C310000}"/>
    <cellStyle name="Comma 2 3 6 2" xfId="12619" xr:uid="{00000000-0005-0000-0000-00004D310000}"/>
    <cellStyle name="Comma 2 3 60" xfId="12620" xr:uid="{00000000-0005-0000-0000-00004E310000}"/>
    <cellStyle name="Comma 2 3 60 2" xfId="12621" xr:uid="{00000000-0005-0000-0000-00004F310000}"/>
    <cellStyle name="Comma 2 3 61" xfId="12622" xr:uid="{00000000-0005-0000-0000-000050310000}"/>
    <cellStyle name="Comma 2 3 61 2" xfId="12623" xr:uid="{00000000-0005-0000-0000-000051310000}"/>
    <cellStyle name="Comma 2 3 62" xfId="12624" xr:uid="{00000000-0005-0000-0000-000052310000}"/>
    <cellStyle name="Comma 2 3 62 2" xfId="12625" xr:uid="{00000000-0005-0000-0000-000053310000}"/>
    <cellStyle name="Comma 2 3 63" xfId="12626" xr:uid="{00000000-0005-0000-0000-000054310000}"/>
    <cellStyle name="Comma 2 3 63 2" xfId="12627" xr:uid="{00000000-0005-0000-0000-000055310000}"/>
    <cellStyle name="Comma 2 3 64" xfId="12628" xr:uid="{00000000-0005-0000-0000-000056310000}"/>
    <cellStyle name="Comma 2 3 64 2" xfId="12629" xr:uid="{00000000-0005-0000-0000-000057310000}"/>
    <cellStyle name="Comma 2 3 65" xfId="12630" xr:uid="{00000000-0005-0000-0000-000058310000}"/>
    <cellStyle name="Comma 2 3 65 2" xfId="12631" xr:uid="{00000000-0005-0000-0000-000059310000}"/>
    <cellStyle name="Comma 2 3 66" xfId="12632" xr:uid="{00000000-0005-0000-0000-00005A310000}"/>
    <cellStyle name="Comma 2 3 66 2" xfId="12633" xr:uid="{00000000-0005-0000-0000-00005B310000}"/>
    <cellStyle name="Comma 2 3 67" xfId="12634" xr:uid="{00000000-0005-0000-0000-00005C310000}"/>
    <cellStyle name="Comma 2 3 67 2" xfId="12635" xr:uid="{00000000-0005-0000-0000-00005D310000}"/>
    <cellStyle name="Comma 2 3 68" xfId="12636" xr:uid="{00000000-0005-0000-0000-00005E310000}"/>
    <cellStyle name="Comma 2 3 68 2" xfId="12637" xr:uid="{00000000-0005-0000-0000-00005F310000}"/>
    <cellStyle name="Comma 2 3 69" xfId="12638" xr:uid="{00000000-0005-0000-0000-000060310000}"/>
    <cellStyle name="Comma 2 3 69 2" xfId="12639" xr:uid="{00000000-0005-0000-0000-000061310000}"/>
    <cellStyle name="Comma 2 3 7" xfId="12640" xr:uid="{00000000-0005-0000-0000-000062310000}"/>
    <cellStyle name="Comma 2 3 7 2" xfId="12641" xr:uid="{00000000-0005-0000-0000-000063310000}"/>
    <cellStyle name="Comma 2 3 70" xfId="12642" xr:uid="{00000000-0005-0000-0000-000064310000}"/>
    <cellStyle name="Comma 2 3 70 2" xfId="12643" xr:uid="{00000000-0005-0000-0000-000065310000}"/>
    <cellStyle name="Comma 2 3 8" xfId="12644" xr:uid="{00000000-0005-0000-0000-000066310000}"/>
    <cellStyle name="Comma 2 3 8 2" xfId="12645" xr:uid="{00000000-0005-0000-0000-000067310000}"/>
    <cellStyle name="Comma 2 3 9" xfId="12646" xr:uid="{00000000-0005-0000-0000-000068310000}"/>
    <cellStyle name="Comma 2 3 9 2" xfId="12647" xr:uid="{00000000-0005-0000-0000-000069310000}"/>
    <cellStyle name="Comma 2 30" xfId="12648" xr:uid="{00000000-0005-0000-0000-00006A310000}"/>
    <cellStyle name="Comma 2 31" xfId="12649" xr:uid="{00000000-0005-0000-0000-00006B310000}"/>
    <cellStyle name="Comma 2 32" xfId="12650" xr:uid="{00000000-0005-0000-0000-00006C310000}"/>
    <cellStyle name="Comma 2 33" xfId="12651" xr:uid="{00000000-0005-0000-0000-00006D310000}"/>
    <cellStyle name="Comma 2 34" xfId="12652" xr:uid="{00000000-0005-0000-0000-00006E310000}"/>
    <cellStyle name="Comma 2 35" xfId="12653" xr:uid="{00000000-0005-0000-0000-00006F310000}"/>
    <cellStyle name="Comma 2 36" xfId="12654" xr:uid="{00000000-0005-0000-0000-000070310000}"/>
    <cellStyle name="Comma 2 37" xfId="12655" xr:uid="{00000000-0005-0000-0000-000071310000}"/>
    <cellStyle name="Comma 2 38" xfId="12656" xr:uid="{00000000-0005-0000-0000-000072310000}"/>
    <cellStyle name="Comma 2 39" xfId="12657" xr:uid="{00000000-0005-0000-0000-000073310000}"/>
    <cellStyle name="Comma 2 4" xfId="12658" xr:uid="{00000000-0005-0000-0000-000074310000}"/>
    <cellStyle name="Comma 2 4 2" xfId="12659" xr:uid="{00000000-0005-0000-0000-000075310000}"/>
    <cellStyle name="Comma 2 4 2 2" xfId="12660" xr:uid="{00000000-0005-0000-0000-000076310000}"/>
    <cellStyle name="Comma 2 4 3" xfId="12661" xr:uid="{00000000-0005-0000-0000-000077310000}"/>
    <cellStyle name="Comma 2 40" xfId="12662" xr:uid="{00000000-0005-0000-0000-000078310000}"/>
    <cellStyle name="Comma 2 41" xfId="12663" xr:uid="{00000000-0005-0000-0000-000079310000}"/>
    <cellStyle name="Comma 2 42" xfId="12664" xr:uid="{00000000-0005-0000-0000-00007A310000}"/>
    <cellStyle name="Comma 2 43" xfId="12665" xr:uid="{00000000-0005-0000-0000-00007B310000}"/>
    <cellStyle name="Comma 2 44" xfId="12666" xr:uid="{00000000-0005-0000-0000-00007C310000}"/>
    <cellStyle name="Comma 2 45" xfId="12667" xr:uid="{00000000-0005-0000-0000-00007D310000}"/>
    <cellStyle name="Comma 2 46" xfId="12668" xr:uid="{00000000-0005-0000-0000-00007E310000}"/>
    <cellStyle name="Comma 2 47" xfId="12669" xr:uid="{00000000-0005-0000-0000-00007F310000}"/>
    <cellStyle name="Comma 2 48" xfId="12670" xr:uid="{00000000-0005-0000-0000-000080310000}"/>
    <cellStyle name="Comma 2 49" xfId="12671" xr:uid="{00000000-0005-0000-0000-000081310000}"/>
    <cellStyle name="Comma 2 5" xfId="12672" xr:uid="{00000000-0005-0000-0000-000082310000}"/>
    <cellStyle name="Comma 2 5 2" xfId="12673" xr:uid="{00000000-0005-0000-0000-000083310000}"/>
    <cellStyle name="Comma 2 5 3" xfId="12674" xr:uid="{00000000-0005-0000-0000-000084310000}"/>
    <cellStyle name="Comma 2 50" xfId="12675" xr:uid="{00000000-0005-0000-0000-000085310000}"/>
    <cellStyle name="Comma 2 51" xfId="12676" xr:uid="{00000000-0005-0000-0000-000086310000}"/>
    <cellStyle name="Comma 2 52" xfId="12677" xr:uid="{00000000-0005-0000-0000-000087310000}"/>
    <cellStyle name="Comma 2 53" xfId="12678" xr:uid="{00000000-0005-0000-0000-000088310000}"/>
    <cellStyle name="Comma 2 54" xfId="12679" xr:uid="{00000000-0005-0000-0000-000089310000}"/>
    <cellStyle name="Comma 2 55" xfId="12680" xr:uid="{00000000-0005-0000-0000-00008A310000}"/>
    <cellStyle name="Comma 2 56" xfId="12681" xr:uid="{00000000-0005-0000-0000-00008B310000}"/>
    <cellStyle name="Comma 2 57" xfId="12682" xr:uid="{00000000-0005-0000-0000-00008C310000}"/>
    <cellStyle name="Comma 2 58" xfId="12683" xr:uid="{00000000-0005-0000-0000-00008D310000}"/>
    <cellStyle name="Comma 2 59" xfId="12684" xr:uid="{00000000-0005-0000-0000-00008E310000}"/>
    <cellStyle name="Comma 2 6" xfId="12685" xr:uid="{00000000-0005-0000-0000-00008F310000}"/>
    <cellStyle name="Comma 2 6 2" xfId="12686" xr:uid="{00000000-0005-0000-0000-000090310000}"/>
    <cellStyle name="Comma 2 60" xfId="12687" xr:uid="{00000000-0005-0000-0000-000091310000}"/>
    <cellStyle name="Comma 2 61" xfId="12688" xr:uid="{00000000-0005-0000-0000-000092310000}"/>
    <cellStyle name="Comma 2 62" xfId="12689" xr:uid="{00000000-0005-0000-0000-000093310000}"/>
    <cellStyle name="Comma 2 63" xfId="12690" xr:uid="{00000000-0005-0000-0000-000094310000}"/>
    <cellStyle name="Comma 2 64" xfId="12691" xr:uid="{00000000-0005-0000-0000-000095310000}"/>
    <cellStyle name="Comma 2 65" xfId="12692" xr:uid="{00000000-0005-0000-0000-000096310000}"/>
    <cellStyle name="Comma 2 66" xfId="12693" xr:uid="{00000000-0005-0000-0000-000097310000}"/>
    <cellStyle name="Comma 2 67" xfId="12694" xr:uid="{00000000-0005-0000-0000-000098310000}"/>
    <cellStyle name="Comma 2 68" xfId="12695" xr:uid="{00000000-0005-0000-0000-000099310000}"/>
    <cellStyle name="Comma 2 69" xfId="12696" xr:uid="{00000000-0005-0000-0000-00009A310000}"/>
    <cellStyle name="Comma 2 7" xfId="12697" xr:uid="{00000000-0005-0000-0000-00009B310000}"/>
    <cellStyle name="Comma 2 7 2" xfId="12698" xr:uid="{00000000-0005-0000-0000-00009C310000}"/>
    <cellStyle name="Comma 2 70" xfId="12699" xr:uid="{00000000-0005-0000-0000-00009D310000}"/>
    <cellStyle name="Comma 2 71" xfId="12700" xr:uid="{00000000-0005-0000-0000-00009E310000}"/>
    <cellStyle name="Comma 2 72" xfId="12701" xr:uid="{00000000-0005-0000-0000-00009F310000}"/>
    <cellStyle name="Comma 2 8" xfId="12702" xr:uid="{00000000-0005-0000-0000-0000A0310000}"/>
    <cellStyle name="Comma 2 9" xfId="12703" xr:uid="{00000000-0005-0000-0000-0000A1310000}"/>
    <cellStyle name="Comma 2_Copy of Myanmar-MS-Addendum-Proposal-Summary-April3-2013" xfId="12704" xr:uid="{00000000-0005-0000-0000-0000A2310000}"/>
    <cellStyle name="Comma 20" xfId="12705" xr:uid="{00000000-0005-0000-0000-0000A3310000}"/>
    <cellStyle name="Comma 21" xfId="12706" xr:uid="{00000000-0005-0000-0000-0000A4310000}"/>
    <cellStyle name="Comma 23" xfId="12707" xr:uid="{00000000-0005-0000-0000-0000A5310000}"/>
    <cellStyle name="Comma 3" xfId="12708" xr:uid="{00000000-0005-0000-0000-0000A6310000}"/>
    <cellStyle name="Comma 3 10" xfId="12709" xr:uid="{00000000-0005-0000-0000-0000A7310000}"/>
    <cellStyle name="Comma 3 11" xfId="12710" xr:uid="{00000000-0005-0000-0000-0000A8310000}"/>
    <cellStyle name="Comma 3 11 2" xfId="12711" xr:uid="{00000000-0005-0000-0000-0000A9310000}"/>
    <cellStyle name="Comma 3 12" xfId="12712" xr:uid="{00000000-0005-0000-0000-0000AA310000}"/>
    <cellStyle name="Comma 3 12 2" xfId="12713" xr:uid="{00000000-0005-0000-0000-0000AB310000}"/>
    <cellStyle name="Comma 3 13" xfId="12714" xr:uid="{00000000-0005-0000-0000-0000AC310000}"/>
    <cellStyle name="Comma 3 13 2" xfId="12715" xr:uid="{00000000-0005-0000-0000-0000AD310000}"/>
    <cellStyle name="Comma 3 14" xfId="12716" xr:uid="{00000000-0005-0000-0000-0000AE310000}"/>
    <cellStyle name="Comma 3 14 2" xfId="12717" xr:uid="{00000000-0005-0000-0000-0000AF310000}"/>
    <cellStyle name="Comma 3 15" xfId="12718" xr:uid="{00000000-0005-0000-0000-0000B0310000}"/>
    <cellStyle name="Comma 3 15 2" xfId="12719" xr:uid="{00000000-0005-0000-0000-0000B1310000}"/>
    <cellStyle name="Comma 3 16" xfId="12720" xr:uid="{00000000-0005-0000-0000-0000B2310000}"/>
    <cellStyle name="Comma 3 16 2" xfId="12721" xr:uid="{00000000-0005-0000-0000-0000B3310000}"/>
    <cellStyle name="Comma 3 17" xfId="12722" xr:uid="{00000000-0005-0000-0000-0000B4310000}"/>
    <cellStyle name="Comma 3 17 2" xfId="12723" xr:uid="{00000000-0005-0000-0000-0000B5310000}"/>
    <cellStyle name="Comma 3 18" xfId="12724" xr:uid="{00000000-0005-0000-0000-0000B6310000}"/>
    <cellStyle name="Comma 3 18 2" xfId="12725" xr:uid="{00000000-0005-0000-0000-0000B7310000}"/>
    <cellStyle name="Comma 3 19" xfId="12726" xr:uid="{00000000-0005-0000-0000-0000B8310000}"/>
    <cellStyle name="Comma 3 19 2" xfId="12727" xr:uid="{00000000-0005-0000-0000-0000B9310000}"/>
    <cellStyle name="Comma 3 2" xfId="12728" xr:uid="{00000000-0005-0000-0000-0000BA310000}"/>
    <cellStyle name="Comma 3 2 10" xfId="12729" xr:uid="{00000000-0005-0000-0000-0000BB310000}"/>
    <cellStyle name="Comma 3 2 10 2" xfId="12730" xr:uid="{00000000-0005-0000-0000-0000BC310000}"/>
    <cellStyle name="Comma 3 2 11" xfId="12731" xr:uid="{00000000-0005-0000-0000-0000BD310000}"/>
    <cellStyle name="Comma 3 2 11 2" xfId="12732" xr:uid="{00000000-0005-0000-0000-0000BE310000}"/>
    <cellStyle name="Comma 3 2 12" xfId="12733" xr:uid="{00000000-0005-0000-0000-0000BF310000}"/>
    <cellStyle name="Comma 3 2 12 2" xfId="12734" xr:uid="{00000000-0005-0000-0000-0000C0310000}"/>
    <cellStyle name="Comma 3 2 13" xfId="12735" xr:uid="{00000000-0005-0000-0000-0000C1310000}"/>
    <cellStyle name="Comma 3 2 13 2" xfId="12736" xr:uid="{00000000-0005-0000-0000-0000C2310000}"/>
    <cellStyle name="Comma 3 2 14" xfId="12737" xr:uid="{00000000-0005-0000-0000-0000C3310000}"/>
    <cellStyle name="Comma 3 2 14 2" xfId="12738" xr:uid="{00000000-0005-0000-0000-0000C4310000}"/>
    <cellStyle name="Comma 3 2 15" xfId="12739" xr:uid="{00000000-0005-0000-0000-0000C5310000}"/>
    <cellStyle name="Comma 3 2 15 2" xfId="12740" xr:uid="{00000000-0005-0000-0000-0000C6310000}"/>
    <cellStyle name="Comma 3 2 16" xfId="12741" xr:uid="{00000000-0005-0000-0000-0000C7310000}"/>
    <cellStyle name="Comma 3 2 16 2" xfId="12742" xr:uid="{00000000-0005-0000-0000-0000C8310000}"/>
    <cellStyle name="Comma 3 2 17" xfId="12743" xr:uid="{00000000-0005-0000-0000-0000C9310000}"/>
    <cellStyle name="Comma 3 2 17 2" xfId="12744" xr:uid="{00000000-0005-0000-0000-0000CA310000}"/>
    <cellStyle name="Comma 3 2 18" xfId="12745" xr:uid="{00000000-0005-0000-0000-0000CB310000}"/>
    <cellStyle name="Comma 3 2 18 2" xfId="12746" xr:uid="{00000000-0005-0000-0000-0000CC310000}"/>
    <cellStyle name="Comma 3 2 19" xfId="12747" xr:uid="{00000000-0005-0000-0000-0000CD310000}"/>
    <cellStyle name="Comma 3 2 19 2" xfId="12748" xr:uid="{00000000-0005-0000-0000-0000CE310000}"/>
    <cellStyle name="Comma 3 2 2" xfId="12749" xr:uid="{00000000-0005-0000-0000-0000CF310000}"/>
    <cellStyle name="Comma 3 2 2 2" xfId="12750" xr:uid="{00000000-0005-0000-0000-0000D0310000}"/>
    <cellStyle name="Comma 3 2 2 2 2" xfId="12751" xr:uid="{00000000-0005-0000-0000-0000D1310000}"/>
    <cellStyle name="Comma 3 2 2 2 2 2" xfId="12752" xr:uid="{00000000-0005-0000-0000-0000D2310000}"/>
    <cellStyle name="Comma 3 2 2 2 3" xfId="12753" xr:uid="{00000000-0005-0000-0000-0000D3310000}"/>
    <cellStyle name="Comma 3 2 2 3" xfId="12754" xr:uid="{00000000-0005-0000-0000-0000D4310000}"/>
    <cellStyle name="Comma 3 2 2 3 2" xfId="12755" xr:uid="{00000000-0005-0000-0000-0000D5310000}"/>
    <cellStyle name="Comma 3 2 2 4" xfId="12756" xr:uid="{00000000-0005-0000-0000-0000D6310000}"/>
    <cellStyle name="Comma 3 2 20" xfId="12757" xr:uid="{00000000-0005-0000-0000-0000D7310000}"/>
    <cellStyle name="Comma 3 2 20 2" xfId="12758" xr:uid="{00000000-0005-0000-0000-0000D8310000}"/>
    <cellStyle name="Comma 3 2 21" xfId="12759" xr:uid="{00000000-0005-0000-0000-0000D9310000}"/>
    <cellStyle name="Comma 3 2 21 2" xfId="12760" xr:uid="{00000000-0005-0000-0000-0000DA310000}"/>
    <cellStyle name="Comma 3 2 22" xfId="12761" xr:uid="{00000000-0005-0000-0000-0000DB310000}"/>
    <cellStyle name="Comma 3 2 22 2" xfId="12762" xr:uid="{00000000-0005-0000-0000-0000DC310000}"/>
    <cellStyle name="Comma 3 2 23" xfId="12763" xr:uid="{00000000-0005-0000-0000-0000DD310000}"/>
    <cellStyle name="Comma 3 2 23 2" xfId="12764" xr:uid="{00000000-0005-0000-0000-0000DE310000}"/>
    <cellStyle name="Comma 3 2 24" xfId="12765" xr:uid="{00000000-0005-0000-0000-0000DF310000}"/>
    <cellStyle name="Comma 3 2 24 2" xfId="12766" xr:uid="{00000000-0005-0000-0000-0000E0310000}"/>
    <cellStyle name="Comma 3 2 25" xfId="12767" xr:uid="{00000000-0005-0000-0000-0000E1310000}"/>
    <cellStyle name="Comma 3 2 25 2" xfId="12768" xr:uid="{00000000-0005-0000-0000-0000E2310000}"/>
    <cellStyle name="Comma 3 2 26" xfId="12769" xr:uid="{00000000-0005-0000-0000-0000E3310000}"/>
    <cellStyle name="Comma 3 2 26 2" xfId="12770" xr:uid="{00000000-0005-0000-0000-0000E4310000}"/>
    <cellStyle name="Comma 3 2 27" xfId="12771" xr:uid="{00000000-0005-0000-0000-0000E5310000}"/>
    <cellStyle name="Comma 3 2 27 2" xfId="12772" xr:uid="{00000000-0005-0000-0000-0000E6310000}"/>
    <cellStyle name="Comma 3 2 28" xfId="12773" xr:uid="{00000000-0005-0000-0000-0000E7310000}"/>
    <cellStyle name="Comma 3 2 28 2" xfId="12774" xr:uid="{00000000-0005-0000-0000-0000E8310000}"/>
    <cellStyle name="Comma 3 2 29" xfId="12775" xr:uid="{00000000-0005-0000-0000-0000E9310000}"/>
    <cellStyle name="Comma 3 2 29 2" xfId="12776" xr:uid="{00000000-0005-0000-0000-0000EA310000}"/>
    <cellStyle name="Comma 3 2 3" xfId="12777" xr:uid="{00000000-0005-0000-0000-0000EB310000}"/>
    <cellStyle name="Comma 3 2 3 2" xfId="12778" xr:uid="{00000000-0005-0000-0000-0000EC310000}"/>
    <cellStyle name="Comma 3 2 3 2 2" xfId="12779" xr:uid="{00000000-0005-0000-0000-0000ED310000}"/>
    <cellStyle name="Comma 3 2 3 3" xfId="12780" xr:uid="{00000000-0005-0000-0000-0000EE310000}"/>
    <cellStyle name="Comma 3 2 30" xfId="12781" xr:uid="{00000000-0005-0000-0000-0000EF310000}"/>
    <cellStyle name="Comma 3 2 30 2" xfId="12782" xr:uid="{00000000-0005-0000-0000-0000F0310000}"/>
    <cellStyle name="Comma 3 2 31" xfId="12783" xr:uid="{00000000-0005-0000-0000-0000F1310000}"/>
    <cellStyle name="Comma 3 2 31 2" xfId="12784" xr:uid="{00000000-0005-0000-0000-0000F2310000}"/>
    <cellStyle name="Comma 3 2 32" xfId="12785" xr:uid="{00000000-0005-0000-0000-0000F3310000}"/>
    <cellStyle name="Comma 3 2 32 2" xfId="12786" xr:uid="{00000000-0005-0000-0000-0000F4310000}"/>
    <cellStyle name="Comma 3 2 33" xfId="12787" xr:uid="{00000000-0005-0000-0000-0000F5310000}"/>
    <cellStyle name="Comma 3 2 33 2" xfId="12788" xr:uid="{00000000-0005-0000-0000-0000F6310000}"/>
    <cellStyle name="Comma 3 2 34" xfId="12789" xr:uid="{00000000-0005-0000-0000-0000F7310000}"/>
    <cellStyle name="Comma 3 2 34 2" xfId="12790" xr:uid="{00000000-0005-0000-0000-0000F8310000}"/>
    <cellStyle name="Comma 3 2 35" xfId="12791" xr:uid="{00000000-0005-0000-0000-0000F9310000}"/>
    <cellStyle name="Comma 3 2 35 2" xfId="12792" xr:uid="{00000000-0005-0000-0000-0000FA310000}"/>
    <cellStyle name="Comma 3 2 36" xfId="12793" xr:uid="{00000000-0005-0000-0000-0000FB310000}"/>
    <cellStyle name="Comma 3 2 36 2" xfId="12794" xr:uid="{00000000-0005-0000-0000-0000FC310000}"/>
    <cellStyle name="Comma 3 2 37" xfId="12795" xr:uid="{00000000-0005-0000-0000-0000FD310000}"/>
    <cellStyle name="Comma 3 2 37 2" xfId="12796" xr:uid="{00000000-0005-0000-0000-0000FE310000}"/>
    <cellStyle name="Comma 3 2 38" xfId="12797" xr:uid="{00000000-0005-0000-0000-0000FF310000}"/>
    <cellStyle name="Comma 3 2 38 2" xfId="12798" xr:uid="{00000000-0005-0000-0000-000000320000}"/>
    <cellStyle name="Comma 3 2 39" xfId="12799" xr:uid="{00000000-0005-0000-0000-000001320000}"/>
    <cellStyle name="Comma 3 2 39 2" xfId="12800" xr:uid="{00000000-0005-0000-0000-000002320000}"/>
    <cellStyle name="Comma 3 2 4" xfId="12801" xr:uid="{00000000-0005-0000-0000-000003320000}"/>
    <cellStyle name="Comma 3 2 4 2" xfId="12802" xr:uid="{00000000-0005-0000-0000-000004320000}"/>
    <cellStyle name="Comma 3 2 40" xfId="12803" xr:uid="{00000000-0005-0000-0000-000005320000}"/>
    <cellStyle name="Comma 3 2 40 2" xfId="12804" xr:uid="{00000000-0005-0000-0000-000006320000}"/>
    <cellStyle name="Comma 3 2 41" xfId="12805" xr:uid="{00000000-0005-0000-0000-000007320000}"/>
    <cellStyle name="Comma 3 2 41 2" xfId="12806" xr:uid="{00000000-0005-0000-0000-000008320000}"/>
    <cellStyle name="Comma 3 2 42" xfId="12807" xr:uid="{00000000-0005-0000-0000-000009320000}"/>
    <cellStyle name="Comma 3 2 42 2" xfId="12808" xr:uid="{00000000-0005-0000-0000-00000A320000}"/>
    <cellStyle name="Comma 3 2 43" xfId="12809" xr:uid="{00000000-0005-0000-0000-00000B320000}"/>
    <cellStyle name="Comma 3 2 43 2" xfId="12810" xr:uid="{00000000-0005-0000-0000-00000C320000}"/>
    <cellStyle name="Comma 3 2 44" xfId="12811" xr:uid="{00000000-0005-0000-0000-00000D320000}"/>
    <cellStyle name="Comma 3 2 44 2" xfId="12812" xr:uid="{00000000-0005-0000-0000-00000E320000}"/>
    <cellStyle name="Comma 3 2 45" xfId="12813" xr:uid="{00000000-0005-0000-0000-00000F320000}"/>
    <cellStyle name="Comma 3 2 45 2" xfId="12814" xr:uid="{00000000-0005-0000-0000-000010320000}"/>
    <cellStyle name="Comma 3 2 46" xfId="12815" xr:uid="{00000000-0005-0000-0000-000011320000}"/>
    <cellStyle name="Comma 3 2 46 2" xfId="12816" xr:uid="{00000000-0005-0000-0000-000012320000}"/>
    <cellStyle name="Comma 3 2 47" xfId="12817" xr:uid="{00000000-0005-0000-0000-000013320000}"/>
    <cellStyle name="Comma 3 2 47 2" xfId="12818" xr:uid="{00000000-0005-0000-0000-000014320000}"/>
    <cellStyle name="Comma 3 2 48" xfId="12819" xr:uid="{00000000-0005-0000-0000-000015320000}"/>
    <cellStyle name="Comma 3 2 48 2" xfId="12820" xr:uid="{00000000-0005-0000-0000-000016320000}"/>
    <cellStyle name="Comma 3 2 49" xfId="12821" xr:uid="{00000000-0005-0000-0000-000017320000}"/>
    <cellStyle name="Comma 3 2 49 2" xfId="12822" xr:uid="{00000000-0005-0000-0000-000018320000}"/>
    <cellStyle name="Comma 3 2 5" xfId="12823" xr:uid="{00000000-0005-0000-0000-000019320000}"/>
    <cellStyle name="Comma 3 2 5 2" xfId="12824" xr:uid="{00000000-0005-0000-0000-00001A320000}"/>
    <cellStyle name="Comma 3 2 50" xfId="12825" xr:uid="{00000000-0005-0000-0000-00001B320000}"/>
    <cellStyle name="Comma 3 2 50 2" xfId="12826" xr:uid="{00000000-0005-0000-0000-00001C320000}"/>
    <cellStyle name="Comma 3 2 51" xfId="12827" xr:uid="{00000000-0005-0000-0000-00001D320000}"/>
    <cellStyle name="Comma 3 2 51 2" xfId="12828" xr:uid="{00000000-0005-0000-0000-00001E320000}"/>
    <cellStyle name="Comma 3 2 52" xfId="12829" xr:uid="{00000000-0005-0000-0000-00001F320000}"/>
    <cellStyle name="Comma 3 2 52 2" xfId="12830" xr:uid="{00000000-0005-0000-0000-000020320000}"/>
    <cellStyle name="Comma 3 2 53" xfId="12831" xr:uid="{00000000-0005-0000-0000-000021320000}"/>
    <cellStyle name="Comma 3 2 53 2" xfId="12832" xr:uid="{00000000-0005-0000-0000-000022320000}"/>
    <cellStyle name="Comma 3 2 54" xfId="12833" xr:uid="{00000000-0005-0000-0000-000023320000}"/>
    <cellStyle name="Comma 3 2 54 2" xfId="12834" xr:uid="{00000000-0005-0000-0000-000024320000}"/>
    <cellStyle name="Comma 3 2 55" xfId="12835" xr:uid="{00000000-0005-0000-0000-000025320000}"/>
    <cellStyle name="Comma 3 2 55 2" xfId="12836" xr:uid="{00000000-0005-0000-0000-000026320000}"/>
    <cellStyle name="Comma 3 2 56" xfId="12837" xr:uid="{00000000-0005-0000-0000-000027320000}"/>
    <cellStyle name="Comma 3 2 56 2" xfId="12838" xr:uid="{00000000-0005-0000-0000-000028320000}"/>
    <cellStyle name="Comma 3 2 57" xfId="12839" xr:uid="{00000000-0005-0000-0000-000029320000}"/>
    <cellStyle name="Comma 3 2 57 2" xfId="12840" xr:uid="{00000000-0005-0000-0000-00002A320000}"/>
    <cellStyle name="Comma 3 2 58" xfId="12841" xr:uid="{00000000-0005-0000-0000-00002B320000}"/>
    <cellStyle name="Comma 3 2 58 2" xfId="12842" xr:uid="{00000000-0005-0000-0000-00002C320000}"/>
    <cellStyle name="Comma 3 2 59" xfId="12843" xr:uid="{00000000-0005-0000-0000-00002D320000}"/>
    <cellStyle name="Comma 3 2 59 2" xfId="12844" xr:uid="{00000000-0005-0000-0000-00002E320000}"/>
    <cellStyle name="Comma 3 2 6" xfId="12845" xr:uid="{00000000-0005-0000-0000-00002F320000}"/>
    <cellStyle name="Comma 3 2 6 2" xfId="12846" xr:uid="{00000000-0005-0000-0000-000030320000}"/>
    <cellStyle name="Comma 3 2 60" xfId="12847" xr:uid="{00000000-0005-0000-0000-000031320000}"/>
    <cellStyle name="Comma 3 2 60 2" xfId="12848" xr:uid="{00000000-0005-0000-0000-000032320000}"/>
    <cellStyle name="Comma 3 2 61" xfId="12849" xr:uid="{00000000-0005-0000-0000-000033320000}"/>
    <cellStyle name="Comma 3 2 61 2" xfId="12850" xr:uid="{00000000-0005-0000-0000-000034320000}"/>
    <cellStyle name="Comma 3 2 62" xfId="12851" xr:uid="{00000000-0005-0000-0000-000035320000}"/>
    <cellStyle name="Comma 3 2 62 2" xfId="12852" xr:uid="{00000000-0005-0000-0000-000036320000}"/>
    <cellStyle name="Comma 3 2 63" xfId="12853" xr:uid="{00000000-0005-0000-0000-000037320000}"/>
    <cellStyle name="Comma 3 2 63 2" xfId="12854" xr:uid="{00000000-0005-0000-0000-000038320000}"/>
    <cellStyle name="Comma 3 2 64" xfId="12855" xr:uid="{00000000-0005-0000-0000-000039320000}"/>
    <cellStyle name="Comma 3 2 64 2" xfId="12856" xr:uid="{00000000-0005-0000-0000-00003A320000}"/>
    <cellStyle name="Comma 3 2 65" xfId="12857" xr:uid="{00000000-0005-0000-0000-00003B320000}"/>
    <cellStyle name="Comma 3 2 65 2" xfId="12858" xr:uid="{00000000-0005-0000-0000-00003C320000}"/>
    <cellStyle name="Comma 3 2 66" xfId="12859" xr:uid="{00000000-0005-0000-0000-00003D320000}"/>
    <cellStyle name="Comma 3 2 66 2" xfId="12860" xr:uid="{00000000-0005-0000-0000-00003E320000}"/>
    <cellStyle name="Comma 3 2 67" xfId="12861" xr:uid="{00000000-0005-0000-0000-00003F320000}"/>
    <cellStyle name="Comma 3 2 67 2" xfId="12862" xr:uid="{00000000-0005-0000-0000-000040320000}"/>
    <cellStyle name="Comma 3 2 68" xfId="12863" xr:uid="{00000000-0005-0000-0000-000041320000}"/>
    <cellStyle name="Comma 3 2 68 2" xfId="12864" xr:uid="{00000000-0005-0000-0000-000042320000}"/>
    <cellStyle name="Comma 3 2 69" xfId="12865" xr:uid="{00000000-0005-0000-0000-000043320000}"/>
    <cellStyle name="Comma 3 2 69 2" xfId="12866" xr:uid="{00000000-0005-0000-0000-000044320000}"/>
    <cellStyle name="Comma 3 2 7" xfId="12867" xr:uid="{00000000-0005-0000-0000-000045320000}"/>
    <cellStyle name="Comma 3 2 7 2" xfId="12868" xr:uid="{00000000-0005-0000-0000-000046320000}"/>
    <cellStyle name="Comma 3 2 70" xfId="12869" xr:uid="{00000000-0005-0000-0000-000047320000}"/>
    <cellStyle name="Comma 3 2 70 2" xfId="12870" xr:uid="{00000000-0005-0000-0000-000048320000}"/>
    <cellStyle name="Comma 3 2 8" xfId="12871" xr:uid="{00000000-0005-0000-0000-000049320000}"/>
    <cellStyle name="Comma 3 2 8 2" xfId="12872" xr:uid="{00000000-0005-0000-0000-00004A320000}"/>
    <cellStyle name="Comma 3 2 9" xfId="12873" xr:uid="{00000000-0005-0000-0000-00004B320000}"/>
    <cellStyle name="Comma 3 2 9 2" xfId="12874" xr:uid="{00000000-0005-0000-0000-00004C320000}"/>
    <cellStyle name="Comma 3 20" xfId="12875" xr:uid="{00000000-0005-0000-0000-00004D320000}"/>
    <cellStyle name="Comma 3 20 2" xfId="12876" xr:uid="{00000000-0005-0000-0000-00004E320000}"/>
    <cellStyle name="Comma 3 21" xfId="12877" xr:uid="{00000000-0005-0000-0000-00004F320000}"/>
    <cellStyle name="Comma 3 21 2" xfId="12878" xr:uid="{00000000-0005-0000-0000-000050320000}"/>
    <cellStyle name="Comma 3 22" xfId="12879" xr:uid="{00000000-0005-0000-0000-000051320000}"/>
    <cellStyle name="Comma 3 22 2" xfId="12880" xr:uid="{00000000-0005-0000-0000-000052320000}"/>
    <cellStyle name="Comma 3 23" xfId="12881" xr:uid="{00000000-0005-0000-0000-000053320000}"/>
    <cellStyle name="Comma 3 23 2" xfId="12882" xr:uid="{00000000-0005-0000-0000-000054320000}"/>
    <cellStyle name="Comma 3 24" xfId="12883" xr:uid="{00000000-0005-0000-0000-000055320000}"/>
    <cellStyle name="Comma 3 24 2" xfId="12884" xr:uid="{00000000-0005-0000-0000-000056320000}"/>
    <cellStyle name="Comma 3 25" xfId="12885" xr:uid="{00000000-0005-0000-0000-000057320000}"/>
    <cellStyle name="Comma 3 25 2" xfId="12886" xr:uid="{00000000-0005-0000-0000-000058320000}"/>
    <cellStyle name="Comma 3 26" xfId="12887" xr:uid="{00000000-0005-0000-0000-000059320000}"/>
    <cellStyle name="Comma 3 26 2" xfId="12888" xr:uid="{00000000-0005-0000-0000-00005A320000}"/>
    <cellStyle name="Comma 3 27" xfId="12889" xr:uid="{00000000-0005-0000-0000-00005B320000}"/>
    <cellStyle name="Comma 3 27 2" xfId="12890" xr:uid="{00000000-0005-0000-0000-00005C320000}"/>
    <cellStyle name="Comma 3 28" xfId="12891" xr:uid="{00000000-0005-0000-0000-00005D320000}"/>
    <cellStyle name="Comma 3 28 2" xfId="12892" xr:uid="{00000000-0005-0000-0000-00005E320000}"/>
    <cellStyle name="Comma 3 29" xfId="12893" xr:uid="{00000000-0005-0000-0000-00005F320000}"/>
    <cellStyle name="Comma 3 29 2" xfId="12894" xr:uid="{00000000-0005-0000-0000-000060320000}"/>
    <cellStyle name="Comma 3 3" xfId="12895" xr:uid="{00000000-0005-0000-0000-000061320000}"/>
    <cellStyle name="Comma 3 3 2" xfId="12896" xr:uid="{00000000-0005-0000-0000-000062320000}"/>
    <cellStyle name="Comma 3 3 2 2" xfId="12897" xr:uid="{00000000-0005-0000-0000-000063320000}"/>
    <cellStyle name="Comma 3 3 2 2 2" xfId="12898" xr:uid="{00000000-0005-0000-0000-000064320000}"/>
    <cellStyle name="Comma 3 3 2 3" xfId="12899" xr:uid="{00000000-0005-0000-0000-000065320000}"/>
    <cellStyle name="Comma 3 3 3" xfId="12900" xr:uid="{00000000-0005-0000-0000-000066320000}"/>
    <cellStyle name="Comma 3 3 3 2" xfId="12901" xr:uid="{00000000-0005-0000-0000-000067320000}"/>
    <cellStyle name="Comma 3 3 4" xfId="12902" xr:uid="{00000000-0005-0000-0000-000068320000}"/>
    <cellStyle name="Comma 3 30" xfId="12903" xr:uid="{00000000-0005-0000-0000-000069320000}"/>
    <cellStyle name="Comma 3 30 2" xfId="12904" xr:uid="{00000000-0005-0000-0000-00006A320000}"/>
    <cellStyle name="Comma 3 31" xfId="12905" xr:uid="{00000000-0005-0000-0000-00006B320000}"/>
    <cellStyle name="Comma 3 31 2" xfId="12906" xr:uid="{00000000-0005-0000-0000-00006C320000}"/>
    <cellStyle name="Comma 3 32" xfId="12907" xr:uid="{00000000-0005-0000-0000-00006D320000}"/>
    <cellStyle name="Comma 3 32 2" xfId="12908" xr:uid="{00000000-0005-0000-0000-00006E320000}"/>
    <cellStyle name="Comma 3 33" xfId="12909" xr:uid="{00000000-0005-0000-0000-00006F320000}"/>
    <cellStyle name="Comma 3 33 2" xfId="12910" xr:uid="{00000000-0005-0000-0000-000070320000}"/>
    <cellStyle name="Comma 3 34" xfId="12911" xr:uid="{00000000-0005-0000-0000-000071320000}"/>
    <cellStyle name="Comma 3 34 2" xfId="12912" xr:uid="{00000000-0005-0000-0000-000072320000}"/>
    <cellStyle name="Comma 3 35" xfId="12913" xr:uid="{00000000-0005-0000-0000-000073320000}"/>
    <cellStyle name="Comma 3 35 2" xfId="12914" xr:uid="{00000000-0005-0000-0000-000074320000}"/>
    <cellStyle name="Comma 3 36" xfId="12915" xr:uid="{00000000-0005-0000-0000-000075320000}"/>
    <cellStyle name="Comma 3 36 2" xfId="12916" xr:uid="{00000000-0005-0000-0000-000076320000}"/>
    <cellStyle name="Comma 3 37" xfId="12917" xr:uid="{00000000-0005-0000-0000-000077320000}"/>
    <cellStyle name="Comma 3 37 2" xfId="12918" xr:uid="{00000000-0005-0000-0000-000078320000}"/>
    <cellStyle name="Comma 3 38" xfId="12919" xr:uid="{00000000-0005-0000-0000-000079320000}"/>
    <cellStyle name="Comma 3 38 2" xfId="12920" xr:uid="{00000000-0005-0000-0000-00007A320000}"/>
    <cellStyle name="Comma 3 39" xfId="12921" xr:uid="{00000000-0005-0000-0000-00007B320000}"/>
    <cellStyle name="Comma 3 39 2" xfId="12922" xr:uid="{00000000-0005-0000-0000-00007C320000}"/>
    <cellStyle name="Comma 3 4" xfId="12923" xr:uid="{00000000-0005-0000-0000-00007D320000}"/>
    <cellStyle name="Comma 3 4 2" xfId="12924" xr:uid="{00000000-0005-0000-0000-00007E320000}"/>
    <cellStyle name="Comma 3 4 2 2" xfId="12925" xr:uid="{00000000-0005-0000-0000-00007F320000}"/>
    <cellStyle name="Comma 3 4 3" xfId="12926" xr:uid="{00000000-0005-0000-0000-000080320000}"/>
    <cellStyle name="Comma 3 4 4" xfId="12927" xr:uid="{00000000-0005-0000-0000-000081320000}"/>
    <cellStyle name="Comma 3 40" xfId="12928" xr:uid="{00000000-0005-0000-0000-000082320000}"/>
    <cellStyle name="Comma 3 40 2" xfId="12929" xr:uid="{00000000-0005-0000-0000-000083320000}"/>
    <cellStyle name="Comma 3 41" xfId="12930" xr:uid="{00000000-0005-0000-0000-000084320000}"/>
    <cellStyle name="Comma 3 41 2" xfId="12931" xr:uid="{00000000-0005-0000-0000-000085320000}"/>
    <cellStyle name="Comma 3 42" xfId="12932" xr:uid="{00000000-0005-0000-0000-000086320000}"/>
    <cellStyle name="Comma 3 42 2" xfId="12933" xr:uid="{00000000-0005-0000-0000-000087320000}"/>
    <cellStyle name="Comma 3 43" xfId="12934" xr:uid="{00000000-0005-0000-0000-000088320000}"/>
    <cellStyle name="Comma 3 43 2" xfId="12935" xr:uid="{00000000-0005-0000-0000-000089320000}"/>
    <cellStyle name="Comma 3 44" xfId="12936" xr:uid="{00000000-0005-0000-0000-00008A320000}"/>
    <cellStyle name="Comma 3 44 2" xfId="12937" xr:uid="{00000000-0005-0000-0000-00008B320000}"/>
    <cellStyle name="Comma 3 45" xfId="12938" xr:uid="{00000000-0005-0000-0000-00008C320000}"/>
    <cellStyle name="Comma 3 45 2" xfId="12939" xr:uid="{00000000-0005-0000-0000-00008D320000}"/>
    <cellStyle name="Comma 3 46" xfId="12940" xr:uid="{00000000-0005-0000-0000-00008E320000}"/>
    <cellStyle name="Comma 3 46 2" xfId="12941" xr:uid="{00000000-0005-0000-0000-00008F320000}"/>
    <cellStyle name="Comma 3 47" xfId="12942" xr:uid="{00000000-0005-0000-0000-000090320000}"/>
    <cellStyle name="Comma 3 47 2" xfId="12943" xr:uid="{00000000-0005-0000-0000-000091320000}"/>
    <cellStyle name="Comma 3 48" xfId="12944" xr:uid="{00000000-0005-0000-0000-000092320000}"/>
    <cellStyle name="Comma 3 48 2" xfId="12945" xr:uid="{00000000-0005-0000-0000-000093320000}"/>
    <cellStyle name="Comma 3 49" xfId="12946" xr:uid="{00000000-0005-0000-0000-000094320000}"/>
    <cellStyle name="Comma 3 49 2" xfId="12947" xr:uid="{00000000-0005-0000-0000-000095320000}"/>
    <cellStyle name="Comma 3 5" xfId="12948" xr:uid="{00000000-0005-0000-0000-000096320000}"/>
    <cellStyle name="Comma 3 5 2" xfId="12949" xr:uid="{00000000-0005-0000-0000-000097320000}"/>
    <cellStyle name="Comma 3 50" xfId="12950" xr:uid="{00000000-0005-0000-0000-000098320000}"/>
    <cellStyle name="Comma 3 50 2" xfId="12951" xr:uid="{00000000-0005-0000-0000-000099320000}"/>
    <cellStyle name="Comma 3 51" xfId="12952" xr:uid="{00000000-0005-0000-0000-00009A320000}"/>
    <cellStyle name="Comma 3 51 2" xfId="12953" xr:uid="{00000000-0005-0000-0000-00009B320000}"/>
    <cellStyle name="Comma 3 52" xfId="12954" xr:uid="{00000000-0005-0000-0000-00009C320000}"/>
    <cellStyle name="Comma 3 52 2" xfId="12955" xr:uid="{00000000-0005-0000-0000-00009D320000}"/>
    <cellStyle name="Comma 3 53" xfId="12956" xr:uid="{00000000-0005-0000-0000-00009E320000}"/>
    <cellStyle name="Comma 3 53 2" xfId="12957" xr:uid="{00000000-0005-0000-0000-00009F320000}"/>
    <cellStyle name="Comma 3 54" xfId="12958" xr:uid="{00000000-0005-0000-0000-0000A0320000}"/>
    <cellStyle name="Comma 3 54 2" xfId="12959" xr:uid="{00000000-0005-0000-0000-0000A1320000}"/>
    <cellStyle name="Comma 3 55" xfId="12960" xr:uid="{00000000-0005-0000-0000-0000A2320000}"/>
    <cellStyle name="Comma 3 55 2" xfId="12961" xr:uid="{00000000-0005-0000-0000-0000A3320000}"/>
    <cellStyle name="Comma 3 56" xfId="12962" xr:uid="{00000000-0005-0000-0000-0000A4320000}"/>
    <cellStyle name="Comma 3 56 2" xfId="12963" xr:uid="{00000000-0005-0000-0000-0000A5320000}"/>
    <cellStyle name="Comma 3 57" xfId="12964" xr:uid="{00000000-0005-0000-0000-0000A6320000}"/>
    <cellStyle name="Comma 3 57 2" xfId="12965" xr:uid="{00000000-0005-0000-0000-0000A7320000}"/>
    <cellStyle name="Comma 3 58" xfId="12966" xr:uid="{00000000-0005-0000-0000-0000A8320000}"/>
    <cellStyle name="Comma 3 58 2" xfId="12967" xr:uid="{00000000-0005-0000-0000-0000A9320000}"/>
    <cellStyle name="Comma 3 59" xfId="12968" xr:uid="{00000000-0005-0000-0000-0000AA320000}"/>
    <cellStyle name="Comma 3 59 2" xfId="12969" xr:uid="{00000000-0005-0000-0000-0000AB320000}"/>
    <cellStyle name="Comma 3 6" xfId="12970" xr:uid="{00000000-0005-0000-0000-0000AC320000}"/>
    <cellStyle name="Comma 3 6 2" xfId="12971" xr:uid="{00000000-0005-0000-0000-0000AD320000}"/>
    <cellStyle name="Comma 3 60" xfId="12972" xr:uid="{00000000-0005-0000-0000-0000AE320000}"/>
    <cellStyle name="Comma 3 60 2" xfId="12973" xr:uid="{00000000-0005-0000-0000-0000AF320000}"/>
    <cellStyle name="Comma 3 61" xfId="12974" xr:uid="{00000000-0005-0000-0000-0000B0320000}"/>
    <cellStyle name="Comma 3 61 2" xfId="12975" xr:uid="{00000000-0005-0000-0000-0000B1320000}"/>
    <cellStyle name="Comma 3 62" xfId="12976" xr:uid="{00000000-0005-0000-0000-0000B2320000}"/>
    <cellStyle name="Comma 3 62 2" xfId="12977" xr:uid="{00000000-0005-0000-0000-0000B3320000}"/>
    <cellStyle name="Comma 3 63" xfId="12978" xr:uid="{00000000-0005-0000-0000-0000B4320000}"/>
    <cellStyle name="Comma 3 63 2" xfId="12979" xr:uid="{00000000-0005-0000-0000-0000B5320000}"/>
    <cellStyle name="Comma 3 64" xfId="12980" xr:uid="{00000000-0005-0000-0000-0000B6320000}"/>
    <cellStyle name="Comma 3 64 2" xfId="12981" xr:uid="{00000000-0005-0000-0000-0000B7320000}"/>
    <cellStyle name="Comma 3 65" xfId="12982" xr:uid="{00000000-0005-0000-0000-0000B8320000}"/>
    <cellStyle name="Comma 3 65 2" xfId="12983" xr:uid="{00000000-0005-0000-0000-0000B9320000}"/>
    <cellStyle name="Comma 3 66" xfId="12984" xr:uid="{00000000-0005-0000-0000-0000BA320000}"/>
    <cellStyle name="Comma 3 66 2" xfId="12985" xr:uid="{00000000-0005-0000-0000-0000BB320000}"/>
    <cellStyle name="Comma 3 67" xfId="12986" xr:uid="{00000000-0005-0000-0000-0000BC320000}"/>
    <cellStyle name="Comma 3 67 2" xfId="12987" xr:uid="{00000000-0005-0000-0000-0000BD320000}"/>
    <cellStyle name="Comma 3 68" xfId="12988" xr:uid="{00000000-0005-0000-0000-0000BE320000}"/>
    <cellStyle name="Comma 3 68 2" xfId="12989" xr:uid="{00000000-0005-0000-0000-0000BF320000}"/>
    <cellStyle name="Comma 3 69" xfId="12990" xr:uid="{00000000-0005-0000-0000-0000C0320000}"/>
    <cellStyle name="Comma 3 69 2" xfId="12991" xr:uid="{00000000-0005-0000-0000-0000C1320000}"/>
    <cellStyle name="Comma 3 7" xfId="12992" xr:uid="{00000000-0005-0000-0000-0000C2320000}"/>
    <cellStyle name="Comma 3 7 2" xfId="12993" xr:uid="{00000000-0005-0000-0000-0000C3320000}"/>
    <cellStyle name="Comma 3 70" xfId="12994" xr:uid="{00000000-0005-0000-0000-0000C4320000}"/>
    <cellStyle name="Comma 3 70 2" xfId="12995" xr:uid="{00000000-0005-0000-0000-0000C5320000}"/>
    <cellStyle name="Comma 3 71" xfId="12996" xr:uid="{00000000-0005-0000-0000-0000C6320000}"/>
    <cellStyle name="Comma 3 71 2" xfId="12997" xr:uid="{00000000-0005-0000-0000-0000C7320000}"/>
    <cellStyle name="Comma 3 72" xfId="12998" xr:uid="{00000000-0005-0000-0000-0000C8320000}"/>
    <cellStyle name="Comma 3 8" xfId="12999" xr:uid="{00000000-0005-0000-0000-0000C9320000}"/>
    <cellStyle name="Comma 3 8 2" xfId="13000" xr:uid="{00000000-0005-0000-0000-0000CA320000}"/>
    <cellStyle name="Comma 3 9" xfId="13001" xr:uid="{00000000-0005-0000-0000-0000CB320000}"/>
    <cellStyle name="Comma 3 9 2" xfId="13002" xr:uid="{00000000-0005-0000-0000-0000CC320000}"/>
    <cellStyle name="Comma 4" xfId="13003" xr:uid="{00000000-0005-0000-0000-0000CD320000}"/>
    <cellStyle name="Comma 4 2" xfId="13004" xr:uid="{00000000-0005-0000-0000-0000CE320000}"/>
    <cellStyle name="Comma 4 2 2" xfId="13005" xr:uid="{00000000-0005-0000-0000-0000CF320000}"/>
    <cellStyle name="Comma 4 2 2 2" xfId="13006" xr:uid="{00000000-0005-0000-0000-0000D0320000}"/>
    <cellStyle name="Comma 4 2 2 2 2" xfId="13007" xr:uid="{00000000-0005-0000-0000-0000D1320000}"/>
    <cellStyle name="Comma 4 2 2 3" xfId="13008" xr:uid="{00000000-0005-0000-0000-0000D2320000}"/>
    <cellStyle name="Comma 4 2 3" xfId="13009" xr:uid="{00000000-0005-0000-0000-0000D3320000}"/>
    <cellStyle name="Comma 4 2 3 2" xfId="13010" xr:uid="{00000000-0005-0000-0000-0000D4320000}"/>
    <cellStyle name="Comma 4 2 4" xfId="13011" xr:uid="{00000000-0005-0000-0000-0000D5320000}"/>
    <cellStyle name="Comma 4 3" xfId="13012" xr:uid="{00000000-0005-0000-0000-0000D6320000}"/>
    <cellStyle name="Comma 4 3 2" xfId="13013" xr:uid="{00000000-0005-0000-0000-0000D7320000}"/>
    <cellStyle name="Comma 4 3 2 2" xfId="13014" xr:uid="{00000000-0005-0000-0000-0000D8320000}"/>
    <cellStyle name="Comma 4 3 3" xfId="13015" xr:uid="{00000000-0005-0000-0000-0000D9320000}"/>
    <cellStyle name="Comma 4 4" xfId="13016" xr:uid="{00000000-0005-0000-0000-0000DA320000}"/>
    <cellStyle name="Comma 4 4 2" xfId="13017" xr:uid="{00000000-0005-0000-0000-0000DB320000}"/>
    <cellStyle name="Comma 4 5" xfId="13018" xr:uid="{00000000-0005-0000-0000-0000DC320000}"/>
    <cellStyle name="Comma 4 6" xfId="13019" xr:uid="{00000000-0005-0000-0000-0000DD320000}"/>
    <cellStyle name="Comma 4 7" xfId="13020" xr:uid="{00000000-0005-0000-0000-0000DE320000}"/>
    <cellStyle name="Comma 5" xfId="13021" xr:uid="{00000000-0005-0000-0000-0000DF320000}"/>
    <cellStyle name="Comma 5 2" xfId="13022" xr:uid="{00000000-0005-0000-0000-0000E0320000}"/>
    <cellStyle name="Comma 5 2 2" xfId="13023" xr:uid="{00000000-0005-0000-0000-0000E1320000}"/>
    <cellStyle name="Comma 5 3" xfId="13024" xr:uid="{00000000-0005-0000-0000-0000E2320000}"/>
    <cellStyle name="Comma 5 4" xfId="13025" xr:uid="{00000000-0005-0000-0000-0000E3320000}"/>
    <cellStyle name="Comma 5 5" xfId="13026" xr:uid="{00000000-0005-0000-0000-0000E4320000}"/>
    <cellStyle name="Comma 5 6" xfId="13027" xr:uid="{00000000-0005-0000-0000-0000E5320000}"/>
    <cellStyle name="Comma 5 7" xfId="13028" xr:uid="{00000000-0005-0000-0000-0000E6320000}"/>
    <cellStyle name="Comma 5 8" xfId="13029" xr:uid="{00000000-0005-0000-0000-0000E7320000}"/>
    <cellStyle name="Comma 6" xfId="13030" xr:uid="{00000000-0005-0000-0000-0000E8320000}"/>
    <cellStyle name="Comma 6 2" xfId="13031" xr:uid="{00000000-0005-0000-0000-0000E9320000}"/>
    <cellStyle name="Comma 7" xfId="13032" xr:uid="{00000000-0005-0000-0000-0000EA320000}"/>
    <cellStyle name="Comma 7 2" xfId="13033" xr:uid="{00000000-0005-0000-0000-0000EB320000}"/>
    <cellStyle name="Comma 8" xfId="13034" xr:uid="{00000000-0005-0000-0000-0000EC320000}"/>
    <cellStyle name="Comma 8 2" xfId="13035" xr:uid="{00000000-0005-0000-0000-0000ED320000}"/>
    <cellStyle name="Comma 8 2 2" xfId="13036" xr:uid="{00000000-0005-0000-0000-0000EE320000}"/>
    <cellStyle name="Comma 8 2 3" xfId="13037" xr:uid="{00000000-0005-0000-0000-0000EF320000}"/>
    <cellStyle name="Comma 8 3" xfId="13038" xr:uid="{00000000-0005-0000-0000-0000F0320000}"/>
    <cellStyle name="Comma 8 4" xfId="13039" xr:uid="{00000000-0005-0000-0000-0000F1320000}"/>
    <cellStyle name="Comma 8 5" xfId="13040" xr:uid="{00000000-0005-0000-0000-0000F2320000}"/>
    <cellStyle name="Comma 9" xfId="13041" xr:uid="{00000000-0005-0000-0000-0000F3320000}"/>
    <cellStyle name="Comma 9 2" xfId="13042" xr:uid="{00000000-0005-0000-0000-0000F4320000}"/>
    <cellStyle name="Comma0" xfId="13043" xr:uid="{00000000-0005-0000-0000-0000F5320000}"/>
    <cellStyle name="Comma0 - Modelo1" xfId="13044" xr:uid="{00000000-0005-0000-0000-0000F6320000}"/>
    <cellStyle name="Comma0 - Modelo1 2" xfId="13045" xr:uid="{00000000-0005-0000-0000-0000F7320000}"/>
    <cellStyle name="Comma0 - Modelo1 2 2" xfId="13046" xr:uid="{00000000-0005-0000-0000-0000F8320000}"/>
    <cellStyle name="Comma0 - Modelo1 2 2 2" xfId="13047" xr:uid="{00000000-0005-0000-0000-0000F9320000}"/>
    <cellStyle name="Comma0 - Modelo1 2 3" xfId="13048" xr:uid="{00000000-0005-0000-0000-0000FA320000}"/>
    <cellStyle name="Comma0 - Modelo1 3" xfId="13049" xr:uid="{00000000-0005-0000-0000-0000FB320000}"/>
    <cellStyle name="Comma0 - Modelo1 3 2" xfId="13050" xr:uid="{00000000-0005-0000-0000-0000FC320000}"/>
    <cellStyle name="Comma0 - Modelo1 4" xfId="13051" xr:uid="{00000000-0005-0000-0000-0000FD320000}"/>
    <cellStyle name="Comma0 - Modelo1 4 2" xfId="13052" xr:uid="{00000000-0005-0000-0000-0000FE320000}"/>
    <cellStyle name="Comma0 - Modelo1 5" xfId="13053" xr:uid="{00000000-0005-0000-0000-0000FF320000}"/>
    <cellStyle name="Comma0 - Modelo1 5 2" xfId="13054" xr:uid="{00000000-0005-0000-0000-000000330000}"/>
    <cellStyle name="Comma0 - Modelo1 6" xfId="13055" xr:uid="{00000000-0005-0000-0000-000001330000}"/>
    <cellStyle name="Comma0 - Modelo1 6 2" xfId="13056" xr:uid="{00000000-0005-0000-0000-000002330000}"/>
    <cellStyle name="Comma0 - Modelo1 7" xfId="13057" xr:uid="{00000000-0005-0000-0000-000003330000}"/>
    <cellStyle name="Comma0 - Modelo1 7 2" xfId="13058" xr:uid="{00000000-0005-0000-0000-000004330000}"/>
    <cellStyle name="Comma0 - Modelo1 8" xfId="13059" xr:uid="{00000000-0005-0000-0000-000005330000}"/>
    <cellStyle name="Comma0 - Style1" xfId="13060" xr:uid="{00000000-0005-0000-0000-000006330000}"/>
    <cellStyle name="Comma0 - Style1 2" xfId="13061" xr:uid="{00000000-0005-0000-0000-000007330000}"/>
    <cellStyle name="Comma0 - Style1 2 2" xfId="13062" xr:uid="{00000000-0005-0000-0000-000008330000}"/>
    <cellStyle name="Comma0 - Style1 2 2 2" xfId="13063" xr:uid="{00000000-0005-0000-0000-000009330000}"/>
    <cellStyle name="Comma0 - Style1 2 3" xfId="13064" xr:uid="{00000000-0005-0000-0000-00000A330000}"/>
    <cellStyle name="Comma0 - Style1 3" xfId="13065" xr:uid="{00000000-0005-0000-0000-00000B330000}"/>
    <cellStyle name="Comma0 - Style1 3 2" xfId="13066" xr:uid="{00000000-0005-0000-0000-00000C330000}"/>
    <cellStyle name="Comma0 - Style1 4" xfId="13067" xr:uid="{00000000-0005-0000-0000-00000D330000}"/>
    <cellStyle name="Comma0 - Style1 4 2" xfId="13068" xr:uid="{00000000-0005-0000-0000-00000E330000}"/>
    <cellStyle name="Comma0 - Style1 5" xfId="13069" xr:uid="{00000000-0005-0000-0000-00000F330000}"/>
    <cellStyle name="Comma0 - Style1 5 2" xfId="13070" xr:uid="{00000000-0005-0000-0000-000010330000}"/>
    <cellStyle name="Comma0 - Style1 6" xfId="13071" xr:uid="{00000000-0005-0000-0000-000011330000}"/>
    <cellStyle name="Comma0 - Style1 6 2" xfId="13072" xr:uid="{00000000-0005-0000-0000-000012330000}"/>
    <cellStyle name="Comma0 - Style1 7" xfId="13073" xr:uid="{00000000-0005-0000-0000-000013330000}"/>
    <cellStyle name="Comma0 - Style1 7 2" xfId="13074" xr:uid="{00000000-0005-0000-0000-000014330000}"/>
    <cellStyle name="Comma0 - Style1 8" xfId="13075" xr:uid="{00000000-0005-0000-0000-000015330000}"/>
    <cellStyle name="Comma0 - Style3" xfId="13076" xr:uid="{00000000-0005-0000-0000-000016330000}"/>
    <cellStyle name="Comma0 2" xfId="13077" xr:uid="{00000000-0005-0000-0000-000017330000}"/>
    <cellStyle name="Comma0 3" xfId="13078" xr:uid="{00000000-0005-0000-0000-000018330000}"/>
    <cellStyle name="Comma1 - Modelo2" xfId="13079" xr:uid="{00000000-0005-0000-0000-000019330000}"/>
    <cellStyle name="Comma1 - Modelo2 2" xfId="13080" xr:uid="{00000000-0005-0000-0000-00001A330000}"/>
    <cellStyle name="Comma1 - Modelo2 2 2" xfId="13081" xr:uid="{00000000-0005-0000-0000-00001B330000}"/>
    <cellStyle name="Comma1 - Modelo2 2 2 2" xfId="13082" xr:uid="{00000000-0005-0000-0000-00001C330000}"/>
    <cellStyle name="Comma1 - Modelo2 2 3" xfId="13083" xr:uid="{00000000-0005-0000-0000-00001D330000}"/>
    <cellStyle name="Comma1 - Modelo2 3" xfId="13084" xr:uid="{00000000-0005-0000-0000-00001E330000}"/>
    <cellStyle name="Comma1 - Modelo2 3 2" xfId="13085" xr:uid="{00000000-0005-0000-0000-00001F330000}"/>
    <cellStyle name="Comma1 - Modelo2 4" xfId="13086" xr:uid="{00000000-0005-0000-0000-000020330000}"/>
    <cellStyle name="Comma1 - Modelo2 4 2" xfId="13087" xr:uid="{00000000-0005-0000-0000-000021330000}"/>
    <cellStyle name="Comma1 - Modelo2 5" xfId="13088" xr:uid="{00000000-0005-0000-0000-000022330000}"/>
    <cellStyle name="Comma1 - Modelo2 5 2" xfId="13089" xr:uid="{00000000-0005-0000-0000-000023330000}"/>
    <cellStyle name="Comma1 - Modelo2 6" xfId="13090" xr:uid="{00000000-0005-0000-0000-000024330000}"/>
    <cellStyle name="Comma1 - Modelo2 6 2" xfId="13091" xr:uid="{00000000-0005-0000-0000-000025330000}"/>
    <cellStyle name="Comma1 - Modelo2 7" xfId="13092" xr:uid="{00000000-0005-0000-0000-000026330000}"/>
    <cellStyle name="Comma1 - Modelo2 7 2" xfId="13093" xr:uid="{00000000-0005-0000-0000-000027330000}"/>
    <cellStyle name="Comma1 - Modelo2 8" xfId="13094" xr:uid="{00000000-0005-0000-0000-000028330000}"/>
    <cellStyle name="Comma1 - Style1" xfId="13095" xr:uid="{00000000-0005-0000-0000-000029330000}"/>
    <cellStyle name="Comma1 - Style2" xfId="13096" xr:uid="{00000000-0005-0000-0000-00002A330000}"/>
    <cellStyle name="Comma1 - Style2 2" xfId="13097" xr:uid="{00000000-0005-0000-0000-00002B330000}"/>
    <cellStyle name="Comma1 - Style2 2 2" xfId="13098" xr:uid="{00000000-0005-0000-0000-00002C330000}"/>
    <cellStyle name="Comma1 - Style2 2 2 2" xfId="13099" xr:uid="{00000000-0005-0000-0000-00002D330000}"/>
    <cellStyle name="Comma1 - Style2 2 3" xfId="13100" xr:uid="{00000000-0005-0000-0000-00002E330000}"/>
    <cellStyle name="Comma1 - Style2 3" xfId="13101" xr:uid="{00000000-0005-0000-0000-00002F330000}"/>
    <cellStyle name="Comma1 - Style2 3 2" xfId="13102" xr:uid="{00000000-0005-0000-0000-000030330000}"/>
    <cellStyle name="Comma1 - Style2 4" xfId="13103" xr:uid="{00000000-0005-0000-0000-000031330000}"/>
    <cellStyle name="Comma1 - Style2 4 2" xfId="13104" xr:uid="{00000000-0005-0000-0000-000032330000}"/>
    <cellStyle name="Comma1 - Style2 5" xfId="13105" xr:uid="{00000000-0005-0000-0000-000033330000}"/>
    <cellStyle name="Comma1 - Style2 5 2" xfId="13106" xr:uid="{00000000-0005-0000-0000-000034330000}"/>
    <cellStyle name="Comma1 - Style2 6" xfId="13107" xr:uid="{00000000-0005-0000-0000-000035330000}"/>
    <cellStyle name="Comma1 - Style2 6 2" xfId="13108" xr:uid="{00000000-0005-0000-0000-000036330000}"/>
    <cellStyle name="Comma1 - Style2 7" xfId="13109" xr:uid="{00000000-0005-0000-0000-000037330000}"/>
    <cellStyle name="Comma1 - Style2 7 2" xfId="13110" xr:uid="{00000000-0005-0000-0000-000038330000}"/>
    <cellStyle name="Comma1 - Style2 8" xfId="13111" xr:uid="{00000000-0005-0000-0000-000039330000}"/>
    <cellStyle name="Commentaire" xfId="13112" xr:uid="{00000000-0005-0000-0000-00003A330000}"/>
    <cellStyle name="Commentaire 10" xfId="13113" xr:uid="{00000000-0005-0000-0000-00003B330000}"/>
    <cellStyle name="Commentaire 11" xfId="13114" xr:uid="{00000000-0005-0000-0000-00003C330000}"/>
    <cellStyle name="Commentaire 12" xfId="13115" xr:uid="{00000000-0005-0000-0000-00003D330000}"/>
    <cellStyle name="Commentaire 13" xfId="13116" xr:uid="{00000000-0005-0000-0000-00003E330000}"/>
    <cellStyle name="Commentaire 14" xfId="13117" xr:uid="{00000000-0005-0000-0000-00003F330000}"/>
    <cellStyle name="Commentaire 15" xfId="13118" xr:uid="{00000000-0005-0000-0000-000040330000}"/>
    <cellStyle name="Commentaire 16" xfId="13119" xr:uid="{00000000-0005-0000-0000-000041330000}"/>
    <cellStyle name="Commentaire 17" xfId="13120" xr:uid="{00000000-0005-0000-0000-000042330000}"/>
    <cellStyle name="Commentaire 18" xfId="13121" xr:uid="{00000000-0005-0000-0000-000043330000}"/>
    <cellStyle name="Commentaire 19" xfId="13122" xr:uid="{00000000-0005-0000-0000-000044330000}"/>
    <cellStyle name="Commentaire 2" xfId="13123" xr:uid="{00000000-0005-0000-0000-000045330000}"/>
    <cellStyle name="Commentaire 2 10" xfId="13124" xr:uid="{00000000-0005-0000-0000-000046330000}"/>
    <cellStyle name="Commentaire 2 11" xfId="13125" xr:uid="{00000000-0005-0000-0000-000047330000}"/>
    <cellStyle name="Commentaire 2 12" xfId="13126" xr:uid="{00000000-0005-0000-0000-000048330000}"/>
    <cellStyle name="Commentaire 2 13" xfId="13127" xr:uid="{00000000-0005-0000-0000-000049330000}"/>
    <cellStyle name="Commentaire 2 14" xfId="13128" xr:uid="{00000000-0005-0000-0000-00004A330000}"/>
    <cellStyle name="Commentaire 2 15" xfId="13129" xr:uid="{00000000-0005-0000-0000-00004B330000}"/>
    <cellStyle name="Commentaire 2 16" xfId="13130" xr:uid="{00000000-0005-0000-0000-00004C330000}"/>
    <cellStyle name="Commentaire 2 17" xfId="13131" xr:uid="{00000000-0005-0000-0000-00004D330000}"/>
    <cellStyle name="Commentaire 2 18" xfId="13132" xr:uid="{00000000-0005-0000-0000-00004E330000}"/>
    <cellStyle name="Commentaire 2 19" xfId="13133" xr:uid="{00000000-0005-0000-0000-00004F330000}"/>
    <cellStyle name="Commentaire 2 2" xfId="13134" xr:uid="{00000000-0005-0000-0000-000050330000}"/>
    <cellStyle name="Commentaire 2 2 10" xfId="13135" xr:uid="{00000000-0005-0000-0000-000051330000}"/>
    <cellStyle name="Commentaire 2 2 11" xfId="13136" xr:uid="{00000000-0005-0000-0000-000052330000}"/>
    <cellStyle name="Commentaire 2 2 12" xfId="13137" xr:uid="{00000000-0005-0000-0000-000053330000}"/>
    <cellStyle name="Commentaire 2 2 13" xfId="13138" xr:uid="{00000000-0005-0000-0000-000054330000}"/>
    <cellStyle name="Commentaire 2 2 14" xfId="13139" xr:uid="{00000000-0005-0000-0000-000055330000}"/>
    <cellStyle name="Commentaire 2 2 15" xfId="13140" xr:uid="{00000000-0005-0000-0000-000056330000}"/>
    <cellStyle name="Commentaire 2 2 16" xfId="13141" xr:uid="{00000000-0005-0000-0000-000057330000}"/>
    <cellStyle name="Commentaire 2 2 17" xfId="13142" xr:uid="{00000000-0005-0000-0000-000058330000}"/>
    <cellStyle name="Commentaire 2 2 18" xfId="13143" xr:uid="{00000000-0005-0000-0000-000059330000}"/>
    <cellStyle name="Commentaire 2 2 19" xfId="13144" xr:uid="{00000000-0005-0000-0000-00005A330000}"/>
    <cellStyle name="Commentaire 2 2 2" xfId="13145" xr:uid="{00000000-0005-0000-0000-00005B330000}"/>
    <cellStyle name="Commentaire 2 2 2 2" xfId="13146" xr:uid="{00000000-0005-0000-0000-00005C330000}"/>
    <cellStyle name="Commentaire 2 2 2 2 2" xfId="13147" xr:uid="{00000000-0005-0000-0000-00005D330000}"/>
    <cellStyle name="Commentaire 2 2 2 2 3" xfId="13148" xr:uid="{00000000-0005-0000-0000-00005E330000}"/>
    <cellStyle name="Commentaire 2 2 2 3" xfId="13149" xr:uid="{00000000-0005-0000-0000-00005F330000}"/>
    <cellStyle name="Commentaire 2 2 2 3 2" xfId="13150" xr:uid="{00000000-0005-0000-0000-000060330000}"/>
    <cellStyle name="Commentaire 2 2 2 3 3" xfId="13151" xr:uid="{00000000-0005-0000-0000-000061330000}"/>
    <cellStyle name="Commentaire 2 2 2 4" xfId="13152" xr:uid="{00000000-0005-0000-0000-000062330000}"/>
    <cellStyle name="Commentaire 2 2 2 5" xfId="13153" xr:uid="{00000000-0005-0000-0000-000063330000}"/>
    <cellStyle name="Commentaire 2 2 20" xfId="13154" xr:uid="{00000000-0005-0000-0000-000064330000}"/>
    <cellStyle name="Commentaire 2 2 21" xfId="13155" xr:uid="{00000000-0005-0000-0000-000065330000}"/>
    <cellStyle name="Commentaire 2 2 22" xfId="13156" xr:uid="{00000000-0005-0000-0000-000066330000}"/>
    <cellStyle name="Commentaire 2 2 23" xfId="13157" xr:uid="{00000000-0005-0000-0000-000067330000}"/>
    <cellStyle name="Commentaire 2 2 24" xfId="13158" xr:uid="{00000000-0005-0000-0000-000068330000}"/>
    <cellStyle name="Commentaire 2 2 25" xfId="13159" xr:uid="{00000000-0005-0000-0000-000069330000}"/>
    <cellStyle name="Commentaire 2 2 26" xfId="13160" xr:uid="{00000000-0005-0000-0000-00006A330000}"/>
    <cellStyle name="Commentaire 2 2 27" xfId="13161" xr:uid="{00000000-0005-0000-0000-00006B330000}"/>
    <cellStyle name="Commentaire 2 2 28" xfId="13162" xr:uid="{00000000-0005-0000-0000-00006C330000}"/>
    <cellStyle name="Commentaire 2 2 29" xfId="13163" xr:uid="{00000000-0005-0000-0000-00006D330000}"/>
    <cellStyle name="Commentaire 2 2 3" xfId="13164" xr:uid="{00000000-0005-0000-0000-00006E330000}"/>
    <cellStyle name="Commentaire 2 2 3 2" xfId="13165" xr:uid="{00000000-0005-0000-0000-00006F330000}"/>
    <cellStyle name="Commentaire 2 2 3 2 2" xfId="13166" xr:uid="{00000000-0005-0000-0000-000070330000}"/>
    <cellStyle name="Commentaire 2 2 3 2 3" xfId="13167" xr:uid="{00000000-0005-0000-0000-000071330000}"/>
    <cellStyle name="Commentaire 2 2 3 3" xfId="13168" xr:uid="{00000000-0005-0000-0000-000072330000}"/>
    <cellStyle name="Commentaire 2 2 3 3 2" xfId="13169" xr:uid="{00000000-0005-0000-0000-000073330000}"/>
    <cellStyle name="Commentaire 2 2 3 3 3" xfId="13170" xr:uid="{00000000-0005-0000-0000-000074330000}"/>
    <cellStyle name="Commentaire 2 2 3 4" xfId="13171" xr:uid="{00000000-0005-0000-0000-000075330000}"/>
    <cellStyle name="Commentaire 2 2 3 5" xfId="13172" xr:uid="{00000000-0005-0000-0000-000076330000}"/>
    <cellStyle name="Commentaire 2 2 30" xfId="13173" xr:uid="{00000000-0005-0000-0000-000077330000}"/>
    <cellStyle name="Commentaire 2 2 31" xfId="13174" xr:uid="{00000000-0005-0000-0000-000078330000}"/>
    <cellStyle name="Commentaire 2 2 32" xfId="13175" xr:uid="{00000000-0005-0000-0000-000079330000}"/>
    <cellStyle name="Commentaire 2 2 33" xfId="13176" xr:uid="{00000000-0005-0000-0000-00007A330000}"/>
    <cellStyle name="Commentaire 2 2 34" xfId="13177" xr:uid="{00000000-0005-0000-0000-00007B330000}"/>
    <cellStyle name="Commentaire 2 2 4" xfId="13178" xr:uid="{00000000-0005-0000-0000-00007C330000}"/>
    <cellStyle name="Commentaire 2 2 4 2" xfId="13179" xr:uid="{00000000-0005-0000-0000-00007D330000}"/>
    <cellStyle name="Commentaire 2 2 4 3" xfId="13180" xr:uid="{00000000-0005-0000-0000-00007E330000}"/>
    <cellStyle name="Commentaire 2 2 5" xfId="13181" xr:uid="{00000000-0005-0000-0000-00007F330000}"/>
    <cellStyle name="Commentaire 2 2 5 2" xfId="13182" xr:uid="{00000000-0005-0000-0000-000080330000}"/>
    <cellStyle name="Commentaire 2 2 5 3" xfId="13183" xr:uid="{00000000-0005-0000-0000-000081330000}"/>
    <cellStyle name="Commentaire 2 2 6" xfId="13184" xr:uid="{00000000-0005-0000-0000-000082330000}"/>
    <cellStyle name="Commentaire 2 2 7" xfId="13185" xr:uid="{00000000-0005-0000-0000-000083330000}"/>
    <cellStyle name="Commentaire 2 2 8" xfId="13186" xr:uid="{00000000-0005-0000-0000-000084330000}"/>
    <cellStyle name="Commentaire 2 2 9" xfId="13187" xr:uid="{00000000-0005-0000-0000-000085330000}"/>
    <cellStyle name="Commentaire 2 20" xfId="13188" xr:uid="{00000000-0005-0000-0000-000086330000}"/>
    <cellStyle name="Commentaire 2 21" xfId="13189" xr:uid="{00000000-0005-0000-0000-000087330000}"/>
    <cellStyle name="Commentaire 2 22" xfId="13190" xr:uid="{00000000-0005-0000-0000-000088330000}"/>
    <cellStyle name="Commentaire 2 23" xfId="13191" xr:uid="{00000000-0005-0000-0000-000089330000}"/>
    <cellStyle name="Commentaire 2 3" xfId="13192" xr:uid="{00000000-0005-0000-0000-00008A330000}"/>
    <cellStyle name="Commentaire 2 3 2" xfId="13193" xr:uid="{00000000-0005-0000-0000-00008B330000}"/>
    <cellStyle name="Commentaire 2 3 3" xfId="13194" xr:uid="{00000000-0005-0000-0000-00008C330000}"/>
    <cellStyle name="Commentaire 2 4" xfId="13195" xr:uid="{00000000-0005-0000-0000-00008D330000}"/>
    <cellStyle name="Commentaire 2 4 2" xfId="13196" xr:uid="{00000000-0005-0000-0000-00008E330000}"/>
    <cellStyle name="Commentaire 2 4 3" xfId="13197" xr:uid="{00000000-0005-0000-0000-00008F330000}"/>
    <cellStyle name="Commentaire 2 5" xfId="13198" xr:uid="{00000000-0005-0000-0000-000090330000}"/>
    <cellStyle name="Commentaire 2 6" xfId="13199" xr:uid="{00000000-0005-0000-0000-000091330000}"/>
    <cellStyle name="Commentaire 2 7" xfId="13200" xr:uid="{00000000-0005-0000-0000-000092330000}"/>
    <cellStyle name="Commentaire 2 8" xfId="13201" xr:uid="{00000000-0005-0000-0000-000093330000}"/>
    <cellStyle name="Commentaire 2 9" xfId="13202" xr:uid="{00000000-0005-0000-0000-000094330000}"/>
    <cellStyle name="Commentaire 20" xfId="13203" xr:uid="{00000000-0005-0000-0000-000095330000}"/>
    <cellStyle name="Commentaire 21" xfId="13204" xr:uid="{00000000-0005-0000-0000-000096330000}"/>
    <cellStyle name="Commentaire 22" xfId="13205" xr:uid="{00000000-0005-0000-0000-000097330000}"/>
    <cellStyle name="Commentaire 23" xfId="13206" xr:uid="{00000000-0005-0000-0000-000098330000}"/>
    <cellStyle name="Commentaire 24" xfId="13207" xr:uid="{00000000-0005-0000-0000-000099330000}"/>
    <cellStyle name="Commentaire 3" xfId="13208" xr:uid="{00000000-0005-0000-0000-00009A330000}"/>
    <cellStyle name="Commentaire 3 10" xfId="13209" xr:uid="{00000000-0005-0000-0000-00009B330000}"/>
    <cellStyle name="Commentaire 3 11" xfId="13210" xr:uid="{00000000-0005-0000-0000-00009C330000}"/>
    <cellStyle name="Commentaire 3 12" xfId="13211" xr:uid="{00000000-0005-0000-0000-00009D330000}"/>
    <cellStyle name="Commentaire 3 13" xfId="13212" xr:uid="{00000000-0005-0000-0000-00009E330000}"/>
    <cellStyle name="Commentaire 3 14" xfId="13213" xr:uid="{00000000-0005-0000-0000-00009F330000}"/>
    <cellStyle name="Commentaire 3 15" xfId="13214" xr:uid="{00000000-0005-0000-0000-0000A0330000}"/>
    <cellStyle name="Commentaire 3 16" xfId="13215" xr:uid="{00000000-0005-0000-0000-0000A1330000}"/>
    <cellStyle name="Commentaire 3 17" xfId="13216" xr:uid="{00000000-0005-0000-0000-0000A2330000}"/>
    <cellStyle name="Commentaire 3 18" xfId="13217" xr:uid="{00000000-0005-0000-0000-0000A3330000}"/>
    <cellStyle name="Commentaire 3 19" xfId="13218" xr:uid="{00000000-0005-0000-0000-0000A4330000}"/>
    <cellStyle name="Commentaire 3 2" xfId="13219" xr:uid="{00000000-0005-0000-0000-0000A5330000}"/>
    <cellStyle name="Commentaire 3 2 2" xfId="13220" xr:uid="{00000000-0005-0000-0000-0000A6330000}"/>
    <cellStyle name="Commentaire 3 2 2 2" xfId="13221" xr:uid="{00000000-0005-0000-0000-0000A7330000}"/>
    <cellStyle name="Commentaire 3 2 2 3" xfId="13222" xr:uid="{00000000-0005-0000-0000-0000A8330000}"/>
    <cellStyle name="Commentaire 3 2 3" xfId="13223" xr:uid="{00000000-0005-0000-0000-0000A9330000}"/>
    <cellStyle name="Commentaire 3 2 3 2" xfId="13224" xr:uid="{00000000-0005-0000-0000-0000AA330000}"/>
    <cellStyle name="Commentaire 3 2 3 3" xfId="13225" xr:uid="{00000000-0005-0000-0000-0000AB330000}"/>
    <cellStyle name="Commentaire 3 2 4" xfId="13226" xr:uid="{00000000-0005-0000-0000-0000AC330000}"/>
    <cellStyle name="Commentaire 3 2 5" xfId="13227" xr:uid="{00000000-0005-0000-0000-0000AD330000}"/>
    <cellStyle name="Commentaire 3 20" xfId="13228" xr:uid="{00000000-0005-0000-0000-0000AE330000}"/>
    <cellStyle name="Commentaire 3 21" xfId="13229" xr:uid="{00000000-0005-0000-0000-0000AF330000}"/>
    <cellStyle name="Commentaire 3 22" xfId="13230" xr:uid="{00000000-0005-0000-0000-0000B0330000}"/>
    <cellStyle name="Commentaire 3 23" xfId="13231" xr:uid="{00000000-0005-0000-0000-0000B1330000}"/>
    <cellStyle name="Commentaire 3 24" xfId="13232" xr:uid="{00000000-0005-0000-0000-0000B2330000}"/>
    <cellStyle name="Commentaire 3 25" xfId="13233" xr:uid="{00000000-0005-0000-0000-0000B3330000}"/>
    <cellStyle name="Commentaire 3 26" xfId="13234" xr:uid="{00000000-0005-0000-0000-0000B4330000}"/>
    <cellStyle name="Commentaire 3 27" xfId="13235" xr:uid="{00000000-0005-0000-0000-0000B5330000}"/>
    <cellStyle name="Commentaire 3 28" xfId="13236" xr:uid="{00000000-0005-0000-0000-0000B6330000}"/>
    <cellStyle name="Commentaire 3 29" xfId="13237" xr:uid="{00000000-0005-0000-0000-0000B7330000}"/>
    <cellStyle name="Commentaire 3 3" xfId="13238" xr:uid="{00000000-0005-0000-0000-0000B8330000}"/>
    <cellStyle name="Commentaire 3 3 2" xfId="13239" xr:uid="{00000000-0005-0000-0000-0000B9330000}"/>
    <cellStyle name="Commentaire 3 3 2 2" xfId="13240" xr:uid="{00000000-0005-0000-0000-0000BA330000}"/>
    <cellStyle name="Commentaire 3 3 2 3" xfId="13241" xr:uid="{00000000-0005-0000-0000-0000BB330000}"/>
    <cellStyle name="Commentaire 3 3 3" xfId="13242" xr:uid="{00000000-0005-0000-0000-0000BC330000}"/>
    <cellStyle name="Commentaire 3 3 3 2" xfId="13243" xr:uid="{00000000-0005-0000-0000-0000BD330000}"/>
    <cellStyle name="Commentaire 3 3 3 3" xfId="13244" xr:uid="{00000000-0005-0000-0000-0000BE330000}"/>
    <cellStyle name="Commentaire 3 3 4" xfId="13245" xr:uid="{00000000-0005-0000-0000-0000BF330000}"/>
    <cellStyle name="Commentaire 3 3 5" xfId="13246" xr:uid="{00000000-0005-0000-0000-0000C0330000}"/>
    <cellStyle name="Commentaire 3 30" xfId="13247" xr:uid="{00000000-0005-0000-0000-0000C1330000}"/>
    <cellStyle name="Commentaire 3 31" xfId="13248" xr:uid="{00000000-0005-0000-0000-0000C2330000}"/>
    <cellStyle name="Commentaire 3 32" xfId="13249" xr:uid="{00000000-0005-0000-0000-0000C3330000}"/>
    <cellStyle name="Commentaire 3 33" xfId="13250" xr:uid="{00000000-0005-0000-0000-0000C4330000}"/>
    <cellStyle name="Commentaire 3 34" xfId="13251" xr:uid="{00000000-0005-0000-0000-0000C5330000}"/>
    <cellStyle name="Commentaire 3 4" xfId="13252" xr:uid="{00000000-0005-0000-0000-0000C6330000}"/>
    <cellStyle name="Commentaire 3 4 2" xfId="13253" xr:uid="{00000000-0005-0000-0000-0000C7330000}"/>
    <cellStyle name="Commentaire 3 4 3" xfId="13254" xr:uid="{00000000-0005-0000-0000-0000C8330000}"/>
    <cellStyle name="Commentaire 3 5" xfId="13255" xr:uid="{00000000-0005-0000-0000-0000C9330000}"/>
    <cellStyle name="Commentaire 3 5 2" xfId="13256" xr:uid="{00000000-0005-0000-0000-0000CA330000}"/>
    <cellStyle name="Commentaire 3 5 3" xfId="13257" xr:uid="{00000000-0005-0000-0000-0000CB330000}"/>
    <cellStyle name="Commentaire 3 6" xfId="13258" xr:uid="{00000000-0005-0000-0000-0000CC330000}"/>
    <cellStyle name="Commentaire 3 7" xfId="13259" xr:uid="{00000000-0005-0000-0000-0000CD330000}"/>
    <cellStyle name="Commentaire 3 8" xfId="13260" xr:uid="{00000000-0005-0000-0000-0000CE330000}"/>
    <cellStyle name="Commentaire 3 9" xfId="13261" xr:uid="{00000000-0005-0000-0000-0000CF330000}"/>
    <cellStyle name="Commentaire 4" xfId="13262" xr:uid="{00000000-0005-0000-0000-0000D0330000}"/>
    <cellStyle name="Commentaire 4 2" xfId="13263" xr:uid="{00000000-0005-0000-0000-0000D1330000}"/>
    <cellStyle name="Commentaire 4 3" xfId="13264" xr:uid="{00000000-0005-0000-0000-0000D2330000}"/>
    <cellStyle name="Commentaire 5" xfId="13265" xr:uid="{00000000-0005-0000-0000-0000D3330000}"/>
    <cellStyle name="Commentaire 5 2" xfId="13266" xr:uid="{00000000-0005-0000-0000-0000D4330000}"/>
    <cellStyle name="Commentaire 5 3" xfId="13267" xr:uid="{00000000-0005-0000-0000-0000D5330000}"/>
    <cellStyle name="Commentaire 6" xfId="13268" xr:uid="{00000000-0005-0000-0000-0000D6330000}"/>
    <cellStyle name="Commentaire 7" xfId="13269" xr:uid="{00000000-0005-0000-0000-0000D7330000}"/>
    <cellStyle name="Commentaire 8" xfId="13270" xr:uid="{00000000-0005-0000-0000-0000D8330000}"/>
    <cellStyle name="Commentaire 9" xfId="13271" xr:uid="{00000000-0005-0000-0000-0000D9330000}"/>
    <cellStyle name="CrossRef" xfId="13272" xr:uid="{00000000-0005-0000-0000-0000DA330000}"/>
    <cellStyle name="CS" xfId="13273" xr:uid="{00000000-0005-0000-0000-0000DB330000}"/>
    <cellStyle name="Curren - Style2" xfId="13274" xr:uid="{00000000-0005-0000-0000-0000DC330000}"/>
    <cellStyle name="Currency (2dp)" xfId="13275" xr:uid="{00000000-0005-0000-0000-0000DD330000}"/>
    <cellStyle name="Currency [00]" xfId="13276" xr:uid="{00000000-0005-0000-0000-0000DE330000}"/>
    <cellStyle name="Currency [1]" xfId="13277" xr:uid="{00000000-0005-0000-0000-0000DF330000}"/>
    <cellStyle name="Currency [2]" xfId="13278" xr:uid="{00000000-0005-0000-0000-0000E0330000}"/>
    <cellStyle name="Currency 10" xfId="13279" xr:uid="{00000000-0005-0000-0000-0000E1330000}"/>
    <cellStyle name="Currency 2" xfId="13280" xr:uid="{00000000-0005-0000-0000-0000E2330000}"/>
    <cellStyle name="Currency 2 2" xfId="13281" xr:uid="{00000000-0005-0000-0000-0000E3330000}"/>
    <cellStyle name="Currency 2 3" xfId="13282" xr:uid="{00000000-0005-0000-0000-0000E4330000}"/>
    <cellStyle name="Currency 3" xfId="13283" xr:uid="{00000000-0005-0000-0000-0000E5330000}"/>
    <cellStyle name="Currency 7" xfId="13284" xr:uid="{00000000-0005-0000-0000-0000E6330000}"/>
    <cellStyle name="Currency 9" xfId="13285" xr:uid="{00000000-0005-0000-0000-0000E7330000}"/>
    <cellStyle name="Currency Dollar" xfId="13286" xr:uid="{00000000-0005-0000-0000-0000E8330000}"/>
    <cellStyle name="Currency Dollar (2dp)" xfId="13287" xr:uid="{00000000-0005-0000-0000-0000E9330000}"/>
    <cellStyle name="Currency EUR" xfId="13288" xr:uid="{00000000-0005-0000-0000-0000EA330000}"/>
    <cellStyle name="Currency EUR (2dp)" xfId="13289" xr:uid="{00000000-0005-0000-0000-0000EB330000}"/>
    <cellStyle name="Currency Euro" xfId="13290" xr:uid="{00000000-0005-0000-0000-0000EC330000}"/>
    <cellStyle name="Currency Euro (2dp)" xfId="13291" xr:uid="{00000000-0005-0000-0000-0000ED330000}"/>
    <cellStyle name="Currency Euro_MACRO6" xfId="13292" xr:uid="{00000000-0005-0000-0000-0000EE330000}"/>
    <cellStyle name="Currency GBP" xfId="13293" xr:uid="{00000000-0005-0000-0000-0000EF330000}"/>
    <cellStyle name="Currency GBP (2dp)" xfId="13294" xr:uid="{00000000-0005-0000-0000-0000F0330000}"/>
    <cellStyle name="Currency Pound" xfId="13295" xr:uid="{00000000-0005-0000-0000-0000F1330000}"/>
    <cellStyle name="Currency Pound (2dp)" xfId="13296" xr:uid="{00000000-0005-0000-0000-0000F2330000}"/>
    <cellStyle name="Currency Pound_MACRO6" xfId="13297" xr:uid="{00000000-0005-0000-0000-0000F3330000}"/>
    <cellStyle name="Currency USD" xfId="13298" xr:uid="{00000000-0005-0000-0000-0000F4330000}"/>
    <cellStyle name="Currency USD (2dp)" xfId="13299" xr:uid="{00000000-0005-0000-0000-0000F5330000}"/>
    <cellStyle name="Currency0" xfId="13300" xr:uid="{00000000-0005-0000-0000-0000F6330000}"/>
    <cellStyle name="Currency0 2" xfId="13301" xr:uid="{00000000-0005-0000-0000-0000F7330000}"/>
    <cellStyle name="Currency0 3" xfId="13302" xr:uid="{00000000-0005-0000-0000-0000F8330000}"/>
    <cellStyle name="Date" xfId="13303" xr:uid="{00000000-0005-0000-0000-0000F9330000}"/>
    <cellStyle name="Date (Month)" xfId="13304" xr:uid="{00000000-0005-0000-0000-0000FA330000}"/>
    <cellStyle name="Date (Year)" xfId="13305" xr:uid="{00000000-0005-0000-0000-0000FB330000}"/>
    <cellStyle name="Date [d-mmm-yy]" xfId="13306" xr:uid="{00000000-0005-0000-0000-0000FC330000}"/>
    <cellStyle name="Date [mm-d-yy]" xfId="13307" xr:uid="{00000000-0005-0000-0000-0000FD330000}"/>
    <cellStyle name="Date [mm-d-yyyy]" xfId="13308" xr:uid="{00000000-0005-0000-0000-0000FE330000}"/>
    <cellStyle name="Date [mm-d-yyyy] 2" xfId="13309" xr:uid="{00000000-0005-0000-0000-0000FF330000}"/>
    <cellStyle name="Date [mm-d-yyyy] 2 2" xfId="13310" xr:uid="{00000000-0005-0000-0000-000000340000}"/>
    <cellStyle name="Date [mm-d-yyyy] 3" xfId="13311" xr:uid="{00000000-0005-0000-0000-000001340000}"/>
    <cellStyle name="Date [mm-d-yyyy] 3 2" xfId="13312" xr:uid="{00000000-0005-0000-0000-000002340000}"/>
    <cellStyle name="Date [mm-d-yyyy] 4" xfId="13313" xr:uid="{00000000-0005-0000-0000-000003340000}"/>
    <cellStyle name="Date [mmm-d-yyyy]" xfId="13314" xr:uid="{00000000-0005-0000-0000-000004340000}"/>
    <cellStyle name="Date [mmm-yy]" xfId="13315" xr:uid="{00000000-0005-0000-0000-000005340000}"/>
    <cellStyle name="Date 2" xfId="13316" xr:uid="{00000000-0005-0000-0000-000006340000}"/>
    <cellStyle name="Date 2 2" xfId="13317" xr:uid="{00000000-0005-0000-0000-000007340000}"/>
    <cellStyle name="Date 3" xfId="13318" xr:uid="{00000000-0005-0000-0000-000008340000}"/>
    <cellStyle name="Date 3 2" xfId="13319" xr:uid="{00000000-0005-0000-0000-000009340000}"/>
    <cellStyle name="Date 4" xfId="13320" xr:uid="{00000000-0005-0000-0000-00000A340000}"/>
    <cellStyle name="Date Short" xfId="13321" xr:uid="{00000000-0005-0000-0000-00000B340000}"/>
    <cellStyle name="Date_Belltel GNOC Requirements PA1" xfId="13322" xr:uid="{00000000-0005-0000-0000-00000C340000}"/>
    <cellStyle name="Date2" xfId="13323" xr:uid="{00000000-0005-0000-0000-00000D340000}"/>
    <cellStyle name="DateHeading" xfId="13324" xr:uid="{00000000-0005-0000-0000-00000E340000}"/>
    <cellStyle name="DblClick" xfId="13325" xr:uid="{00000000-0005-0000-0000-00000F340000}"/>
    <cellStyle name="Decimal_0dp" xfId="13326" xr:uid="{00000000-0005-0000-0000-000010340000}"/>
    <cellStyle name="default" xfId="13327" xr:uid="{00000000-0005-0000-0000-000011340000}"/>
    <cellStyle name="default 2" xfId="13328" xr:uid="{00000000-0005-0000-0000-000012340000}"/>
    <cellStyle name="default 2 2" xfId="13329" xr:uid="{00000000-0005-0000-0000-000013340000}"/>
    <cellStyle name="default 2 2 2" xfId="13330" xr:uid="{00000000-0005-0000-0000-000014340000}"/>
    <cellStyle name="default 2 3" xfId="13331" xr:uid="{00000000-0005-0000-0000-000015340000}"/>
    <cellStyle name="default 3" xfId="13332" xr:uid="{00000000-0005-0000-0000-000016340000}"/>
    <cellStyle name="default 3 2" xfId="13333" xr:uid="{00000000-0005-0000-0000-000017340000}"/>
    <cellStyle name="default 4" xfId="13334" xr:uid="{00000000-0005-0000-0000-000018340000}"/>
    <cellStyle name="DELTA" xfId="13335" xr:uid="{00000000-0005-0000-0000-000019340000}"/>
    <cellStyle name="DELTA 2" xfId="13336" xr:uid="{00000000-0005-0000-0000-00001A340000}"/>
    <cellStyle name="DELTA 3" xfId="13337" xr:uid="{00000000-0005-0000-0000-00001B340000}"/>
    <cellStyle name="DELTA 4" xfId="13338" xr:uid="{00000000-0005-0000-0000-00001C340000}"/>
    <cellStyle name="DELTA 5" xfId="13339" xr:uid="{00000000-0005-0000-0000-00001D340000}"/>
    <cellStyle name="Description" xfId="13340" xr:uid="{00000000-0005-0000-0000-00001E340000}"/>
    <cellStyle name="Description 2" xfId="13341" xr:uid="{00000000-0005-0000-0000-00001F340000}"/>
    <cellStyle name="Description 2 2" xfId="13342" xr:uid="{00000000-0005-0000-0000-000020340000}"/>
    <cellStyle name="Description 3" xfId="13343" xr:uid="{00000000-0005-0000-0000-000021340000}"/>
    <cellStyle name="Dezimal [0]_050317_MDRS-Config_10" xfId="13344" xr:uid="{00000000-0005-0000-0000-000022340000}"/>
    <cellStyle name="Dezimal_050317_MDRS-Config_10" xfId="13345" xr:uid="{00000000-0005-0000-0000-000023340000}"/>
    <cellStyle name="Dia" xfId="13346" xr:uid="{00000000-0005-0000-0000-000024340000}"/>
    <cellStyle name="Dia 2" xfId="13347" xr:uid="{00000000-0005-0000-0000-000025340000}"/>
    <cellStyle name="Dia 2 2" xfId="13348" xr:uid="{00000000-0005-0000-0000-000026340000}"/>
    <cellStyle name="Dia 2 2 2" xfId="13349" xr:uid="{00000000-0005-0000-0000-000027340000}"/>
    <cellStyle name="Dia 2 3" xfId="13350" xr:uid="{00000000-0005-0000-0000-000028340000}"/>
    <cellStyle name="Dia 3" xfId="13351" xr:uid="{00000000-0005-0000-0000-000029340000}"/>
    <cellStyle name="Dia 3 2" xfId="13352" xr:uid="{00000000-0005-0000-0000-00002A340000}"/>
    <cellStyle name="Dia 4" xfId="13353" xr:uid="{00000000-0005-0000-0000-00002B340000}"/>
    <cellStyle name="Dia 4 2" xfId="13354" xr:uid="{00000000-0005-0000-0000-00002C340000}"/>
    <cellStyle name="Dia 5" xfId="13355" xr:uid="{00000000-0005-0000-0000-00002D340000}"/>
    <cellStyle name="Dia 5 2" xfId="13356" xr:uid="{00000000-0005-0000-0000-00002E340000}"/>
    <cellStyle name="Dia 6" xfId="13357" xr:uid="{00000000-0005-0000-0000-00002F340000}"/>
    <cellStyle name="Dia 6 2" xfId="13358" xr:uid="{00000000-0005-0000-0000-000030340000}"/>
    <cellStyle name="Dia 7" xfId="13359" xr:uid="{00000000-0005-0000-0000-000031340000}"/>
    <cellStyle name="Dia 7 2" xfId="13360" xr:uid="{00000000-0005-0000-0000-000032340000}"/>
    <cellStyle name="Dia 8" xfId="13361" xr:uid="{00000000-0005-0000-0000-000033340000}"/>
    <cellStyle name="dollars" xfId="13362" xr:uid="{00000000-0005-0000-0000-000034340000}"/>
    <cellStyle name="Double Accounting" xfId="13363" xr:uid="{00000000-0005-0000-0000-000035340000}"/>
    <cellStyle name="Dziesietny [0]_12" xfId="13364" xr:uid="{00000000-0005-0000-0000-000036340000}"/>
    <cellStyle name="Dziesiêtny [0]_MSC &amp; VLR Description" xfId="13365" xr:uid="{00000000-0005-0000-0000-000037340000}"/>
    <cellStyle name="Dziesietny_12" xfId="13366" xr:uid="{00000000-0005-0000-0000-000038340000}"/>
    <cellStyle name="Dziesiêtny_MSC &amp; VLR Description" xfId="13367" xr:uid="{00000000-0005-0000-0000-000039340000}"/>
    <cellStyle name="Encabez1" xfId="13376" xr:uid="{00000000-0005-0000-0000-00003A340000}"/>
    <cellStyle name="Encabez1 2" xfId="13377" xr:uid="{00000000-0005-0000-0000-00003B340000}"/>
    <cellStyle name="Encabez1 2 2" xfId="13378" xr:uid="{00000000-0005-0000-0000-00003C340000}"/>
    <cellStyle name="Encabez1 2 2 2" xfId="13379" xr:uid="{00000000-0005-0000-0000-00003D340000}"/>
    <cellStyle name="Encabez1 2 3" xfId="13380" xr:uid="{00000000-0005-0000-0000-00003E340000}"/>
    <cellStyle name="Encabez1 3" xfId="13381" xr:uid="{00000000-0005-0000-0000-00003F340000}"/>
    <cellStyle name="Encabez1 3 2" xfId="13382" xr:uid="{00000000-0005-0000-0000-000040340000}"/>
    <cellStyle name="Encabez1 4" xfId="13383" xr:uid="{00000000-0005-0000-0000-000041340000}"/>
    <cellStyle name="Encabez1 4 2" xfId="13384" xr:uid="{00000000-0005-0000-0000-000042340000}"/>
    <cellStyle name="Encabez1 5" xfId="13385" xr:uid="{00000000-0005-0000-0000-000043340000}"/>
    <cellStyle name="Encabez1 5 2" xfId="13386" xr:uid="{00000000-0005-0000-0000-000044340000}"/>
    <cellStyle name="Encabez1 6" xfId="13387" xr:uid="{00000000-0005-0000-0000-000045340000}"/>
    <cellStyle name="Encabez1 6 2" xfId="13388" xr:uid="{00000000-0005-0000-0000-000046340000}"/>
    <cellStyle name="Encabez1 7" xfId="13389" xr:uid="{00000000-0005-0000-0000-000047340000}"/>
    <cellStyle name="Encabez1 7 2" xfId="13390" xr:uid="{00000000-0005-0000-0000-000048340000}"/>
    <cellStyle name="Encabez1 8" xfId="13391" xr:uid="{00000000-0005-0000-0000-000049340000}"/>
    <cellStyle name="Encabez2" xfId="13392" xr:uid="{00000000-0005-0000-0000-00004A340000}"/>
    <cellStyle name="Encabez2 2" xfId="13393" xr:uid="{00000000-0005-0000-0000-00004B340000}"/>
    <cellStyle name="Encabez2 2 2" xfId="13394" xr:uid="{00000000-0005-0000-0000-00004C340000}"/>
    <cellStyle name="Encabez2 2 2 2" xfId="13395" xr:uid="{00000000-0005-0000-0000-00004D340000}"/>
    <cellStyle name="Encabez2 2 3" xfId="13396" xr:uid="{00000000-0005-0000-0000-00004E340000}"/>
    <cellStyle name="Encabez2 3" xfId="13397" xr:uid="{00000000-0005-0000-0000-00004F340000}"/>
    <cellStyle name="Encabez2 3 2" xfId="13398" xr:uid="{00000000-0005-0000-0000-000050340000}"/>
    <cellStyle name="Encabez2 4" xfId="13399" xr:uid="{00000000-0005-0000-0000-000051340000}"/>
    <cellStyle name="Encabez2 4 2" xfId="13400" xr:uid="{00000000-0005-0000-0000-000052340000}"/>
    <cellStyle name="Encabez2 5" xfId="13401" xr:uid="{00000000-0005-0000-0000-000053340000}"/>
    <cellStyle name="Encabez2 5 2" xfId="13402" xr:uid="{00000000-0005-0000-0000-000054340000}"/>
    <cellStyle name="Encabez2 6" xfId="13403" xr:uid="{00000000-0005-0000-0000-000055340000}"/>
    <cellStyle name="Encabez2 6 2" xfId="13404" xr:uid="{00000000-0005-0000-0000-000056340000}"/>
    <cellStyle name="Encabez2 7" xfId="13405" xr:uid="{00000000-0005-0000-0000-000057340000}"/>
    <cellStyle name="Encabez2 7 2" xfId="13406" xr:uid="{00000000-0005-0000-0000-000058340000}"/>
    <cellStyle name="Encabez2 8" xfId="13407" xr:uid="{00000000-0005-0000-0000-000059340000}"/>
    <cellStyle name="Ênfase1" xfId="13408" xr:uid="{00000000-0005-0000-0000-00005A340000}"/>
    <cellStyle name="Ênfase2" xfId="13409" xr:uid="{00000000-0005-0000-0000-00005B340000}"/>
    <cellStyle name="Ênfase3" xfId="13410" xr:uid="{00000000-0005-0000-0000-00005C340000}"/>
    <cellStyle name="Ênfase4" xfId="13411" xr:uid="{00000000-0005-0000-0000-00005D340000}"/>
    <cellStyle name="Ênfase5" xfId="13412" xr:uid="{00000000-0005-0000-0000-00005E340000}"/>
    <cellStyle name="Ênfase6" xfId="13413" xr:uid="{00000000-0005-0000-0000-00005F340000}"/>
    <cellStyle name="Enter Currency (0)" xfId="13414" xr:uid="{00000000-0005-0000-0000-000060340000}"/>
    <cellStyle name="Enter Currency (0) 2" xfId="13415" xr:uid="{00000000-0005-0000-0000-000061340000}"/>
    <cellStyle name="Enter Currency (0) 2 2" xfId="13416" xr:uid="{00000000-0005-0000-0000-000062340000}"/>
    <cellStyle name="Enter Currency (0) 3" xfId="13417" xr:uid="{00000000-0005-0000-0000-000063340000}"/>
    <cellStyle name="Enter Currency (2)" xfId="13418" xr:uid="{00000000-0005-0000-0000-000064340000}"/>
    <cellStyle name="Enter Units (0)" xfId="13419" xr:uid="{00000000-0005-0000-0000-000065340000}"/>
    <cellStyle name="Enter Units (0) 2" xfId="13420" xr:uid="{00000000-0005-0000-0000-000066340000}"/>
    <cellStyle name="Enter Units (0) 2 2" xfId="13421" xr:uid="{00000000-0005-0000-0000-000067340000}"/>
    <cellStyle name="Enter Units (0) 3" xfId="13422" xr:uid="{00000000-0005-0000-0000-000068340000}"/>
    <cellStyle name="Enter Units (1)" xfId="13423" xr:uid="{00000000-0005-0000-0000-000069340000}"/>
    <cellStyle name="Enter Units (1) 2" xfId="13424" xr:uid="{00000000-0005-0000-0000-00006A340000}"/>
    <cellStyle name="Enter Units (1) 3" xfId="13425" xr:uid="{00000000-0005-0000-0000-00006B340000}"/>
    <cellStyle name="Enter Units (2)" xfId="13426" xr:uid="{00000000-0005-0000-0000-00006C340000}"/>
    <cellStyle name="En-tête 1" xfId="13368" xr:uid="{00000000-0005-0000-0000-00006D340000}"/>
    <cellStyle name="En-tête 1 2" xfId="13369" xr:uid="{00000000-0005-0000-0000-00006E340000}"/>
    <cellStyle name="En-tête 1 2 2" xfId="13370" xr:uid="{00000000-0005-0000-0000-00006F340000}"/>
    <cellStyle name="En-tête 1 3" xfId="13371" xr:uid="{00000000-0005-0000-0000-000070340000}"/>
    <cellStyle name="En-tête 2" xfId="13372" xr:uid="{00000000-0005-0000-0000-000071340000}"/>
    <cellStyle name="En-tête 2 2" xfId="13373" xr:uid="{00000000-0005-0000-0000-000072340000}"/>
    <cellStyle name="En-tête 2 2 2" xfId="13374" xr:uid="{00000000-0005-0000-0000-000073340000}"/>
    <cellStyle name="En-tête 2 3" xfId="13375" xr:uid="{00000000-0005-0000-0000-000074340000}"/>
    <cellStyle name="Entrada" xfId="13427" xr:uid="{00000000-0005-0000-0000-000075340000}"/>
    <cellStyle name="Entrada 10" xfId="13428" xr:uid="{00000000-0005-0000-0000-000076340000}"/>
    <cellStyle name="Entrada 11" xfId="13429" xr:uid="{00000000-0005-0000-0000-000077340000}"/>
    <cellStyle name="Entrada 12" xfId="13430" xr:uid="{00000000-0005-0000-0000-000078340000}"/>
    <cellStyle name="Entrada 13" xfId="13431" xr:uid="{00000000-0005-0000-0000-000079340000}"/>
    <cellStyle name="Entrada 14" xfId="13432" xr:uid="{00000000-0005-0000-0000-00007A340000}"/>
    <cellStyle name="Entrada 15" xfId="13433" xr:uid="{00000000-0005-0000-0000-00007B340000}"/>
    <cellStyle name="Entrada 16" xfId="13434" xr:uid="{00000000-0005-0000-0000-00007C340000}"/>
    <cellStyle name="Entrada 17" xfId="13435" xr:uid="{00000000-0005-0000-0000-00007D340000}"/>
    <cellStyle name="Entrada 18" xfId="13436" xr:uid="{00000000-0005-0000-0000-00007E340000}"/>
    <cellStyle name="Entrada 19" xfId="13437" xr:uid="{00000000-0005-0000-0000-00007F340000}"/>
    <cellStyle name="Entrada 2" xfId="13438" xr:uid="{00000000-0005-0000-0000-000080340000}"/>
    <cellStyle name="Entrada 2 10" xfId="13439" xr:uid="{00000000-0005-0000-0000-000081340000}"/>
    <cellStyle name="Entrada 2 11" xfId="13440" xr:uid="{00000000-0005-0000-0000-000082340000}"/>
    <cellStyle name="Entrada 2 12" xfId="13441" xr:uid="{00000000-0005-0000-0000-000083340000}"/>
    <cellStyle name="Entrada 2 13" xfId="13442" xr:uid="{00000000-0005-0000-0000-000084340000}"/>
    <cellStyle name="Entrada 2 14" xfId="13443" xr:uid="{00000000-0005-0000-0000-000085340000}"/>
    <cellStyle name="Entrada 2 15" xfId="13444" xr:uid="{00000000-0005-0000-0000-000086340000}"/>
    <cellStyle name="Entrada 2 16" xfId="13445" xr:uid="{00000000-0005-0000-0000-000087340000}"/>
    <cellStyle name="Entrada 2 17" xfId="13446" xr:uid="{00000000-0005-0000-0000-000088340000}"/>
    <cellStyle name="Entrada 2 18" xfId="13447" xr:uid="{00000000-0005-0000-0000-000089340000}"/>
    <cellStyle name="Entrada 2 19" xfId="13448" xr:uid="{00000000-0005-0000-0000-00008A340000}"/>
    <cellStyle name="Entrada 2 2" xfId="13449" xr:uid="{00000000-0005-0000-0000-00008B340000}"/>
    <cellStyle name="Entrada 2 2 2" xfId="13450" xr:uid="{00000000-0005-0000-0000-00008C340000}"/>
    <cellStyle name="Entrada 2 2 2 2" xfId="13451" xr:uid="{00000000-0005-0000-0000-00008D340000}"/>
    <cellStyle name="Entrada 2 2 2 3" xfId="13452" xr:uid="{00000000-0005-0000-0000-00008E340000}"/>
    <cellStyle name="Entrada 2 2 3" xfId="13453" xr:uid="{00000000-0005-0000-0000-00008F340000}"/>
    <cellStyle name="Entrada 2 2 3 2" xfId="13454" xr:uid="{00000000-0005-0000-0000-000090340000}"/>
    <cellStyle name="Entrada 2 2 3 3" xfId="13455" xr:uid="{00000000-0005-0000-0000-000091340000}"/>
    <cellStyle name="Entrada 2 2 4" xfId="13456" xr:uid="{00000000-0005-0000-0000-000092340000}"/>
    <cellStyle name="Entrada 2 2 5" xfId="13457" xr:uid="{00000000-0005-0000-0000-000093340000}"/>
    <cellStyle name="Entrada 2 20" xfId="13458" xr:uid="{00000000-0005-0000-0000-000094340000}"/>
    <cellStyle name="Entrada 2 21" xfId="13459" xr:uid="{00000000-0005-0000-0000-000095340000}"/>
    <cellStyle name="Entrada 2 22" xfId="13460" xr:uid="{00000000-0005-0000-0000-000096340000}"/>
    <cellStyle name="Entrada 2 23" xfId="13461" xr:uid="{00000000-0005-0000-0000-000097340000}"/>
    <cellStyle name="Entrada 2 24" xfId="13462" xr:uid="{00000000-0005-0000-0000-000098340000}"/>
    <cellStyle name="Entrada 2 25" xfId="13463" xr:uid="{00000000-0005-0000-0000-000099340000}"/>
    <cellStyle name="Entrada 2 26" xfId="13464" xr:uid="{00000000-0005-0000-0000-00009A340000}"/>
    <cellStyle name="Entrada 2 27" xfId="13465" xr:uid="{00000000-0005-0000-0000-00009B340000}"/>
    <cellStyle name="Entrada 2 28" xfId="13466" xr:uid="{00000000-0005-0000-0000-00009C340000}"/>
    <cellStyle name="Entrada 2 29" xfId="13467" xr:uid="{00000000-0005-0000-0000-00009D340000}"/>
    <cellStyle name="Entrada 2 3" xfId="13468" xr:uid="{00000000-0005-0000-0000-00009E340000}"/>
    <cellStyle name="Entrada 2 3 2" xfId="13469" xr:uid="{00000000-0005-0000-0000-00009F340000}"/>
    <cellStyle name="Entrada 2 3 2 2" xfId="13470" xr:uid="{00000000-0005-0000-0000-0000A0340000}"/>
    <cellStyle name="Entrada 2 3 2 3" xfId="13471" xr:uid="{00000000-0005-0000-0000-0000A1340000}"/>
    <cellStyle name="Entrada 2 3 3" xfId="13472" xr:uid="{00000000-0005-0000-0000-0000A2340000}"/>
    <cellStyle name="Entrada 2 3 3 2" xfId="13473" xr:uid="{00000000-0005-0000-0000-0000A3340000}"/>
    <cellStyle name="Entrada 2 3 3 3" xfId="13474" xr:uid="{00000000-0005-0000-0000-0000A4340000}"/>
    <cellStyle name="Entrada 2 3 4" xfId="13475" xr:uid="{00000000-0005-0000-0000-0000A5340000}"/>
    <cellStyle name="Entrada 2 3 5" xfId="13476" xr:uid="{00000000-0005-0000-0000-0000A6340000}"/>
    <cellStyle name="Entrada 2 30" xfId="13477" xr:uid="{00000000-0005-0000-0000-0000A7340000}"/>
    <cellStyle name="Entrada 2 31" xfId="13478" xr:uid="{00000000-0005-0000-0000-0000A8340000}"/>
    <cellStyle name="Entrada 2 32" xfId="13479" xr:uid="{00000000-0005-0000-0000-0000A9340000}"/>
    <cellStyle name="Entrada 2 33" xfId="13480" xr:uid="{00000000-0005-0000-0000-0000AA340000}"/>
    <cellStyle name="Entrada 2 34" xfId="13481" xr:uid="{00000000-0005-0000-0000-0000AB340000}"/>
    <cellStyle name="Entrada 2 4" xfId="13482" xr:uid="{00000000-0005-0000-0000-0000AC340000}"/>
    <cellStyle name="Entrada 2 4 2" xfId="13483" xr:uid="{00000000-0005-0000-0000-0000AD340000}"/>
    <cellStyle name="Entrada 2 4 3" xfId="13484" xr:uid="{00000000-0005-0000-0000-0000AE340000}"/>
    <cellStyle name="Entrada 2 5" xfId="13485" xr:uid="{00000000-0005-0000-0000-0000AF340000}"/>
    <cellStyle name="Entrada 2 5 2" xfId="13486" xr:uid="{00000000-0005-0000-0000-0000B0340000}"/>
    <cellStyle name="Entrada 2 5 3" xfId="13487" xr:uid="{00000000-0005-0000-0000-0000B1340000}"/>
    <cellStyle name="Entrada 2 6" xfId="13488" xr:uid="{00000000-0005-0000-0000-0000B2340000}"/>
    <cellStyle name="Entrada 2 7" xfId="13489" xr:uid="{00000000-0005-0000-0000-0000B3340000}"/>
    <cellStyle name="Entrada 2 8" xfId="13490" xr:uid="{00000000-0005-0000-0000-0000B4340000}"/>
    <cellStyle name="Entrada 2 9" xfId="13491" xr:uid="{00000000-0005-0000-0000-0000B5340000}"/>
    <cellStyle name="Entrada 20" xfId="13492" xr:uid="{00000000-0005-0000-0000-0000B6340000}"/>
    <cellStyle name="Entrada 21" xfId="13493" xr:uid="{00000000-0005-0000-0000-0000B7340000}"/>
    <cellStyle name="Entrada 22" xfId="13494" xr:uid="{00000000-0005-0000-0000-0000B8340000}"/>
    <cellStyle name="Entrada 23" xfId="13495" xr:uid="{00000000-0005-0000-0000-0000B9340000}"/>
    <cellStyle name="Entrada 24" xfId="13496" xr:uid="{00000000-0005-0000-0000-0000BA340000}"/>
    <cellStyle name="Entrada 25" xfId="13497" xr:uid="{00000000-0005-0000-0000-0000BB340000}"/>
    <cellStyle name="Entrada 26" xfId="13498" xr:uid="{00000000-0005-0000-0000-0000BC340000}"/>
    <cellStyle name="Entrada 27" xfId="13499" xr:uid="{00000000-0005-0000-0000-0000BD340000}"/>
    <cellStyle name="Entrada 28" xfId="13500" xr:uid="{00000000-0005-0000-0000-0000BE340000}"/>
    <cellStyle name="Entrada 29" xfId="13501" xr:uid="{00000000-0005-0000-0000-0000BF340000}"/>
    <cellStyle name="Entrada 3" xfId="13502" xr:uid="{00000000-0005-0000-0000-0000C0340000}"/>
    <cellStyle name="Entrada 3 2" xfId="13503" xr:uid="{00000000-0005-0000-0000-0000C1340000}"/>
    <cellStyle name="Entrada 3 2 2" xfId="13504" xr:uid="{00000000-0005-0000-0000-0000C2340000}"/>
    <cellStyle name="Entrada 3 2 3" xfId="13505" xr:uid="{00000000-0005-0000-0000-0000C3340000}"/>
    <cellStyle name="Entrada 3 3" xfId="13506" xr:uid="{00000000-0005-0000-0000-0000C4340000}"/>
    <cellStyle name="Entrada 3 3 2" xfId="13507" xr:uid="{00000000-0005-0000-0000-0000C5340000}"/>
    <cellStyle name="Entrada 3 3 3" xfId="13508" xr:uid="{00000000-0005-0000-0000-0000C6340000}"/>
    <cellStyle name="Entrada 3 4" xfId="13509" xr:uid="{00000000-0005-0000-0000-0000C7340000}"/>
    <cellStyle name="Entrada 3 5" xfId="13510" xr:uid="{00000000-0005-0000-0000-0000C8340000}"/>
    <cellStyle name="Entrada 30" xfId="13511" xr:uid="{00000000-0005-0000-0000-0000C9340000}"/>
    <cellStyle name="Entrada 31" xfId="13512" xr:uid="{00000000-0005-0000-0000-0000CA340000}"/>
    <cellStyle name="Entrada 32" xfId="13513" xr:uid="{00000000-0005-0000-0000-0000CB340000}"/>
    <cellStyle name="Entrada 4" xfId="13514" xr:uid="{00000000-0005-0000-0000-0000CC340000}"/>
    <cellStyle name="Entrada 4 2" xfId="13515" xr:uid="{00000000-0005-0000-0000-0000CD340000}"/>
    <cellStyle name="Entrada 4 3" xfId="13516" xr:uid="{00000000-0005-0000-0000-0000CE340000}"/>
    <cellStyle name="Entrada 5" xfId="13517" xr:uid="{00000000-0005-0000-0000-0000CF340000}"/>
    <cellStyle name="Entrada 5 2" xfId="13518" xr:uid="{00000000-0005-0000-0000-0000D0340000}"/>
    <cellStyle name="Entrada 5 3" xfId="13519" xr:uid="{00000000-0005-0000-0000-0000D1340000}"/>
    <cellStyle name="Entrada 6" xfId="13520" xr:uid="{00000000-0005-0000-0000-0000D2340000}"/>
    <cellStyle name="Entrada 7" xfId="13521" xr:uid="{00000000-0005-0000-0000-0000D3340000}"/>
    <cellStyle name="Entrada 8" xfId="13522" xr:uid="{00000000-0005-0000-0000-0000D4340000}"/>
    <cellStyle name="Entrada 9" xfId="13523" xr:uid="{00000000-0005-0000-0000-0000D5340000}"/>
    <cellStyle name="Entrée" xfId="13524" xr:uid="{00000000-0005-0000-0000-0000D6340000}"/>
    <cellStyle name="Entrée 2" xfId="13525" xr:uid="{00000000-0005-0000-0000-0000D7340000}"/>
    <cellStyle name="Entrée 2 10" xfId="13526" xr:uid="{00000000-0005-0000-0000-0000D8340000}"/>
    <cellStyle name="Entrée 2 11" xfId="13527" xr:uid="{00000000-0005-0000-0000-0000D9340000}"/>
    <cellStyle name="Entrée 2 12" xfId="13528" xr:uid="{00000000-0005-0000-0000-0000DA340000}"/>
    <cellStyle name="Entrée 2 13" xfId="13529" xr:uid="{00000000-0005-0000-0000-0000DB340000}"/>
    <cellStyle name="Entrée 2 14" xfId="13530" xr:uid="{00000000-0005-0000-0000-0000DC340000}"/>
    <cellStyle name="Entrée 2 15" xfId="13531" xr:uid="{00000000-0005-0000-0000-0000DD340000}"/>
    <cellStyle name="Entrée 2 16" xfId="13532" xr:uid="{00000000-0005-0000-0000-0000DE340000}"/>
    <cellStyle name="Entrée 2 17" xfId="13533" xr:uid="{00000000-0005-0000-0000-0000DF340000}"/>
    <cellStyle name="Entrée 2 18" xfId="13534" xr:uid="{00000000-0005-0000-0000-0000E0340000}"/>
    <cellStyle name="Entrée 2 19" xfId="13535" xr:uid="{00000000-0005-0000-0000-0000E1340000}"/>
    <cellStyle name="Entrée 2 2" xfId="13536" xr:uid="{00000000-0005-0000-0000-0000E2340000}"/>
    <cellStyle name="Entrée 2 2 10" xfId="13537" xr:uid="{00000000-0005-0000-0000-0000E3340000}"/>
    <cellStyle name="Entrée 2 2 11" xfId="13538" xr:uid="{00000000-0005-0000-0000-0000E4340000}"/>
    <cellStyle name="Entrée 2 2 12" xfId="13539" xr:uid="{00000000-0005-0000-0000-0000E5340000}"/>
    <cellStyle name="Entrée 2 2 13" xfId="13540" xr:uid="{00000000-0005-0000-0000-0000E6340000}"/>
    <cellStyle name="Entrée 2 2 14" xfId="13541" xr:uid="{00000000-0005-0000-0000-0000E7340000}"/>
    <cellStyle name="Entrée 2 2 15" xfId="13542" xr:uid="{00000000-0005-0000-0000-0000E8340000}"/>
    <cellStyle name="Entrée 2 2 16" xfId="13543" xr:uid="{00000000-0005-0000-0000-0000E9340000}"/>
    <cellStyle name="Entrée 2 2 17" xfId="13544" xr:uid="{00000000-0005-0000-0000-0000EA340000}"/>
    <cellStyle name="Entrée 2 2 18" xfId="13545" xr:uid="{00000000-0005-0000-0000-0000EB340000}"/>
    <cellStyle name="Entrée 2 2 19" xfId="13546" xr:uid="{00000000-0005-0000-0000-0000EC340000}"/>
    <cellStyle name="Entrée 2 2 2" xfId="13547" xr:uid="{00000000-0005-0000-0000-0000ED340000}"/>
    <cellStyle name="Entrée 2 2 2 2" xfId="13548" xr:uid="{00000000-0005-0000-0000-0000EE340000}"/>
    <cellStyle name="Entrée 2 2 2 2 2" xfId="13549" xr:uid="{00000000-0005-0000-0000-0000EF340000}"/>
    <cellStyle name="Entrée 2 2 2 2 3" xfId="13550" xr:uid="{00000000-0005-0000-0000-0000F0340000}"/>
    <cellStyle name="Entrée 2 2 2 3" xfId="13551" xr:uid="{00000000-0005-0000-0000-0000F1340000}"/>
    <cellStyle name="Entrée 2 2 2 3 2" xfId="13552" xr:uid="{00000000-0005-0000-0000-0000F2340000}"/>
    <cellStyle name="Entrée 2 2 2 3 3" xfId="13553" xr:uid="{00000000-0005-0000-0000-0000F3340000}"/>
    <cellStyle name="Entrée 2 2 2 4" xfId="13554" xr:uid="{00000000-0005-0000-0000-0000F4340000}"/>
    <cellStyle name="Entrée 2 2 2 5" xfId="13555" xr:uid="{00000000-0005-0000-0000-0000F5340000}"/>
    <cellStyle name="Entrée 2 2 20" xfId="13556" xr:uid="{00000000-0005-0000-0000-0000F6340000}"/>
    <cellStyle name="Entrée 2 2 21" xfId="13557" xr:uid="{00000000-0005-0000-0000-0000F7340000}"/>
    <cellStyle name="Entrée 2 2 22" xfId="13558" xr:uid="{00000000-0005-0000-0000-0000F8340000}"/>
    <cellStyle name="Entrée 2 2 23" xfId="13559" xr:uid="{00000000-0005-0000-0000-0000F9340000}"/>
    <cellStyle name="Entrée 2 2 24" xfId="13560" xr:uid="{00000000-0005-0000-0000-0000FA340000}"/>
    <cellStyle name="Entrée 2 2 25" xfId="13561" xr:uid="{00000000-0005-0000-0000-0000FB340000}"/>
    <cellStyle name="Entrée 2 2 26" xfId="13562" xr:uid="{00000000-0005-0000-0000-0000FC340000}"/>
    <cellStyle name="Entrée 2 2 27" xfId="13563" xr:uid="{00000000-0005-0000-0000-0000FD340000}"/>
    <cellStyle name="Entrée 2 2 28" xfId="13564" xr:uid="{00000000-0005-0000-0000-0000FE340000}"/>
    <cellStyle name="Entrée 2 2 29" xfId="13565" xr:uid="{00000000-0005-0000-0000-0000FF340000}"/>
    <cellStyle name="Entrée 2 2 3" xfId="13566" xr:uid="{00000000-0005-0000-0000-000000350000}"/>
    <cellStyle name="Entrée 2 2 3 2" xfId="13567" xr:uid="{00000000-0005-0000-0000-000001350000}"/>
    <cellStyle name="Entrée 2 2 3 2 2" xfId="13568" xr:uid="{00000000-0005-0000-0000-000002350000}"/>
    <cellStyle name="Entrée 2 2 3 2 3" xfId="13569" xr:uid="{00000000-0005-0000-0000-000003350000}"/>
    <cellStyle name="Entrée 2 2 3 3" xfId="13570" xr:uid="{00000000-0005-0000-0000-000004350000}"/>
    <cellStyle name="Entrée 2 2 3 3 2" xfId="13571" xr:uid="{00000000-0005-0000-0000-000005350000}"/>
    <cellStyle name="Entrée 2 2 3 3 3" xfId="13572" xr:uid="{00000000-0005-0000-0000-000006350000}"/>
    <cellStyle name="Entrée 2 2 3 4" xfId="13573" xr:uid="{00000000-0005-0000-0000-000007350000}"/>
    <cellStyle name="Entrée 2 2 3 5" xfId="13574" xr:uid="{00000000-0005-0000-0000-000008350000}"/>
    <cellStyle name="Entrée 2 2 30" xfId="13575" xr:uid="{00000000-0005-0000-0000-000009350000}"/>
    <cellStyle name="Entrée 2 2 31" xfId="13576" xr:uid="{00000000-0005-0000-0000-00000A350000}"/>
    <cellStyle name="Entrée 2 2 32" xfId="13577" xr:uid="{00000000-0005-0000-0000-00000B350000}"/>
    <cellStyle name="Entrée 2 2 33" xfId="13578" xr:uid="{00000000-0005-0000-0000-00000C350000}"/>
    <cellStyle name="Entrée 2 2 34" xfId="13579" xr:uid="{00000000-0005-0000-0000-00000D350000}"/>
    <cellStyle name="Entrée 2 2 4" xfId="13580" xr:uid="{00000000-0005-0000-0000-00000E350000}"/>
    <cellStyle name="Entrée 2 2 4 2" xfId="13581" xr:uid="{00000000-0005-0000-0000-00000F350000}"/>
    <cellStyle name="Entrée 2 2 4 3" xfId="13582" xr:uid="{00000000-0005-0000-0000-000010350000}"/>
    <cellStyle name="Entrée 2 2 5" xfId="13583" xr:uid="{00000000-0005-0000-0000-000011350000}"/>
    <cellStyle name="Entrée 2 2 5 2" xfId="13584" xr:uid="{00000000-0005-0000-0000-000012350000}"/>
    <cellStyle name="Entrée 2 2 5 3" xfId="13585" xr:uid="{00000000-0005-0000-0000-000013350000}"/>
    <cellStyle name="Entrée 2 2 6" xfId="13586" xr:uid="{00000000-0005-0000-0000-000014350000}"/>
    <cellStyle name="Entrée 2 2 7" xfId="13587" xr:uid="{00000000-0005-0000-0000-000015350000}"/>
    <cellStyle name="Entrée 2 2 8" xfId="13588" xr:uid="{00000000-0005-0000-0000-000016350000}"/>
    <cellStyle name="Entrée 2 2 9" xfId="13589" xr:uid="{00000000-0005-0000-0000-000017350000}"/>
    <cellStyle name="Entrée 2 20" xfId="13590" xr:uid="{00000000-0005-0000-0000-000018350000}"/>
    <cellStyle name="Entrée 2 21" xfId="13591" xr:uid="{00000000-0005-0000-0000-000019350000}"/>
    <cellStyle name="Entrée 2 22" xfId="13592" xr:uid="{00000000-0005-0000-0000-00001A350000}"/>
    <cellStyle name="Entrée 2 23" xfId="13593" xr:uid="{00000000-0005-0000-0000-00001B350000}"/>
    <cellStyle name="Entrée 2 24" xfId="13594" xr:uid="{00000000-0005-0000-0000-00001C350000}"/>
    <cellStyle name="Entrée 2 25" xfId="13595" xr:uid="{00000000-0005-0000-0000-00001D350000}"/>
    <cellStyle name="Entrée 2 26" xfId="13596" xr:uid="{00000000-0005-0000-0000-00001E350000}"/>
    <cellStyle name="Entrée 2 27" xfId="13597" xr:uid="{00000000-0005-0000-0000-00001F350000}"/>
    <cellStyle name="Entrée 2 28" xfId="13598" xr:uid="{00000000-0005-0000-0000-000020350000}"/>
    <cellStyle name="Entrée 2 29" xfId="13599" xr:uid="{00000000-0005-0000-0000-000021350000}"/>
    <cellStyle name="Entrée 2 3" xfId="13600" xr:uid="{00000000-0005-0000-0000-000022350000}"/>
    <cellStyle name="Entrée 2 3 2" xfId="13601" xr:uid="{00000000-0005-0000-0000-000023350000}"/>
    <cellStyle name="Entrée 2 3 2 2" xfId="13602" xr:uid="{00000000-0005-0000-0000-000024350000}"/>
    <cellStyle name="Entrée 2 3 2 3" xfId="13603" xr:uid="{00000000-0005-0000-0000-000025350000}"/>
    <cellStyle name="Entrée 2 3 3" xfId="13604" xr:uid="{00000000-0005-0000-0000-000026350000}"/>
    <cellStyle name="Entrée 2 3 3 2" xfId="13605" xr:uid="{00000000-0005-0000-0000-000027350000}"/>
    <cellStyle name="Entrée 2 3 3 3" xfId="13606" xr:uid="{00000000-0005-0000-0000-000028350000}"/>
    <cellStyle name="Entrée 2 3 4" xfId="13607" xr:uid="{00000000-0005-0000-0000-000029350000}"/>
    <cellStyle name="Entrée 2 3 5" xfId="13608" xr:uid="{00000000-0005-0000-0000-00002A350000}"/>
    <cellStyle name="Entrée 2 30" xfId="13609" xr:uid="{00000000-0005-0000-0000-00002B350000}"/>
    <cellStyle name="Entrée 2 31" xfId="13610" xr:uid="{00000000-0005-0000-0000-00002C350000}"/>
    <cellStyle name="Entrée 2 32" xfId="13611" xr:uid="{00000000-0005-0000-0000-00002D350000}"/>
    <cellStyle name="Entrée 2 4" xfId="13612" xr:uid="{00000000-0005-0000-0000-00002E350000}"/>
    <cellStyle name="Entrée 2 4 2" xfId="13613" xr:uid="{00000000-0005-0000-0000-00002F350000}"/>
    <cellStyle name="Entrée 2 4 3" xfId="13614" xr:uid="{00000000-0005-0000-0000-000030350000}"/>
    <cellStyle name="Entrée 2 5" xfId="13615" xr:uid="{00000000-0005-0000-0000-000031350000}"/>
    <cellStyle name="Entrée 2 5 2" xfId="13616" xr:uid="{00000000-0005-0000-0000-000032350000}"/>
    <cellStyle name="Entrée 2 5 3" xfId="13617" xr:uid="{00000000-0005-0000-0000-000033350000}"/>
    <cellStyle name="Entrée 2 6" xfId="13618" xr:uid="{00000000-0005-0000-0000-000034350000}"/>
    <cellStyle name="Entrée 2 7" xfId="13619" xr:uid="{00000000-0005-0000-0000-000035350000}"/>
    <cellStyle name="Entrée 2 8" xfId="13620" xr:uid="{00000000-0005-0000-0000-000036350000}"/>
    <cellStyle name="Entrée 2 9" xfId="13621" xr:uid="{00000000-0005-0000-0000-000037350000}"/>
    <cellStyle name="entry box" xfId="13622" xr:uid="{00000000-0005-0000-0000-000038350000}"/>
    <cellStyle name="entry box 10" xfId="13623" xr:uid="{00000000-0005-0000-0000-000039350000}"/>
    <cellStyle name="entry box 11" xfId="13624" xr:uid="{00000000-0005-0000-0000-00003A350000}"/>
    <cellStyle name="entry box 12" xfId="13625" xr:uid="{00000000-0005-0000-0000-00003B350000}"/>
    <cellStyle name="entry box 13" xfId="13626" xr:uid="{00000000-0005-0000-0000-00003C350000}"/>
    <cellStyle name="entry box 14" xfId="13627" xr:uid="{00000000-0005-0000-0000-00003D350000}"/>
    <cellStyle name="entry box 15" xfId="13628" xr:uid="{00000000-0005-0000-0000-00003E350000}"/>
    <cellStyle name="entry box 16" xfId="13629" xr:uid="{00000000-0005-0000-0000-00003F350000}"/>
    <cellStyle name="entry box 17" xfId="13630" xr:uid="{00000000-0005-0000-0000-000040350000}"/>
    <cellStyle name="entry box 18" xfId="13631" xr:uid="{00000000-0005-0000-0000-000041350000}"/>
    <cellStyle name="entry box 19" xfId="13632" xr:uid="{00000000-0005-0000-0000-000042350000}"/>
    <cellStyle name="entry box 2" xfId="13633" xr:uid="{00000000-0005-0000-0000-000043350000}"/>
    <cellStyle name="entry box 2 10" xfId="13634" xr:uid="{00000000-0005-0000-0000-000044350000}"/>
    <cellStyle name="entry box 2 11" xfId="13635" xr:uid="{00000000-0005-0000-0000-000045350000}"/>
    <cellStyle name="entry box 2 12" xfId="13636" xr:uid="{00000000-0005-0000-0000-000046350000}"/>
    <cellStyle name="entry box 2 13" xfId="13637" xr:uid="{00000000-0005-0000-0000-000047350000}"/>
    <cellStyle name="entry box 2 14" xfId="13638" xr:uid="{00000000-0005-0000-0000-000048350000}"/>
    <cellStyle name="entry box 2 15" xfId="13639" xr:uid="{00000000-0005-0000-0000-000049350000}"/>
    <cellStyle name="entry box 2 16" xfId="13640" xr:uid="{00000000-0005-0000-0000-00004A350000}"/>
    <cellStyle name="entry box 2 17" xfId="13641" xr:uid="{00000000-0005-0000-0000-00004B350000}"/>
    <cellStyle name="entry box 2 18" xfId="13642" xr:uid="{00000000-0005-0000-0000-00004C350000}"/>
    <cellStyle name="entry box 2 19" xfId="13643" xr:uid="{00000000-0005-0000-0000-00004D350000}"/>
    <cellStyle name="entry box 2 2" xfId="13644" xr:uid="{00000000-0005-0000-0000-00004E350000}"/>
    <cellStyle name="entry box 2 2 10" xfId="13645" xr:uid="{00000000-0005-0000-0000-00004F350000}"/>
    <cellStyle name="entry box 2 2 11" xfId="13646" xr:uid="{00000000-0005-0000-0000-000050350000}"/>
    <cellStyle name="entry box 2 2 12" xfId="13647" xr:uid="{00000000-0005-0000-0000-000051350000}"/>
    <cellStyle name="entry box 2 2 13" xfId="13648" xr:uid="{00000000-0005-0000-0000-000052350000}"/>
    <cellStyle name="entry box 2 2 14" xfId="13649" xr:uid="{00000000-0005-0000-0000-000053350000}"/>
    <cellStyle name="entry box 2 2 15" xfId="13650" xr:uid="{00000000-0005-0000-0000-000054350000}"/>
    <cellStyle name="entry box 2 2 16" xfId="13651" xr:uid="{00000000-0005-0000-0000-000055350000}"/>
    <cellStyle name="entry box 2 2 17" xfId="13652" xr:uid="{00000000-0005-0000-0000-000056350000}"/>
    <cellStyle name="entry box 2 2 18" xfId="13653" xr:uid="{00000000-0005-0000-0000-000057350000}"/>
    <cellStyle name="entry box 2 2 19" xfId="13654" xr:uid="{00000000-0005-0000-0000-000058350000}"/>
    <cellStyle name="entry box 2 2 2" xfId="13655" xr:uid="{00000000-0005-0000-0000-000059350000}"/>
    <cellStyle name="entry box 2 2 2 10" xfId="13656" xr:uid="{00000000-0005-0000-0000-00005A350000}"/>
    <cellStyle name="entry box 2 2 2 11" xfId="13657" xr:uid="{00000000-0005-0000-0000-00005B350000}"/>
    <cellStyle name="entry box 2 2 2 12" xfId="13658" xr:uid="{00000000-0005-0000-0000-00005C350000}"/>
    <cellStyle name="entry box 2 2 2 13" xfId="13659" xr:uid="{00000000-0005-0000-0000-00005D350000}"/>
    <cellStyle name="entry box 2 2 2 14" xfId="13660" xr:uid="{00000000-0005-0000-0000-00005E350000}"/>
    <cellStyle name="entry box 2 2 2 15" xfId="13661" xr:uid="{00000000-0005-0000-0000-00005F350000}"/>
    <cellStyle name="entry box 2 2 2 16" xfId="13662" xr:uid="{00000000-0005-0000-0000-000060350000}"/>
    <cellStyle name="entry box 2 2 2 17" xfId="13663" xr:uid="{00000000-0005-0000-0000-000061350000}"/>
    <cellStyle name="entry box 2 2 2 18" xfId="13664" xr:uid="{00000000-0005-0000-0000-000062350000}"/>
    <cellStyle name="entry box 2 2 2 19" xfId="13665" xr:uid="{00000000-0005-0000-0000-000063350000}"/>
    <cellStyle name="entry box 2 2 2 2" xfId="13666" xr:uid="{00000000-0005-0000-0000-000064350000}"/>
    <cellStyle name="entry box 2 2 2 2 2" xfId="13667" xr:uid="{00000000-0005-0000-0000-000065350000}"/>
    <cellStyle name="entry box 2 2 2 2 3" xfId="13668" xr:uid="{00000000-0005-0000-0000-000066350000}"/>
    <cellStyle name="entry box 2 2 2 20" xfId="13669" xr:uid="{00000000-0005-0000-0000-000067350000}"/>
    <cellStyle name="entry box 2 2 2 21" xfId="13670" xr:uid="{00000000-0005-0000-0000-000068350000}"/>
    <cellStyle name="entry box 2 2 2 22" xfId="13671" xr:uid="{00000000-0005-0000-0000-000069350000}"/>
    <cellStyle name="entry box 2 2 2 23" xfId="13672" xr:uid="{00000000-0005-0000-0000-00006A350000}"/>
    <cellStyle name="entry box 2 2 2 24" xfId="13673" xr:uid="{00000000-0005-0000-0000-00006B350000}"/>
    <cellStyle name="entry box 2 2 2 25" xfId="13674" xr:uid="{00000000-0005-0000-0000-00006C350000}"/>
    <cellStyle name="entry box 2 2 2 3" xfId="13675" xr:uid="{00000000-0005-0000-0000-00006D350000}"/>
    <cellStyle name="entry box 2 2 2 4" xfId="13676" xr:uid="{00000000-0005-0000-0000-00006E350000}"/>
    <cellStyle name="entry box 2 2 2 5" xfId="13677" xr:uid="{00000000-0005-0000-0000-00006F350000}"/>
    <cellStyle name="entry box 2 2 2 6" xfId="13678" xr:uid="{00000000-0005-0000-0000-000070350000}"/>
    <cellStyle name="entry box 2 2 2 7" xfId="13679" xr:uid="{00000000-0005-0000-0000-000071350000}"/>
    <cellStyle name="entry box 2 2 2 8" xfId="13680" xr:uid="{00000000-0005-0000-0000-000072350000}"/>
    <cellStyle name="entry box 2 2 2 9" xfId="13681" xr:uid="{00000000-0005-0000-0000-000073350000}"/>
    <cellStyle name="entry box 2 2 20" xfId="13682" xr:uid="{00000000-0005-0000-0000-000074350000}"/>
    <cellStyle name="entry box 2 2 21" xfId="13683" xr:uid="{00000000-0005-0000-0000-000075350000}"/>
    <cellStyle name="entry box 2 2 22" xfId="13684" xr:uid="{00000000-0005-0000-0000-000076350000}"/>
    <cellStyle name="entry box 2 2 23" xfId="13685" xr:uid="{00000000-0005-0000-0000-000077350000}"/>
    <cellStyle name="entry box 2 2 24" xfId="13686" xr:uid="{00000000-0005-0000-0000-000078350000}"/>
    <cellStyle name="entry box 2 2 25" xfId="13687" xr:uid="{00000000-0005-0000-0000-000079350000}"/>
    <cellStyle name="entry box 2 2 26" xfId="13688" xr:uid="{00000000-0005-0000-0000-00007A350000}"/>
    <cellStyle name="entry box 2 2 27" xfId="13689" xr:uid="{00000000-0005-0000-0000-00007B350000}"/>
    <cellStyle name="entry box 2 2 28" xfId="13690" xr:uid="{00000000-0005-0000-0000-00007C350000}"/>
    <cellStyle name="entry box 2 2 29" xfId="13691" xr:uid="{00000000-0005-0000-0000-00007D350000}"/>
    <cellStyle name="entry box 2 2 3" xfId="13692" xr:uid="{00000000-0005-0000-0000-00007E350000}"/>
    <cellStyle name="entry box 2 2 3 2" xfId="13693" xr:uid="{00000000-0005-0000-0000-00007F350000}"/>
    <cellStyle name="entry box 2 2 3 2 2" xfId="13694" xr:uid="{00000000-0005-0000-0000-000080350000}"/>
    <cellStyle name="entry box 2 2 3 2 3" xfId="13695" xr:uid="{00000000-0005-0000-0000-000081350000}"/>
    <cellStyle name="entry box 2 2 3 3" xfId="13696" xr:uid="{00000000-0005-0000-0000-000082350000}"/>
    <cellStyle name="entry box 2 2 3 3 2" xfId="13697" xr:uid="{00000000-0005-0000-0000-000083350000}"/>
    <cellStyle name="entry box 2 2 3 3 3" xfId="13698" xr:uid="{00000000-0005-0000-0000-000084350000}"/>
    <cellStyle name="entry box 2 2 3 4" xfId="13699" xr:uid="{00000000-0005-0000-0000-000085350000}"/>
    <cellStyle name="entry box 2 2 3 5" xfId="13700" xr:uid="{00000000-0005-0000-0000-000086350000}"/>
    <cellStyle name="entry box 2 2 30" xfId="13701" xr:uid="{00000000-0005-0000-0000-000087350000}"/>
    <cellStyle name="entry box 2 2 31" xfId="13702" xr:uid="{00000000-0005-0000-0000-000088350000}"/>
    <cellStyle name="entry box 2 2 32" xfId="13703" xr:uid="{00000000-0005-0000-0000-000089350000}"/>
    <cellStyle name="entry box 2 2 33" xfId="13704" xr:uid="{00000000-0005-0000-0000-00008A350000}"/>
    <cellStyle name="entry box 2 2 34" xfId="13705" xr:uid="{00000000-0005-0000-0000-00008B350000}"/>
    <cellStyle name="entry box 2 2 35" xfId="13706" xr:uid="{00000000-0005-0000-0000-00008C350000}"/>
    <cellStyle name="entry box 2 2 36" xfId="13707" xr:uid="{00000000-0005-0000-0000-00008D350000}"/>
    <cellStyle name="entry box 2 2 4" xfId="13708" xr:uid="{00000000-0005-0000-0000-00008E350000}"/>
    <cellStyle name="entry box 2 2 4 2" xfId="13709" xr:uid="{00000000-0005-0000-0000-00008F350000}"/>
    <cellStyle name="entry box 2 2 4 2 2" xfId="13710" xr:uid="{00000000-0005-0000-0000-000090350000}"/>
    <cellStyle name="entry box 2 2 4 2 3" xfId="13711" xr:uid="{00000000-0005-0000-0000-000091350000}"/>
    <cellStyle name="entry box 2 2 4 3" xfId="13712" xr:uid="{00000000-0005-0000-0000-000092350000}"/>
    <cellStyle name="entry box 2 2 4 3 2" xfId="13713" xr:uid="{00000000-0005-0000-0000-000093350000}"/>
    <cellStyle name="entry box 2 2 4 3 3" xfId="13714" xr:uid="{00000000-0005-0000-0000-000094350000}"/>
    <cellStyle name="entry box 2 2 4 4" xfId="13715" xr:uid="{00000000-0005-0000-0000-000095350000}"/>
    <cellStyle name="entry box 2 2 4 5" xfId="13716" xr:uid="{00000000-0005-0000-0000-000096350000}"/>
    <cellStyle name="entry box 2 2 5" xfId="13717" xr:uid="{00000000-0005-0000-0000-000097350000}"/>
    <cellStyle name="entry box 2 2 5 2" xfId="13718" xr:uid="{00000000-0005-0000-0000-000098350000}"/>
    <cellStyle name="entry box 2 2 5 3" xfId="13719" xr:uid="{00000000-0005-0000-0000-000099350000}"/>
    <cellStyle name="entry box 2 2 6" xfId="13720" xr:uid="{00000000-0005-0000-0000-00009A350000}"/>
    <cellStyle name="entry box 2 2 7" xfId="13721" xr:uid="{00000000-0005-0000-0000-00009B350000}"/>
    <cellStyle name="entry box 2 2 8" xfId="13722" xr:uid="{00000000-0005-0000-0000-00009C350000}"/>
    <cellStyle name="entry box 2 2 9" xfId="13723" xr:uid="{00000000-0005-0000-0000-00009D350000}"/>
    <cellStyle name="entry box 2 20" xfId="13724" xr:uid="{00000000-0005-0000-0000-00009E350000}"/>
    <cellStyle name="entry box 2 21" xfId="13725" xr:uid="{00000000-0005-0000-0000-00009F350000}"/>
    <cellStyle name="entry box 2 22" xfId="13726" xr:uid="{00000000-0005-0000-0000-0000A0350000}"/>
    <cellStyle name="entry box 2 23" xfId="13727" xr:uid="{00000000-0005-0000-0000-0000A1350000}"/>
    <cellStyle name="entry box 2 24" xfId="13728" xr:uid="{00000000-0005-0000-0000-0000A2350000}"/>
    <cellStyle name="entry box 2 25" xfId="13729" xr:uid="{00000000-0005-0000-0000-0000A3350000}"/>
    <cellStyle name="entry box 2 26" xfId="13730" xr:uid="{00000000-0005-0000-0000-0000A4350000}"/>
    <cellStyle name="entry box 2 27" xfId="13731" xr:uid="{00000000-0005-0000-0000-0000A5350000}"/>
    <cellStyle name="entry box 2 28" xfId="13732" xr:uid="{00000000-0005-0000-0000-0000A6350000}"/>
    <cellStyle name="entry box 2 29" xfId="13733" xr:uid="{00000000-0005-0000-0000-0000A7350000}"/>
    <cellStyle name="entry box 2 3" xfId="13734" xr:uid="{00000000-0005-0000-0000-0000A8350000}"/>
    <cellStyle name="entry box 2 3 10" xfId="13735" xr:uid="{00000000-0005-0000-0000-0000A9350000}"/>
    <cellStyle name="entry box 2 3 11" xfId="13736" xr:uid="{00000000-0005-0000-0000-0000AA350000}"/>
    <cellStyle name="entry box 2 3 12" xfId="13737" xr:uid="{00000000-0005-0000-0000-0000AB350000}"/>
    <cellStyle name="entry box 2 3 13" xfId="13738" xr:uid="{00000000-0005-0000-0000-0000AC350000}"/>
    <cellStyle name="entry box 2 3 14" xfId="13739" xr:uid="{00000000-0005-0000-0000-0000AD350000}"/>
    <cellStyle name="entry box 2 3 15" xfId="13740" xr:uid="{00000000-0005-0000-0000-0000AE350000}"/>
    <cellStyle name="entry box 2 3 16" xfId="13741" xr:uid="{00000000-0005-0000-0000-0000AF350000}"/>
    <cellStyle name="entry box 2 3 17" xfId="13742" xr:uid="{00000000-0005-0000-0000-0000B0350000}"/>
    <cellStyle name="entry box 2 3 18" xfId="13743" xr:uid="{00000000-0005-0000-0000-0000B1350000}"/>
    <cellStyle name="entry box 2 3 19" xfId="13744" xr:uid="{00000000-0005-0000-0000-0000B2350000}"/>
    <cellStyle name="entry box 2 3 2" xfId="13745" xr:uid="{00000000-0005-0000-0000-0000B3350000}"/>
    <cellStyle name="entry box 2 3 2 2" xfId="13746" xr:uid="{00000000-0005-0000-0000-0000B4350000}"/>
    <cellStyle name="entry box 2 3 2 3" xfId="13747" xr:uid="{00000000-0005-0000-0000-0000B5350000}"/>
    <cellStyle name="entry box 2 3 20" xfId="13748" xr:uid="{00000000-0005-0000-0000-0000B6350000}"/>
    <cellStyle name="entry box 2 3 21" xfId="13749" xr:uid="{00000000-0005-0000-0000-0000B7350000}"/>
    <cellStyle name="entry box 2 3 22" xfId="13750" xr:uid="{00000000-0005-0000-0000-0000B8350000}"/>
    <cellStyle name="entry box 2 3 23" xfId="13751" xr:uid="{00000000-0005-0000-0000-0000B9350000}"/>
    <cellStyle name="entry box 2 3 24" xfId="13752" xr:uid="{00000000-0005-0000-0000-0000BA350000}"/>
    <cellStyle name="entry box 2 3 25" xfId="13753" xr:uid="{00000000-0005-0000-0000-0000BB350000}"/>
    <cellStyle name="entry box 2 3 3" xfId="13754" xr:uid="{00000000-0005-0000-0000-0000BC350000}"/>
    <cellStyle name="entry box 2 3 4" xfId="13755" xr:uid="{00000000-0005-0000-0000-0000BD350000}"/>
    <cellStyle name="entry box 2 3 5" xfId="13756" xr:uid="{00000000-0005-0000-0000-0000BE350000}"/>
    <cellStyle name="entry box 2 3 6" xfId="13757" xr:uid="{00000000-0005-0000-0000-0000BF350000}"/>
    <cellStyle name="entry box 2 3 7" xfId="13758" xr:uid="{00000000-0005-0000-0000-0000C0350000}"/>
    <cellStyle name="entry box 2 3 8" xfId="13759" xr:uid="{00000000-0005-0000-0000-0000C1350000}"/>
    <cellStyle name="entry box 2 3 9" xfId="13760" xr:uid="{00000000-0005-0000-0000-0000C2350000}"/>
    <cellStyle name="entry box 2 30" xfId="13761" xr:uid="{00000000-0005-0000-0000-0000C3350000}"/>
    <cellStyle name="entry box 2 31" xfId="13762" xr:uid="{00000000-0005-0000-0000-0000C4350000}"/>
    <cellStyle name="entry box 2 32" xfId="13763" xr:uid="{00000000-0005-0000-0000-0000C5350000}"/>
    <cellStyle name="entry box 2 33" xfId="13764" xr:uid="{00000000-0005-0000-0000-0000C6350000}"/>
    <cellStyle name="entry box 2 34" xfId="13765" xr:uid="{00000000-0005-0000-0000-0000C7350000}"/>
    <cellStyle name="entry box 2 35" xfId="13766" xr:uid="{00000000-0005-0000-0000-0000C8350000}"/>
    <cellStyle name="entry box 2 36" xfId="13767" xr:uid="{00000000-0005-0000-0000-0000C9350000}"/>
    <cellStyle name="entry box 2 37" xfId="13768" xr:uid="{00000000-0005-0000-0000-0000CA350000}"/>
    <cellStyle name="entry box 2 4" xfId="13769" xr:uid="{00000000-0005-0000-0000-0000CB350000}"/>
    <cellStyle name="entry box 2 4 2" xfId="13770" xr:uid="{00000000-0005-0000-0000-0000CC350000}"/>
    <cellStyle name="entry box 2 4 2 2" xfId="13771" xr:uid="{00000000-0005-0000-0000-0000CD350000}"/>
    <cellStyle name="entry box 2 4 2 3" xfId="13772" xr:uid="{00000000-0005-0000-0000-0000CE350000}"/>
    <cellStyle name="entry box 2 4 3" xfId="13773" xr:uid="{00000000-0005-0000-0000-0000CF350000}"/>
    <cellStyle name="entry box 2 4 3 2" xfId="13774" xr:uid="{00000000-0005-0000-0000-0000D0350000}"/>
    <cellStyle name="entry box 2 4 3 3" xfId="13775" xr:uid="{00000000-0005-0000-0000-0000D1350000}"/>
    <cellStyle name="entry box 2 4 4" xfId="13776" xr:uid="{00000000-0005-0000-0000-0000D2350000}"/>
    <cellStyle name="entry box 2 4 5" xfId="13777" xr:uid="{00000000-0005-0000-0000-0000D3350000}"/>
    <cellStyle name="entry box 2 5" xfId="13778" xr:uid="{00000000-0005-0000-0000-0000D4350000}"/>
    <cellStyle name="entry box 2 5 2" xfId="13779" xr:uid="{00000000-0005-0000-0000-0000D5350000}"/>
    <cellStyle name="entry box 2 5 2 2" xfId="13780" xr:uid="{00000000-0005-0000-0000-0000D6350000}"/>
    <cellStyle name="entry box 2 5 2 3" xfId="13781" xr:uid="{00000000-0005-0000-0000-0000D7350000}"/>
    <cellStyle name="entry box 2 5 3" xfId="13782" xr:uid="{00000000-0005-0000-0000-0000D8350000}"/>
    <cellStyle name="entry box 2 5 3 2" xfId="13783" xr:uid="{00000000-0005-0000-0000-0000D9350000}"/>
    <cellStyle name="entry box 2 5 3 3" xfId="13784" xr:uid="{00000000-0005-0000-0000-0000DA350000}"/>
    <cellStyle name="entry box 2 5 4" xfId="13785" xr:uid="{00000000-0005-0000-0000-0000DB350000}"/>
    <cellStyle name="entry box 2 5 5" xfId="13786" xr:uid="{00000000-0005-0000-0000-0000DC350000}"/>
    <cellStyle name="entry box 2 6" xfId="13787" xr:uid="{00000000-0005-0000-0000-0000DD350000}"/>
    <cellStyle name="entry box 2 6 2" xfId="13788" xr:uid="{00000000-0005-0000-0000-0000DE350000}"/>
    <cellStyle name="entry box 2 6 3" xfId="13789" xr:uid="{00000000-0005-0000-0000-0000DF350000}"/>
    <cellStyle name="entry box 2 7" xfId="13790" xr:uid="{00000000-0005-0000-0000-0000E0350000}"/>
    <cellStyle name="entry box 2 8" xfId="13791" xr:uid="{00000000-0005-0000-0000-0000E1350000}"/>
    <cellStyle name="entry box 2 9" xfId="13792" xr:uid="{00000000-0005-0000-0000-0000E2350000}"/>
    <cellStyle name="entry box 20" xfId="13793" xr:uid="{00000000-0005-0000-0000-0000E3350000}"/>
    <cellStyle name="entry box 21" xfId="13794" xr:uid="{00000000-0005-0000-0000-0000E4350000}"/>
    <cellStyle name="entry box 22" xfId="13795" xr:uid="{00000000-0005-0000-0000-0000E5350000}"/>
    <cellStyle name="entry box 23" xfId="13796" xr:uid="{00000000-0005-0000-0000-0000E6350000}"/>
    <cellStyle name="entry box 24" xfId="13797" xr:uid="{00000000-0005-0000-0000-0000E7350000}"/>
    <cellStyle name="entry box 25" xfId="13798" xr:uid="{00000000-0005-0000-0000-0000E8350000}"/>
    <cellStyle name="entry box 26" xfId="13799" xr:uid="{00000000-0005-0000-0000-0000E9350000}"/>
    <cellStyle name="entry box 27" xfId="13800" xr:uid="{00000000-0005-0000-0000-0000EA350000}"/>
    <cellStyle name="entry box 28" xfId="13801" xr:uid="{00000000-0005-0000-0000-0000EB350000}"/>
    <cellStyle name="entry box 29" xfId="13802" xr:uid="{00000000-0005-0000-0000-0000EC350000}"/>
    <cellStyle name="entry box 3" xfId="13803" xr:uid="{00000000-0005-0000-0000-0000ED350000}"/>
    <cellStyle name="entry box 3 10" xfId="13804" xr:uid="{00000000-0005-0000-0000-0000EE350000}"/>
    <cellStyle name="entry box 3 11" xfId="13805" xr:uid="{00000000-0005-0000-0000-0000EF350000}"/>
    <cellStyle name="entry box 3 12" xfId="13806" xr:uid="{00000000-0005-0000-0000-0000F0350000}"/>
    <cellStyle name="entry box 3 13" xfId="13807" xr:uid="{00000000-0005-0000-0000-0000F1350000}"/>
    <cellStyle name="entry box 3 14" xfId="13808" xr:uid="{00000000-0005-0000-0000-0000F2350000}"/>
    <cellStyle name="entry box 3 15" xfId="13809" xr:uid="{00000000-0005-0000-0000-0000F3350000}"/>
    <cellStyle name="entry box 3 16" xfId="13810" xr:uid="{00000000-0005-0000-0000-0000F4350000}"/>
    <cellStyle name="entry box 3 17" xfId="13811" xr:uid="{00000000-0005-0000-0000-0000F5350000}"/>
    <cellStyle name="entry box 3 18" xfId="13812" xr:uid="{00000000-0005-0000-0000-0000F6350000}"/>
    <cellStyle name="entry box 3 19" xfId="13813" xr:uid="{00000000-0005-0000-0000-0000F7350000}"/>
    <cellStyle name="entry box 3 2" xfId="13814" xr:uid="{00000000-0005-0000-0000-0000F8350000}"/>
    <cellStyle name="entry box 3 2 10" xfId="13815" xr:uid="{00000000-0005-0000-0000-0000F9350000}"/>
    <cellStyle name="entry box 3 2 11" xfId="13816" xr:uid="{00000000-0005-0000-0000-0000FA350000}"/>
    <cellStyle name="entry box 3 2 12" xfId="13817" xr:uid="{00000000-0005-0000-0000-0000FB350000}"/>
    <cellStyle name="entry box 3 2 13" xfId="13818" xr:uid="{00000000-0005-0000-0000-0000FC350000}"/>
    <cellStyle name="entry box 3 2 14" xfId="13819" xr:uid="{00000000-0005-0000-0000-0000FD350000}"/>
    <cellStyle name="entry box 3 2 15" xfId="13820" xr:uid="{00000000-0005-0000-0000-0000FE350000}"/>
    <cellStyle name="entry box 3 2 16" xfId="13821" xr:uid="{00000000-0005-0000-0000-0000FF350000}"/>
    <cellStyle name="entry box 3 2 17" xfId="13822" xr:uid="{00000000-0005-0000-0000-000000360000}"/>
    <cellStyle name="entry box 3 2 18" xfId="13823" xr:uid="{00000000-0005-0000-0000-000001360000}"/>
    <cellStyle name="entry box 3 2 19" xfId="13824" xr:uid="{00000000-0005-0000-0000-000002360000}"/>
    <cellStyle name="entry box 3 2 2" xfId="13825" xr:uid="{00000000-0005-0000-0000-000003360000}"/>
    <cellStyle name="entry box 3 2 2 2" xfId="13826" xr:uid="{00000000-0005-0000-0000-000004360000}"/>
    <cellStyle name="entry box 3 2 2 3" xfId="13827" xr:uid="{00000000-0005-0000-0000-000005360000}"/>
    <cellStyle name="entry box 3 2 20" xfId="13828" xr:uid="{00000000-0005-0000-0000-000006360000}"/>
    <cellStyle name="entry box 3 2 21" xfId="13829" xr:uid="{00000000-0005-0000-0000-000007360000}"/>
    <cellStyle name="entry box 3 2 22" xfId="13830" xr:uid="{00000000-0005-0000-0000-000008360000}"/>
    <cellStyle name="entry box 3 2 23" xfId="13831" xr:uid="{00000000-0005-0000-0000-000009360000}"/>
    <cellStyle name="entry box 3 2 24" xfId="13832" xr:uid="{00000000-0005-0000-0000-00000A360000}"/>
    <cellStyle name="entry box 3 2 25" xfId="13833" xr:uid="{00000000-0005-0000-0000-00000B360000}"/>
    <cellStyle name="entry box 3 2 3" xfId="13834" xr:uid="{00000000-0005-0000-0000-00000C360000}"/>
    <cellStyle name="entry box 3 2 4" xfId="13835" xr:uid="{00000000-0005-0000-0000-00000D360000}"/>
    <cellStyle name="entry box 3 2 5" xfId="13836" xr:uid="{00000000-0005-0000-0000-00000E360000}"/>
    <cellStyle name="entry box 3 2 6" xfId="13837" xr:uid="{00000000-0005-0000-0000-00000F360000}"/>
    <cellStyle name="entry box 3 2 7" xfId="13838" xr:uid="{00000000-0005-0000-0000-000010360000}"/>
    <cellStyle name="entry box 3 2 8" xfId="13839" xr:uid="{00000000-0005-0000-0000-000011360000}"/>
    <cellStyle name="entry box 3 2 9" xfId="13840" xr:uid="{00000000-0005-0000-0000-000012360000}"/>
    <cellStyle name="entry box 3 20" xfId="13841" xr:uid="{00000000-0005-0000-0000-000013360000}"/>
    <cellStyle name="entry box 3 21" xfId="13842" xr:uid="{00000000-0005-0000-0000-000014360000}"/>
    <cellStyle name="entry box 3 22" xfId="13843" xr:uid="{00000000-0005-0000-0000-000015360000}"/>
    <cellStyle name="entry box 3 23" xfId="13844" xr:uid="{00000000-0005-0000-0000-000016360000}"/>
    <cellStyle name="entry box 3 24" xfId="13845" xr:uid="{00000000-0005-0000-0000-000017360000}"/>
    <cellStyle name="entry box 3 25" xfId="13846" xr:uid="{00000000-0005-0000-0000-000018360000}"/>
    <cellStyle name="entry box 3 26" xfId="13847" xr:uid="{00000000-0005-0000-0000-000019360000}"/>
    <cellStyle name="entry box 3 27" xfId="13848" xr:uid="{00000000-0005-0000-0000-00001A360000}"/>
    <cellStyle name="entry box 3 28" xfId="13849" xr:uid="{00000000-0005-0000-0000-00001B360000}"/>
    <cellStyle name="entry box 3 29" xfId="13850" xr:uid="{00000000-0005-0000-0000-00001C360000}"/>
    <cellStyle name="entry box 3 3" xfId="13851" xr:uid="{00000000-0005-0000-0000-00001D360000}"/>
    <cellStyle name="entry box 3 3 2" xfId="13852" xr:uid="{00000000-0005-0000-0000-00001E360000}"/>
    <cellStyle name="entry box 3 3 2 2" xfId="13853" xr:uid="{00000000-0005-0000-0000-00001F360000}"/>
    <cellStyle name="entry box 3 3 2 3" xfId="13854" xr:uid="{00000000-0005-0000-0000-000020360000}"/>
    <cellStyle name="entry box 3 3 3" xfId="13855" xr:uid="{00000000-0005-0000-0000-000021360000}"/>
    <cellStyle name="entry box 3 3 3 2" xfId="13856" xr:uid="{00000000-0005-0000-0000-000022360000}"/>
    <cellStyle name="entry box 3 3 3 3" xfId="13857" xr:uid="{00000000-0005-0000-0000-000023360000}"/>
    <cellStyle name="entry box 3 3 4" xfId="13858" xr:uid="{00000000-0005-0000-0000-000024360000}"/>
    <cellStyle name="entry box 3 3 5" xfId="13859" xr:uid="{00000000-0005-0000-0000-000025360000}"/>
    <cellStyle name="entry box 3 30" xfId="13860" xr:uid="{00000000-0005-0000-0000-000026360000}"/>
    <cellStyle name="entry box 3 31" xfId="13861" xr:uid="{00000000-0005-0000-0000-000027360000}"/>
    <cellStyle name="entry box 3 32" xfId="13862" xr:uid="{00000000-0005-0000-0000-000028360000}"/>
    <cellStyle name="entry box 3 33" xfId="13863" xr:uid="{00000000-0005-0000-0000-000029360000}"/>
    <cellStyle name="entry box 3 34" xfId="13864" xr:uid="{00000000-0005-0000-0000-00002A360000}"/>
    <cellStyle name="entry box 3 35" xfId="13865" xr:uid="{00000000-0005-0000-0000-00002B360000}"/>
    <cellStyle name="entry box 3 36" xfId="13866" xr:uid="{00000000-0005-0000-0000-00002C360000}"/>
    <cellStyle name="entry box 3 4" xfId="13867" xr:uid="{00000000-0005-0000-0000-00002D360000}"/>
    <cellStyle name="entry box 3 4 2" xfId="13868" xr:uid="{00000000-0005-0000-0000-00002E360000}"/>
    <cellStyle name="entry box 3 4 2 2" xfId="13869" xr:uid="{00000000-0005-0000-0000-00002F360000}"/>
    <cellStyle name="entry box 3 4 2 3" xfId="13870" xr:uid="{00000000-0005-0000-0000-000030360000}"/>
    <cellStyle name="entry box 3 4 3" xfId="13871" xr:uid="{00000000-0005-0000-0000-000031360000}"/>
    <cellStyle name="entry box 3 4 3 2" xfId="13872" xr:uid="{00000000-0005-0000-0000-000032360000}"/>
    <cellStyle name="entry box 3 4 3 3" xfId="13873" xr:uid="{00000000-0005-0000-0000-000033360000}"/>
    <cellStyle name="entry box 3 4 4" xfId="13874" xr:uid="{00000000-0005-0000-0000-000034360000}"/>
    <cellStyle name="entry box 3 4 5" xfId="13875" xr:uid="{00000000-0005-0000-0000-000035360000}"/>
    <cellStyle name="entry box 3 5" xfId="13876" xr:uid="{00000000-0005-0000-0000-000036360000}"/>
    <cellStyle name="entry box 3 5 2" xfId="13877" xr:uid="{00000000-0005-0000-0000-000037360000}"/>
    <cellStyle name="entry box 3 5 3" xfId="13878" xr:uid="{00000000-0005-0000-0000-000038360000}"/>
    <cellStyle name="entry box 3 6" xfId="13879" xr:uid="{00000000-0005-0000-0000-000039360000}"/>
    <cellStyle name="entry box 3 7" xfId="13880" xr:uid="{00000000-0005-0000-0000-00003A360000}"/>
    <cellStyle name="entry box 3 8" xfId="13881" xr:uid="{00000000-0005-0000-0000-00003B360000}"/>
    <cellStyle name="entry box 3 9" xfId="13882" xr:uid="{00000000-0005-0000-0000-00003C360000}"/>
    <cellStyle name="entry box 30" xfId="13883" xr:uid="{00000000-0005-0000-0000-00003D360000}"/>
    <cellStyle name="entry box 31" xfId="13884" xr:uid="{00000000-0005-0000-0000-00003E360000}"/>
    <cellStyle name="entry box 32" xfId="13885" xr:uid="{00000000-0005-0000-0000-00003F360000}"/>
    <cellStyle name="entry box 33" xfId="13886" xr:uid="{00000000-0005-0000-0000-000040360000}"/>
    <cellStyle name="entry box 34" xfId="13887" xr:uid="{00000000-0005-0000-0000-000041360000}"/>
    <cellStyle name="entry box 35" xfId="13888" xr:uid="{00000000-0005-0000-0000-000042360000}"/>
    <cellStyle name="entry box 36" xfId="13889" xr:uid="{00000000-0005-0000-0000-000043360000}"/>
    <cellStyle name="entry box 37" xfId="13890" xr:uid="{00000000-0005-0000-0000-000044360000}"/>
    <cellStyle name="entry box 38" xfId="13891" xr:uid="{00000000-0005-0000-0000-000045360000}"/>
    <cellStyle name="entry box 4" xfId="13892" xr:uid="{00000000-0005-0000-0000-000046360000}"/>
    <cellStyle name="entry box 4 10" xfId="13893" xr:uid="{00000000-0005-0000-0000-000047360000}"/>
    <cellStyle name="entry box 4 11" xfId="13894" xr:uid="{00000000-0005-0000-0000-000048360000}"/>
    <cellStyle name="entry box 4 12" xfId="13895" xr:uid="{00000000-0005-0000-0000-000049360000}"/>
    <cellStyle name="entry box 4 13" xfId="13896" xr:uid="{00000000-0005-0000-0000-00004A360000}"/>
    <cellStyle name="entry box 4 14" xfId="13897" xr:uid="{00000000-0005-0000-0000-00004B360000}"/>
    <cellStyle name="entry box 4 15" xfId="13898" xr:uid="{00000000-0005-0000-0000-00004C360000}"/>
    <cellStyle name="entry box 4 16" xfId="13899" xr:uid="{00000000-0005-0000-0000-00004D360000}"/>
    <cellStyle name="entry box 4 17" xfId="13900" xr:uid="{00000000-0005-0000-0000-00004E360000}"/>
    <cellStyle name="entry box 4 18" xfId="13901" xr:uid="{00000000-0005-0000-0000-00004F360000}"/>
    <cellStyle name="entry box 4 19" xfId="13902" xr:uid="{00000000-0005-0000-0000-000050360000}"/>
    <cellStyle name="entry box 4 2" xfId="13903" xr:uid="{00000000-0005-0000-0000-000051360000}"/>
    <cellStyle name="entry box 4 2 2" xfId="13904" xr:uid="{00000000-0005-0000-0000-000052360000}"/>
    <cellStyle name="entry box 4 2 3" xfId="13905" xr:uid="{00000000-0005-0000-0000-000053360000}"/>
    <cellStyle name="entry box 4 20" xfId="13906" xr:uid="{00000000-0005-0000-0000-000054360000}"/>
    <cellStyle name="entry box 4 21" xfId="13907" xr:uid="{00000000-0005-0000-0000-000055360000}"/>
    <cellStyle name="entry box 4 22" xfId="13908" xr:uid="{00000000-0005-0000-0000-000056360000}"/>
    <cellStyle name="entry box 4 23" xfId="13909" xr:uid="{00000000-0005-0000-0000-000057360000}"/>
    <cellStyle name="entry box 4 24" xfId="13910" xr:uid="{00000000-0005-0000-0000-000058360000}"/>
    <cellStyle name="entry box 4 25" xfId="13911" xr:uid="{00000000-0005-0000-0000-000059360000}"/>
    <cellStyle name="entry box 4 3" xfId="13912" xr:uid="{00000000-0005-0000-0000-00005A360000}"/>
    <cellStyle name="entry box 4 4" xfId="13913" xr:uid="{00000000-0005-0000-0000-00005B360000}"/>
    <cellStyle name="entry box 4 5" xfId="13914" xr:uid="{00000000-0005-0000-0000-00005C360000}"/>
    <cellStyle name="entry box 4 6" xfId="13915" xr:uid="{00000000-0005-0000-0000-00005D360000}"/>
    <cellStyle name="entry box 4 7" xfId="13916" xr:uid="{00000000-0005-0000-0000-00005E360000}"/>
    <cellStyle name="entry box 4 8" xfId="13917" xr:uid="{00000000-0005-0000-0000-00005F360000}"/>
    <cellStyle name="entry box 4 9" xfId="13918" xr:uid="{00000000-0005-0000-0000-000060360000}"/>
    <cellStyle name="entry box 5" xfId="13919" xr:uid="{00000000-0005-0000-0000-000061360000}"/>
    <cellStyle name="entry box 5 2" xfId="13920" xr:uid="{00000000-0005-0000-0000-000062360000}"/>
    <cellStyle name="entry box 5 2 2" xfId="13921" xr:uid="{00000000-0005-0000-0000-000063360000}"/>
    <cellStyle name="entry box 5 2 3" xfId="13922" xr:uid="{00000000-0005-0000-0000-000064360000}"/>
    <cellStyle name="entry box 5 3" xfId="13923" xr:uid="{00000000-0005-0000-0000-000065360000}"/>
    <cellStyle name="entry box 5 3 2" xfId="13924" xr:uid="{00000000-0005-0000-0000-000066360000}"/>
    <cellStyle name="entry box 5 3 3" xfId="13925" xr:uid="{00000000-0005-0000-0000-000067360000}"/>
    <cellStyle name="entry box 5 4" xfId="13926" xr:uid="{00000000-0005-0000-0000-000068360000}"/>
    <cellStyle name="entry box 5 5" xfId="13927" xr:uid="{00000000-0005-0000-0000-000069360000}"/>
    <cellStyle name="entry box 6" xfId="13928" xr:uid="{00000000-0005-0000-0000-00006A360000}"/>
    <cellStyle name="entry box 6 2" xfId="13929" xr:uid="{00000000-0005-0000-0000-00006B360000}"/>
    <cellStyle name="entry box 6 2 2" xfId="13930" xr:uid="{00000000-0005-0000-0000-00006C360000}"/>
    <cellStyle name="entry box 6 2 3" xfId="13931" xr:uid="{00000000-0005-0000-0000-00006D360000}"/>
    <cellStyle name="entry box 6 3" xfId="13932" xr:uid="{00000000-0005-0000-0000-00006E360000}"/>
    <cellStyle name="entry box 6 3 2" xfId="13933" xr:uid="{00000000-0005-0000-0000-00006F360000}"/>
    <cellStyle name="entry box 6 3 3" xfId="13934" xr:uid="{00000000-0005-0000-0000-000070360000}"/>
    <cellStyle name="entry box 6 4" xfId="13935" xr:uid="{00000000-0005-0000-0000-000071360000}"/>
    <cellStyle name="entry box 6 5" xfId="13936" xr:uid="{00000000-0005-0000-0000-000072360000}"/>
    <cellStyle name="entry box 7" xfId="13937" xr:uid="{00000000-0005-0000-0000-000073360000}"/>
    <cellStyle name="entry box 7 2" xfId="13938" xr:uid="{00000000-0005-0000-0000-000074360000}"/>
    <cellStyle name="entry box 7 3" xfId="13939" xr:uid="{00000000-0005-0000-0000-000075360000}"/>
    <cellStyle name="entry box 8" xfId="13940" xr:uid="{00000000-0005-0000-0000-000076360000}"/>
    <cellStyle name="entry box 9" xfId="13941" xr:uid="{00000000-0005-0000-0000-000077360000}"/>
    <cellStyle name="eqptnobold" xfId="13942" xr:uid="{00000000-0005-0000-0000-000078360000}"/>
    <cellStyle name="eqptnobold 2" xfId="13943" xr:uid="{00000000-0005-0000-0000-000079360000}"/>
    <cellStyle name="eqptnobold 2 2" xfId="13944" xr:uid="{00000000-0005-0000-0000-00007A360000}"/>
    <cellStyle name="eqptnobold 2 2 2" xfId="13945" xr:uid="{00000000-0005-0000-0000-00007B360000}"/>
    <cellStyle name="eqptnobold 2 2 2 2" xfId="13946" xr:uid="{00000000-0005-0000-0000-00007C360000}"/>
    <cellStyle name="eqptnobold 2 2 2 3" xfId="13947" xr:uid="{00000000-0005-0000-0000-00007D360000}"/>
    <cellStyle name="eqptnobold 2 3" xfId="13948" xr:uid="{00000000-0005-0000-0000-00007E360000}"/>
    <cellStyle name="eqptnobold 2 3 2" xfId="13949" xr:uid="{00000000-0005-0000-0000-00007F360000}"/>
    <cellStyle name="eqptnobold 2 3 3" xfId="13950" xr:uid="{00000000-0005-0000-0000-000080360000}"/>
    <cellStyle name="eqptnobold 3" xfId="13951" xr:uid="{00000000-0005-0000-0000-000081360000}"/>
    <cellStyle name="eqptnobold 3 2" xfId="13952" xr:uid="{00000000-0005-0000-0000-000082360000}"/>
    <cellStyle name="eqptnobold 3 2 2" xfId="13953" xr:uid="{00000000-0005-0000-0000-000083360000}"/>
    <cellStyle name="eqptnobold 3 2 3" xfId="13954" xr:uid="{00000000-0005-0000-0000-000084360000}"/>
    <cellStyle name="eqptnobold 4" xfId="13955" xr:uid="{00000000-0005-0000-0000-000085360000}"/>
    <cellStyle name="eqptnobold 4 2" xfId="13956" xr:uid="{00000000-0005-0000-0000-000086360000}"/>
    <cellStyle name="eqptnobold 4 3" xfId="13957" xr:uid="{00000000-0005-0000-0000-000087360000}"/>
    <cellStyle name="Euro" xfId="13958" xr:uid="{00000000-0005-0000-0000-000088360000}"/>
    <cellStyle name="Euro 10" xfId="13959" xr:uid="{00000000-0005-0000-0000-000089360000}"/>
    <cellStyle name="Euro 2" xfId="13960" xr:uid="{00000000-0005-0000-0000-00008A360000}"/>
    <cellStyle name="Euro 2 2" xfId="13961" xr:uid="{00000000-0005-0000-0000-00008B360000}"/>
    <cellStyle name="Euro 2 2 2" xfId="13962" xr:uid="{00000000-0005-0000-0000-00008C360000}"/>
    <cellStyle name="Euro 2 3" xfId="13963" xr:uid="{00000000-0005-0000-0000-00008D360000}"/>
    <cellStyle name="Euro 3" xfId="13964" xr:uid="{00000000-0005-0000-0000-00008E360000}"/>
    <cellStyle name="Euro 3 2" xfId="13965" xr:uid="{00000000-0005-0000-0000-00008F360000}"/>
    <cellStyle name="Euro 3 2 2" xfId="13966" xr:uid="{00000000-0005-0000-0000-000090360000}"/>
    <cellStyle name="Euro 3 3" xfId="13967" xr:uid="{00000000-0005-0000-0000-000091360000}"/>
    <cellStyle name="Euro 4" xfId="13968" xr:uid="{00000000-0005-0000-0000-000092360000}"/>
    <cellStyle name="Euro 4 2" xfId="13969" xr:uid="{00000000-0005-0000-0000-000093360000}"/>
    <cellStyle name="Euro 4 2 2" xfId="13970" xr:uid="{00000000-0005-0000-0000-000094360000}"/>
    <cellStyle name="Euro 4 3" xfId="13971" xr:uid="{00000000-0005-0000-0000-000095360000}"/>
    <cellStyle name="Euro 5" xfId="13972" xr:uid="{00000000-0005-0000-0000-000096360000}"/>
    <cellStyle name="Euro 5 2" xfId="13973" xr:uid="{00000000-0005-0000-0000-000097360000}"/>
    <cellStyle name="Euro 6" xfId="13974" xr:uid="{00000000-0005-0000-0000-000098360000}"/>
    <cellStyle name="Euro 6 2" xfId="13975" xr:uid="{00000000-0005-0000-0000-000099360000}"/>
    <cellStyle name="Euro 7" xfId="13976" xr:uid="{00000000-0005-0000-0000-00009A360000}"/>
    <cellStyle name="Euro 7 2" xfId="13977" xr:uid="{00000000-0005-0000-0000-00009B360000}"/>
    <cellStyle name="Euro 8" xfId="13978" xr:uid="{00000000-0005-0000-0000-00009C360000}"/>
    <cellStyle name="Euro 8 2" xfId="13979" xr:uid="{00000000-0005-0000-0000-00009D360000}"/>
    <cellStyle name="Euro 9" xfId="13980" xr:uid="{00000000-0005-0000-0000-00009E360000}"/>
    <cellStyle name="Euro 9 2" xfId="13981" xr:uid="{00000000-0005-0000-0000-00009F360000}"/>
    <cellStyle name="Excel Built-in Normal" xfId="13982" xr:uid="{00000000-0005-0000-0000-0000A0360000}"/>
    <cellStyle name="Excel_BuiltIn_40% - Accent6" xfId="13983" xr:uid="{00000000-0005-0000-0000-0000A1360000}"/>
    <cellStyle name="Explanatory Text 10" xfId="13984" xr:uid="{00000000-0005-0000-0000-0000A2360000}"/>
    <cellStyle name="Explanatory Text 10 2" xfId="13985" xr:uid="{00000000-0005-0000-0000-0000A3360000}"/>
    <cellStyle name="Explanatory Text 11" xfId="13986" xr:uid="{00000000-0005-0000-0000-0000A4360000}"/>
    <cellStyle name="Explanatory Text 11 2" xfId="13987" xr:uid="{00000000-0005-0000-0000-0000A5360000}"/>
    <cellStyle name="Explanatory Text 12" xfId="13988" xr:uid="{00000000-0005-0000-0000-0000A6360000}"/>
    <cellStyle name="Explanatory Text 12 2" xfId="13989" xr:uid="{00000000-0005-0000-0000-0000A7360000}"/>
    <cellStyle name="Explanatory Text 13" xfId="13990" xr:uid="{00000000-0005-0000-0000-0000A8360000}"/>
    <cellStyle name="Explanatory Text 13 2" xfId="13991" xr:uid="{00000000-0005-0000-0000-0000A9360000}"/>
    <cellStyle name="Explanatory Text 14" xfId="13992" xr:uid="{00000000-0005-0000-0000-0000AA360000}"/>
    <cellStyle name="Explanatory Text 14 2" xfId="13993" xr:uid="{00000000-0005-0000-0000-0000AB360000}"/>
    <cellStyle name="Explanatory Text 15" xfId="13994" xr:uid="{00000000-0005-0000-0000-0000AC360000}"/>
    <cellStyle name="Explanatory Text 15 2" xfId="13995" xr:uid="{00000000-0005-0000-0000-0000AD360000}"/>
    <cellStyle name="Explanatory Text 16" xfId="13996" xr:uid="{00000000-0005-0000-0000-0000AE360000}"/>
    <cellStyle name="Explanatory Text 16 2" xfId="13997" xr:uid="{00000000-0005-0000-0000-0000AF360000}"/>
    <cellStyle name="Explanatory Text 17" xfId="13998" xr:uid="{00000000-0005-0000-0000-0000B0360000}"/>
    <cellStyle name="Explanatory Text 17 2" xfId="13999" xr:uid="{00000000-0005-0000-0000-0000B1360000}"/>
    <cellStyle name="Explanatory Text 18" xfId="14000" xr:uid="{00000000-0005-0000-0000-0000B2360000}"/>
    <cellStyle name="Explanatory Text 18 2" xfId="14001" xr:uid="{00000000-0005-0000-0000-0000B3360000}"/>
    <cellStyle name="Explanatory Text 19" xfId="14002" xr:uid="{00000000-0005-0000-0000-0000B4360000}"/>
    <cellStyle name="Explanatory Text 19 2" xfId="14003" xr:uid="{00000000-0005-0000-0000-0000B5360000}"/>
    <cellStyle name="Explanatory Text 2" xfId="14004" xr:uid="{00000000-0005-0000-0000-0000B6360000}"/>
    <cellStyle name="Explanatory Text 2 10" xfId="14005" xr:uid="{00000000-0005-0000-0000-0000B7360000}"/>
    <cellStyle name="Explanatory Text 2 10 2" xfId="14006" xr:uid="{00000000-0005-0000-0000-0000B8360000}"/>
    <cellStyle name="Explanatory Text 2 11" xfId="14007" xr:uid="{00000000-0005-0000-0000-0000B9360000}"/>
    <cellStyle name="Explanatory Text 2 11 2" xfId="14008" xr:uid="{00000000-0005-0000-0000-0000BA360000}"/>
    <cellStyle name="Explanatory Text 2 12" xfId="14009" xr:uid="{00000000-0005-0000-0000-0000BB360000}"/>
    <cellStyle name="Explanatory Text 2 12 2" xfId="14010" xr:uid="{00000000-0005-0000-0000-0000BC360000}"/>
    <cellStyle name="Explanatory Text 2 13" xfId="14011" xr:uid="{00000000-0005-0000-0000-0000BD360000}"/>
    <cellStyle name="Explanatory Text 2 13 2" xfId="14012" xr:uid="{00000000-0005-0000-0000-0000BE360000}"/>
    <cellStyle name="Explanatory Text 2 14" xfId="14013" xr:uid="{00000000-0005-0000-0000-0000BF360000}"/>
    <cellStyle name="Explanatory Text 2 14 2" xfId="14014" xr:uid="{00000000-0005-0000-0000-0000C0360000}"/>
    <cellStyle name="Explanatory Text 2 15" xfId="14015" xr:uid="{00000000-0005-0000-0000-0000C1360000}"/>
    <cellStyle name="Explanatory Text 2 15 2" xfId="14016" xr:uid="{00000000-0005-0000-0000-0000C2360000}"/>
    <cellStyle name="Explanatory Text 2 16" xfId="14017" xr:uid="{00000000-0005-0000-0000-0000C3360000}"/>
    <cellStyle name="Explanatory Text 2 16 2" xfId="14018" xr:uid="{00000000-0005-0000-0000-0000C4360000}"/>
    <cellStyle name="Explanatory Text 2 17" xfId="14019" xr:uid="{00000000-0005-0000-0000-0000C5360000}"/>
    <cellStyle name="Explanatory Text 2 17 2" xfId="14020" xr:uid="{00000000-0005-0000-0000-0000C6360000}"/>
    <cellStyle name="Explanatory Text 2 18" xfId="14021" xr:uid="{00000000-0005-0000-0000-0000C7360000}"/>
    <cellStyle name="Explanatory Text 2 18 2" xfId="14022" xr:uid="{00000000-0005-0000-0000-0000C8360000}"/>
    <cellStyle name="Explanatory Text 2 19" xfId="14023" xr:uid="{00000000-0005-0000-0000-0000C9360000}"/>
    <cellStyle name="Explanatory Text 2 19 2" xfId="14024" xr:uid="{00000000-0005-0000-0000-0000CA360000}"/>
    <cellStyle name="Explanatory Text 2 2" xfId="14025" xr:uid="{00000000-0005-0000-0000-0000CB360000}"/>
    <cellStyle name="Explanatory Text 2 2 2" xfId="14026" xr:uid="{00000000-0005-0000-0000-0000CC360000}"/>
    <cellStyle name="Explanatory Text 2 2 2 2" xfId="14027" xr:uid="{00000000-0005-0000-0000-0000CD360000}"/>
    <cellStyle name="Explanatory Text 2 2 3" xfId="14028" xr:uid="{00000000-0005-0000-0000-0000CE360000}"/>
    <cellStyle name="Explanatory Text 2 20" xfId="14029" xr:uid="{00000000-0005-0000-0000-0000CF360000}"/>
    <cellStyle name="Explanatory Text 2 3" xfId="14030" xr:uid="{00000000-0005-0000-0000-0000D0360000}"/>
    <cellStyle name="Explanatory Text 2 3 2" xfId="14031" xr:uid="{00000000-0005-0000-0000-0000D1360000}"/>
    <cellStyle name="Explanatory Text 2 4" xfId="14032" xr:uid="{00000000-0005-0000-0000-0000D2360000}"/>
    <cellStyle name="Explanatory Text 2 4 2" xfId="14033" xr:uid="{00000000-0005-0000-0000-0000D3360000}"/>
    <cellStyle name="Explanatory Text 2 5" xfId="14034" xr:uid="{00000000-0005-0000-0000-0000D4360000}"/>
    <cellStyle name="Explanatory Text 2 5 2" xfId="14035" xr:uid="{00000000-0005-0000-0000-0000D5360000}"/>
    <cellStyle name="Explanatory Text 2 6" xfId="14036" xr:uid="{00000000-0005-0000-0000-0000D6360000}"/>
    <cellStyle name="Explanatory Text 2 6 2" xfId="14037" xr:uid="{00000000-0005-0000-0000-0000D7360000}"/>
    <cellStyle name="Explanatory Text 2 7" xfId="14038" xr:uid="{00000000-0005-0000-0000-0000D8360000}"/>
    <cellStyle name="Explanatory Text 2 7 2" xfId="14039" xr:uid="{00000000-0005-0000-0000-0000D9360000}"/>
    <cellStyle name="Explanatory Text 2 8" xfId="14040" xr:uid="{00000000-0005-0000-0000-0000DA360000}"/>
    <cellStyle name="Explanatory Text 2 8 2" xfId="14041" xr:uid="{00000000-0005-0000-0000-0000DB360000}"/>
    <cellStyle name="Explanatory Text 2 9" xfId="14042" xr:uid="{00000000-0005-0000-0000-0000DC360000}"/>
    <cellStyle name="Explanatory Text 2 9 2" xfId="14043" xr:uid="{00000000-0005-0000-0000-0000DD360000}"/>
    <cellStyle name="Explanatory Text 20" xfId="14044" xr:uid="{00000000-0005-0000-0000-0000DE360000}"/>
    <cellStyle name="Explanatory Text 20 2" xfId="14045" xr:uid="{00000000-0005-0000-0000-0000DF360000}"/>
    <cellStyle name="Explanatory Text 21" xfId="14046" xr:uid="{00000000-0005-0000-0000-0000E0360000}"/>
    <cellStyle name="Explanatory Text 21 2" xfId="14047" xr:uid="{00000000-0005-0000-0000-0000E1360000}"/>
    <cellStyle name="Explanatory Text 22" xfId="14048" xr:uid="{00000000-0005-0000-0000-0000E2360000}"/>
    <cellStyle name="Explanatory Text 22 2" xfId="14049" xr:uid="{00000000-0005-0000-0000-0000E3360000}"/>
    <cellStyle name="Explanatory Text 23" xfId="14050" xr:uid="{00000000-0005-0000-0000-0000E4360000}"/>
    <cellStyle name="Explanatory Text 23 2" xfId="14051" xr:uid="{00000000-0005-0000-0000-0000E5360000}"/>
    <cellStyle name="Explanatory Text 24" xfId="14052" xr:uid="{00000000-0005-0000-0000-0000E6360000}"/>
    <cellStyle name="Explanatory Text 24 2" xfId="14053" xr:uid="{00000000-0005-0000-0000-0000E7360000}"/>
    <cellStyle name="Explanatory Text 25" xfId="14054" xr:uid="{00000000-0005-0000-0000-0000E8360000}"/>
    <cellStyle name="Explanatory Text 25 2" xfId="14055" xr:uid="{00000000-0005-0000-0000-0000E9360000}"/>
    <cellStyle name="Explanatory Text 26" xfId="14056" xr:uid="{00000000-0005-0000-0000-0000EA360000}"/>
    <cellStyle name="Explanatory Text 26 2" xfId="14057" xr:uid="{00000000-0005-0000-0000-0000EB360000}"/>
    <cellStyle name="Explanatory Text 27" xfId="14058" xr:uid="{00000000-0005-0000-0000-0000EC360000}"/>
    <cellStyle name="Explanatory Text 27 2" xfId="14059" xr:uid="{00000000-0005-0000-0000-0000ED360000}"/>
    <cellStyle name="Explanatory Text 3" xfId="14060" xr:uid="{00000000-0005-0000-0000-0000EE360000}"/>
    <cellStyle name="Explanatory Text 3 2" xfId="14061" xr:uid="{00000000-0005-0000-0000-0000EF360000}"/>
    <cellStyle name="Explanatory Text 3 2 2" xfId="14062" xr:uid="{00000000-0005-0000-0000-0000F0360000}"/>
    <cellStyle name="Explanatory Text 3 3" xfId="14063" xr:uid="{00000000-0005-0000-0000-0000F1360000}"/>
    <cellStyle name="Explanatory Text 4" xfId="14064" xr:uid="{00000000-0005-0000-0000-0000F2360000}"/>
    <cellStyle name="Explanatory Text 4 2" xfId="14065" xr:uid="{00000000-0005-0000-0000-0000F3360000}"/>
    <cellStyle name="Explanatory Text 4 2 2" xfId="14066" xr:uid="{00000000-0005-0000-0000-0000F4360000}"/>
    <cellStyle name="Explanatory Text 4 3" xfId="14067" xr:uid="{00000000-0005-0000-0000-0000F5360000}"/>
    <cellStyle name="Explanatory Text 5" xfId="14068" xr:uid="{00000000-0005-0000-0000-0000F6360000}"/>
    <cellStyle name="Explanatory Text 5 2" xfId="14069" xr:uid="{00000000-0005-0000-0000-0000F7360000}"/>
    <cellStyle name="Explanatory Text 6" xfId="14070" xr:uid="{00000000-0005-0000-0000-0000F8360000}"/>
    <cellStyle name="Explanatory Text 6 2" xfId="14071" xr:uid="{00000000-0005-0000-0000-0000F9360000}"/>
    <cellStyle name="Explanatory Text 7" xfId="14072" xr:uid="{00000000-0005-0000-0000-0000FA360000}"/>
    <cellStyle name="Explanatory Text 7 2" xfId="14073" xr:uid="{00000000-0005-0000-0000-0000FB360000}"/>
    <cellStyle name="Explanatory Text 8" xfId="14074" xr:uid="{00000000-0005-0000-0000-0000FC360000}"/>
    <cellStyle name="Explanatory Text 8 2" xfId="14075" xr:uid="{00000000-0005-0000-0000-0000FD360000}"/>
    <cellStyle name="Explanatory Text 9" xfId="14076" xr:uid="{00000000-0005-0000-0000-0000FE360000}"/>
    <cellStyle name="Explanatory Text 9 2" xfId="14077" xr:uid="{00000000-0005-0000-0000-0000FF360000}"/>
    <cellStyle name="EY Narrative text" xfId="14078" xr:uid="{00000000-0005-0000-0000-000000370000}"/>
    <cellStyle name="EY%colcalc" xfId="14079" xr:uid="{00000000-0005-0000-0000-000001370000}"/>
    <cellStyle name="EY%input" xfId="14080" xr:uid="{00000000-0005-0000-0000-000002370000}"/>
    <cellStyle name="EY%rowcalc" xfId="14081" xr:uid="{00000000-0005-0000-0000-000003370000}"/>
    <cellStyle name="EY0dp" xfId="14082" xr:uid="{00000000-0005-0000-0000-000004370000}"/>
    <cellStyle name="EY1dp" xfId="14083" xr:uid="{00000000-0005-0000-0000-000005370000}"/>
    <cellStyle name="EY2dp" xfId="14084" xr:uid="{00000000-0005-0000-0000-000006370000}"/>
    <cellStyle name="EY3dp" xfId="14085" xr:uid="{00000000-0005-0000-0000-000007370000}"/>
    <cellStyle name="EYChartTitle" xfId="14086" xr:uid="{00000000-0005-0000-0000-000008370000}"/>
    <cellStyle name="EYColumnHeading" xfId="14087" xr:uid="{00000000-0005-0000-0000-000009370000}"/>
    <cellStyle name="EYColumnHeading 10" xfId="14088" xr:uid="{00000000-0005-0000-0000-00000A370000}"/>
    <cellStyle name="EYColumnHeading 11" xfId="14089" xr:uid="{00000000-0005-0000-0000-00000B370000}"/>
    <cellStyle name="EYColumnHeading 12" xfId="14090" xr:uid="{00000000-0005-0000-0000-00000C370000}"/>
    <cellStyle name="EYColumnHeading 13" xfId="14091" xr:uid="{00000000-0005-0000-0000-00000D370000}"/>
    <cellStyle name="EYColumnHeading 14" xfId="14092" xr:uid="{00000000-0005-0000-0000-00000E370000}"/>
    <cellStyle name="EYColumnHeading 15" xfId="14093" xr:uid="{00000000-0005-0000-0000-00000F370000}"/>
    <cellStyle name="EYColumnHeading 16" xfId="14094" xr:uid="{00000000-0005-0000-0000-000010370000}"/>
    <cellStyle name="EYColumnHeading 17" xfId="14095" xr:uid="{00000000-0005-0000-0000-000011370000}"/>
    <cellStyle name="EYColumnHeading 18" xfId="14096" xr:uid="{00000000-0005-0000-0000-000012370000}"/>
    <cellStyle name="EYColumnHeading 19" xfId="14097" xr:uid="{00000000-0005-0000-0000-000013370000}"/>
    <cellStyle name="EYColumnHeading 2" xfId="14098" xr:uid="{00000000-0005-0000-0000-000014370000}"/>
    <cellStyle name="EYColumnHeading 2 10" xfId="14099" xr:uid="{00000000-0005-0000-0000-000015370000}"/>
    <cellStyle name="EYColumnHeading 2 11" xfId="14100" xr:uid="{00000000-0005-0000-0000-000016370000}"/>
    <cellStyle name="EYColumnHeading 2 12" xfId="14101" xr:uid="{00000000-0005-0000-0000-000017370000}"/>
    <cellStyle name="EYColumnHeading 2 13" xfId="14102" xr:uid="{00000000-0005-0000-0000-000018370000}"/>
    <cellStyle name="EYColumnHeading 2 14" xfId="14103" xr:uid="{00000000-0005-0000-0000-000019370000}"/>
    <cellStyle name="EYColumnHeading 2 15" xfId="14104" xr:uid="{00000000-0005-0000-0000-00001A370000}"/>
    <cellStyle name="EYColumnHeading 2 16" xfId="14105" xr:uid="{00000000-0005-0000-0000-00001B370000}"/>
    <cellStyle name="EYColumnHeading 2 17" xfId="14106" xr:uid="{00000000-0005-0000-0000-00001C370000}"/>
    <cellStyle name="EYColumnHeading 2 18" xfId="14107" xr:uid="{00000000-0005-0000-0000-00001D370000}"/>
    <cellStyle name="EYColumnHeading 2 19" xfId="14108" xr:uid="{00000000-0005-0000-0000-00001E370000}"/>
    <cellStyle name="EYColumnHeading 2 2" xfId="14109" xr:uid="{00000000-0005-0000-0000-00001F370000}"/>
    <cellStyle name="EYColumnHeading 2 20" xfId="14110" xr:uid="{00000000-0005-0000-0000-000020370000}"/>
    <cellStyle name="EYColumnHeading 2 21" xfId="14111" xr:uid="{00000000-0005-0000-0000-000021370000}"/>
    <cellStyle name="EYColumnHeading 2 22" xfId="14112" xr:uid="{00000000-0005-0000-0000-000022370000}"/>
    <cellStyle name="EYColumnHeading 2 23" xfId="14113" xr:uid="{00000000-0005-0000-0000-000023370000}"/>
    <cellStyle name="EYColumnHeading 2 24" xfId="14114" xr:uid="{00000000-0005-0000-0000-000024370000}"/>
    <cellStyle name="EYColumnHeading 2 25" xfId="14115" xr:uid="{00000000-0005-0000-0000-000025370000}"/>
    <cellStyle name="EYColumnHeading 2 26" xfId="14116" xr:uid="{00000000-0005-0000-0000-000026370000}"/>
    <cellStyle name="EYColumnHeading 2 27" xfId="14117" xr:uid="{00000000-0005-0000-0000-000027370000}"/>
    <cellStyle name="EYColumnHeading 2 28" xfId="14118" xr:uid="{00000000-0005-0000-0000-000028370000}"/>
    <cellStyle name="EYColumnHeading 2 29" xfId="14119" xr:uid="{00000000-0005-0000-0000-000029370000}"/>
    <cellStyle name="EYColumnHeading 2 3" xfId="14120" xr:uid="{00000000-0005-0000-0000-00002A370000}"/>
    <cellStyle name="EYColumnHeading 2 30" xfId="14121" xr:uid="{00000000-0005-0000-0000-00002B370000}"/>
    <cellStyle name="EYColumnHeading 2 31" xfId="14122" xr:uid="{00000000-0005-0000-0000-00002C370000}"/>
    <cellStyle name="EYColumnHeading 2 32" xfId="14123" xr:uid="{00000000-0005-0000-0000-00002D370000}"/>
    <cellStyle name="EYColumnHeading 2 33" xfId="14124" xr:uid="{00000000-0005-0000-0000-00002E370000}"/>
    <cellStyle name="EYColumnHeading 2 34" xfId="14125" xr:uid="{00000000-0005-0000-0000-00002F370000}"/>
    <cellStyle name="EYColumnHeading 2 4" xfId="14126" xr:uid="{00000000-0005-0000-0000-000030370000}"/>
    <cellStyle name="EYColumnHeading 2 5" xfId="14127" xr:uid="{00000000-0005-0000-0000-000031370000}"/>
    <cellStyle name="EYColumnHeading 2 6" xfId="14128" xr:uid="{00000000-0005-0000-0000-000032370000}"/>
    <cellStyle name="EYColumnHeading 2 7" xfId="14129" xr:uid="{00000000-0005-0000-0000-000033370000}"/>
    <cellStyle name="EYColumnHeading 2 8" xfId="14130" xr:uid="{00000000-0005-0000-0000-000034370000}"/>
    <cellStyle name="EYColumnHeading 2 9" xfId="14131" xr:uid="{00000000-0005-0000-0000-000035370000}"/>
    <cellStyle name="EYColumnHeading 20" xfId="14132" xr:uid="{00000000-0005-0000-0000-000036370000}"/>
    <cellStyle name="EYColumnHeading 21" xfId="14133" xr:uid="{00000000-0005-0000-0000-000037370000}"/>
    <cellStyle name="EYColumnHeading 22" xfId="14134" xr:uid="{00000000-0005-0000-0000-000038370000}"/>
    <cellStyle name="EYColumnHeading 23" xfId="14135" xr:uid="{00000000-0005-0000-0000-000039370000}"/>
    <cellStyle name="EYColumnHeading 24" xfId="14136" xr:uid="{00000000-0005-0000-0000-00003A370000}"/>
    <cellStyle name="EYColumnHeading 25" xfId="14137" xr:uid="{00000000-0005-0000-0000-00003B370000}"/>
    <cellStyle name="EYColumnHeading 26" xfId="14138" xr:uid="{00000000-0005-0000-0000-00003C370000}"/>
    <cellStyle name="EYColumnHeading 27" xfId="14139" xr:uid="{00000000-0005-0000-0000-00003D370000}"/>
    <cellStyle name="EYColumnHeading 28" xfId="14140" xr:uid="{00000000-0005-0000-0000-00003E370000}"/>
    <cellStyle name="EYColumnHeading 29" xfId="14141" xr:uid="{00000000-0005-0000-0000-00003F370000}"/>
    <cellStyle name="EYColumnHeading 3" xfId="14142" xr:uid="{00000000-0005-0000-0000-000040370000}"/>
    <cellStyle name="EYColumnHeading 3 2" xfId="14143" xr:uid="{00000000-0005-0000-0000-000041370000}"/>
    <cellStyle name="EYColumnHeading 3 3" xfId="14144" xr:uid="{00000000-0005-0000-0000-000042370000}"/>
    <cellStyle name="EYColumnHeading 30" xfId="14145" xr:uid="{00000000-0005-0000-0000-000043370000}"/>
    <cellStyle name="EYColumnHeading 31" xfId="14146" xr:uid="{00000000-0005-0000-0000-000044370000}"/>
    <cellStyle name="EYColumnHeading 32" xfId="14147" xr:uid="{00000000-0005-0000-0000-000045370000}"/>
    <cellStyle name="EYColumnHeading 4" xfId="14148" xr:uid="{00000000-0005-0000-0000-000046370000}"/>
    <cellStyle name="EYColumnHeading 5" xfId="14149" xr:uid="{00000000-0005-0000-0000-000047370000}"/>
    <cellStyle name="EYColumnHeading 6" xfId="14150" xr:uid="{00000000-0005-0000-0000-000048370000}"/>
    <cellStyle name="EYColumnHeading 7" xfId="14151" xr:uid="{00000000-0005-0000-0000-000049370000}"/>
    <cellStyle name="EYColumnHeading 8" xfId="14152" xr:uid="{00000000-0005-0000-0000-00004A370000}"/>
    <cellStyle name="EYColumnHeading 9" xfId="14153" xr:uid="{00000000-0005-0000-0000-00004B370000}"/>
    <cellStyle name="EYColumnHeadingItalic" xfId="14154" xr:uid="{00000000-0005-0000-0000-00004C370000}"/>
    <cellStyle name="EYColumnHeadingItalic 10" xfId="14155" xr:uid="{00000000-0005-0000-0000-00004D370000}"/>
    <cellStyle name="EYColumnHeadingItalic 11" xfId="14156" xr:uid="{00000000-0005-0000-0000-00004E370000}"/>
    <cellStyle name="EYColumnHeadingItalic 12" xfId="14157" xr:uid="{00000000-0005-0000-0000-00004F370000}"/>
    <cellStyle name="EYColumnHeadingItalic 13" xfId="14158" xr:uid="{00000000-0005-0000-0000-000050370000}"/>
    <cellStyle name="EYColumnHeadingItalic 14" xfId="14159" xr:uid="{00000000-0005-0000-0000-000051370000}"/>
    <cellStyle name="EYColumnHeadingItalic 15" xfId="14160" xr:uid="{00000000-0005-0000-0000-000052370000}"/>
    <cellStyle name="EYColumnHeadingItalic 16" xfId="14161" xr:uid="{00000000-0005-0000-0000-000053370000}"/>
    <cellStyle name="EYColumnHeadingItalic 17" xfId="14162" xr:uid="{00000000-0005-0000-0000-000054370000}"/>
    <cellStyle name="EYColumnHeadingItalic 18" xfId="14163" xr:uid="{00000000-0005-0000-0000-000055370000}"/>
    <cellStyle name="EYColumnHeadingItalic 19" xfId="14164" xr:uid="{00000000-0005-0000-0000-000056370000}"/>
    <cellStyle name="EYColumnHeadingItalic 2" xfId="14165" xr:uid="{00000000-0005-0000-0000-000057370000}"/>
    <cellStyle name="EYColumnHeadingItalic 2 10" xfId="14166" xr:uid="{00000000-0005-0000-0000-000058370000}"/>
    <cellStyle name="EYColumnHeadingItalic 2 11" xfId="14167" xr:uid="{00000000-0005-0000-0000-000059370000}"/>
    <cellStyle name="EYColumnHeadingItalic 2 12" xfId="14168" xr:uid="{00000000-0005-0000-0000-00005A370000}"/>
    <cellStyle name="EYColumnHeadingItalic 2 13" xfId="14169" xr:uid="{00000000-0005-0000-0000-00005B370000}"/>
    <cellStyle name="EYColumnHeadingItalic 2 14" xfId="14170" xr:uid="{00000000-0005-0000-0000-00005C370000}"/>
    <cellStyle name="EYColumnHeadingItalic 2 15" xfId="14171" xr:uid="{00000000-0005-0000-0000-00005D370000}"/>
    <cellStyle name="EYColumnHeadingItalic 2 16" xfId="14172" xr:uid="{00000000-0005-0000-0000-00005E370000}"/>
    <cellStyle name="EYColumnHeadingItalic 2 17" xfId="14173" xr:uid="{00000000-0005-0000-0000-00005F370000}"/>
    <cellStyle name="EYColumnHeadingItalic 2 18" xfId="14174" xr:uid="{00000000-0005-0000-0000-000060370000}"/>
    <cellStyle name="EYColumnHeadingItalic 2 19" xfId="14175" xr:uid="{00000000-0005-0000-0000-000061370000}"/>
    <cellStyle name="EYColumnHeadingItalic 2 2" xfId="14176" xr:uid="{00000000-0005-0000-0000-000062370000}"/>
    <cellStyle name="EYColumnHeadingItalic 2 20" xfId="14177" xr:uid="{00000000-0005-0000-0000-000063370000}"/>
    <cellStyle name="EYColumnHeadingItalic 2 21" xfId="14178" xr:uid="{00000000-0005-0000-0000-000064370000}"/>
    <cellStyle name="EYColumnHeadingItalic 2 22" xfId="14179" xr:uid="{00000000-0005-0000-0000-000065370000}"/>
    <cellStyle name="EYColumnHeadingItalic 2 23" xfId="14180" xr:uid="{00000000-0005-0000-0000-000066370000}"/>
    <cellStyle name="EYColumnHeadingItalic 2 24" xfId="14181" xr:uid="{00000000-0005-0000-0000-000067370000}"/>
    <cellStyle name="EYColumnHeadingItalic 2 25" xfId="14182" xr:uid="{00000000-0005-0000-0000-000068370000}"/>
    <cellStyle name="EYColumnHeadingItalic 2 26" xfId="14183" xr:uid="{00000000-0005-0000-0000-000069370000}"/>
    <cellStyle name="EYColumnHeadingItalic 2 27" xfId="14184" xr:uid="{00000000-0005-0000-0000-00006A370000}"/>
    <cellStyle name="EYColumnHeadingItalic 2 28" xfId="14185" xr:uid="{00000000-0005-0000-0000-00006B370000}"/>
    <cellStyle name="EYColumnHeadingItalic 2 29" xfId="14186" xr:uid="{00000000-0005-0000-0000-00006C370000}"/>
    <cellStyle name="EYColumnHeadingItalic 2 3" xfId="14187" xr:uid="{00000000-0005-0000-0000-00006D370000}"/>
    <cellStyle name="EYColumnHeadingItalic 2 30" xfId="14188" xr:uid="{00000000-0005-0000-0000-00006E370000}"/>
    <cellStyle name="EYColumnHeadingItalic 2 31" xfId="14189" xr:uid="{00000000-0005-0000-0000-00006F370000}"/>
    <cellStyle name="EYColumnHeadingItalic 2 32" xfId="14190" xr:uid="{00000000-0005-0000-0000-000070370000}"/>
    <cellStyle name="EYColumnHeadingItalic 2 33" xfId="14191" xr:uid="{00000000-0005-0000-0000-000071370000}"/>
    <cellStyle name="EYColumnHeadingItalic 2 34" xfId="14192" xr:uid="{00000000-0005-0000-0000-000072370000}"/>
    <cellStyle name="EYColumnHeadingItalic 2 4" xfId="14193" xr:uid="{00000000-0005-0000-0000-000073370000}"/>
    <cellStyle name="EYColumnHeadingItalic 2 5" xfId="14194" xr:uid="{00000000-0005-0000-0000-000074370000}"/>
    <cellStyle name="EYColumnHeadingItalic 2 6" xfId="14195" xr:uid="{00000000-0005-0000-0000-000075370000}"/>
    <cellStyle name="EYColumnHeadingItalic 2 7" xfId="14196" xr:uid="{00000000-0005-0000-0000-000076370000}"/>
    <cellStyle name="EYColumnHeadingItalic 2 8" xfId="14197" xr:uid="{00000000-0005-0000-0000-000077370000}"/>
    <cellStyle name="EYColumnHeadingItalic 2 9" xfId="14198" xr:uid="{00000000-0005-0000-0000-000078370000}"/>
    <cellStyle name="EYColumnHeadingItalic 20" xfId="14199" xr:uid="{00000000-0005-0000-0000-000079370000}"/>
    <cellStyle name="EYColumnHeadingItalic 21" xfId="14200" xr:uid="{00000000-0005-0000-0000-00007A370000}"/>
    <cellStyle name="EYColumnHeadingItalic 22" xfId="14201" xr:uid="{00000000-0005-0000-0000-00007B370000}"/>
    <cellStyle name="EYColumnHeadingItalic 23" xfId="14202" xr:uid="{00000000-0005-0000-0000-00007C370000}"/>
    <cellStyle name="EYColumnHeadingItalic 24" xfId="14203" xr:uid="{00000000-0005-0000-0000-00007D370000}"/>
    <cellStyle name="EYColumnHeadingItalic 25" xfId="14204" xr:uid="{00000000-0005-0000-0000-00007E370000}"/>
    <cellStyle name="EYColumnHeadingItalic 26" xfId="14205" xr:uid="{00000000-0005-0000-0000-00007F370000}"/>
    <cellStyle name="EYColumnHeadingItalic 27" xfId="14206" xr:uid="{00000000-0005-0000-0000-000080370000}"/>
    <cellStyle name="EYColumnHeadingItalic 28" xfId="14207" xr:uid="{00000000-0005-0000-0000-000081370000}"/>
    <cellStyle name="EYColumnHeadingItalic 29" xfId="14208" xr:uid="{00000000-0005-0000-0000-000082370000}"/>
    <cellStyle name="EYColumnHeadingItalic 3" xfId="14209" xr:uid="{00000000-0005-0000-0000-000083370000}"/>
    <cellStyle name="EYColumnHeadingItalic 3 2" xfId="14210" xr:uid="{00000000-0005-0000-0000-000084370000}"/>
    <cellStyle name="EYColumnHeadingItalic 3 3" xfId="14211" xr:uid="{00000000-0005-0000-0000-000085370000}"/>
    <cellStyle name="EYColumnHeadingItalic 30" xfId="14212" xr:uid="{00000000-0005-0000-0000-000086370000}"/>
    <cellStyle name="EYColumnHeadingItalic 31" xfId="14213" xr:uid="{00000000-0005-0000-0000-000087370000}"/>
    <cellStyle name="EYColumnHeadingItalic 32" xfId="14214" xr:uid="{00000000-0005-0000-0000-000088370000}"/>
    <cellStyle name="EYColumnHeadingItalic 4" xfId="14215" xr:uid="{00000000-0005-0000-0000-000089370000}"/>
    <cellStyle name="EYColumnHeadingItalic 5" xfId="14216" xr:uid="{00000000-0005-0000-0000-00008A370000}"/>
    <cellStyle name="EYColumnHeadingItalic 6" xfId="14217" xr:uid="{00000000-0005-0000-0000-00008B370000}"/>
    <cellStyle name="EYColumnHeadingItalic 7" xfId="14218" xr:uid="{00000000-0005-0000-0000-00008C370000}"/>
    <cellStyle name="EYColumnHeadingItalic 8" xfId="14219" xr:uid="{00000000-0005-0000-0000-00008D370000}"/>
    <cellStyle name="EYColumnHeadingItalic 9" xfId="14220" xr:uid="{00000000-0005-0000-0000-00008E370000}"/>
    <cellStyle name="EYCoverDatabookName" xfId="14221" xr:uid="{00000000-0005-0000-0000-00008F370000}"/>
    <cellStyle name="EYCoverDate" xfId="14222" xr:uid="{00000000-0005-0000-0000-000090370000}"/>
    <cellStyle name="EYCoverDraft" xfId="14223" xr:uid="{00000000-0005-0000-0000-000091370000}"/>
    <cellStyle name="EYCoverProjectName" xfId="14224" xr:uid="{00000000-0005-0000-0000-000092370000}"/>
    <cellStyle name="EYCurrency" xfId="14225" xr:uid="{00000000-0005-0000-0000-000093370000}"/>
    <cellStyle name="EYCurrency 10" xfId="14226" xr:uid="{00000000-0005-0000-0000-000094370000}"/>
    <cellStyle name="EYCurrency 11" xfId="14227" xr:uid="{00000000-0005-0000-0000-000095370000}"/>
    <cellStyle name="EYCurrency 12" xfId="14228" xr:uid="{00000000-0005-0000-0000-000096370000}"/>
    <cellStyle name="EYCurrency 13" xfId="14229" xr:uid="{00000000-0005-0000-0000-000097370000}"/>
    <cellStyle name="EYCurrency 14" xfId="14230" xr:uid="{00000000-0005-0000-0000-000098370000}"/>
    <cellStyle name="EYCurrency 15" xfId="14231" xr:uid="{00000000-0005-0000-0000-000099370000}"/>
    <cellStyle name="EYCurrency 16" xfId="14232" xr:uid="{00000000-0005-0000-0000-00009A370000}"/>
    <cellStyle name="EYCurrency 17" xfId="14233" xr:uid="{00000000-0005-0000-0000-00009B370000}"/>
    <cellStyle name="EYCurrency 18" xfId="14234" xr:uid="{00000000-0005-0000-0000-00009C370000}"/>
    <cellStyle name="EYCurrency 19" xfId="14235" xr:uid="{00000000-0005-0000-0000-00009D370000}"/>
    <cellStyle name="EYCurrency 2" xfId="14236" xr:uid="{00000000-0005-0000-0000-00009E370000}"/>
    <cellStyle name="EYCurrency 2 10" xfId="14237" xr:uid="{00000000-0005-0000-0000-00009F370000}"/>
    <cellStyle name="EYCurrency 2 11" xfId="14238" xr:uid="{00000000-0005-0000-0000-0000A0370000}"/>
    <cellStyle name="EYCurrency 2 12" xfId="14239" xr:uid="{00000000-0005-0000-0000-0000A1370000}"/>
    <cellStyle name="EYCurrency 2 13" xfId="14240" xr:uid="{00000000-0005-0000-0000-0000A2370000}"/>
    <cellStyle name="EYCurrency 2 14" xfId="14241" xr:uid="{00000000-0005-0000-0000-0000A3370000}"/>
    <cellStyle name="EYCurrency 2 15" xfId="14242" xr:uid="{00000000-0005-0000-0000-0000A4370000}"/>
    <cellStyle name="EYCurrency 2 16" xfId="14243" xr:uid="{00000000-0005-0000-0000-0000A5370000}"/>
    <cellStyle name="EYCurrency 2 17" xfId="14244" xr:uid="{00000000-0005-0000-0000-0000A6370000}"/>
    <cellStyle name="EYCurrency 2 18" xfId="14245" xr:uid="{00000000-0005-0000-0000-0000A7370000}"/>
    <cellStyle name="EYCurrency 2 19" xfId="14246" xr:uid="{00000000-0005-0000-0000-0000A8370000}"/>
    <cellStyle name="EYCurrency 2 2" xfId="14247" xr:uid="{00000000-0005-0000-0000-0000A9370000}"/>
    <cellStyle name="EYCurrency 2 20" xfId="14248" xr:uid="{00000000-0005-0000-0000-0000AA370000}"/>
    <cellStyle name="EYCurrency 2 21" xfId="14249" xr:uid="{00000000-0005-0000-0000-0000AB370000}"/>
    <cellStyle name="EYCurrency 2 22" xfId="14250" xr:uid="{00000000-0005-0000-0000-0000AC370000}"/>
    <cellStyle name="EYCurrency 2 23" xfId="14251" xr:uid="{00000000-0005-0000-0000-0000AD370000}"/>
    <cellStyle name="EYCurrency 2 24" xfId="14252" xr:uid="{00000000-0005-0000-0000-0000AE370000}"/>
    <cellStyle name="EYCurrency 2 25" xfId="14253" xr:uid="{00000000-0005-0000-0000-0000AF370000}"/>
    <cellStyle name="EYCurrency 2 26" xfId="14254" xr:uid="{00000000-0005-0000-0000-0000B0370000}"/>
    <cellStyle name="EYCurrency 2 27" xfId="14255" xr:uid="{00000000-0005-0000-0000-0000B1370000}"/>
    <cellStyle name="EYCurrency 2 28" xfId="14256" xr:uid="{00000000-0005-0000-0000-0000B2370000}"/>
    <cellStyle name="EYCurrency 2 29" xfId="14257" xr:uid="{00000000-0005-0000-0000-0000B3370000}"/>
    <cellStyle name="EYCurrency 2 3" xfId="14258" xr:uid="{00000000-0005-0000-0000-0000B4370000}"/>
    <cellStyle name="EYCurrency 2 30" xfId="14259" xr:uid="{00000000-0005-0000-0000-0000B5370000}"/>
    <cellStyle name="EYCurrency 2 31" xfId="14260" xr:uid="{00000000-0005-0000-0000-0000B6370000}"/>
    <cellStyle name="EYCurrency 2 32" xfId="14261" xr:uid="{00000000-0005-0000-0000-0000B7370000}"/>
    <cellStyle name="EYCurrency 2 33" xfId="14262" xr:uid="{00000000-0005-0000-0000-0000B8370000}"/>
    <cellStyle name="EYCurrency 2 34" xfId="14263" xr:uid="{00000000-0005-0000-0000-0000B9370000}"/>
    <cellStyle name="EYCurrency 2 4" xfId="14264" xr:uid="{00000000-0005-0000-0000-0000BA370000}"/>
    <cellStyle name="EYCurrency 2 5" xfId="14265" xr:uid="{00000000-0005-0000-0000-0000BB370000}"/>
    <cellStyle name="EYCurrency 2 6" xfId="14266" xr:uid="{00000000-0005-0000-0000-0000BC370000}"/>
    <cellStyle name="EYCurrency 2 7" xfId="14267" xr:uid="{00000000-0005-0000-0000-0000BD370000}"/>
    <cellStyle name="EYCurrency 2 8" xfId="14268" xr:uid="{00000000-0005-0000-0000-0000BE370000}"/>
    <cellStyle name="EYCurrency 2 9" xfId="14269" xr:uid="{00000000-0005-0000-0000-0000BF370000}"/>
    <cellStyle name="EYCurrency 20" xfId="14270" xr:uid="{00000000-0005-0000-0000-0000C0370000}"/>
    <cellStyle name="EYCurrency 21" xfId="14271" xr:uid="{00000000-0005-0000-0000-0000C1370000}"/>
    <cellStyle name="EYCurrency 22" xfId="14272" xr:uid="{00000000-0005-0000-0000-0000C2370000}"/>
    <cellStyle name="EYCurrency 23" xfId="14273" xr:uid="{00000000-0005-0000-0000-0000C3370000}"/>
    <cellStyle name="EYCurrency 24" xfId="14274" xr:uid="{00000000-0005-0000-0000-0000C4370000}"/>
    <cellStyle name="EYCurrency 25" xfId="14275" xr:uid="{00000000-0005-0000-0000-0000C5370000}"/>
    <cellStyle name="EYCurrency 26" xfId="14276" xr:uid="{00000000-0005-0000-0000-0000C6370000}"/>
    <cellStyle name="EYCurrency 27" xfId="14277" xr:uid="{00000000-0005-0000-0000-0000C7370000}"/>
    <cellStyle name="EYCurrency 28" xfId="14278" xr:uid="{00000000-0005-0000-0000-0000C8370000}"/>
    <cellStyle name="EYCurrency 29" xfId="14279" xr:uid="{00000000-0005-0000-0000-0000C9370000}"/>
    <cellStyle name="EYCurrency 3" xfId="14280" xr:uid="{00000000-0005-0000-0000-0000CA370000}"/>
    <cellStyle name="EYCurrency 3 2" xfId="14281" xr:uid="{00000000-0005-0000-0000-0000CB370000}"/>
    <cellStyle name="EYCurrency 3 3" xfId="14282" xr:uid="{00000000-0005-0000-0000-0000CC370000}"/>
    <cellStyle name="EYCurrency 30" xfId="14283" xr:uid="{00000000-0005-0000-0000-0000CD370000}"/>
    <cellStyle name="EYCurrency 31" xfId="14284" xr:uid="{00000000-0005-0000-0000-0000CE370000}"/>
    <cellStyle name="EYCurrency 32" xfId="14285" xr:uid="{00000000-0005-0000-0000-0000CF370000}"/>
    <cellStyle name="EYCurrency 4" xfId="14286" xr:uid="{00000000-0005-0000-0000-0000D0370000}"/>
    <cellStyle name="EYCurrency 5" xfId="14287" xr:uid="{00000000-0005-0000-0000-0000D1370000}"/>
    <cellStyle name="EYCurrency 6" xfId="14288" xr:uid="{00000000-0005-0000-0000-0000D2370000}"/>
    <cellStyle name="EYCurrency 7" xfId="14289" xr:uid="{00000000-0005-0000-0000-0000D3370000}"/>
    <cellStyle name="EYCurrency 8" xfId="14290" xr:uid="{00000000-0005-0000-0000-0000D4370000}"/>
    <cellStyle name="EYCurrency 9" xfId="14291" xr:uid="{00000000-0005-0000-0000-0000D5370000}"/>
    <cellStyle name="EYNotes" xfId="14292" xr:uid="{00000000-0005-0000-0000-0000D6370000}"/>
    <cellStyle name="EYNotesHeading" xfId="14293" xr:uid="{00000000-0005-0000-0000-0000D7370000}"/>
    <cellStyle name="EYNotesHeading 10" xfId="14294" xr:uid="{00000000-0005-0000-0000-0000D8370000}"/>
    <cellStyle name="EYNotesHeading 11" xfId="14295" xr:uid="{00000000-0005-0000-0000-0000D9370000}"/>
    <cellStyle name="EYNotesHeading 12" xfId="14296" xr:uid="{00000000-0005-0000-0000-0000DA370000}"/>
    <cellStyle name="EYNotesHeading 13" xfId="14297" xr:uid="{00000000-0005-0000-0000-0000DB370000}"/>
    <cellStyle name="EYNotesHeading 14" xfId="14298" xr:uid="{00000000-0005-0000-0000-0000DC370000}"/>
    <cellStyle name="EYNotesHeading 15" xfId="14299" xr:uid="{00000000-0005-0000-0000-0000DD370000}"/>
    <cellStyle name="EYNotesHeading 16" xfId="14300" xr:uid="{00000000-0005-0000-0000-0000DE370000}"/>
    <cellStyle name="EYNotesHeading 17" xfId="14301" xr:uid="{00000000-0005-0000-0000-0000DF370000}"/>
    <cellStyle name="EYNotesHeading 18" xfId="14302" xr:uid="{00000000-0005-0000-0000-0000E0370000}"/>
    <cellStyle name="EYNotesHeading 19" xfId="14303" xr:uid="{00000000-0005-0000-0000-0000E1370000}"/>
    <cellStyle name="EYNotesHeading 2" xfId="14304" xr:uid="{00000000-0005-0000-0000-0000E2370000}"/>
    <cellStyle name="EYNotesHeading 2 10" xfId="14305" xr:uid="{00000000-0005-0000-0000-0000E3370000}"/>
    <cellStyle name="EYNotesHeading 2 11" xfId="14306" xr:uid="{00000000-0005-0000-0000-0000E4370000}"/>
    <cellStyle name="EYNotesHeading 2 12" xfId="14307" xr:uid="{00000000-0005-0000-0000-0000E5370000}"/>
    <cellStyle name="EYNotesHeading 2 13" xfId="14308" xr:uid="{00000000-0005-0000-0000-0000E6370000}"/>
    <cellStyle name="EYNotesHeading 2 14" xfId="14309" xr:uid="{00000000-0005-0000-0000-0000E7370000}"/>
    <cellStyle name="EYNotesHeading 2 15" xfId="14310" xr:uid="{00000000-0005-0000-0000-0000E8370000}"/>
    <cellStyle name="EYNotesHeading 2 16" xfId="14311" xr:uid="{00000000-0005-0000-0000-0000E9370000}"/>
    <cellStyle name="EYNotesHeading 2 17" xfId="14312" xr:uid="{00000000-0005-0000-0000-0000EA370000}"/>
    <cellStyle name="EYNotesHeading 2 18" xfId="14313" xr:uid="{00000000-0005-0000-0000-0000EB370000}"/>
    <cellStyle name="EYNotesHeading 2 19" xfId="14314" xr:uid="{00000000-0005-0000-0000-0000EC370000}"/>
    <cellStyle name="EYNotesHeading 2 2" xfId="14315" xr:uid="{00000000-0005-0000-0000-0000ED370000}"/>
    <cellStyle name="EYNotesHeading 2 20" xfId="14316" xr:uid="{00000000-0005-0000-0000-0000EE370000}"/>
    <cellStyle name="EYNotesHeading 2 21" xfId="14317" xr:uid="{00000000-0005-0000-0000-0000EF370000}"/>
    <cellStyle name="EYNotesHeading 2 22" xfId="14318" xr:uid="{00000000-0005-0000-0000-0000F0370000}"/>
    <cellStyle name="EYNotesHeading 2 23" xfId="14319" xr:uid="{00000000-0005-0000-0000-0000F1370000}"/>
    <cellStyle name="EYNotesHeading 2 24" xfId="14320" xr:uid="{00000000-0005-0000-0000-0000F2370000}"/>
    <cellStyle name="EYNotesHeading 2 25" xfId="14321" xr:uid="{00000000-0005-0000-0000-0000F3370000}"/>
    <cellStyle name="EYNotesHeading 2 26" xfId="14322" xr:uid="{00000000-0005-0000-0000-0000F4370000}"/>
    <cellStyle name="EYNotesHeading 2 27" xfId="14323" xr:uid="{00000000-0005-0000-0000-0000F5370000}"/>
    <cellStyle name="EYNotesHeading 2 28" xfId="14324" xr:uid="{00000000-0005-0000-0000-0000F6370000}"/>
    <cellStyle name="EYNotesHeading 2 29" xfId="14325" xr:uid="{00000000-0005-0000-0000-0000F7370000}"/>
    <cellStyle name="EYNotesHeading 2 3" xfId="14326" xr:uid="{00000000-0005-0000-0000-0000F8370000}"/>
    <cellStyle name="EYNotesHeading 2 30" xfId="14327" xr:uid="{00000000-0005-0000-0000-0000F9370000}"/>
    <cellStyle name="EYNotesHeading 2 31" xfId="14328" xr:uid="{00000000-0005-0000-0000-0000FA370000}"/>
    <cellStyle name="EYNotesHeading 2 32" xfId="14329" xr:uid="{00000000-0005-0000-0000-0000FB370000}"/>
    <cellStyle name="EYNotesHeading 2 33" xfId="14330" xr:uid="{00000000-0005-0000-0000-0000FC370000}"/>
    <cellStyle name="EYNotesHeading 2 34" xfId="14331" xr:uid="{00000000-0005-0000-0000-0000FD370000}"/>
    <cellStyle name="EYNotesHeading 2 4" xfId="14332" xr:uid="{00000000-0005-0000-0000-0000FE370000}"/>
    <cellStyle name="EYNotesHeading 2 5" xfId="14333" xr:uid="{00000000-0005-0000-0000-0000FF370000}"/>
    <cellStyle name="EYNotesHeading 2 6" xfId="14334" xr:uid="{00000000-0005-0000-0000-000000380000}"/>
    <cellStyle name="EYNotesHeading 2 7" xfId="14335" xr:uid="{00000000-0005-0000-0000-000001380000}"/>
    <cellStyle name="EYNotesHeading 2 8" xfId="14336" xr:uid="{00000000-0005-0000-0000-000002380000}"/>
    <cellStyle name="EYNotesHeading 2 9" xfId="14337" xr:uid="{00000000-0005-0000-0000-000003380000}"/>
    <cellStyle name="EYNotesHeading 20" xfId="14338" xr:uid="{00000000-0005-0000-0000-000004380000}"/>
    <cellStyle name="EYNotesHeading 21" xfId="14339" xr:uid="{00000000-0005-0000-0000-000005380000}"/>
    <cellStyle name="EYNotesHeading 22" xfId="14340" xr:uid="{00000000-0005-0000-0000-000006380000}"/>
    <cellStyle name="EYNotesHeading 23" xfId="14341" xr:uid="{00000000-0005-0000-0000-000007380000}"/>
    <cellStyle name="EYNotesHeading 24" xfId="14342" xr:uid="{00000000-0005-0000-0000-000008380000}"/>
    <cellStyle name="EYNotesHeading 25" xfId="14343" xr:uid="{00000000-0005-0000-0000-000009380000}"/>
    <cellStyle name="EYNotesHeading 26" xfId="14344" xr:uid="{00000000-0005-0000-0000-00000A380000}"/>
    <cellStyle name="EYNotesHeading 27" xfId="14345" xr:uid="{00000000-0005-0000-0000-00000B380000}"/>
    <cellStyle name="EYNotesHeading 28" xfId="14346" xr:uid="{00000000-0005-0000-0000-00000C380000}"/>
    <cellStyle name="EYNotesHeading 29" xfId="14347" xr:uid="{00000000-0005-0000-0000-00000D380000}"/>
    <cellStyle name="EYNotesHeading 3" xfId="14348" xr:uid="{00000000-0005-0000-0000-00000E380000}"/>
    <cellStyle name="EYNotesHeading 3 2" xfId="14349" xr:uid="{00000000-0005-0000-0000-00000F380000}"/>
    <cellStyle name="EYNotesHeading 3 3" xfId="14350" xr:uid="{00000000-0005-0000-0000-000010380000}"/>
    <cellStyle name="EYNotesHeading 30" xfId="14351" xr:uid="{00000000-0005-0000-0000-000011380000}"/>
    <cellStyle name="EYNotesHeading 31" xfId="14352" xr:uid="{00000000-0005-0000-0000-000012380000}"/>
    <cellStyle name="EYNotesHeading 32" xfId="14353" xr:uid="{00000000-0005-0000-0000-000013380000}"/>
    <cellStyle name="EYNotesHeading 4" xfId="14354" xr:uid="{00000000-0005-0000-0000-000014380000}"/>
    <cellStyle name="EYNotesHeading 5" xfId="14355" xr:uid="{00000000-0005-0000-0000-000015380000}"/>
    <cellStyle name="EYNotesHeading 6" xfId="14356" xr:uid="{00000000-0005-0000-0000-000016380000}"/>
    <cellStyle name="EYNotesHeading 7" xfId="14357" xr:uid="{00000000-0005-0000-0000-000017380000}"/>
    <cellStyle name="EYNotesHeading 8" xfId="14358" xr:uid="{00000000-0005-0000-0000-000018380000}"/>
    <cellStyle name="EYNotesHeading 9" xfId="14359" xr:uid="{00000000-0005-0000-0000-000019380000}"/>
    <cellStyle name="EYnumber" xfId="14360" xr:uid="{00000000-0005-0000-0000-00001A380000}"/>
    <cellStyle name="EYnumber 10" xfId="14361" xr:uid="{00000000-0005-0000-0000-00001B380000}"/>
    <cellStyle name="EYnumber 11" xfId="14362" xr:uid="{00000000-0005-0000-0000-00001C380000}"/>
    <cellStyle name="EYnumber 12" xfId="14363" xr:uid="{00000000-0005-0000-0000-00001D380000}"/>
    <cellStyle name="EYnumber 13" xfId="14364" xr:uid="{00000000-0005-0000-0000-00001E380000}"/>
    <cellStyle name="EYnumber 14" xfId="14365" xr:uid="{00000000-0005-0000-0000-00001F380000}"/>
    <cellStyle name="EYnumber 15" xfId="14366" xr:uid="{00000000-0005-0000-0000-000020380000}"/>
    <cellStyle name="EYnumber 16" xfId="14367" xr:uid="{00000000-0005-0000-0000-000021380000}"/>
    <cellStyle name="EYnumber 17" xfId="14368" xr:uid="{00000000-0005-0000-0000-000022380000}"/>
    <cellStyle name="EYnumber 18" xfId="14369" xr:uid="{00000000-0005-0000-0000-000023380000}"/>
    <cellStyle name="EYnumber 19" xfId="14370" xr:uid="{00000000-0005-0000-0000-000024380000}"/>
    <cellStyle name="EYnumber 2" xfId="14371" xr:uid="{00000000-0005-0000-0000-000025380000}"/>
    <cellStyle name="EYnumber 2 10" xfId="14372" xr:uid="{00000000-0005-0000-0000-000026380000}"/>
    <cellStyle name="EYnumber 2 11" xfId="14373" xr:uid="{00000000-0005-0000-0000-000027380000}"/>
    <cellStyle name="EYnumber 2 12" xfId="14374" xr:uid="{00000000-0005-0000-0000-000028380000}"/>
    <cellStyle name="EYnumber 2 13" xfId="14375" xr:uid="{00000000-0005-0000-0000-000029380000}"/>
    <cellStyle name="EYnumber 2 14" xfId="14376" xr:uid="{00000000-0005-0000-0000-00002A380000}"/>
    <cellStyle name="EYnumber 2 15" xfId="14377" xr:uid="{00000000-0005-0000-0000-00002B380000}"/>
    <cellStyle name="EYnumber 2 16" xfId="14378" xr:uid="{00000000-0005-0000-0000-00002C380000}"/>
    <cellStyle name="EYnumber 2 17" xfId="14379" xr:uid="{00000000-0005-0000-0000-00002D380000}"/>
    <cellStyle name="EYnumber 2 18" xfId="14380" xr:uid="{00000000-0005-0000-0000-00002E380000}"/>
    <cellStyle name="EYnumber 2 19" xfId="14381" xr:uid="{00000000-0005-0000-0000-00002F380000}"/>
    <cellStyle name="EYnumber 2 2" xfId="14382" xr:uid="{00000000-0005-0000-0000-000030380000}"/>
    <cellStyle name="EYnumber 2 20" xfId="14383" xr:uid="{00000000-0005-0000-0000-000031380000}"/>
    <cellStyle name="EYnumber 2 21" xfId="14384" xr:uid="{00000000-0005-0000-0000-000032380000}"/>
    <cellStyle name="EYnumber 2 22" xfId="14385" xr:uid="{00000000-0005-0000-0000-000033380000}"/>
    <cellStyle name="EYnumber 2 23" xfId="14386" xr:uid="{00000000-0005-0000-0000-000034380000}"/>
    <cellStyle name="EYnumber 2 24" xfId="14387" xr:uid="{00000000-0005-0000-0000-000035380000}"/>
    <cellStyle name="EYnumber 2 25" xfId="14388" xr:uid="{00000000-0005-0000-0000-000036380000}"/>
    <cellStyle name="EYnumber 2 26" xfId="14389" xr:uid="{00000000-0005-0000-0000-000037380000}"/>
    <cellStyle name="EYnumber 2 27" xfId="14390" xr:uid="{00000000-0005-0000-0000-000038380000}"/>
    <cellStyle name="EYnumber 2 28" xfId="14391" xr:uid="{00000000-0005-0000-0000-000039380000}"/>
    <cellStyle name="EYnumber 2 29" xfId="14392" xr:uid="{00000000-0005-0000-0000-00003A380000}"/>
    <cellStyle name="EYnumber 2 3" xfId="14393" xr:uid="{00000000-0005-0000-0000-00003B380000}"/>
    <cellStyle name="EYnumber 2 30" xfId="14394" xr:uid="{00000000-0005-0000-0000-00003C380000}"/>
    <cellStyle name="EYnumber 2 31" xfId="14395" xr:uid="{00000000-0005-0000-0000-00003D380000}"/>
    <cellStyle name="EYnumber 2 32" xfId="14396" xr:uid="{00000000-0005-0000-0000-00003E380000}"/>
    <cellStyle name="EYnumber 2 33" xfId="14397" xr:uid="{00000000-0005-0000-0000-00003F380000}"/>
    <cellStyle name="EYnumber 2 34" xfId="14398" xr:uid="{00000000-0005-0000-0000-000040380000}"/>
    <cellStyle name="EYnumber 2 4" xfId="14399" xr:uid="{00000000-0005-0000-0000-000041380000}"/>
    <cellStyle name="EYnumber 2 5" xfId="14400" xr:uid="{00000000-0005-0000-0000-000042380000}"/>
    <cellStyle name="EYnumber 2 6" xfId="14401" xr:uid="{00000000-0005-0000-0000-000043380000}"/>
    <cellStyle name="EYnumber 2 7" xfId="14402" xr:uid="{00000000-0005-0000-0000-000044380000}"/>
    <cellStyle name="EYnumber 2 8" xfId="14403" xr:uid="{00000000-0005-0000-0000-000045380000}"/>
    <cellStyle name="EYnumber 2 9" xfId="14404" xr:uid="{00000000-0005-0000-0000-000046380000}"/>
    <cellStyle name="EYnumber 20" xfId="14405" xr:uid="{00000000-0005-0000-0000-000047380000}"/>
    <cellStyle name="EYnumber 21" xfId="14406" xr:uid="{00000000-0005-0000-0000-000048380000}"/>
    <cellStyle name="EYnumber 22" xfId="14407" xr:uid="{00000000-0005-0000-0000-000049380000}"/>
    <cellStyle name="EYnumber 23" xfId="14408" xr:uid="{00000000-0005-0000-0000-00004A380000}"/>
    <cellStyle name="EYnumber 24" xfId="14409" xr:uid="{00000000-0005-0000-0000-00004B380000}"/>
    <cellStyle name="EYnumber 25" xfId="14410" xr:uid="{00000000-0005-0000-0000-00004C380000}"/>
    <cellStyle name="EYnumber 26" xfId="14411" xr:uid="{00000000-0005-0000-0000-00004D380000}"/>
    <cellStyle name="EYnumber 27" xfId="14412" xr:uid="{00000000-0005-0000-0000-00004E380000}"/>
    <cellStyle name="EYnumber 28" xfId="14413" xr:uid="{00000000-0005-0000-0000-00004F380000}"/>
    <cellStyle name="EYnumber 29" xfId="14414" xr:uid="{00000000-0005-0000-0000-000050380000}"/>
    <cellStyle name="EYnumber 3" xfId="14415" xr:uid="{00000000-0005-0000-0000-000051380000}"/>
    <cellStyle name="EYnumber 3 2" xfId="14416" xr:uid="{00000000-0005-0000-0000-000052380000}"/>
    <cellStyle name="EYnumber 3 3" xfId="14417" xr:uid="{00000000-0005-0000-0000-000053380000}"/>
    <cellStyle name="EYnumber 30" xfId="14418" xr:uid="{00000000-0005-0000-0000-000054380000}"/>
    <cellStyle name="EYnumber 31" xfId="14419" xr:uid="{00000000-0005-0000-0000-000055380000}"/>
    <cellStyle name="EYnumber 32" xfId="14420" xr:uid="{00000000-0005-0000-0000-000056380000}"/>
    <cellStyle name="EYnumber 4" xfId="14421" xr:uid="{00000000-0005-0000-0000-000057380000}"/>
    <cellStyle name="EYnumber 5" xfId="14422" xr:uid="{00000000-0005-0000-0000-000058380000}"/>
    <cellStyle name="EYnumber 6" xfId="14423" xr:uid="{00000000-0005-0000-0000-000059380000}"/>
    <cellStyle name="EYnumber 7" xfId="14424" xr:uid="{00000000-0005-0000-0000-00005A380000}"/>
    <cellStyle name="EYnumber 8" xfId="14425" xr:uid="{00000000-0005-0000-0000-00005B380000}"/>
    <cellStyle name="EYnumber 9" xfId="14426" xr:uid="{00000000-0005-0000-0000-00005C380000}"/>
    <cellStyle name="EYRelianceRestricted" xfId="14427" xr:uid="{00000000-0005-0000-0000-00005D380000}"/>
    <cellStyle name="EYSectionHeading" xfId="14428" xr:uid="{00000000-0005-0000-0000-00005E380000}"/>
    <cellStyle name="EYSheetHeader1" xfId="14429" xr:uid="{00000000-0005-0000-0000-00005F380000}"/>
    <cellStyle name="EYSheetHeading" xfId="14430" xr:uid="{00000000-0005-0000-0000-000060380000}"/>
    <cellStyle name="EYsmallheading" xfId="14431" xr:uid="{00000000-0005-0000-0000-000061380000}"/>
    <cellStyle name="EYSource" xfId="14432" xr:uid="{00000000-0005-0000-0000-000062380000}"/>
    <cellStyle name="EYtext" xfId="14433" xr:uid="{00000000-0005-0000-0000-000063380000}"/>
    <cellStyle name="EYtextbold" xfId="14434" xr:uid="{00000000-0005-0000-0000-000064380000}"/>
    <cellStyle name="EYtextbolditalic" xfId="14435" xr:uid="{00000000-0005-0000-0000-000065380000}"/>
    <cellStyle name="EYtextitalic" xfId="14436" xr:uid="{00000000-0005-0000-0000-000066380000}"/>
    <cellStyle name="F2" xfId="14437" xr:uid="{00000000-0005-0000-0000-000067380000}"/>
    <cellStyle name="F2 2" xfId="14438" xr:uid="{00000000-0005-0000-0000-000068380000}"/>
    <cellStyle name="F2 2 2" xfId="14439" xr:uid="{00000000-0005-0000-0000-000069380000}"/>
    <cellStyle name="F2 2 2 2" xfId="14440" xr:uid="{00000000-0005-0000-0000-00006A380000}"/>
    <cellStyle name="F2 2 3" xfId="14441" xr:uid="{00000000-0005-0000-0000-00006B380000}"/>
    <cellStyle name="F2 3" xfId="14442" xr:uid="{00000000-0005-0000-0000-00006C380000}"/>
    <cellStyle name="F2 3 2" xfId="14443" xr:uid="{00000000-0005-0000-0000-00006D380000}"/>
    <cellStyle name="F2 4" xfId="14444" xr:uid="{00000000-0005-0000-0000-00006E380000}"/>
    <cellStyle name="F2 4 2" xfId="14445" xr:uid="{00000000-0005-0000-0000-00006F380000}"/>
    <cellStyle name="F2 5" xfId="14446" xr:uid="{00000000-0005-0000-0000-000070380000}"/>
    <cellStyle name="F2 5 2" xfId="14447" xr:uid="{00000000-0005-0000-0000-000071380000}"/>
    <cellStyle name="F2 6" xfId="14448" xr:uid="{00000000-0005-0000-0000-000072380000}"/>
    <cellStyle name="F2 6 2" xfId="14449" xr:uid="{00000000-0005-0000-0000-000073380000}"/>
    <cellStyle name="F2 7" xfId="14450" xr:uid="{00000000-0005-0000-0000-000074380000}"/>
    <cellStyle name="F2 7 2" xfId="14451" xr:uid="{00000000-0005-0000-0000-000075380000}"/>
    <cellStyle name="F2 8" xfId="14452" xr:uid="{00000000-0005-0000-0000-000076380000}"/>
    <cellStyle name="F3" xfId="14453" xr:uid="{00000000-0005-0000-0000-000077380000}"/>
    <cellStyle name="F3 2" xfId="14454" xr:uid="{00000000-0005-0000-0000-000078380000}"/>
    <cellStyle name="F3 2 2" xfId="14455" xr:uid="{00000000-0005-0000-0000-000079380000}"/>
    <cellStyle name="F3 2 2 2" xfId="14456" xr:uid="{00000000-0005-0000-0000-00007A380000}"/>
    <cellStyle name="F3 2 3" xfId="14457" xr:uid="{00000000-0005-0000-0000-00007B380000}"/>
    <cellStyle name="F3 3" xfId="14458" xr:uid="{00000000-0005-0000-0000-00007C380000}"/>
    <cellStyle name="F3 3 2" xfId="14459" xr:uid="{00000000-0005-0000-0000-00007D380000}"/>
    <cellStyle name="F3 4" xfId="14460" xr:uid="{00000000-0005-0000-0000-00007E380000}"/>
    <cellStyle name="F3 4 2" xfId="14461" xr:uid="{00000000-0005-0000-0000-00007F380000}"/>
    <cellStyle name="F3 5" xfId="14462" xr:uid="{00000000-0005-0000-0000-000080380000}"/>
    <cellStyle name="F3 5 2" xfId="14463" xr:uid="{00000000-0005-0000-0000-000081380000}"/>
    <cellStyle name="F3 6" xfId="14464" xr:uid="{00000000-0005-0000-0000-000082380000}"/>
    <cellStyle name="F3 6 2" xfId="14465" xr:uid="{00000000-0005-0000-0000-000083380000}"/>
    <cellStyle name="F3 7" xfId="14466" xr:uid="{00000000-0005-0000-0000-000084380000}"/>
    <cellStyle name="F3 7 2" xfId="14467" xr:uid="{00000000-0005-0000-0000-000085380000}"/>
    <cellStyle name="F3 8" xfId="14468" xr:uid="{00000000-0005-0000-0000-000086380000}"/>
    <cellStyle name="F4" xfId="14469" xr:uid="{00000000-0005-0000-0000-000087380000}"/>
    <cellStyle name="F4 2" xfId="14470" xr:uid="{00000000-0005-0000-0000-000088380000}"/>
    <cellStyle name="F4 2 2" xfId="14471" xr:uid="{00000000-0005-0000-0000-000089380000}"/>
    <cellStyle name="F4 2 2 2" xfId="14472" xr:uid="{00000000-0005-0000-0000-00008A380000}"/>
    <cellStyle name="F4 2 3" xfId="14473" xr:uid="{00000000-0005-0000-0000-00008B380000}"/>
    <cellStyle name="F4 3" xfId="14474" xr:uid="{00000000-0005-0000-0000-00008C380000}"/>
    <cellStyle name="F4 3 2" xfId="14475" xr:uid="{00000000-0005-0000-0000-00008D380000}"/>
    <cellStyle name="F4 4" xfId="14476" xr:uid="{00000000-0005-0000-0000-00008E380000}"/>
    <cellStyle name="F4 4 2" xfId="14477" xr:uid="{00000000-0005-0000-0000-00008F380000}"/>
    <cellStyle name="F4 5" xfId="14478" xr:uid="{00000000-0005-0000-0000-000090380000}"/>
    <cellStyle name="F4 5 2" xfId="14479" xr:uid="{00000000-0005-0000-0000-000091380000}"/>
    <cellStyle name="F4 6" xfId="14480" xr:uid="{00000000-0005-0000-0000-000092380000}"/>
    <cellStyle name="F4 6 2" xfId="14481" xr:uid="{00000000-0005-0000-0000-000093380000}"/>
    <cellStyle name="F4 7" xfId="14482" xr:uid="{00000000-0005-0000-0000-000094380000}"/>
    <cellStyle name="F4 7 2" xfId="14483" xr:uid="{00000000-0005-0000-0000-000095380000}"/>
    <cellStyle name="F4 8" xfId="14484" xr:uid="{00000000-0005-0000-0000-000096380000}"/>
    <cellStyle name="F5" xfId="14485" xr:uid="{00000000-0005-0000-0000-000097380000}"/>
    <cellStyle name="F5 2" xfId="14486" xr:uid="{00000000-0005-0000-0000-000098380000}"/>
    <cellStyle name="F5 2 2" xfId="14487" xr:uid="{00000000-0005-0000-0000-000099380000}"/>
    <cellStyle name="F5 2 2 2" xfId="14488" xr:uid="{00000000-0005-0000-0000-00009A380000}"/>
    <cellStyle name="F5 2 3" xfId="14489" xr:uid="{00000000-0005-0000-0000-00009B380000}"/>
    <cellStyle name="F5 3" xfId="14490" xr:uid="{00000000-0005-0000-0000-00009C380000}"/>
    <cellStyle name="F5 3 2" xfId="14491" xr:uid="{00000000-0005-0000-0000-00009D380000}"/>
    <cellStyle name="F5 4" xfId="14492" xr:uid="{00000000-0005-0000-0000-00009E380000}"/>
    <cellStyle name="F5 4 2" xfId="14493" xr:uid="{00000000-0005-0000-0000-00009F380000}"/>
    <cellStyle name="F5 5" xfId="14494" xr:uid="{00000000-0005-0000-0000-0000A0380000}"/>
    <cellStyle name="F5 5 2" xfId="14495" xr:uid="{00000000-0005-0000-0000-0000A1380000}"/>
    <cellStyle name="F5 6" xfId="14496" xr:uid="{00000000-0005-0000-0000-0000A2380000}"/>
    <cellStyle name="F5 6 2" xfId="14497" xr:uid="{00000000-0005-0000-0000-0000A3380000}"/>
    <cellStyle name="F5 7" xfId="14498" xr:uid="{00000000-0005-0000-0000-0000A4380000}"/>
    <cellStyle name="F5 7 2" xfId="14499" xr:uid="{00000000-0005-0000-0000-0000A5380000}"/>
    <cellStyle name="F5 8" xfId="14500" xr:uid="{00000000-0005-0000-0000-0000A6380000}"/>
    <cellStyle name="F6" xfId="14501" xr:uid="{00000000-0005-0000-0000-0000A7380000}"/>
    <cellStyle name="F6 2" xfId="14502" xr:uid="{00000000-0005-0000-0000-0000A8380000}"/>
    <cellStyle name="F6 2 2" xfId="14503" xr:uid="{00000000-0005-0000-0000-0000A9380000}"/>
    <cellStyle name="F6 2 2 2" xfId="14504" xr:uid="{00000000-0005-0000-0000-0000AA380000}"/>
    <cellStyle name="F6 2 3" xfId="14505" xr:uid="{00000000-0005-0000-0000-0000AB380000}"/>
    <cellStyle name="F6 3" xfId="14506" xr:uid="{00000000-0005-0000-0000-0000AC380000}"/>
    <cellStyle name="F6 3 2" xfId="14507" xr:uid="{00000000-0005-0000-0000-0000AD380000}"/>
    <cellStyle name="F6 4" xfId="14508" xr:uid="{00000000-0005-0000-0000-0000AE380000}"/>
    <cellStyle name="F6 4 2" xfId="14509" xr:uid="{00000000-0005-0000-0000-0000AF380000}"/>
    <cellStyle name="F6 5" xfId="14510" xr:uid="{00000000-0005-0000-0000-0000B0380000}"/>
    <cellStyle name="F6 5 2" xfId="14511" xr:uid="{00000000-0005-0000-0000-0000B1380000}"/>
    <cellStyle name="F6 6" xfId="14512" xr:uid="{00000000-0005-0000-0000-0000B2380000}"/>
    <cellStyle name="F6 6 2" xfId="14513" xr:uid="{00000000-0005-0000-0000-0000B3380000}"/>
    <cellStyle name="F6 7" xfId="14514" xr:uid="{00000000-0005-0000-0000-0000B4380000}"/>
    <cellStyle name="F6 7 2" xfId="14515" xr:uid="{00000000-0005-0000-0000-0000B5380000}"/>
    <cellStyle name="F6 8" xfId="14516" xr:uid="{00000000-0005-0000-0000-0000B6380000}"/>
    <cellStyle name="F7" xfId="14517" xr:uid="{00000000-0005-0000-0000-0000B7380000}"/>
    <cellStyle name="F7 2" xfId="14518" xr:uid="{00000000-0005-0000-0000-0000B8380000}"/>
    <cellStyle name="F7 2 2" xfId="14519" xr:uid="{00000000-0005-0000-0000-0000B9380000}"/>
    <cellStyle name="F7 2 2 2" xfId="14520" xr:uid="{00000000-0005-0000-0000-0000BA380000}"/>
    <cellStyle name="F7 2 3" xfId="14521" xr:uid="{00000000-0005-0000-0000-0000BB380000}"/>
    <cellStyle name="F7 3" xfId="14522" xr:uid="{00000000-0005-0000-0000-0000BC380000}"/>
    <cellStyle name="F7 3 2" xfId="14523" xr:uid="{00000000-0005-0000-0000-0000BD380000}"/>
    <cellStyle name="F7 4" xfId="14524" xr:uid="{00000000-0005-0000-0000-0000BE380000}"/>
    <cellStyle name="F7 4 2" xfId="14525" xr:uid="{00000000-0005-0000-0000-0000BF380000}"/>
    <cellStyle name="F7 5" xfId="14526" xr:uid="{00000000-0005-0000-0000-0000C0380000}"/>
    <cellStyle name="F7 5 2" xfId="14527" xr:uid="{00000000-0005-0000-0000-0000C1380000}"/>
    <cellStyle name="F7 6" xfId="14528" xr:uid="{00000000-0005-0000-0000-0000C2380000}"/>
    <cellStyle name="F7 6 2" xfId="14529" xr:uid="{00000000-0005-0000-0000-0000C3380000}"/>
    <cellStyle name="F7 7" xfId="14530" xr:uid="{00000000-0005-0000-0000-0000C4380000}"/>
    <cellStyle name="F7 7 2" xfId="14531" xr:uid="{00000000-0005-0000-0000-0000C5380000}"/>
    <cellStyle name="F7 8" xfId="14532" xr:uid="{00000000-0005-0000-0000-0000C6380000}"/>
    <cellStyle name="F8" xfId="14533" xr:uid="{00000000-0005-0000-0000-0000C7380000}"/>
    <cellStyle name="F8 2" xfId="14534" xr:uid="{00000000-0005-0000-0000-0000C8380000}"/>
    <cellStyle name="F8 2 2" xfId="14535" xr:uid="{00000000-0005-0000-0000-0000C9380000}"/>
    <cellStyle name="F8 2 2 2" xfId="14536" xr:uid="{00000000-0005-0000-0000-0000CA380000}"/>
    <cellStyle name="F8 2 3" xfId="14537" xr:uid="{00000000-0005-0000-0000-0000CB380000}"/>
    <cellStyle name="F8 3" xfId="14538" xr:uid="{00000000-0005-0000-0000-0000CC380000}"/>
    <cellStyle name="F8 3 2" xfId="14539" xr:uid="{00000000-0005-0000-0000-0000CD380000}"/>
    <cellStyle name="F8 4" xfId="14540" xr:uid="{00000000-0005-0000-0000-0000CE380000}"/>
    <cellStyle name="F8 4 2" xfId="14541" xr:uid="{00000000-0005-0000-0000-0000CF380000}"/>
    <cellStyle name="F8 5" xfId="14542" xr:uid="{00000000-0005-0000-0000-0000D0380000}"/>
    <cellStyle name="F8 5 2" xfId="14543" xr:uid="{00000000-0005-0000-0000-0000D1380000}"/>
    <cellStyle name="F8 6" xfId="14544" xr:uid="{00000000-0005-0000-0000-0000D2380000}"/>
    <cellStyle name="F8 6 2" xfId="14545" xr:uid="{00000000-0005-0000-0000-0000D3380000}"/>
    <cellStyle name="F8 7" xfId="14546" xr:uid="{00000000-0005-0000-0000-0000D4380000}"/>
    <cellStyle name="F8 7 2" xfId="14547" xr:uid="{00000000-0005-0000-0000-0000D5380000}"/>
    <cellStyle name="F8 8" xfId="14548" xr:uid="{00000000-0005-0000-0000-0000D6380000}"/>
    <cellStyle name="Farbe1" xfId="14549" xr:uid="{00000000-0005-0000-0000-0000D7380000}"/>
    <cellStyle name="Figures 0.000" xfId="14550" xr:uid="{00000000-0005-0000-0000-0000D8380000}"/>
    <cellStyle name="Figures 0.000 2" xfId="14551" xr:uid="{00000000-0005-0000-0000-0000D9380000}"/>
    <cellStyle name="Figures 0.000 2 2" xfId="14552" xr:uid="{00000000-0005-0000-0000-0000DA380000}"/>
    <cellStyle name="Figures 0.000 2 3" xfId="14553" xr:uid="{00000000-0005-0000-0000-0000DB380000}"/>
    <cellStyle name="Fijo" xfId="14554" xr:uid="{00000000-0005-0000-0000-0000DC380000}"/>
    <cellStyle name="Fijo 2" xfId="14555" xr:uid="{00000000-0005-0000-0000-0000DD380000}"/>
    <cellStyle name="Fijo 2 2" xfId="14556" xr:uid="{00000000-0005-0000-0000-0000DE380000}"/>
    <cellStyle name="Fijo 3" xfId="14557" xr:uid="{00000000-0005-0000-0000-0000DF380000}"/>
    <cellStyle name="Fijo 3 2" xfId="14558" xr:uid="{00000000-0005-0000-0000-0000E0380000}"/>
    <cellStyle name="Fijo 4" xfId="14559" xr:uid="{00000000-0005-0000-0000-0000E1380000}"/>
    <cellStyle name="Financials" xfId="14560" xr:uid="{00000000-0005-0000-0000-0000E2380000}"/>
    <cellStyle name="Financier0" xfId="14561" xr:uid="{00000000-0005-0000-0000-0000E3380000}"/>
    <cellStyle name="Financiero" xfId="14562" xr:uid="{00000000-0005-0000-0000-0000E4380000}"/>
    <cellStyle name="Financiero 2" xfId="14563" xr:uid="{00000000-0005-0000-0000-0000E5380000}"/>
    <cellStyle name="Financiero 2 2" xfId="14564" xr:uid="{00000000-0005-0000-0000-0000E6380000}"/>
    <cellStyle name="Financiero 3" xfId="14565" xr:uid="{00000000-0005-0000-0000-0000E7380000}"/>
    <cellStyle name="Financiero 3 2" xfId="14566" xr:uid="{00000000-0005-0000-0000-0000E8380000}"/>
    <cellStyle name="Financiero 4" xfId="14567" xr:uid="{00000000-0005-0000-0000-0000E9380000}"/>
    <cellStyle name="Fixed" xfId="14568" xr:uid="{00000000-0005-0000-0000-0000EA380000}"/>
    <cellStyle name="Fixed [0]" xfId="14569" xr:uid="{00000000-0005-0000-0000-0000EB380000}"/>
    <cellStyle name="Fixed 2" xfId="14570" xr:uid="{00000000-0005-0000-0000-0000EC380000}"/>
    <cellStyle name="Fixed 3" xfId="14571" xr:uid="{00000000-0005-0000-0000-0000ED380000}"/>
    <cellStyle name="Fixed_Belltel GNOC Requirements PA1" xfId="14572" xr:uid="{00000000-0005-0000-0000-0000EE380000}"/>
    <cellStyle name="Frm" xfId="14573" xr:uid="{00000000-0005-0000-0000-0000EF380000}"/>
    <cellStyle name="FromInput" xfId="14574" xr:uid="{00000000-0005-0000-0000-0000F0380000}"/>
    <cellStyle name="FromInput 2" xfId="14575" xr:uid="{00000000-0005-0000-0000-0000F1380000}"/>
    <cellStyle name="FromInput 3" xfId="14576" xr:uid="{00000000-0005-0000-0000-0000F2380000}"/>
    <cellStyle name="Good 10" xfId="14577" xr:uid="{00000000-0005-0000-0000-0000F3380000}"/>
    <cellStyle name="Good 10 2" xfId="14578" xr:uid="{00000000-0005-0000-0000-0000F4380000}"/>
    <cellStyle name="Good 11" xfId="14579" xr:uid="{00000000-0005-0000-0000-0000F5380000}"/>
    <cellStyle name="Good 11 2" xfId="14580" xr:uid="{00000000-0005-0000-0000-0000F6380000}"/>
    <cellStyle name="Good 12" xfId="14581" xr:uid="{00000000-0005-0000-0000-0000F7380000}"/>
    <cellStyle name="Good 12 2" xfId="14582" xr:uid="{00000000-0005-0000-0000-0000F8380000}"/>
    <cellStyle name="Good 13" xfId="14583" xr:uid="{00000000-0005-0000-0000-0000F9380000}"/>
    <cellStyle name="Good 13 2" xfId="14584" xr:uid="{00000000-0005-0000-0000-0000FA380000}"/>
    <cellStyle name="Good 14" xfId="14585" xr:uid="{00000000-0005-0000-0000-0000FB380000}"/>
    <cellStyle name="Good 14 2" xfId="14586" xr:uid="{00000000-0005-0000-0000-0000FC380000}"/>
    <cellStyle name="Good 15" xfId="14587" xr:uid="{00000000-0005-0000-0000-0000FD380000}"/>
    <cellStyle name="Good 15 2" xfId="14588" xr:uid="{00000000-0005-0000-0000-0000FE380000}"/>
    <cellStyle name="Good 16" xfId="14589" xr:uid="{00000000-0005-0000-0000-0000FF380000}"/>
    <cellStyle name="Good 16 2" xfId="14590" xr:uid="{00000000-0005-0000-0000-000000390000}"/>
    <cellStyle name="Good 17" xfId="14591" xr:uid="{00000000-0005-0000-0000-000001390000}"/>
    <cellStyle name="Good 17 2" xfId="14592" xr:uid="{00000000-0005-0000-0000-000002390000}"/>
    <cellStyle name="Good 18" xfId="14593" xr:uid="{00000000-0005-0000-0000-000003390000}"/>
    <cellStyle name="Good 18 2" xfId="14594" xr:uid="{00000000-0005-0000-0000-000004390000}"/>
    <cellStyle name="Good 19" xfId="14595" xr:uid="{00000000-0005-0000-0000-000005390000}"/>
    <cellStyle name="Good 19 2" xfId="14596" xr:uid="{00000000-0005-0000-0000-000006390000}"/>
    <cellStyle name="Good 2" xfId="14597" xr:uid="{00000000-0005-0000-0000-000007390000}"/>
    <cellStyle name="Good 2 10" xfId="14598" xr:uid="{00000000-0005-0000-0000-000008390000}"/>
    <cellStyle name="Good 2 10 2" xfId="14599" xr:uid="{00000000-0005-0000-0000-000009390000}"/>
    <cellStyle name="Good 2 11" xfId="14600" xr:uid="{00000000-0005-0000-0000-00000A390000}"/>
    <cellStyle name="Good 2 11 2" xfId="14601" xr:uid="{00000000-0005-0000-0000-00000B390000}"/>
    <cellStyle name="Good 2 12" xfId="14602" xr:uid="{00000000-0005-0000-0000-00000C390000}"/>
    <cellStyle name="Good 2 12 2" xfId="14603" xr:uid="{00000000-0005-0000-0000-00000D390000}"/>
    <cellStyle name="Good 2 13" xfId="14604" xr:uid="{00000000-0005-0000-0000-00000E390000}"/>
    <cellStyle name="Good 2 13 2" xfId="14605" xr:uid="{00000000-0005-0000-0000-00000F390000}"/>
    <cellStyle name="Good 2 14" xfId="14606" xr:uid="{00000000-0005-0000-0000-000010390000}"/>
    <cellStyle name="Good 2 14 2" xfId="14607" xr:uid="{00000000-0005-0000-0000-000011390000}"/>
    <cellStyle name="Good 2 15" xfId="14608" xr:uid="{00000000-0005-0000-0000-000012390000}"/>
    <cellStyle name="Good 2 15 2" xfId="14609" xr:uid="{00000000-0005-0000-0000-000013390000}"/>
    <cellStyle name="Good 2 16" xfId="14610" xr:uid="{00000000-0005-0000-0000-000014390000}"/>
    <cellStyle name="Good 2 16 2" xfId="14611" xr:uid="{00000000-0005-0000-0000-000015390000}"/>
    <cellStyle name="Good 2 17" xfId="14612" xr:uid="{00000000-0005-0000-0000-000016390000}"/>
    <cellStyle name="Good 2 17 2" xfId="14613" xr:uid="{00000000-0005-0000-0000-000017390000}"/>
    <cellStyle name="Good 2 18" xfId="14614" xr:uid="{00000000-0005-0000-0000-000018390000}"/>
    <cellStyle name="Good 2 18 2" xfId="14615" xr:uid="{00000000-0005-0000-0000-000019390000}"/>
    <cellStyle name="Good 2 19" xfId="14616" xr:uid="{00000000-0005-0000-0000-00001A390000}"/>
    <cellStyle name="Good 2 19 2" xfId="14617" xr:uid="{00000000-0005-0000-0000-00001B390000}"/>
    <cellStyle name="Good 2 2" xfId="14618" xr:uid="{00000000-0005-0000-0000-00001C390000}"/>
    <cellStyle name="Good 2 2 2" xfId="14619" xr:uid="{00000000-0005-0000-0000-00001D390000}"/>
    <cellStyle name="Good 2 2 2 2" xfId="14620" xr:uid="{00000000-0005-0000-0000-00001E390000}"/>
    <cellStyle name="Good 2 2 3" xfId="14621" xr:uid="{00000000-0005-0000-0000-00001F390000}"/>
    <cellStyle name="Good 2 20" xfId="14622" xr:uid="{00000000-0005-0000-0000-000020390000}"/>
    <cellStyle name="Good 2 3" xfId="14623" xr:uid="{00000000-0005-0000-0000-000021390000}"/>
    <cellStyle name="Good 2 3 2" xfId="14624" xr:uid="{00000000-0005-0000-0000-000022390000}"/>
    <cellStyle name="Good 2 4" xfId="14625" xr:uid="{00000000-0005-0000-0000-000023390000}"/>
    <cellStyle name="Good 2 4 2" xfId="14626" xr:uid="{00000000-0005-0000-0000-000024390000}"/>
    <cellStyle name="Good 2 5" xfId="14627" xr:uid="{00000000-0005-0000-0000-000025390000}"/>
    <cellStyle name="Good 2 5 2" xfId="14628" xr:uid="{00000000-0005-0000-0000-000026390000}"/>
    <cellStyle name="Good 2 6" xfId="14629" xr:uid="{00000000-0005-0000-0000-000027390000}"/>
    <cellStyle name="Good 2 6 2" xfId="14630" xr:uid="{00000000-0005-0000-0000-000028390000}"/>
    <cellStyle name="Good 2 7" xfId="14631" xr:uid="{00000000-0005-0000-0000-000029390000}"/>
    <cellStyle name="Good 2 7 2" xfId="14632" xr:uid="{00000000-0005-0000-0000-00002A390000}"/>
    <cellStyle name="Good 2 8" xfId="14633" xr:uid="{00000000-0005-0000-0000-00002B390000}"/>
    <cellStyle name="Good 2 8 2" xfId="14634" xr:uid="{00000000-0005-0000-0000-00002C390000}"/>
    <cellStyle name="Good 2 9" xfId="14635" xr:uid="{00000000-0005-0000-0000-00002D390000}"/>
    <cellStyle name="Good 2 9 2" xfId="14636" xr:uid="{00000000-0005-0000-0000-00002E390000}"/>
    <cellStyle name="Good 20" xfId="14637" xr:uid="{00000000-0005-0000-0000-00002F390000}"/>
    <cellStyle name="Good 20 2" xfId="14638" xr:uid="{00000000-0005-0000-0000-000030390000}"/>
    <cellStyle name="Good 21" xfId="14639" xr:uid="{00000000-0005-0000-0000-000031390000}"/>
    <cellStyle name="Good 21 2" xfId="14640" xr:uid="{00000000-0005-0000-0000-000032390000}"/>
    <cellStyle name="Good 22" xfId="14641" xr:uid="{00000000-0005-0000-0000-000033390000}"/>
    <cellStyle name="Good 22 2" xfId="14642" xr:uid="{00000000-0005-0000-0000-000034390000}"/>
    <cellStyle name="Good 23" xfId="14643" xr:uid="{00000000-0005-0000-0000-000035390000}"/>
    <cellStyle name="Good 23 2" xfId="14644" xr:uid="{00000000-0005-0000-0000-000036390000}"/>
    <cellStyle name="Good 24" xfId="14645" xr:uid="{00000000-0005-0000-0000-000037390000}"/>
    <cellStyle name="Good 24 2" xfId="14646" xr:uid="{00000000-0005-0000-0000-000038390000}"/>
    <cellStyle name="Good 25" xfId="14647" xr:uid="{00000000-0005-0000-0000-000039390000}"/>
    <cellStyle name="Good 25 2" xfId="14648" xr:uid="{00000000-0005-0000-0000-00003A390000}"/>
    <cellStyle name="Good 26" xfId="14649" xr:uid="{00000000-0005-0000-0000-00003B390000}"/>
    <cellStyle name="Good 26 2" xfId="14650" xr:uid="{00000000-0005-0000-0000-00003C390000}"/>
    <cellStyle name="Good 27" xfId="14651" xr:uid="{00000000-0005-0000-0000-00003D390000}"/>
    <cellStyle name="Good 27 2" xfId="14652" xr:uid="{00000000-0005-0000-0000-00003E390000}"/>
    <cellStyle name="Good 3" xfId="14653" xr:uid="{00000000-0005-0000-0000-00003F390000}"/>
    <cellStyle name="Good 3 2" xfId="14654" xr:uid="{00000000-0005-0000-0000-000040390000}"/>
    <cellStyle name="Good 3 2 2" xfId="14655" xr:uid="{00000000-0005-0000-0000-000041390000}"/>
    <cellStyle name="Good 3 3" xfId="14656" xr:uid="{00000000-0005-0000-0000-000042390000}"/>
    <cellStyle name="Good 4" xfId="14657" xr:uid="{00000000-0005-0000-0000-000043390000}"/>
    <cellStyle name="Good 4 2" xfId="14658" xr:uid="{00000000-0005-0000-0000-000044390000}"/>
    <cellStyle name="Good 4 2 2" xfId="14659" xr:uid="{00000000-0005-0000-0000-000045390000}"/>
    <cellStyle name="Good 4 3" xfId="14660" xr:uid="{00000000-0005-0000-0000-000046390000}"/>
    <cellStyle name="Good 5" xfId="14661" xr:uid="{00000000-0005-0000-0000-000047390000}"/>
    <cellStyle name="Good 5 2" xfId="14662" xr:uid="{00000000-0005-0000-0000-000048390000}"/>
    <cellStyle name="Good 6" xfId="14663" xr:uid="{00000000-0005-0000-0000-000049390000}"/>
    <cellStyle name="Good 6 2" xfId="14664" xr:uid="{00000000-0005-0000-0000-00004A390000}"/>
    <cellStyle name="Good 7" xfId="14665" xr:uid="{00000000-0005-0000-0000-00004B390000}"/>
    <cellStyle name="Good 7 2" xfId="14666" xr:uid="{00000000-0005-0000-0000-00004C390000}"/>
    <cellStyle name="Good 8" xfId="14667" xr:uid="{00000000-0005-0000-0000-00004D390000}"/>
    <cellStyle name="Good 8 2" xfId="14668" xr:uid="{00000000-0005-0000-0000-00004E390000}"/>
    <cellStyle name="Good 9" xfId="14669" xr:uid="{00000000-0005-0000-0000-00004F390000}"/>
    <cellStyle name="Good 9 2" xfId="14670" xr:uid="{00000000-0005-0000-0000-000050390000}"/>
    <cellStyle name="Grey" xfId="14671" xr:uid="{00000000-0005-0000-0000-000051390000}"/>
    <cellStyle name="Grey 10" xfId="14672" xr:uid="{00000000-0005-0000-0000-000052390000}"/>
    <cellStyle name="Grey 2" xfId="14673" xr:uid="{00000000-0005-0000-0000-000053390000}"/>
    <cellStyle name="Grey 3" xfId="14674" xr:uid="{00000000-0005-0000-0000-000054390000}"/>
    <cellStyle name="Grey 4" xfId="14675" xr:uid="{00000000-0005-0000-0000-000055390000}"/>
    <cellStyle name="Grey 5" xfId="14676" xr:uid="{00000000-0005-0000-0000-000056390000}"/>
    <cellStyle name="Grey 6" xfId="14677" xr:uid="{00000000-0005-0000-0000-000057390000}"/>
    <cellStyle name="Grey 7" xfId="14678" xr:uid="{00000000-0005-0000-0000-000058390000}"/>
    <cellStyle name="Grey 8" xfId="14679" xr:uid="{00000000-0005-0000-0000-000059390000}"/>
    <cellStyle name="Grey 9" xfId="14680" xr:uid="{00000000-0005-0000-0000-00005A390000}"/>
    <cellStyle name="H0" xfId="14681" xr:uid="{00000000-0005-0000-0000-00005B390000}"/>
    <cellStyle name="H1" xfId="14682" xr:uid="{00000000-0005-0000-0000-00005C390000}"/>
    <cellStyle name="H2" xfId="14683" xr:uid="{00000000-0005-0000-0000-00005D390000}"/>
    <cellStyle name="H3" xfId="14684" xr:uid="{00000000-0005-0000-0000-00005E390000}"/>
    <cellStyle name="H4" xfId="14685" xr:uid="{00000000-0005-0000-0000-00005F390000}"/>
    <cellStyle name="HEADER" xfId="14686" xr:uid="{00000000-0005-0000-0000-000060390000}"/>
    <cellStyle name="Header - Style1" xfId="14687" xr:uid="{00000000-0005-0000-0000-000061390000}"/>
    <cellStyle name="Header - Style1 2" xfId="14688" xr:uid="{00000000-0005-0000-0000-000062390000}"/>
    <cellStyle name="Header - Style1 2 2" xfId="14689" xr:uid="{00000000-0005-0000-0000-000063390000}"/>
    <cellStyle name="Header - Style1 2 3" xfId="14690" xr:uid="{00000000-0005-0000-0000-000064390000}"/>
    <cellStyle name="Header 1" xfId="14691" xr:uid="{00000000-0005-0000-0000-000065390000}"/>
    <cellStyle name="Header 1 2" xfId="14692" xr:uid="{00000000-0005-0000-0000-000066390000}"/>
    <cellStyle name="Header 1 2 2" xfId="14693" xr:uid="{00000000-0005-0000-0000-000067390000}"/>
    <cellStyle name="Header 1 2 2 2" xfId="14694" xr:uid="{00000000-0005-0000-0000-000068390000}"/>
    <cellStyle name="Header 1 2 3" xfId="14695" xr:uid="{00000000-0005-0000-0000-000069390000}"/>
    <cellStyle name="Header 1 3" xfId="14696" xr:uid="{00000000-0005-0000-0000-00006A390000}"/>
    <cellStyle name="Header 1 3 2" xfId="14697" xr:uid="{00000000-0005-0000-0000-00006B390000}"/>
    <cellStyle name="Header 1 4" xfId="14698" xr:uid="{00000000-0005-0000-0000-00006C390000}"/>
    <cellStyle name="Header 1 4 2" xfId="14699" xr:uid="{00000000-0005-0000-0000-00006D390000}"/>
    <cellStyle name="Header 1 5" xfId="14700" xr:uid="{00000000-0005-0000-0000-00006E390000}"/>
    <cellStyle name="Header 1 5 2" xfId="14701" xr:uid="{00000000-0005-0000-0000-00006F390000}"/>
    <cellStyle name="Header 1 6" xfId="14702" xr:uid="{00000000-0005-0000-0000-000070390000}"/>
    <cellStyle name="Header 1 6 2" xfId="14703" xr:uid="{00000000-0005-0000-0000-000071390000}"/>
    <cellStyle name="Header 1 7" xfId="14704" xr:uid="{00000000-0005-0000-0000-000072390000}"/>
    <cellStyle name="Header 1 7 2" xfId="14705" xr:uid="{00000000-0005-0000-0000-000073390000}"/>
    <cellStyle name="Header 1 8" xfId="14706" xr:uid="{00000000-0005-0000-0000-000074390000}"/>
    <cellStyle name="Header 1 Left" xfId="14707" xr:uid="{00000000-0005-0000-0000-000075390000}"/>
    <cellStyle name="Header 1 Left 10" xfId="14708" xr:uid="{00000000-0005-0000-0000-000076390000}"/>
    <cellStyle name="Header 1 Left 10 2" xfId="14709" xr:uid="{00000000-0005-0000-0000-000077390000}"/>
    <cellStyle name="Header 1 Left 11" xfId="14710" xr:uid="{00000000-0005-0000-0000-000078390000}"/>
    <cellStyle name="Header 1 Left 2" xfId="14711" xr:uid="{00000000-0005-0000-0000-000079390000}"/>
    <cellStyle name="Header 1 Left 2 2" xfId="14712" xr:uid="{00000000-0005-0000-0000-00007A390000}"/>
    <cellStyle name="Header 1 Left 3" xfId="14713" xr:uid="{00000000-0005-0000-0000-00007B390000}"/>
    <cellStyle name="Header 1 Left 3 2" xfId="14714" xr:uid="{00000000-0005-0000-0000-00007C390000}"/>
    <cellStyle name="Header 1 Left 4" xfId="14715" xr:uid="{00000000-0005-0000-0000-00007D390000}"/>
    <cellStyle name="Header 1 Left 4 2" xfId="14716" xr:uid="{00000000-0005-0000-0000-00007E390000}"/>
    <cellStyle name="Header 1 Left 5" xfId="14717" xr:uid="{00000000-0005-0000-0000-00007F390000}"/>
    <cellStyle name="Header 1 Left 5 2" xfId="14718" xr:uid="{00000000-0005-0000-0000-000080390000}"/>
    <cellStyle name="Header 1 Left 5 2 2" xfId="14719" xr:uid="{00000000-0005-0000-0000-000081390000}"/>
    <cellStyle name="Header 1 Left 5 3" xfId="14720" xr:uid="{00000000-0005-0000-0000-000082390000}"/>
    <cellStyle name="Header 1 Left 6" xfId="14721" xr:uid="{00000000-0005-0000-0000-000083390000}"/>
    <cellStyle name="Header 1 Left 6 2" xfId="14722" xr:uid="{00000000-0005-0000-0000-000084390000}"/>
    <cellStyle name="Header 1 Left 7" xfId="14723" xr:uid="{00000000-0005-0000-0000-000085390000}"/>
    <cellStyle name="Header 1 Left 7 2" xfId="14724" xr:uid="{00000000-0005-0000-0000-000086390000}"/>
    <cellStyle name="Header 1 Left 8" xfId="14725" xr:uid="{00000000-0005-0000-0000-000087390000}"/>
    <cellStyle name="Header 1 Left 8 2" xfId="14726" xr:uid="{00000000-0005-0000-0000-000088390000}"/>
    <cellStyle name="Header 1 Left 9" xfId="14727" xr:uid="{00000000-0005-0000-0000-000089390000}"/>
    <cellStyle name="Header 1 Left 9 2" xfId="14728" xr:uid="{00000000-0005-0000-0000-00008A390000}"/>
    <cellStyle name="Header 1(box)" xfId="14730" xr:uid="{00000000-0005-0000-0000-00008B390000}"/>
    <cellStyle name="Header 1(box) 10" xfId="14731" xr:uid="{00000000-0005-0000-0000-00008C390000}"/>
    <cellStyle name="Header 1(box) 10 2" xfId="14732" xr:uid="{00000000-0005-0000-0000-00008D390000}"/>
    <cellStyle name="Header 1(box) 10 2 2" xfId="14733" xr:uid="{00000000-0005-0000-0000-00008E390000}"/>
    <cellStyle name="Header 1(box) 10 2 3" xfId="14734" xr:uid="{00000000-0005-0000-0000-00008F390000}"/>
    <cellStyle name="Header 1(box) 10 2 4" xfId="14735" xr:uid="{00000000-0005-0000-0000-000090390000}"/>
    <cellStyle name="Header 1(box) 10 3" xfId="14736" xr:uid="{00000000-0005-0000-0000-000091390000}"/>
    <cellStyle name="Header 1(box) 10 4" xfId="14737" xr:uid="{00000000-0005-0000-0000-000092390000}"/>
    <cellStyle name="Header 1(box) 10 5" xfId="14738" xr:uid="{00000000-0005-0000-0000-000093390000}"/>
    <cellStyle name="Header 1(box) 11" xfId="14739" xr:uid="{00000000-0005-0000-0000-000094390000}"/>
    <cellStyle name="Header 1(box) 11 2" xfId="14740" xr:uid="{00000000-0005-0000-0000-000095390000}"/>
    <cellStyle name="Header 1(box) 11 2 2" xfId="14741" xr:uid="{00000000-0005-0000-0000-000096390000}"/>
    <cellStyle name="Header 1(box) 11 2 3" xfId="14742" xr:uid="{00000000-0005-0000-0000-000097390000}"/>
    <cellStyle name="Header 1(box) 11 2 4" xfId="14743" xr:uid="{00000000-0005-0000-0000-000098390000}"/>
    <cellStyle name="Header 1(box) 11 3" xfId="14744" xr:uid="{00000000-0005-0000-0000-000099390000}"/>
    <cellStyle name="Header 1(box) 11 4" xfId="14745" xr:uid="{00000000-0005-0000-0000-00009A390000}"/>
    <cellStyle name="Header 1(box) 11 5" xfId="14746" xr:uid="{00000000-0005-0000-0000-00009B390000}"/>
    <cellStyle name="Header 1(box) 12" xfId="14747" xr:uid="{00000000-0005-0000-0000-00009C390000}"/>
    <cellStyle name="Header 1(box) 12 2" xfId="14748" xr:uid="{00000000-0005-0000-0000-00009D390000}"/>
    <cellStyle name="Header 1(box) 12 3" xfId="14749" xr:uid="{00000000-0005-0000-0000-00009E390000}"/>
    <cellStyle name="Header 1(box) 12 4" xfId="14750" xr:uid="{00000000-0005-0000-0000-00009F390000}"/>
    <cellStyle name="Header 1(box) 13" xfId="14751" xr:uid="{00000000-0005-0000-0000-0000A0390000}"/>
    <cellStyle name="Header 1(box) 13 2" xfId="14752" xr:uid="{00000000-0005-0000-0000-0000A1390000}"/>
    <cellStyle name="Header 1(box) 14" xfId="14753" xr:uid="{00000000-0005-0000-0000-0000A2390000}"/>
    <cellStyle name="Header 1(box) 14 2" xfId="14754" xr:uid="{00000000-0005-0000-0000-0000A3390000}"/>
    <cellStyle name="Header 1(box) 15" xfId="14755" xr:uid="{00000000-0005-0000-0000-0000A4390000}"/>
    <cellStyle name="Header 1(box) 15 2" xfId="14756" xr:uid="{00000000-0005-0000-0000-0000A5390000}"/>
    <cellStyle name="Header 1(box) 16" xfId="14757" xr:uid="{00000000-0005-0000-0000-0000A6390000}"/>
    <cellStyle name="Header 1(box) 16 2" xfId="14758" xr:uid="{00000000-0005-0000-0000-0000A7390000}"/>
    <cellStyle name="Header 1(box) 17" xfId="14759" xr:uid="{00000000-0005-0000-0000-0000A8390000}"/>
    <cellStyle name="Header 1(box) 17 2" xfId="14760" xr:uid="{00000000-0005-0000-0000-0000A9390000}"/>
    <cellStyle name="Header 1(box) 18" xfId="14761" xr:uid="{00000000-0005-0000-0000-0000AA390000}"/>
    <cellStyle name="Header 1(box) 19" xfId="14762" xr:uid="{00000000-0005-0000-0000-0000AB390000}"/>
    <cellStyle name="Header 1(box) 2" xfId="14763" xr:uid="{00000000-0005-0000-0000-0000AC390000}"/>
    <cellStyle name="Header 1(box) 2 10" xfId="14764" xr:uid="{00000000-0005-0000-0000-0000AD390000}"/>
    <cellStyle name="Header 1(box) 2 10 2" xfId="14765" xr:uid="{00000000-0005-0000-0000-0000AE390000}"/>
    <cellStyle name="Header 1(box) 2 11" xfId="14766" xr:uid="{00000000-0005-0000-0000-0000AF390000}"/>
    <cellStyle name="Header 1(box) 2 11 2" xfId="14767" xr:uid="{00000000-0005-0000-0000-0000B0390000}"/>
    <cellStyle name="Header 1(box) 2 12" xfId="14768" xr:uid="{00000000-0005-0000-0000-0000B1390000}"/>
    <cellStyle name="Header 1(box) 2 12 2" xfId="14769" xr:uid="{00000000-0005-0000-0000-0000B2390000}"/>
    <cellStyle name="Header 1(box) 2 13" xfId="14770" xr:uid="{00000000-0005-0000-0000-0000B3390000}"/>
    <cellStyle name="Header 1(box) 2 14" xfId="14771" xr:uid="{00000000-0005-0000-0000-0000B4390000}"/>
    <cellStyle name="Header 1(box) 2 15" xfId="14772" xr:uid="{00000000-0005-0000-0000-0000B5390000}"/>
    <cellStyle name="Header 1(box) 2 16" xfId="14773" xr:uid="{00000000-0005-0000-0000-0000B6390000}"/>
    <cellStyle name="Header 1(box) 2 2" xfId="14774" xr:uid="{00000000-0005-0000-0000-0000B7390000}"/>
    <cellStyle name="Header 1(box) 2 2 10" xfId="14775" xr:uid="{00000000-0005-0000-0000-0000B8390000}"/>
    <cellStyle name="Header 1(box) 2 2 10 2" xfId="14776" xr:uid="{00000000-0005-0000-0000-0000B9390000}"/>
    <cellStyle name="Header 1(box) 2 2 11" xfId="14777" xr:uid="{00000000-0005-0000-0000-0000BA390000}"/>
    <cellStyle name="Header 1(box) 2 2 11 2" xfId="14778" xr:uid="{00000000-0005-0000-0000-0000BB390000}"/>
    <cellStyle name="Header 1(box) 2 2 12" xfId="14779" xr:uid="{00000000-0005-0000-0000-0000BC390000}"/>
    <cellStyle name="Header 1(box) 2 2 13" xfId="14780" xr:uid="{00000000-0005-0000-0000-0000BD390000}"/>
    <cellStyle name="Header 1(box) 2 2 14" xfId="14781" xr:uid="{00000000-0005-0000-0000-0000BE390000}"/>
    <cellStyle name="Header 1(box) 2 2 15" xfId="14782" xr:uid="{00000000-0005-0000-0000-0000BF390000}"/>
    <cellStyle name="Header 1(box) 2 2 2" xfId="14783" xr:uid="{00000000-0005-0000-0000-0000C0390000}"/>
    <cellStyle name="Header 1(box) 2 2 2 10" xfId="14784" xr:uid="{00000000-0005-0000-0000-0000C1390000}"/>
    <cellStyle name="Header 1(box) 2 2 2 10 2" xfId="14785" xr:uid="{00000000-0005-0000-0000-0000C2390000}"/>
    <cellStyle name="Header 1(box) 2 2 2 11" xfId="14786" xr:uid="{00000000-0005-0000-0000-0000C3390000}"/>
    <cellStyle name="Header 1(box) 2 2 2 12" xfId="14787" xr:uid="{00000000-0005-0000-0000-0000C4390000}"/>
    <cellStyle name="Header 1(box) 2 2 2 13" xfId="14788" xr:uid="{00000000-0005-0000-0000-0000C5390000}"/>
    <cellStyle name="Header 1(box) 2 2 2 14" xfId="14789" xr:uid="{00000000-0005-0000-0000-0000C6390000}"/>
    <cellStyle name="Header 1(box) 2 2 2 2" xfId="14790" xr:uid="{00000000-0005-0000-0000-0000C7390000}"/>
    <cellStyle name="Header 1(box) 2 2 2 2 10" xfId="14791" xr:uid="{00000000-0005-0000-0000-0000C8390000}"/>
    <cellStyle name="Header 1(box) 2 2 2 2 11" xfId="14792" xr:uid="{00000000-0005-0000-0000-0000C9390000}"/>
    <cellStyle name="Header 1(box) 2 2 2 2 12" xfId="14793" xr:uid="{00000000-0005-0000-0000-0000CA390000}"/>
    <cellStyle name="Header 1(box) 2 2 2 2 13" xfId="14794" xr:uid="{00000000-0005-0000-0000-0000CB390000}"/>
    <cellStyle name="Header 1(box) 2 2 2 2 14" xfId="14795" xr:uid="{00000000-0005-0000-0000-0000CC390000}"/>
    <cellStyle name="Header 1(box) 2 2 2 2 15" xfId="14796" xr:uid="{00000000-0005-0000-0000-0000CD390000}"/>
    <cellStyle name="Header 1(box) 2 2 2 2 16" xfId="14797" xr:uid="{00000000-0005-0000-0000-0000CE390000}"/>
    <cellStyle name="Header 1(box) 2 2 2 2 17" xfId="14798" xr:uid="{00000000-0005-0000-0000-0000CF390000}"/>
    <cellStyle name="Header 1(box) 2 2 2 2 18" xfId="14799" xr:uid="{00000000-0005-0000-0000-0000D0390000}"/>
    <cellStyle name="Header 1(box) 2 2 2 2 19" xfId="14800" xr:uid="{00000000-0005-0000-0000-0000D1390000}"/>
    <cellStyle name="Header 1(box) 2 2 2 2 2" xfId="14801" xr:uid="{00000000-0005-0000-0000-0000D2390000}"/>
    <cellStyle name="Header 1(box) 2 2 2 2 2 2" xfId="14802" xr:uid="{00000000-0005-0000-0000-0000D3390000}"/>
    <cellStyle name="Header 1(box) 2 2 2 2 2 3" xfId="14803" xr:uid="{00000000-0005-0000-0000-0000D4390000}"/>
    <cellStyle name="Header 1(box) 2 2 2 2 2 4" xfId="14804" xr:uid="{00000000-0005-0000-0000-0000D5390000}"/>
    <cellStyle name="Header 1(box) 2 2 2 2 20" xfId="14805" xr:uid="{00000000-0005-0000-0000-0000D6390000}"/>
    <cellStyle name="Header 1(box) 2 2 2 2 3" xfId="14806" xr:uid="{00000000-0005-0000-0000-0000D7390000}"/>
    <cellStyle name="Header 1(box) 2 2 2 2 4" xfId="14807" xr:uid="{00000000-0005-0000-0000-0000D8390000}"/>
    <cellStyle name="Header 1(box) 2 2 2 2 5" xfId="14808" xr:uid="{00000000-0005-0000-0000-0000D9390000}"/>
    <cellStyle name="Header 1(box) 2 2 2 2 6" xfId="14809" xr:uid="{00000000-0005-0000-0000-0000DA390000}"/>
    <cellStyle name="Header 1(box) 2 2 2 2 7" xfId="14810" xr:uid="{00000000-0005-0000-0000-0000DB390000}"/>
    <cellStyle name="Header 1(box) 2 2 2 2 8" xfId="14811" xr:uid="{00000000-0005-0000-0000-0000DC390000}"/>
    <cellStyle name="Header 1(box) 2 2 2 2 9" xfId="14812" xr:uid="{00000000-0005-0000-0000-0000DD390000}"/>
    <cellStyle name="Header 1(box) 2 2 2 3" xfId="14813" xr:uid="{00000000-0005-0000-0000-0000DE390000}"/>
    <cellStyle name="Header 1(box) 2 2 2 3 2" xfId="14814" xr:uid="{00000000-0005-0000-0000-0000DF390000}"/>
    <cellStyle name="Header 1(box) 2 2 2 3 2 2" xfId="14815" xr:uid="{00000000-0005-0000-0000-0000E0390000}"/>
    <cellStyle name="Header 1(box) 2 2 2 3 2 3" xfId="14816" xr:uid="{00000000-0005-0000-0000-0000E1390000}"/>
    <cellStyle name="Header 1(box) 2 2 2 3 2 4" xfId="14817" xr:uid="{00000000-0005-0000-0000-0000E2390000}"/>
    <cellStyle name="Header 1(box) 2 2 2 3 3" xfId="14818" xr:uid="{00000000-0005-0000-0000-0000E3390000}"/>
    <cellStyle name="Header 1(box) 2 2 2 3 4" xfId="14819" xr:uid="{00000000-0005-0000-0000-0000E4390000}"/>
    <cellStyle name="Header 1(box) 2 2 2 3 5" xfId="14820" xr:uid="{00000000-0005-0000-0000-0000E5390000}"/>
    <cellStyle name="Header 1(box) 2 2 2 4" xfId="14821" xr:uid="{00000000-0005-0000-0000-0000E6390000}"/>
    <cellStyle name="Header 1(box) 2 2 2 4 2" xfId="14822" xr:uid="{00000000-0005-0000-0000-0000E7390000}"/>
    <cellStyle name="Header 1(box) 2 2 2 4 2 2" xfId="14823" xr:uid="{00000000-0005-0000-0000-0000E8390000}"/>
    <cellStyle name="Header 1(box) 2 2 2 4 2 3" xfId="14824" xr:uid="{00000000-0005-0000-0000-0000E9390000}"/>
    <cellStyle name="Header 1(box) 2 2 2 4 2 4" xfId="14825" xr:uid="{00000000-0005-0000-0000-0000EA390000}"/>
    <cellStyle name="Header 1(box) 2 2 2 4 3" xfId="14826" xr:uid="{00000000-0005-0000-0000-0000EB390000}"/>
    <cellStyle name="Header 1(box) 2 2 2 4 4" xfId="14827" xr:uid="{00000000-0005-0000-0000-0000EC390000}"/>
    <cellStyle name="Header 1(box) 2 2 2 4 5" xfId="14828" xr:uid="{00000000-0005-0000-0000-0000ED390000}"/>
    <cellStyle name="Header 1(box) 2 2 2 5" xfId="14829" xr:uid="{00000000-0005-0000-0000-0000EE390000}"/>
    <cellStyle name="Header 1(box) 2 2 2 5 2" xfId="14830" xr:uid="{00000000-0005-0000-0000-0000EF390000}"/>
    <cellStyle name="Header 1(box) 2 2 2 5 3" xfId="14831" xr:uid="{00000000-0005-0000-0000-0000F0390000}"/>
    <cellStyle name="Header 1(box) 2 2 2 5 4" xfId="14832" xr:uid="{00000000-0005-0000-0000-0000F1390000}"/>
    <cellStyle name="Header 1(box) 2 2 2 6" xfId="14833" xr:uid="{00000000-0005-0000-0000-0000F2390000}"/>
    <cellStyle name="Header 1(box) 2 2 2 6 2" xfId="14834" xr:uid="{00000000-0005-0000-0000-0000F3390000}"/>
    <cellStyle name="Header 1(box) 2 2 2 7" xfId="14835" xr:uid="{00000000-0005-0000-0000-0000F4390000}"/>
    <cellStyle name="Header 1(box) 2 2 2 7 2" xfId="14836" xr:uid="{00000000-0005-0000-0000-0000F5390000}"/>
    <cellStyle name="Header 1(box) 2 2 2 8" xfId="14837" xr:uid="{00000000-0005-0000-0000-0000F6390000}"/>
    <cellStyle name="Header 1(box) 2 2 2 8 2" xfId="14838" xr:uid="{00000000-0005-0000-0000-0000F7390000}"/>
    <cellStyle name="Header 1(box) 2 2 2 9" xfId="14839" xr:uid="{00000000-0005-0000-0000-0000F8390000}"/>
    <cellStyle name="Header 1(box) 2 2 2 9 2" xfId="14840" xr:uid="{00000000-0005-0000-0000-0000F9390000}"/>
    <cellStyle name="Header 1(box) 2 2 3" xfId="14841" xr:uid="{00000000-0005-0000-0000-0000FA390000}"/>
    <cellStyle name="Header 1(box) 2 2 3 10" xfId="14842" xr:uid="{00000000-0005-0000-0000-0000FB390000}"/>
    <cellStyle name="Header 1(box) 2 2 3 11" xfId="14843" xr:uid="{00000000-0005-0000-0000-0000FC390000}"/>
    <cellStyle name="Header 1(box) 2 2 3 12" xfId="14844" xr:uid="{00000000-0005-0000-0000-0000FD390000}"/>
    <cellStyle name="Header 1(box) 2 2 3 13" xfId="14845" xr:uid="{00000000-0005-0000-0000-0000FE390000}"/>
    <cellStyle name="Header 1(box) 2 2 3 14" xfId="14846" xr:uid="{00000000-0005-0000-0000-0000FF390000}"/>
    <cellStyle name="Header 1(box) 2 2 3 15" xfId="14847" xr:uid="{00000000-0005-0000-0000-0000003A0000}"/>
    <cellStyle name="Header 1(box) 2 2 3 16" xfId="14848" xr:uid="{00000000-0005-0000-0000-0000013A0000}"/>
    <cellStyle name="Header 1(box) 2 2 3 17" xfId="14849" xr:uid="{00000000-0005-0000-0000-0000023A0000}"/>
    <cellStyle name="Header 1(box) 2 2 3 18" xfId="14850" xr:uid="{00000000-0005-0000-0000-0000033A0000}"/>
    <cellStyle name="Header 1(box) 2 2 3 19" xfId="14851" xr:uid="{00000000-0005-0000-0000-0000043A0000}"/>
    <cellStyle name="Header 1(box) 2 2 3 2" xfId="14852" xr:uid="{00000000-0005-0000-0000-0000053A0000}"/>
    <cellStyle name="Header 1(box) 2 2 3 2 2" xfId="14853" xr:uid="{00000000-0005-0000-0000-0000063A0000}"/>
    <cellStyle name="Header 1(box) 2 2 3 2 3" xfId="14854" xr:uid="{00000000-0005-0000-0000-0000073A0000}"/>
    <cellStyle name="Header 1(box) 2 2 3 2 4" xfId="14855" xr:uid="{00000000-0005-0000-0000-0000083A0000}"/>
    <cellStyle name="Header 1(box) 2 2 3 20" xfId="14856" xr:uid="{00000000-0005-0000-0000-0000093A0000}"/>
    <cellStyle name="Header 1(box) 2 2 3 3" xfId="14857" xr:uid="{00000000-0005-0000-0000-00000A3A0000}"/>
    <cellStyle name="Header 1(box) 2 2 3 4" xfId="14858" xr:uid="{00000000-0005-0000-0000-00000B3A0000}"/>
    <cellStyle name="Header 1(box) 2 2 3 5" xfId="14859" xr:uid="{00000000-0005-0000-0000-00000C3A0000}"/>
    <cellStyle name="Header 1(box) 2 2 3 6" xfId="14860" xr:uid="{00000000-0005-0000-0000-00000D3A0000}"/>
    <cellStyle name="Header 1(box) 2 2 3 7" xfId="14861" xr:uid="{00000000-0005-0000-0000-00000E3A0000}"/>
    <cellStyle name="Header 1(box) 2 2 3 8" xfId="14862" xr:uid="{00000000-0005-0000-0000-00000F3A0000}"/>
    <cellStyle name="Header 1(box) 2 2 3 9" xfId="14863" xr:uid="{00000000-0005-0000-0000-0000103A0000}"/>
    <cellStyle name="Header 1(box) 2 2 4" xfId="14864" xr:uid="{00000000-0005-0000-0000-0000113A0000}"/>
    <cellStyle name="Header 1(box) 2 2 4 2" xfId="14865" xr:uid="{00000000-0005-0000-0000-0000123A0000}"/>
    <cellStyle name="Header 1(box) 2 2 4 2 2" xfId="14866" xr:uid="{00000000-0005-0000-0000-0000133A0000}"/>
    <cellStyle name="Header 1(box) 2 2 4 2 3" xfId="14867" xr:uid="{00000000-0005-0000-0000-0000143A0000}"/>
    <cellStyle name="Header 1(box) 2 2 4 2 4" xfId="14868" xr:uid="{00000000-0005-0000-0000-0000153A0000}"/>
    <cellStyle name="Header 1(box) 2 2 4 3" xfId="14869" xr:uid="{00000000-0005-0000-0000-0000163A0000}"/>
    <cellStyle name="Header 1(box) 2 2 4 4" xfId="14870" xr:uid="{00000000-0005-0000-0000-0000173A0000}"/>
    <cellStyle name="Header 1(box) 2 2 4 5" xfId="14871" xr:uid="{00000000-0005-0000-0000-0000183A0000}"/>
    <cellStyle name="Header 1(box) 2 2 5" xfId="14872" xr:uid="{00000000-0005-0000-0000-0000193A0000}"/>
    <cellStyle name="Header 1(box) 2 2 5 2" xfId="14873" xr:uid="{00000000-0005-0000-0000-00001A3A0000}"/>
    <cellStyle name="Header 1(box) 2 2 5 2 2" xfId="14874" xr:uid="{00000000-0005-0000-0000-00001B3A0000}"/>
    <cellStyle name="Header 1(box) 2 2 5 2 3" xfId="14875" xr:uid="{00000000-0005-0000-0000-00001C3A0000}"/>
    <cellStyle name="Header 1(box) 2 2 5 2 4" xfId="14876" xr:uid="{00000000-0005-0000-0000-00001D3A0000}"/>
    <cellStyle name="Header 1(box) 2 2 5 3" xfId="14877" xr:uid="{00000000-0005-0000-0000-00001E3A0000}"/>
    <cellStyle name="Header 1(box) 2 2 5 4" xfId="14878" xr:uid="{00000000-0005-0000-0000-00001F3A0000}"/>
    <cellStyle name="Header 1(box) 2 2 5 5" xfId="14879" xr:uid="{00000000-0005-0000-0000-0000203A0000}"/>
    <cellStyle name="Header 1(box) 2 2 6" xfId="14880" xr:uid="{00000000-0005-0000-0000-0000213A0000}"/>
    <cellStyle name="Header 1(box) 2 2 6 2" xfId="14881" xr:uid="{00000000-0005-0000-0000-0000223A0000}"/>
    <cellStyle name="Header 1(box) 2 2 6 3" xfId="14882" xr:uid="{00000000-0005-0000-0000-0000233A0000}"/>
    <cellStyle name="Header 1(box) 2 2 6 4" xfId="14883" xr:uid="{00000000-0005-0000-0000-0000243A0000}"/>
    <cellStyle name="Header 1(box) 2 2 7" xfId="14884" xr:uid="{00000000-0005-0000-0000-0000253A0000}"/>
    <cellStyle name="Header 1(box) 2 2 7 2" xfId="14885" xr:uid="{00000000-0005-0000-0000-0000263A0000}"/>
    <cellStyle name="Header 1(box) 2 2 8" xfId="14886" xr:uid="{00000000-0005-0000-0000-0000273A0000}"/>
    <cellStyle name="Header 1(box) 2 2 8 2" xfId="14887" xr:uid="{00000000-0005-0000-0000-0000283A0000}"/>
    <cellStyle name="Header 1(box) 2 2 9" xfId="14888" xr:uid="{00000000-0005-0000-0000-0000293A0000}"/>
    <cellStyle name="Header 1(box) 2 2 9 2" xfId="14889" xr:uid="{00000000-0005-0000-0000-00002A3A0000}"/>
    <cellStyle name="Header 1(box) 2 3" xfId="14890" xr:uid="{00000000-0005-0000-0000-00002B3A0000}"/>
    <cellStyle name="Header 1(box) 2 3 10" xfId="14891" xr:uid="{00000000-0005-0000-0000-00002C3A0000}"/>
    <cellStyle name="Header 1(box) 2 3 10 2" xfId="14892" xr:uid="{00000000-0005-0000-0000-00002D3A0000}"/>
    <cellStyle name="Header 1(box) 2 3 11" xfId="14893" xr:uid="{00000000-0005-0000-0000-00002E3A0000}"/>
    <cellStyle name="Header 1(box) 2 3 12" xfId="14894" xr:uid="{00000000-0005-0000-0000-00002F3A0000}"/>
    <cellStyle name="Header 1(box) 2 3 13" xfId="14895" xr:uid="{00000000-0005-0000-0000-0000303A0000}"/>
    <cellStyle name="Header 1(box) 2 3 14" xfId="14896" xr:uid="{00000000-0005-0000-0000-0000313A0000}"/>
    <cellStyle name="Header 1(box) 2 3 2" xfId="14897" xr:uid="{00000000-0005-0000-0000-0000323A0000}"/>
    <cellStyle name="Header 1(box) 2 3 2 10" xfId="14898" xr:uid="{00000000-0005-0000-0000-0000333A0000}"/>
    <cellStyle name="Header 1(box) 2 3 2 11" xfId="14899" xr:uid="{00000000-0005-0000-0000-0000343A0000}"/>
    <cellStyle name="Header 1(box) 2 3 2 12" xfId="14900" xr:uid="{00000000-0005-0000-0000-0000353A0000}"/>
    <cellStyle name="Header 1(box) 2 3 2 13" xfId="14901" xr:uid="{00000000-0005-0000-0000-0000363A0000}"/>
    <cellStyle name="Header 1(box) 2 3 2 14" xfId="14902" xr:uid="{00000000-0005-0000-0000-0000373A0000}"/>
    <cellStyle name="Header 1(box) 2 3 2 15" xfId="14903" xr:uid="{00000000-0005-0000-0000-0000383A0000}"/>
    <cellStyle name="Header 1(box) 2 3 2 16" xfId="14904" xr:uid="{00000000-0005-0000-0000-0000393A0000}"/>
    <cellStyle name="Header 1(box) 2 3 2 17" xfId="14905" xr:uid="{00000000-0005-0000-0000-00003A3A0000}"/>
    <cellStyle name="Header 1(box) 2 3 2 18" xfId="14906" xr:uid="{00000000-0005-0000-0000-00003B3A0000}"/>
    <cellStyle name="Header 1(box) 2 3 2 19" xfId="14907" xr:uid="{00000000-0005-0000-0000-00003C3A0000}"/>
    <cellStyle name="Header 1(box) 2 3 2 2" xfId="14908" xr:uid="{00000000-0005-0000-0000-00003D3A0000}"/>
    <cellStyle name="Header 1(box) 2 3 2 2 2" xfId="14909" xr:uid="{00000000-0005-0000-0000-00003E3A0000}"/>
    <cellStyle name="Header 1(box) 2 3 2 2 3" xfId="14910" xr:uid="{00000000-0005-0000-0000-00003F3A0000}"/>
    <cellStyle name="Header 1(box) 2 3 2 2 4" xfId="14911" xr:uid="{00000000-0005-0000-0000-0000403A0000}"/>
    <cellStyle name="Header 1(box) 2 3 2 20" xfId="14912" xr:uid="{00000000-0005-0000-0000-0000413A0000}"/>
    <cellStyle name="Header 1(box) 2 3 2 3" xfId="14913" xr:uid="{00000000-0005-0000-0000-0000423A0000}"/>
    <cellStyle name="Header 1(box) 2 3 2 4" xfId="14914" xr:uid="{00000000-0005-0000-0000-0000433A0000}"/>
    <cellStyle name="Header 1(box) 2 3 2 5" xfId="14915" xr:uid="{00000000-0005-0000-0000-0000443A0000}"/>
    <cellStyle name="Header 1(box) 2 3 2 6" xfId="14916" xr:uid="{00000000-0005-0000-0000-0000453A0000}"/>
    <cellStyle name="Header 1(box) 2 3 2 7" xfId="14917" xr:uid="{00000000-0005-0000-0000-0000463A0000}"/>
    <cellStyle name="Header 1(box) 2 3 2 8" xfId="14918" xr:uid="{00000000-0005-0000-0000-0000473A0000}"/>
    <cellStyle name="Header 1(box) 2 3 2 9" xfId="14919" xr:uid="{00000000-0005-0000-0000-0000483A0000}"/>
    <cellStyle name="Header 1(box) 2 3 3" xfId="14920" xr:uid="{00000000-0005-0000-0000-0000493A0000}"/>
    <cellStyle name="Header 1(box) 2 3 3 2" xfId="14921" xr:uid="{00000000-0005-0000-0000-00004A3A0000}"/>
    <cellStyle name="Header 1(box) 2 3 3 2 2" xfId="14922" xr:uid="{00000000-0005-0000-0000-00004B3A0000}"/>
    <cellStyle name="Header 1(box) 2 3 3 2 3" xfId="14923" xr:uid="{00000000-0005-0000-0000-00004C3A0000}"/>
    <cellStyle name="Header 1(box) 2 3 3 2 4" xfId="14924" xr:uid="{00000000-0005-0000-0000-00004D3A0000}"/>
    <cellStyle name="Header 1(box) 2 3 3 3" xfId="14925" xr:uid="{00000000-0005-0000-0000-00004E3A0000}"/>
    <cellStyle name="Header 1(box) 2 3 3 4" xfId="14926" xr:uid="{00000000-0005-0000-0000-00004F3A0000}"/>
    <cellStyle name="Header 1(box) 2 3 3 5" xfId="14927" xr:uid="{00000000-0005-0000-0000-0000503A0000}"/>
    <cellStyle name="Header 1(box) 2 3 4" xfId="14928" xr:uid="{00000000-0005-0000-0000-0000513A0000}"/>
    <cellStyle name="Header 1(box) 2 3 4 2" xfId="14929" xr:uid="{00000000-0005-0000-0000-0000523A0000}"/>
    <cellStyle name="Header 1(box) 2 3 4 2 2" xfId="14930" xr:uid="{00000000-0005-0000-0000-0000533A0000}"/>
    <cellStyle name="Header 1(box) 2 3 4 2 3" xfId="14931" xr:uid="{00000000-0005-0000-0000-0000543A0000}"/>
    <cellStyle name="Header 1(box) 2 3 4 2 4" xfId="14932" xr:uid="{00000000-0005-0000-0000-0000553A0000}"/>
    <cellStyle name="Header 1(box) 2 3 4 3" xfId="14933" xr:uid="{00000000-0005-0000-0000-0000563A0000}"/>
    <cellStyle name="Header 1(box) 2 3 4 4" xfId="14934" xr:uid="{00000000-0005-0000-0000-0000573A0000}"/>
    <cellStyle name="Header 1(box) 2 3 4 5" xfId="14935" xr:uid="{00000000-0005-0000-0000-0000583A0000}"/>
    <cellStyle name="Header 1(box) 2 3 5" xfId="14936" xr:uid="{00000000-0005-0000-0000-0000593A0000}"/>
    <cellStyle name="Header 1(box) 2 3 5 2" xfId="14937" xr:uid="{00000000-0005-0000-0000-00005A3A0000}"/>
    <cellStyle name="Header 1(box) 2 3 5 3" xfId="14938" xr:uid="{00000000-0005-0000-0000-00005B3A0000}"/>
    <cellStyle name="Header 1(box) 2 3 5 4" xfId="14939" xr:uid="{00000000-0005-0000-0000-00005C3A0000}"/>
    <cellStyle name="Header 1(box) 2 3 6" xfId="14940" xr:uid="{00000000-0005-0000-0000-00005D3A0000}"/>
    <cellStyle name="Header 1(box) 2 3 6 2" xfId="14941" xr:uid="{00000000-0005-0000-0000-00005E3A0000}"/>
    <cellStyle name="Header 1(box) 2 3 7" xfId="14942" xr:uid="{00000000-0005-0000-0000-00005F3A0000}"/>
    <cellStyle name="Header 1(box) 2 3 7 2" xfId="14943" xr:uid="{00000000-0005-0000-0000-0000603A0000}"/>
    <cellStyle name="Header 1(box) 2 3 8" xfId="14944" xr:uid="{00000000-0005-0000-0000-0000613A0000}"/>
    <cellStyle name="Header 1(box) 2 3 8 2" xfId="14945" xr:uid="{00000000-0005-0000-0000-0000623A0000}"/>
    <cellStyle name="Header 1(box) 2 3 9" xfId="14946" xr:uid="{00000000-0005-0000-0000-0000633A0000}"/>
    <cellStyle name="Header 1(box) 2 3 9 2" xfId="14947" xr:uid="{00000000-0005-0000-0000-0000643A0000}"/>
    <cellStyle name="Header 1(box) 2 4" xfId="14948" xr:uid="{00000000-0005-0000-0000-0000653A0000}"/>
    <cellStyle name="Header 1(box) 2 4 10" xfId="14949" xr:uid="{00000000-0005-0000-0000-0000663A0000}"/>
    <cellStyle name="Header 1(box) 2 4 11" xfId="14950" xr:uid="{00000000-0005-0000-0000-0000673A0000}"/>
    <cellStyle name="Header 1(box) 2 4 12" xfId="14951" xr:uid="{00000000-0005-0000-0000-0000683A0000}"/>
    <cellStyle name="Header 1(box) 2 4 13" xfId="14952" xr:uid="{00000000-0005-0000-0000-0000693A0000}"/>
    <cellStyle name="Header 1(box) 2 4 14" xfId="14953" xr:uid="{00000000-0005-0000-0000-00006A3A0000}"/>
    <cellStyle name="Header 1(box) 2 4 15" xfId="14954" xr:uid="{00000000-0005-0000-0000-00006B3A0000}"/>
    <cellStyle name="Header 1(box) 2 4 16" xfId="14955" xr:uid="{00000000-0005-0000-0000-00006C3A0000}"/>
    <cellStyle name="Header 1(box) 2 4 17" xfId="14956" xr:uid="{00000000-0005-0000-0000-00006D3A0000}"/>
    <cellStyle name="Header 1(box) 2 4 18" xfId="14957" xr:uid="{00000000-0005-0000-0000-00006E3A0000}"/>
    <cellStyle name="Header 1(box) 2 4 19" xfId="14958" xr:uid="{00000000-0005-0000-0000-00006F3A0000}"/>
    <cellStyle name="Header 1(box) 2 4 2" xfId="14959" xr:uid="{00000000-0005-0000-0000-0000703A0000}"/>
    <cellStyle name="Header 1(box) 2 4 2 2" xfId="14960" xr:uid="{00000000-0005-0000-0000-0000713A0000}"/>
    <cellStyle name="Header 1(box) 2 4 2 3" xfId="14961" xr:uid="{00000000-0005-0000-0000-0000723A0000}"/>
    <cellStyle name="Header 1(box) 2 4 2 4" xfId="14962" xr:uid="{00000000-0005-0000-0000-0000733A0000}"/>
    <cellStyle name="Header 1(box) 2 4 20" xfId="14963" xr:uid="{00000000-0005-0000-0000-0000743A0000}"/>
    <cellStyle name="Header 1(box) 2 4 3" xfId="14964" xr:uid="{00000000-0005-0000-0000-0000753A0000}"/>
    <cellStyle name="Header 1(box) 2 4 4" xfId="14965" xr:uid="{00000000-0005-0000-0000-0000763A0000}"/>
    <cellStyle name="Header 1(box) 2 4 5" xfId="14966" xr:uid="{00000000-0005-0000-0000-0000773A0000}"/>
    <cellStyle name="Header 1(box) 2 4 6" xfId="14967" xr:uid="{00000000-0005-0000-0000-0000783A0000}"/>
    <cellStyle name="Header 1(box) 2 4 7" xfId="14968" xr:uid="{00000000-0005-0000-0000-0000793A0000}"/>
    <cellStyle name="Header 1(box) 2 4 8" xfId="14969" xr:uid="{00000000-0005-0000-0000-00007A3A0000}"/>
    <cellStyle name="Header 1(box) 2 4 9" xfId="14970" xr:uid="{00000000-0005-0000-0000-00007B3A0000}"/>
    <cellStyle name="Header 1(box) 2 5" xfId="14971" xr:uid="{00000000-0005-0000-0000-00007C3A0000}"/>
    <cellStyle name="Header 1(box) 2 5 2" xfId="14972" xr:uid="{00000000-0005-0000-0000-00007D3A0000}"/>
    <cellStyle name="Header 1(box) 2 5 2 2" xfId="14973" xr:uid="{00000000-0005-0000-0000-00007E3A0000}"/>
    <cellStyle name="Header 1(box) 2 5 2 3" xfId="14974" xr:uid="{00000000-0005-0000-0000-00007F3A0000}"/>
    <cellStyle name="Header 1(box) 2 5 2 4" xfId="14975" xr:uid="{00000000-0005-0000-0000-0000803A0000}"/>
    <cellStyle name="Header 1(box) 2 5 3" xfId="14976" xr:uid="{00000000-0005-0000-0000-0000813A0000}"/>
    <cellStyle name="Header 1(box) 2 5 4" xfId="14977" xr:uid="{00000000-0005-0000-0000-0000823A0000}"/>
    <cellStyle name="Header 1(box) 2 5 5" xfId="14978" xr:uid="{00000000-0005-0000-0000-0000833A0000}"/>
    <cellStyle name="Header 1(box) 2 6" xfId="14979" xr:uid="{00000000-0005-0000-0000-0000843A0000}"/>
    <cellStyle name="Header 1(box) 2 6 2" xfId="14980" xr:uid="{00000000-0005-0000-0000-0000853A0000}"/>
    <cellStyle name="Header 1(box) 2 6 2 2" xfId="14981" xr:uid="{00000000-0005-0000-0000-0000863A0000}"/>
    <cellStyle name="Header 1(box) 2 6 2 3" xfId="14982" xr:uid="{00000000-0005-0000-0000-0000873A0000}"/>
    <cellStyle name="Header 1(box) 2 6 2 4" xfId="14983" xr:uid="{00000000-0005-0000-0000-0000883A0000}"/>
    <cellStyle name="Header 1(box) 2 6 3" xfId="14984" xr:uid="{00000000-0005-0000-0000-0000893A0000}"/>
    <cellStyle name="Header 1(box) 2 6 4" xfId="14985" xr:uid="{00000000-0005-0000-0000-00008A3A0000}"/>
    <cellStyle name="Header 1(box) 2 6 5" xfId="14986" xr:uid="{00000000-0005-0000-0000-00008B3A0000}"/>
    <cellStyle name="Header 1(box) 2 7" xfId="14987" xr:uid="{00000000-0005-0000-0000-00008C3A0000}"/>
    <cellStyle name="Header 1(box) 2 7 2" xfId="14988" xr:uid="{00000000-0005-0000-0000-00008D3A0000}"/>
    <cellStyle name="Header 1(box) 2 7 3" xfId="14989" xr:uid="{00000000-0005-0000-0000-00008E3A0000}"/>
    <cellStyle name="Header 1(box) 2 7 4" xfId="14990" xr:uid="{00000000-0005-0000-0000-00008F3A0000}"/>
    <cellStyle name="Header 1(box) 2 8" xfId="14991" xr:uid="{00000000-0005-0000-0000-0000903A0000}"/>
    <cellStyle name="Header 1(box) 2 8 2" xfId="14992" xr:uid="{00000000-0005-0000-0000-0000913A0000}"/>
    <cellStyle name="Header 1(box) 2 9" xfId="14993" xr:uid="{00000000-0005-0000-0000-0000923A0000}"/>
    <cellStyle name="Header 1(box) 2 9 2" xfId="14994" xr:uid="{00000000-0005-0000-0000-0000933A0000}"/>
    <cellStyle name="Header 1(box) 20" xfId="14995" xr:uid="{00000000-0005-0000-0000-0000943A0000}"/>
    <cellStyle name="Header 1(box) 21" xfId="14996" xr:uid="{00000000-0005-0000-0000-0000953A0000}"/>
    <cellStyle name="Header 1(box) 3" xfId="14997" xr:uid="{00000000-0005-0000-0000-0000963A0000}"/>
    <cellStyle name="Header 1(box) 3 10" xfId="14998" xr:uid="{00000000-0005-0000-0000-0000973A0000}"/>
    <cellStyle name="Header 1(box) 3 10 2" xfId="14999" xr:uid="{00000000-0005-0000-0000-0000983A0000}"/>
    <cellStyle name="Header 1(box) 3 11" xfId="15000" xr:uid="{00000000-0005-0000-0000-0000993A0000}"/>
    <cellStyle name="Header 1(box) 3 11 2" xfId="15001" xr:uid="{00000000-0005-0000-0000-00009A3A0000}"/>
    <cellStyle name="Header 1(box) 3 12" xfId="15002" xr:uid="{00000000-0005-0000-0000-00009B3A0000}"/>
    <cellStyle name="Header 1(box) 3 13" xfId="15003" xr:uid="{00000000-0005-0000-0000-00009C3A0000}"/>
    <cellStyle name="Header 1(box) 3 14" xfId="15004" xr:uid="{00000000-0005-0000-0000-00009D3A0000}"/>
    <cellStyle name="Header 1(box) 3 15" xfId="15005" xr:uid="{00000000-0005-0000-0000-00009E3A0000}"/>
    <cellStyle name="Header 1(box) 3 2" xfId="15006" xr:uid="{00000000-0005-0000-0000-00009F3A0000}"/>
    <cellStyle name="Header 1(box) 3 2 10" xfId="15007" xr:uid="{00000000-0005-0000-0000-0000A03A0000}"/>
    <cellStyle name="Header 1(box) 3 2 10 2" xfId="15008" xr:uid="{00000000-0005-0000-0000-0000A13A0000}"/>
    <cellStyle name="Header 1(box) 3 2 11" xfId="15009" xr:uid="{00000000-0005-0000-0000-0000A23A0000}"/>
    <cellStyle name="Header 1(box) 3 2 12" xfId="15010" xr:uid="{00000000-0005-0000-0000-0000A33A0000}"/>
    <cellStyle name="Header 1(box) 3 2 13" xfId="15011" xr:uid="{00000000-0005-0000-0000-0000A43A0000}"/>
    <cellStyle name="Header 1(box) 3 2 14" xfId="15012" xr:uid="{00000000-0005-0000-0000-0000A53A0000}"/>
    <cellStyle name="Header 1(box) 3 2 2" xfId="15013" xr:uid="{00000000-0005-0000-0000-0000A63A0000}"/>
    <cellStyle name="Header 1(box) 3 2 2 10" xfId="15014" xr:uid="{00000000-0005-0000-0000-0000A73A0000}"/>
    <cellStyle name="Header 1(box) 3 2 2 11" xfId="15015" xr:uid="{00000000-0005-0000-0000-0000A83A0000}"/>
    <cellStyle name="Header 1(box) 3 2 2 12" xfId="15016" xr:uid="{00000000-0005-0000-0000-0000A93A0000}"/>
    <cellStyle name="Header 1(box) 3 2 2 13" xfId="15017" xr:uid="{00000000-0005-0000-0000-0000AA3A0000}"/>
    <cellStyle name="Header 1(box) 3 2 2 14" xfId="15018" xr:uid="{00000000-0005-0000-0000-0000AB3A0000}"/>
    <cellStyle name="Header 1(box) 3 2 2 15" xfId="15019" xr:uid="{00000000-0005-0000-0000-0000AC3A0000}"/>
    <cellStyle name="Header 1(box) 3 2 2 16" xfId="15020" xr:uid="{00000000-0005-0000-0000-0000AD3A0000}"/>
    <cellStyle name="Header 1(box) 3 2 2 17" xfId="15021" xr:uid="{00000000-0005-0000-0000-0000AE3A0000}"/>
    <cellStyle name="Header 1(box) 3 2 2 18" xfId="15022" xr:uid="{00000000-0005-0000-0000-0000AF3A0000}"/>
    <cellStyle name="Header 1(box) 3 2 2 19" xfId="15023" xr:uid="{00000000-0005-0000-0000-0000B03A0000}"/>
    <cellStyle name="Header 1(box) 3 2 2 2" xfId="15024" xr:uid="{00000000-0005-0000-0000-0000B13A0000}"/>
    <cellStyle name="Header 1(box) 3 2 2 2 2" xfId="15025" xr:uid="{00000000-0005-0000-0000-0000B23A0000}"/>
    <cellStyle name="Header 1(box) 3 2 2 2 3" xfId="15026" xr:uid="{00000000-0005-0000-0000-0000B33A0000}"/>
    <cellStyle name="Header 1(box) 3 2 2 2 4" xfId="15027" xr:uid="{00000000-0005-0000-0000-0000B43A0000}"/>
    <cellStyle name="Header 1(box) 3 2 2 20" xfId="15028" xr:uid="{00000000-0005-0000-0000-0000B53A0000}"/>
    <cellStyle name="Header 1(box) 3 2 2 3" xfId="15029" xr:uid="{00000000-0005-0000-0000-0000B63A0000}"/>
    <cellStyle name="Header 1(box) 3 2 2 4" xfId="15030" xr:uid="{00000000-0005-0000-0000-0000B73A0000}"/>
    <cellStyle name="Header 1(box) 3 2 2 5" xfId="15031" xr:uid="{00000000-0005-0000-0000-0000B83A0000}"/>
    <cellStyle name="Header 1(box) 3 2 2 6" xfId="15032" xr:uid="{00000000-0005-0000-0000-0000B93A0000}"/>
    <cellStyle name="Header 1(box) 3 2 2 7" xfId="15033" xr:uid="{00000000-0005-0000-0000-0000BA3A0000}"/>
    <cellStyle name="Header 1(box) 3 2 2 8" xfId="15034" xr:uid="{00000000-0005-0000-0000-0000BB3A0000}"/>
    <cellStyle name="Header 1(box) 3 2 2 9" xfId="15035" xr:uid="{00000000-0005-0000-0000-0000BC3A0000}"/>
    <cellStyle name="Header 1(box) 3 2 3" xfId="15036" xr:uid="{00000000-0005-0000-0000-0000BD3A0000}"/>
    <cellStyle name="Header 1(box) 3 2 3 2" xfId="15037" xr:uid="{00000000-0005-0000-0000-0000BE3A0000}"/>
    <cellStyle name="Header 1(box) 3 2 3 2 2" xfId="15038" xr:uid="{00000000-0005-0000-0000-0000BF3A0000}"/>
    <cellStyle name="Header 1(box) 3 2 3 2 3" xfId="15039" xr:uid="{00000000-0005-0000-0000-0000C03A0000}"/>
    <cellStyle name="Header 1(box) 3 2 3 2 4" xfId="15040" xr:uid="{00000000-0005-0000-0000-0000C13A0000}"/>
    <cellStyle name="Header 1(box) 3 2 3 3" xfId="15041" xr:uid="{00000000-0005-0000-0000-0000C23A0000}"/>
    <cellStyle name="Header 1(box) 3 2 3 4" xfId="15042" xr:uid="{00000000-0005-0000-0000-0000C33A0000}"/>
    <cellStyle name="Header 1(box) 3 2 3 5" xfId="15043" xr:uid="{00000000-0005-0000-0000-0000C43A0000}"/>
    <cellStyle name="Header 1(box) 3 2 4" xfId="15044" xr:uid="{00000000-0005-0000-0000-0000C53A0000}"/>
    <cellStyle name="Header 1(box) 3 2 4 2" xfId="15045" xr:uid="{00000000-0005-0000-0000-0000C63A0000}"/>
    <cellStyle name="Header 1(box) 3 2 4 2 2" xfId="15046" xr:uid="{00000000-0005-0000-0000-0000C73A0000}"/>
    <cellStyle name="Header 1(box) 3 2 4 2 3" xfId="15047" xr:uid="{00000000-0005-0000-0000-0000C83A0000}"/>
    <cellStyle name="Header 1(box) 3 2 4 2 4" xfId="15048" xr:uid="{00000000-0005-0000-0000-0000C93A0000}"/>
    <cellStyle name="Header 1(box) 3 2 4 3" xfId="15049" xr:uid="{00000000-0005-0000-0000-0000CA3A0000}"/>
    <cellStyle name="Header 1(box) 3 2 4 4" xfId="15050" xr:uid="{00000000-0005-0000-0000-0000CB3A0000}"/>
    <cellStyle name="Header 1(box) 3 2 4 5" xfId="15051" xr:uid="{00000000-0005-0000-0000-0000CC3A0000}"/>
    <cellStyle name="Header 1(box) 3 2 5" xfId="15052" xr:uid="{00000000-0005-0000-0000-0000CD3A0000}"/>
    <cellStyle name="Header 1(box) 3 2 5 2" xfId="15053" xr:uid="{00000000-0005-0000-0000-0000CE3A0000}"/>
    <cellStyle name="Header 1(box) 3 2 5 3" xfId="15054" xr:uid="{00000000-0005-0000-0000-0000CF3A0000}"/>
    <cellStyle name="Header 1(box) 3 2 5 4" xfId="15055" xr:uid="{00000000-0005-0000-0000-0000D03A0000}"/>
    <cellStyle name="Header 1(box) 3 2 6" xfId="15056" xr:uid="{00000000-0005-0000-0000-0000D13A0000}"/>
    <cellStyle name="Header 1(box) 3 2 6 2" xfId="15057" xr:uid="{00000000-0005-0000-0000-0000D23A0000}"/>
    <cellStyle name="Header 1(box) 3 2 7" xfId="15058" xr:uid="{00000000-0005-0000-0000-0000D33A0000}"/>
    <cellStyle name="Header 1(box) 3 2 7 2" xfId="15059" xr:uid="{00000000-0005-0000-0000-0000D43A0000}"/>
    <cellStyle name="Header 1(box) 3 2 8" xfId="15060" xr:uid="{00000000-0005-0000-0000-0000D53A0000}"/>
    <cellStyle name="Header 1(box) 3 2 8 2" xfId="15061" xr:uid="{00000000-0005-0000-0000-0000D63A0000}"/>
    <cellStyle name="Header 1(box) 3 2 9" xfId="15062" xr:uid="{00000000-0005-0000-0000-0000D73A0000}"/>
    <cellStyle name="Header 1(box) 3 2 9 2" xfId="15063" xr:uid="{00000000-0005-0000-0000-0000D83A0000}"/>
    <cellStyle name="Header 1(box) 3 3" xfId="15064" xr:uid="{00000000-0005-0000-0000-0000D93A0000}"/>
    <cellStyle name="Header 1(box) 3 3 10" xfId="15065" xr:uid="{00000000-0005-0000-0000-0000DA3A0000}"/>
    <cellStyle name="Header 1(box) 3 3 11" xfId="15066" xr:uid="{00000000-0005-0000-0000-0000DB3A0000}"/>
    <cellStyle name="Header 1(box) 3 3 12" xfId="15067" xr:uid="{00000000-0005-0000-0000-0000DC3A0000}"/>
    <cellStyle name="Header 1(box) 3 3 13" xfId="15068" xr:uid="{00000000-0005-0000-0000-0000DD3A0000}"/>
    <cellStyle name="Header 1(box) 3 3 14" xfId="15069" xr:uid="{00000000-0005-0000-0000-0000DE3A0000}"/>
    <cellStyle name="Header 1(box) 3 3 15" xfId="15070" xr:uid="{00000000-0005-0000-0000-0000DF3A0000}"/>
    <cellStyle name="Header 1(box) 3 3 16" xfId="15071" xr:uid="{00000000-0005-0000-0000-0000E03A0000}"/>
    <cellStyle name="Header 1(box) 3 3 17" xfId="15072" xr:uid="{00000000-0005-0000-0000-0000E13A0000}"/>
    <cellStyle name="Header 1(box) 3 3 18" xfId="15073" xr:uid="{00000000-0005-0000-0000-0000E23A0000}"/>
    <cellStyle name="Header 1(box) 3 3 19" xfId="15074" xr:uid="{00000000-0005-0000-0000-0000E33A0000}"/>
    <cellStyle name="Header 1(box) 3 3 2" xfId="15075" xr:uid="{00000000-0005-0000-0000-0000E43A0000}"/>
    <cellStyle name="Header 1(box) 3 3 2 2" xfId="15076" xr:uid="{00000000-0005-0000-0000-0000E53A0000}"/>
    <cellStyle name="Header 1(box) 3 3 2 3" xfId="15077" xr:uid="{00000000-0005-0000-0000-0000E63A0000}"/>
    <cellStyle name="Header 1(box) 3 3 2 4" xfId="15078" xr:uid="{00000000-0005-0000-0000-0000E73A0000}"/>
    <cellStyle name="Header 1(box) 3 3 20" xfId="15079" xr:uid="{00000000-0005-0000-0000-0000E83A0000}"/>
    <cellStyle name="Header 1(box) 3 3 3" xfId="15080" xr:uid="{00000000-0005-0000-0000-0000E93A0000}"/>
    <cellStyle name="Header 1(box) 3 3 4" xfId="15081" xr:uid="{00000000-0005-0000-0000-0000EA3A0000}"/>
    <cellStyle name="Header 1(box) 3 3 5" xfId="15082" xr:uid="{00000000-0005-0000-0000-0000EB3A0000}"/>
    <cellStyle name="Header 1(box) 3 3 6" xfId="15083" xr:uid="{00000000-0005-0000-0000-0000EC3A0000}"/>
    <cellStyle name="Header 1(box) 3 3 7" xfId="15084" xr:uid="{00000000-0005-0000-0000-0000ED3A0000}"/>
    <cellStyle name="Header 1(box) 3 3 8" xfId="15085" xr:uid="{00000000-0005-0000-0000-0000EE3A0000}"/>
    <cellStyle name="Header 1(box) 3 3 9" xfId="15086" xr:uid="{00000000-0005-0000-0000-0000EF3A0000}"/>
    <cellStyle name="Header 1(box) 3 4" xfId="15087" xr:uid="{00000000-0005-0000-0000-0000F03A0000}"/>
    <cellStyle name="Header 1(box) 3 4 2" xfId="15088" xr:uid="{00000000-0005-0000-0000-0000F13A0000}"/>
    <cellStyle name="Header 1(box) 3 4 2 2" xfId="15089" xr:uid="{00000000-0005-0000-0000-0000F23A0000}"/>
    <cellStyle name="Header 1(box) 3 4 2 3" xfId="15090" xr:uid="{00000000-0005-0000-0000-0000F33A0000}"/>
    <cellStyle name="Header 1(box) 3 4 2 4" xfId="15091" xr:uid="{00000000-0005-0000-0000-0000F43A0000}"/>
    <cellStyle name="Header 1(box) 3 4 3" xfId="15092" xr:uid="{00000000-0005-0000-0000-0000F53A0000}"/>
    <cellStyle name="Header 1(box) 3 4 4" xfId="15093" xr:uid="{00000000-0005-0000-0000-0000F63A0000}"/>
    <cellStyle name="Header 1(box) 3 4 5" xfId="15094" xr:uid="{00000000-0005-0000-0000-0000F73A0000}"/>
    <cellStyle name="Header 1(box) 3 5" xfId="15095" xr:uid="{00000000-0005-0000-0000-0000F83A0000}"/>
    <cellStyle name="Header 1(box) 3 5 2" xfId="15096" xr:uid="{00000000-0005-0000-0000-0000F93A0000}"/>
    <cellStyle name="Header 1(box) 3 5 2 2" xfId="15097" xr:uid="{00000000-0005-0000-0000-0000FA3A0000}"/>
    <cellStyle name="Header 1(box) 3 5 2 3" xfId="15098" xr:uid="{00000000-0005-0000-0000-0000FB3A0000}"/>
    <cellStyle name="Header 1(box) 3 5 2 4" xfId="15099" xr:uid="{00000000-0005-0000-0000-0000FC3A0000}"/>
    <cellStyle name="Header 1(box) 3 5 3" xfId="15100" xr:uid="{00000000-0005-0000-0000-0000FD3A0000}"/>
    <cellStyle name="Header 1(box) 3 5 4" xfId="15101" xr:uid="{00000000-0005-0000-0000-0000FE3A0000}"/>
    <cellStyle name="Header 1(box) 3 5 5" xfId="15102" xr:uid="{00000000-0005-0000-0000-0000FF3A0000}"/>
    <cellStyle name="Header 1(box) 3 6" xfId="15103" xr:uid="{00000000-0005-0000-0000-0000003B0000}"/>
    <cellStyle name="Header 1(box) 3 6 2" xfId="15104" xr:uid="{00000000-0005-0000-0000-0000013B0000}"/>
    <cellStyle name="Header 1(box) 3 6 3" xfId="15105" xr:uid="{00000000-0005-0000-0000-0000023B0000}"/>
    <cellStyle name="Header 1(box) 3 6 4" xfId="15106" xr:uid="{00000000-0005-0000-0000-0000033B0000}"/>
    <cellStyle name="Header 1(box) 3 7" xfId="15107" xr:uid="{00000000-0005-0000-0000-0000043B0000}"/>
    <cellStyle name="Header 1(box) 3 7 2" xfId="15108" xr:uid="{00000000-0005-0000-0000-0000053B0000}"/>
    <cellStyle name="Header 1(box) 3 8" xfId="15109" xr:uid="{00000000-0005-0000-0000-0000063B0000}"/>
    <cellStyle name="Header 1(box) 3 8 2" xfId="15110" xr:uid="{00000000-0005-0000-0000-0000073B0000}"/>
    <cellStyle name="Header 1(box) 3 9" xfId="15111" xr:uid="{00000000-0005-0000-0000-0000083B0000}"/>
    <cellStyle name="Header 1(box) 3 9 2" xfId="15112" xr:uid="{00000000-0005-0000-0000-0000093B0000}"/>
    <cellStyle name="Header 1(box) 4" xfId="15113" xr:uid="{00000000-0005-0000-0000-00000A3B0000}"/>
    <cellStyle name="Header 1(box) 4 10" xfId="15114" xr:uid="{00000000-0005-0000-0000-00000B3B0000}"/>
    <cellStyle name="Header 1(box) 4 10 2" xfId="15115" xr:uid="{00000000-0005-0000-0000-00000C3B0000}"/>
    <cellStyle name="Header 1(box) 4 11" xfId="15116" xr:uid="{00000000-0005-0000-0000-00000D3B0000}"/>
    <cellStyle name="Header 1(box) 4 11 2" xfId="15117" xr:uid="{00000000-0005-0000-0000-00000E3B0000}"/>
    <cellStyle name="Header 1(box) 4 12" xfId="15118" xr:uid="{00000000-0005-0000-0000-00000F3B0000}"/>
    <cellStyle name="Header 1(box) 4 13" xfId="15119" xr:uid="{00000000-0005-0000-0000-0000103B0000}"/>
    <cellStyle name="Header 1(box) 4 14" xfId="15120" xr:uid="{00000000-0005-0000-0000-0000113B0000}"/>
    <cellStyle name="Header 1(box) 4 15" xfId="15121" xr:uid="{00000000-0005-0000-0000-0000123B0000}"/>
    <cellStyle name="Header 1(box) 4 2" xfId="15122" xr:uid="{00000000-0005-0000-0000-0000133B0000}"/>
    <cellStyle name="Header 1(box) 4 2 10" xfId="15123" xr:uid="{00000000-0005-0000-0000-0000143B0000}"/>
    <cellStyle name="Header 1(box) 4 2 10 2" xfId="15124" xr:uid="{00000000-0005-0000-0000-0000153B0000}"/>
    <cellStyle name="Header 1(box) 4 2 11" xfId="15125" xr:uid="{00000000-0005-0000-0000-0000163B0000}"/>
    <cellStyle name="Header 1(box) 4 2 12" xfId="15126" xr:uid="{00000000-0005-0000-0000-0000173B0000}"/>
    <cellStyle name="Header 1(box) 4 2 13" xfId="15127" xr:uid="{00000000-0005-0000-0000-0000183B0000}"/>
    <cellStyle name="Header 1(box) 4 2 14" xfId="15128" xr:uid="{00000000-0005-0000-0000-0000193B0000}"/>
    <cellStyle name="Header 1(box) 4 2 2" xfId="15129" xr:uid="{00000000-0005-0000-0000-00001A3B0000}"/>
    <cellStyle name="Header 1(box) 4 2 2 10" xfId="15130" xr:uid="{00000000-0005-0000-0000-00001B3B0000}"/>
    <cellStyle name="Header 1(box) 4 2 2 11" xfId="15131" xr:uid="{00000000-0005-0000-0000-00001C3B0000}"/>
    <cellStyle name="Header 1(box) 4 2 2 12" xfId="15132" xr:uid="{00000000-0005-0000-0000-00001D3B0000}"/>
    <cellStyle name="Header 1(box) 4 2 2 13" xfId="15133" xr:uid="{00000000-0005-0000-0000-00001E3B0000}"/>
    <cellStyle name="Header 1(box) 4 2 2 14" xfId="15134" xr:uid="{00000000-0005-0000-0000-00001F3B0000}"/>
    <cellStyle name="Header 1(box) 4 2 2 15" xfId="15135" xr:uid="{00000000-0005-0000-0000-0000203B0000}"/>
    <cellStyle name="Header 1(box) 4 2 2 16" xfId="15136" xr:uid="{00000000-0005-0000-0000-0000213B0000}"/>
    <cellStyle name="Header 1(box) 4 2 2 17" xfId="15137" xr:uid="{00000000-0005-0000-0000-0000223B0000}"/>
    <cellStyle name="Header 1(box) 4 2 2 18" xfId="15138" xr:uid="{00000000-0005-0000-0000-0000233B0000}"/>
    <cellStyle name="Header 1(box) 4 2 2 19" xfId="15139" xr:uid="{00000000-0005-0000-0000-0000243B0000}"/>
    <cellStyle name="Header 1(box) 4 2 2 2" xfId="15140" xr:uid="{00000000-0005-0000-0000-0000253B0000}"/>
    <cellStyle name="Header 1(box) 4 2 2 2 2" xfId="15141" xr:uid="{00000000-0005-0000-0000-0000263B0000}"/>
    <cellStyle name="Header 1(box) 4 2 2 2 3" xfId="15142" xr:uid="{00000000-0005-0000-0000-0000273B0000}"/>
    <cellStyle name="Header 1(box) 4 2 2 2 4" xfId="15143" xr:uid="{00000000-0005-0000-0000-0000283B0000}"/>
    <cellStyle name="Header 1(box) 4 2 2 20" xfId="15144" xr:uid="{00000000-0005-0000-0000-0000293B0000}"/>
    <cellStyle name="Header 1(box) 4 2 2 3" xfId="15145" xr:uid="{00000000-0005-0000-0000-00002A3B0000}"/>
    <cellStyle name="Header 1(box) 4 2 2 4" xfId="15146" xr:uid="{00000000-0005-0000-0000-00002B3B0000}"/>
    <cellStyle name="Header 1(box) 4 2 2 5" xfId="15147" xr:uid="{00000000-0005-0000-0000-00002C3B0000}"/>
    <cellStyle name="Header 1(box) 4 2 2 6" xfId="15148" xr:uid="{00000000-0005-0000-0000-00002D3B0000}"/>
    <cellStyle name="Header 1(box) 4 2 2 7" xfId="15149" xr:uid="{00000000-0005-0000-0000-00002E3B0000}"/>
    <cellStyle name="Header 1(box) 4 2 2 8" xfId="15150" xr:uid="{00000000-0005-0000-0000-00002F3B0000}"/>
    <cellStyle name="Header 1(box) 4 2 2 9" xfId="15151" xr:uid="{00000000-0005-0000-0000-0000303B0000}"/>
    <cellStyle name="Header 1(box) 4 2 3" xfId="15152" xr:uid="{00000000-0005-0000-0000-0000313B0000}"/>
    <cellStyle name="Header 1(box) 4 2 3 2" xfId="15153" xr:uid="{00000000-0005-0000-0000-0000323B0000}"/>
    <cellStyle name="Header 1(box) 4 2 3 2 2" xfId="15154" xr:uid="{00000000-0005-0000-0000-0000333B0000}"/>
    <cellStyle name="Header 1(box) 4 2 3 2 3" xfId="15155" xr:uid="{00000000-0005-0000-0000-0000343B0000}"/>
    <cellStyle name="Header 1(box) 4 2 3 2 4" xfId="15156" xr:uid="{00000000-0005-0000-0000-0000353B0000}"/>
    <cellStyle name="Header 1(box) 4 2 3 3" xfId="15157" xr:uid="{00000000-0005-0000-0000-0000363B0000}"/>
    <cellStyle name="Header 1(box) 4 2 3 4" xfId="15158" xr:uid="{00000000-0005-0000-0000-0000373B0000}"/>
    <cellStyle name="Header 1(box) 4 2 3 5" xfId="15159" xr:uid="{00000000-0005-0000-0000-0000383B0000}"/>
    <cellStyle name="Header 1(box) 4 2 4" xfId="15160" xr:uid="{00000000-0005-0000-0000-0000393B0000}"/>
    <cellStyle name="Header 1(box) 4 2 4 2" xfId="15161" xr:uid="{00000000-0005-0000-0000-00003A3B0000}"/>
    <cellStyle name="Header 1(box) 4 2 4 2 2" xfId="15162" xr:uid="{00000000-0005-0000-0000-00003B3B0000}"/>
    <cellStyle name="Header 1(box) 4 2 4 2 3" xfId="15163" xr:uid="{00000000-0005-0000-0000-00003C3B0000}"/>
    <cellStyle name="Header 1(box) 4 2 4 2 4" xfId="15164" xr:uid="{00000000-0005-0000-0000-00003D3B0000}"/>
    <cellStyle name="Header 1(box) 4 2 4 3" xfId="15165" xr:uid="{00000000-0005-0000-0000-00003E3B0000}"/>
    <cellStyle name="Header 1(box) 4 2 4 4" xfId="15166" xr:uid="{00000000-0005-0000-0000-00003F3B0000}"/>
    <cellStyle name="Header 1(box) 4 2 4 5" xfId="15167" xr:uid="{00000000-0005-0000-0000-0000403B0000}"/>
    <cellStyle name="Header 1(box) 4 2 5" xfId="15168" xr:uid="{00000000-0005-0000-0000-0000413B0000}"/>
    <cellStyle name="Header 1(box) 4 2 5 2" xfId="15169" xr:uid="{00000000-0005-0000-0000-0000423B0000}"/>
    <cellStyle name="Header 1(box) 4 2 5 3" xfId="15170" xr:uid="{00000000-0005-0000-0000-0000433B0000}"/>
    <cellStyle name="Header 1(box) 4 2 5 4" xfId="15171" xr:uid="{00000000-0005-0000-0000-0000443B0000}"/>
    <cellStyle name="Header 1(box) 4 2 6" xfId="15172" xr:uid="{00000000-0005-0000-0000-0000453B0000}"/>
    <cellStyle name="Header 1(box) 4 2 6 2" xfId="15173" xr:uid="{00000000-0005-0000-0000-0000463B0000}"/>
    <cellStyle name="Header 1(box) 4 2 7" xfId="15174" xr:uid="{00000000-0005-0000-0000-0000473B0000}"/>
    <cellStyle name="Header 1(box) 4 2 7 2" xfId="15175" xr:uid="{00000000-0005-0000-0000-0000483B0000}"/>
    <cellStyle name="Header 1(box) 4 2 8" xfId="15176" xr:uid="{00000000-0005-0000-0000-0000493B0000}"/>
    <cellStyle name="Header 1(box) 4 2 8 2" xfId="15177" xr:uid="{00000000-0005-0000-0000-00004A3B0000}"/>
    <cellStyle name="Header 1(box) 4 2 9" xfId="15178" xr:uid="{00000000-0005-0000-0000-00004B3B0000}"/>
    <cellStyle name="Header 1(box) 4 2 9 2" xfId="15179" xr:uid="{00000000-0005-0000-0000-00004C3B0000}"/>
    <cellStyle name="Header 1(box) 4 3" xfId="15180" xr:uid="{00000000-0005-0000-0000-00004D3B0000}"/>
    <cellStyle name="Header 1(box) 4 3 10" xfId="15181" xr:uid="{00000000-0005-0000-0000-00004E3B0000}"/>
    <cellStyle name="Header 1(box) 4 3 11" xfId="15182" xr:uid="{00000000-0005-0000-0000-00004F3B0000}"/>
    <cellStyle name="Header 1(box) 4 3 12" xfId="15183" xr:uid="{00000000-0005-0000-0000-0000503B0000}"/>
    <cellStyle name="Header 1(box) 4 3 13" xfId="15184" xr:uid="{00000000-0005-0000-0000-0000513B0000}"/>
    <cellStyle name="Header 1(box) 4 3 14" xfId="15185" xr:uid="{00000000-0005-0000-0000-0000523B0000}"/>
    <cellStyle name="Header 1(box) 4 3 15" xfId="15186" xr:uid="{00000000-0005-0000-0000-0000533B0000}"/>
    <cellStyle name="Header 1(box) 4 3 16" xfId="15187" xr:uid="{00000000-0005-0000-0000-0000543B0000}"/>
    <cellStyle name="Header 1(box) 4 3 17" xfId="15188" xr:uid="{00000000-0005-0000-0000-0000553B0000}"/>
    <cellStyle name="Header 1(box) 4 3 18" xfId="15189" xr:uid="{00000000-0005-0000-0000-0000563B0000}"/>
    <cellStyle name="Header 1(box) 4 3 19" xfId="15190" xr:uid="{00000000-0005-0000-0000-0000573B0000}"/>
    <cellStyle name="Header 1(box) 4 3 2" xfId="15191" xr:uid="{00000000-0005-0000-0000-0000583B0000}"/>
    <cellStyle name="Header 1(box) 4 3 2 2" xfId="15192" xr:uid="{00000000-0005-0000-0000-0000593B0000}"/>
    <cellStyle name="Header 1(box) 4 3 2 3" xfId="15193" xr:uid="{00000000-0005-0000-0000-00005A3B0000}"/>
    <cellStyle name="Header 1(box) 4 3 2 4" xfId="15194" xr:uid="{00000000-0005-0000-0000-00005B3B0000}"/>
    <cellStyle name="Header 1(box) 4 3 20" xfId="15195" xr:uid="{00000000-0005-0000-0000-00005C3B0000}"/>
    <cellStyle name="Header 1(box) 4 3 3" xfId="15196" xr:uid="{00000000-0005-0000-0000-00005D3B0000}"/>
    <cellStyle name="Header 1(box) 4 3 4" xfId="15197" xr:uid="{00000000-0005-0000-0000-00005E3B0000}"/>
    <cellStyle name="Header 1(box) 4 3 5" xfId="15198" xr:uid="{00000000-0005-0000-0000-00005F3B0000}"/>
    <cellStyle name="Header 1(box) 4 3 6" xfId="15199" xr:uid="{00000000-0005-0000-0000-0000603B0000}"/>
    <cellStyle name="Header 1(box) 4 3 7" xfId="15200" xr:uid="{00000000-0005-0000-0000-0000613B0000}"/>
    <cellStyle name="Header 1(box) 4 3 8" xfId="15201" xr:uid="{00000000-0005-0000-0000-0000623B0000}"/>
    <cellStyle name="Header 1(box) 4 3 9" xfId="15202" xr:uid="{00000000-0005-0000-0000-0000633B0000}"/>
    <cellStyle name="Header 1(box) 4 4" xfId="15203" xr:uid="{00000000-0005-0000-0000-0000643B0000}"/>
    <cellStyle name="Header 1(box) 4 4 2" xfId="15204" xr:uid="{00000000-0005-0000-0000-0000653B0000}"/>
    <cellStyle name="Header 1(box) 4 4 2 2" xfId="15205" xr:uid="{00000000-0005-0000-0000-0000663B0000}"/>
    <cellStyle name="Header 1(box) 4 4 2 3" xfId="15206" xr:uid="{00000000-0005-0000-0000-0000673B0000}"/>
    <cellStyle name="Header 1(box) 4 4 2 4" xfId="15207" xr:uid="{00000000-0005-0000-0000-0000683B0000}"/>
    <cellStyle name="Header 1(box) 4 4 3" xfId="15208" xr:uid="{00000000-0005-0000-0000-0000693B0000}"/>
    <cellStyle name="Header 1(box) 4 4 4" xfId="15209" xr:uid="{00000000-0005-0000-0000-00006A3B0000}"/>
    <cellStyle name="Header 1(box) 4 4 5" xfId="15210" xr:uid="{00000000-0005-0000-0000-00006B3B0000}"/>
    <cellStyle name="Header 1(box) 4 5" xfId="15211" xr:uid="{00000000-0005-0000-0000-00006C3B0000}"/>
    <cellStyle name="Header 1(box) 4 5 2" xfId="15212" xr:uid="{00000000-0005-0000-0000-00006D3B0000}"/>
    <cellStyle name="Header 1(box) 4 5 2 2" xfId="15213" xr:uid="{00000000-0005-0000-0000-00006E3B0000}"/>
    <cellStyle name="Header 1(box) 4 5 2 3" xfId="15214" xr:uid="{00000000-0005-0000-0000-00006F3B0000}"/>
    <cellStyle name="Header 1(box) 4 5 2 4" xfId="15215" xr:uid="{00000000-0005-0000-0000-0000703B0000}"/>
    <cellStyle name="Header 1(box) 4 5 3" xfId="15216" xr:uid="{00000000-0005-0000-0000-0000713B0000}"/>
    <cellStyle name="Header 1(box) 4 5 4" xfId="15217" xr:uid="{00000000-0005-0000-0000-0000723B0000}"/>
    <cellStyle name="Header 1(box) 4 5 5" xfId="15218" xr:uid="{00000000-0005-0000-0000-0000733B0000}"/>
    <cellStyle name="Header 1(box) 4 6" xfId="15219" xr:uid="{00000000-0005-0000-0000-0000743B0000}"/>
    <cellStyle name="Header 1(box) 4 6 2" xfId="15220" xr:uid="{00000000-0005-0000-0000-0000753B0000}"/>
    <cellStyle name="Header 1(box) 4 6 3" xfId="15221" xr:uid="{00000000-0005-0000-0000-0000763B0000}"/>
    <cellStyle name="Header 1(box) 4 6 4" xfId="15222" xr:uid="{00000000-0005-0000-0000-0000773B0000}"/>
    <cellStyle name="Header 1(box) 4 7" xfId="15223" xr:uid="{00000000-0005-0000-0000-0000783B0000}"/>
    <cellStyle name="Header 1(box) 4 7 2" xfId="15224" xr:uid="{00000000-0005-0000-0000-0000793B0000}"/>
    <cellStyle name="Header 1(box) 4 8" xfId="15225" xr:uid="{00000000-0005-0000-0000-00007A3B0000}"/>
    <cellStyle name="Header 1(box) 4 8 2" xfId="15226" xr:uid="{00000000-0005-0000-0000-00007B3B0000}"/>
    <cellStyle name="Header 1(box) 4 9" xfId="15227" xr:uid="{00000000-0005-0000-0000-00007C3B0000}"/>
    <cellStyle name="Header 1(box) 4 9 2" xfId="15228" xr:uid="{00000000-0005-0000-0000-00007D3B0000}"/>
    <cellStyle name="Header 1(box) 5" xfId="15229" xr:uid="{00000000-0005-0000-0000-00007E3B0000}"/>
    <cellStyle name="Header 1(box) 5 10" xfId="15230" xr:uid="{00000000-0005-0000-0000-00007F3B0000}"/>
    <cellStyle name="Header 1(box) 5 10 2" xfId="15231" xr:uid="{00000000-0005-0000-0000-0000803B0000}"/>
    <cellStyle name="Header 1(box) 5 11" xfId="15232" xr:uid="{00000000-0005-0000-0000-0000813B0000}"/>
    <cellStyle name="Header 1(box) 5 11 2" xfId="15233" xr:uid="{00000000-0005-0000-0000-0000823B0000}"/>
    <cellStyle name="Header 1(box) 5 12" xfId="15234" xr:uid="{00000000-0005-0000-0000-0000833B0000}"/>
    <cellStyle name="Header 1(box) 5 13" xfId="15235" xr:uid="{00000000-0005-0000-0000-0000843B0000}"/>
    <cellStyle name="Header 1(box) 5 14" xfId="15236" xr:uid="{00000000-0005-0000-0000-0000853B0000}"/>
    <cellStyle name="Header 1(box) 5 15" xfId="15237" xr:uid="{00000000-0005-0000-0000-0000863B0000}"/>
    <cellStyle name="Header 1(box) 5 2" xfId="15238" xr:uid="{00000000-0005-0000-0000-0000873B0000}"/>
    <cellStyle name="Header 1(box) 5 2 10" xfId="15239" xr:uid="{00000000-0005-0000-0000-0000883B0000}"/>
    <cellStyle name="Header 1(box) 5 2 10 2" xfId="15240" xr:uid="{00000000-0005-0000-0000-0000893B0000}"/>
    <cellStyle name="Header 1(box) 5 2 11" xfId="15241" xr:uid="{00000000-0005-0000-0000-00008A3B0000}"/>
    <cellStyle name="Header 1(box) 5 2 12" xfId="15242" xr:uid="{00000000-0005-0000-0000-00008B3B0000}"/>
    <cellStyle name="Header 1(box) 5 2 13" xfId="15243" xr:uid="{00000000-0005-0000-0000-00008C3B0000}"/>
    <cellStyle name="Header 1(box) 5 2 14" xfId="15244" xr:uid="{00000000-0005-0000-0000-00008D3B0000}"/>
    <cellStyle name="Header 1(box) 5 2 2" xfId="15245" xr:uid="{00000000-0005-0000-0000-00008E3B0000}"/>
    <cellStyle name="Header 1(box) 5 2 2 10" xfId="15246" xr:uid="{00000000-0005-0000-0000-00008F3B0000}"/>
    <cellStyle name="Header 1(box) 5 2 2 11" xfId="15247" xr:uid="{00000000-0005-0000-0000-0000903B0000}"/>
    <cellStyle name="Header 1(box) 5 2 2 12" xfId="15248" xr:uid="{00000000-0005-0000-0000-0000913B0000}"/>
    <cellStyle name="Header 1(box) 5 2 2 13" xfId="15249" xr:uid="{00000000-0005-0000-0000-0000923B0000}"/>
    <cellStyle name="Header 1(box) 5 2 2 14" xfId="15250" xr:uid="{00000000-0005-0000-0000-0000933B0000}"/>
    <cellStyle name="Header 1(box) 5 2 2 15" xfId="15251" xr:uid="{00000000-0005-0000-0000-0000943B0000}"/>
    <cellStyle name="Header 1(box) 5 2 2 16" xfId="15252" xr:uid="{00000000-0005-0000-0000-0000953B0000}"/>
    <cellStyle name="Header 1(box) 5 2 2 17" xfId="15253" xr:uid="{00000000-0005-0000-0000-0000963B0000}"/>
    <cellStyle name="Header 1(box) 5 2 2 18" xfId="15254" xr:uid="{00000000-0005-0000-0000-0000973B0000}"/>
    <cellStyle name="Header 1(box) 5 2 2 19" xfId="15255" xr:uid="{00000000-0005-0000-0000-0000983B0000}"/>
    <cellStyle name="Header 1(box) 5 2 2 2" xfId="15256" xr:uid="{00000000-0005-0000-0000-0000993B0000}"/>
    <cellStyle name="Header 1(box) 5 2 2 2 2" xfId="15257" xr:uid="{00000000-0005-0000-0000-00009A3B0000}"/>
    <cellStyle name="Header 1(box) 5 2 2 2 3" xfId="15258" xr:uid="{00000000-0005-0000-0000-00009B3B0000}"/>
    <cellStyle name="Header 1(box) 5 2 2 2 4" xfId="15259" xr:uid="{00000000-0005-0000-0000-00009C3B0000}"/>
    <cellStyle name="Header 1(box) 5 2 2 20" xfId="15260" xr:uid="{00000000-0005-0000-0000-00009D3B0000}"/>
    <cellStyle name="Header 1(box) 5 2 2 3" xfId="15261" xr:uid="{00000000-0005-0000-0000-00009E3B0000}"/>
    <cellStyle name="Header 1(box) 5 2 2 4" xfId="15262" xr:uid="{00000000-0005-0000-0000-00009F3B0000}"/>
    <cellStyle name="Header 1(box) 5 2 2 5" xfId="15263" xr:uid="{00000000-0005-0000-0000-0000A03B0000}"/>
    <cellStyle name="Header 1(box) 5 2 2 6" xfId="15264" xr:uid="{00000000-0005-0000-0000-0000A13B0000}"/>
    <cellStyle name="Header 1(box) 5 2 2 7" xfId="15265" xr:uid="{00000000-0005-0000-0000-0000A23B0000}"/>
    <cellStyle name="Header 1(box) 5 2 2 8" xfId="15266" xr:uid="{00000000-0005-0000-0000-0000A33B0000}"/>
    <cellStyle name="Header 1(box) 5 2 2 9" xfId="15267" xr:uid="{00000000-0005-0000-0000-0000A43B0000}"/>
    <cellStyle name="Header 1(box) 5 2 3" xfId="15268" xr:uid="{00000000-0005-0000-0000-0000A53B0000}"/>
    <cellStyle name="Header 1(box) 5 2 3 2" xfId="15269" xr:uid="{00000000-0005-0000-0000-0000A63B0000}"/>
    <cellStyle name="Header 1(box) 5 2 3 2 2" xfId="15270" xr:uid="{00000000-0005-0000-0000-0000A73B0000}"/>
    <cellStyle name="Header 1(box) 5 2 3 2 3" xfId="15271" xr:uid="{00000000-0005-0000-0000-0000A83B0000}"/>
    <cellStyle name="Header 1(box) 5 2 3 2 4" xfId="15272" xr:uid="{00000000-0005-0000-0000-0000A93B0000}"/>
    <cellStyle name="Header 1(box) 5 2 3 3" xfId="15273" xr:uid="{00000000-0005-0000-0000-0000AA3B0000}"/>
    <cellStyle name="Header 1(box) 5 2 3 4" xfId="15274" xr:uid="{00000000-0005-0000-0000-0000AB3B0000}"/>
    <cellStyle name="Header 1(box) 5 2 3 5" xfId="15275" xr:uid="{00000000-0005-0000-0000-0000AC3B0000}"/>
    <cellStyle name="Header 1(box) 5 2 4" xfId="15276" xr:uid="{00000000-0005-0000-0000-0000AD3B0000}"/>
    <cellStyle name="Header 1(box) 5 2 4 2" xfId="15277" xr:uid="{00000000-0005-0000-0000-0000AE3B0000}"/>
    <cellStyle name="Header 1(box) 5 2 4 2 2" xfId="15278" xr:uid="{00000000-0005-0000-0000-0000AF3B0000}"/>
    <cellStyle name="Header 1(box) 5 2 4 2 3" xfId="15279" xr:uid="{00000000-0005-0000-0000-0000B03B0000}"/>
    <cellStyle name="Header 1(box) 5 2 4 2 4" xfId="15280" xr:uid="{00000000-0005-0000-0000-0000B13B0000}"/>
    <cellStyle name="Header 1(box) 5 2 4 3" xfId="15281" xr:uid="{00000000-0005-0000-0000-0000B23B0000}"/>
    <cellStyle name="Header 1(box) 5 2 4 4" xfId="15282" xr:uid="{00000000-0005-0000-0000-0000B33B0000}"/>
    <cellStyle name="Header 1(box) 5 2 4 5" xfId="15283" xr:uid="{00000000-0005-0000-0000-0000B43B0000}"/>
    <cellStyle name="Header 1(box) 5 2 5" xfId="15284" xr:uid="{00000000-0005-0000-0000-0000B53B0000}"/>
    <cellStyle name="Header 1(box) 5 2 5 2" xfId="15285" xr:uid="{00000000-0005-0000-0000-0000B63B0000}"/>
    <cellStyle name="Header 1(box) 5 2 5 3" xfId="15286" xr:uid="{00000000-0005-0000-0000-0000B73B0000}"/>
    <cellStyle name="Header 1(box) 5 2 5 4" xfId="15287" xr:uid="{00000000-0005-0000-0000-0000B83B0000}"/>
    <cellStyle name="Header 1(box) 5 2 6" xfId="15288" xr:uid="{00000000-0005-0000-0000-0000B93B0000}"/>
    <cellStyle name="Header 1(box) 5 2 6 2" xfId="15289" xr:uid="{00000000-0005-0000-0000-0000BA3B0000}"/>
    <cellStyle name="Header 1(box) 5 2 7" xfId="15290" xr:uid="{00000000-0005-0000-0000-0000BB3B0000}"/>
    <cellStyle name="Header 1(box) 5 2 7 2" xfId="15291" xr:uid="{00000000-0005-0000-0000-0000BC3B0000}"/>
    <cellStyle name="Header 1(box) 5 2 8" xfId="15292" xr:uid="{00000000-0005-0000-0000-0000BD3B0000}"/>
    <cellStyle name="Header 1(box) 5 2 8 2" xfId="15293" xr:uid="{00000000-0005-0000-0000-0000BE3B0000}"/>
    <cellStyle name="Header 1(box) 5 2 9" xfId="15294" xr:uid="{00000000-0005-0000-0000-0000BF3B0000}"/>
    <cellStyle name="Header 1(box) 5 2 9 2" xfId="15295" xr:uid="{00000000-0005-0000-0000-0000C03B0000}"/>
    <cellStyle name="Header 1(box) 5 3" xfId="15296" xr:uid="{00000000-0005-0000-0000-0000C13B0000}"/>
    <cellStyle name="Header 1(box) 5 3 10" xfId="15297" xr:uid="{00000000-0005-0000-0000-0000C23B0000}"/>
    <cellStyle name="Header 1(box) 5 3 11" xfId="15298" xr:uid="{00000000-0005-0000-0000-0000C33B0000}"/>
    <cellStyle name="Header 1(box) 5 3 12" xfId="15299" xr:uid="{00000000-0005-0000-0000-0000C43B0000}"/>
    <cellStyle name="Header 1(box) 5 3 13" xfId="15300" xr:uid="{00000000-0005-0000-0000-0000C53B0000}"/>
    <cellStyle name="Header 1(box) 5 3 14" xfId="15301" xr:uid="{00000000-0005-0000-0000-0000C63B0000}"/>
    <cellStyle name="Header 1(box) 5 3 15" xfId="15302" xr:uid="{00000000-0005-0000-0000-0000C73B0000}"/>
    <cellStyle name="Header 1(box) 5 3 16" xfId="15303" xr:uid="{00000000-0005-0000-0000-0000C83B0000}"/>
    <cellStyle name="Header 1(box) 5 3 17" xfId="15304" xr:uid="{00000000-0005-0000-0000-0000C93B0000}"/>
    <cellStyle name="Header 1(box) 5 3 18" xfId="15305" xr:uid="{00000000-0005-0000-0000-0000CA3B0000}"/>
    <cellStyle name="Header 1(box) 5 3 19" xfId="15306" xr:uid="{00000000-0005-0000-0000-0000CB3B0000}"/>
    <cellStyle name="Header 1(box) 5 3 2" xfId="15307" xr:uid="{00000000-0005-0000-0000-0000CC3B0000}"/>
    <cellStyle name="Header 1(box) 5 3 2 2" xfId="15308" xr:uid="{00000000-0005-0000-0000-0000CD3B0000}"/>
    <cellStyle name="Header 1(box) 5 3 2 3" xfId="15309" xr:uid="{00000000-0005-0000-0000-0000CE3B0000}"/>
    <cellStyle name="Header 1(box) 5 3 2 4" xfId="15310" xr:uid="{00000000-0005-0000-0000-0000CF3B0000}"/>
    <cellStyle name="Header 1(box) 5 3 20" xfId="15311" xr:uid="{00000000-0005-0000-0000-0000D03B0000}"/>
    <cellStyle name="Header 1(box) 5 3 3" xfId="15312" xr:uid="{00000000-0005-0000-0000-0000D13B0000}"/>
    <cellStyle name="Header 1(box) 5 3 4" xfId="15313" xr:uid="{00000000-0005-0000-0000-0000D23B0000}"/>
    <cellStyle name="Header 1(box) 5 3 5" xfId="15314" xr:uid="{00000000-0005-0000-0000-0000D33B0000}"/>
    <cellStyle name="Header 1(box) 5 3 6" xfId="15315" xr:uid="{00000000-0005-0000-0000-0000D43B0000}"/>
    <cellStyle name="Header 1(box) 5 3 7" xfId="15316" xr:uid="{00000000-0005-0000-0000-0000D53B0000}"/>
    <cellStyle name="Header 1(box) 5 3 8" xfId="15317" xr:uid="{00000000-0005-0000-0000-0000D63B0000}"/>
    <cellStyle name="Header 1(box) 5 3 9" xfId="15318" xr:uid="{00000000-0005-0000-0000-0000D73B0000}"/>
    <cellStyle name="Header 1(box) 5 4" xfId="15319" xr:uid="{00000000-0005-0000-0000-0000D83B0000}"/>
    <cellStyle name="Header 1(box) 5 4 2" xfId="15320" xr:uid="{00000000-0005-0000-0000-0000D93B0000}"/>
    <cellStyle name="Header 1(box) 5 4 2 2" xfId="15321" xr:uid="{00000000-0005-0000-0000-0000DA3B0000}"/>
    <cellStyle name="Header 1(box) 5 4 2 3" xfId="15322" xr:uid="{00000000-0005-0000-0000-0000DB3B0000}"/>
    <cellStyle name="Header 1(box) 5 4 2 4" xfId="15323" xr:uid="{00000000-0005-0000-0000-0000DC3B0000}"/>
    <cellStyle name="Header 1(box) 5 4 3" xfId="15324" xr:uid="{00000000-0005-0000-0000-0000DD3B0000}"/>
    <cellStyle name="Header 1(box) 5 4 4" xfId="15325" xr:uid="{00000000-0005-0000-0000-0000DE3B0000}"/>
    <cellStyle name="Header 1(box) 5 4 5" xfId="15326" xr:uid="{00000000-0005-0000-0000-0000DF3B0000}"/>
    <cellStyle name="Header 1(box) 5 5" xfId="15327" xr:uid="{00000000-0005-0000-0000-0000E03B0000}"/>
    <cellStyle name="Header 1(box) 5 5 2" xfId="15328" xr:uid="{00000000-0005-0000-0000-0000E13B0000}"/>
    <cellStyle name="Header 1(box) 5 5 2 2" xfId="15329" xr:uid="{00000000-0005-0000-0000-0000E23B0000}"/>
    <cellStyle name="Header 1(box) 5 5 2 3" xfId="15330" xr:uid="{00000000-0005-0000-0000-0000E33B0000}"/>
    <cellStyle name="Header 1(box) 5 5 2 4" xfId="15331" xr:uid="{00000000-0005-0000-0000-0000E43B0000}"/>
    <cellStyle name="Header 1(box) 5 5 3" xfId="15332" xr:uid="{00000000-0005-0000-0000-0000E53B0000}"/>
    <cellStyle name="Header 1(box) 5 5 4" xfId="15333" xr:uid="{00000000-0005-0000-0000-0000E63B0000}"/>
    <cellStyle name="Header 1(box) 5 5 5" xfId="15334" xr:uid="{00000000-0005-0000-0000-0000E73B0000}"/>
    <cellStyle name="Header 1(box) 5 6" xfId="15335" xr:uid="{00000000-0005-0000-0000-0000E83B0000}"/>
    <cellStyle name="Header 1(box) 5 6 2" xfId="15336" xr:uid="{00000000-0005-0000-0000-0000E93B0000}"/>
    <cellStyle name="Header 1(box) 5 6 3" xfId="15337" xr:uid="{00000000-0005-0000-0000-0000EA3B0000}"/>
    <cellStyle name="Header 1(box) 5 6 4" xfId="15338" xr:uid="{00000000-0005-0000-0000-0000EB3B0000}"/>
    <cellStyle name="Header 1(box) 5 7" xfId="15339" xr:uid="{00000000-0005-0000-0000-0000EC3B0000}"/>
    <cellStyle name="Header 1(box) 5 7 2" xfId="15340" xr:uid="{00000000-0005-0000-0000-0000ED3B0000}"/>
    <cellStyle name="Header 1(box) 5 8" xfId="15341" xr:uid="{00000000-0005-0000-0000-0000EE3B0000}"/>
    <cellStyle name="Header 1(box) 5 8 2" xfId="15342" xr:uid="{00000000-0005-0000-0000-0000EF3B0000}"/>
    <cellStyle name="Header 1(box) 5 9" xfId="15343" xr:uid="{00000000-0005-0000-0000-0000F03B0000}"/>
    <cellStyle name="Header 1(box) 5 9 2" xfId="15344" xr:uid="{00000000-0005-0000-0000-0000F13B0000}"/>
    <cellStyle name="Header 1(box) 6" xfId="15345" xr:uid="{00000000-0005-0000-0000-0000F23B0000}"/>
    <cellStyle name="Header 1(box) 6 10" xfId="15346" xr:uid="{00000000-0005-0000-0000-0000F33B0000}"/>
    <cellStyle name="Header 1(box) 6 10 2" xfId="15347" xr:uid="{00000000-0005-0000-0000-0000F43B0000}"/>
    <cellStyle name="Header 1(box) 6 11" xfId="15348" xr:uid="{00000000-0005-0000-0000-0000F53B0000}"/>
    <cellStyle name="Header 1(box) 6 11 2" xfId="15349" xr:uid="{00000000-0005-0000-0000-0000F63B0000}"/>
    <cellStyle name="Header 1(box) 6 12" xfId="15350" xr:uid="{00000000-0005-0000-0000-0000F73B0000}"/>
    <cellStyle name="Header 1(box) 6 13" xfId="15351" xr:uid="{00000000-0005-0000-0000-0000F83B0000}"/>
    <cellStyle name="Header 1(box) 6 14" xfId="15352" xr:uid="{00000000-0005-0000-0000-0000F93B0000}"/>
    <cellStyle name="Header 1(box) 6 15" xfId="15353" xr:uid="{00000000-0005-0000-0000-0000FA3B0000}"/>
    <cellStyle name="Header 1(box) 6 2" xfId="15354" xr:uid="{00000000-0005-0000-0000-0000FB3B0000}"/>
    <cellStyle name="Header 1(box) 6 2 10" xfId="15355" xr:uid="{00000000-0005-0000-0000-0000FC3B0000}"/>
    <cellStyle name="Header 1(box) 6 2 10 2" xfId="15356" xr:uid="{00000000-0005-0000-0000-0000FD3B0000}"/>
    <cellStyle name="Header 1(box) 6 2 11" xfId="15357" xr:uid="{00000000-0005-0000-0000-0000FE3B0000}"/>
    <cellStyle name="Header 1(box) 6 2 12" xfId="15358" xr:uid="{00000000-0005-0000-0000-0000FF3B0000}"/>
    <cellStyle name="Header 1(box) 6 2 13" xfId="15359" xr:uid="{00000000-0005-0000-0000-0000003C0000}"/>
    <cellStyle name="Header 1(box) 6 2 14" xfId="15360" xr:uid="{00000000-0005-0000-0000-0000013C0000}"/>
    <cellStyle name="Header 1(box) 6 2 2" xfId="15361" xr:uid="{00000000-0005-0000-0000-0000023C0000}"/>
    <cellStyle name="Header 1(box) 6 2 2 10" xfId="15362" xr:uid="{00000000-0005-0000-0000-0000033C0000}"/>
    <cellStyle name="Header 1(box) 6 2 2 11" xfId="15363" xr:uid="{00000000-0005-0000-0000-0000043C0000}"/>
    <cellStyle name="Header 1(box) 6 2 2 12" xfId="15364" xr:uid="{00000000-0005-0000-0000-0000053C0000}"/>
    <cellStyle name="Header 1(box) 6 2 2 13" xfId="15365" xr:uid="{00000000-0005-0000-0000-0000063C0000}"/>
    <cellStyle name="Header 1(box) 6 2 2 14" xfId="15366" xr:uid="{00000000-0005-0000-0000-0000073C0000}"/>
    <cellStyle name="Header 1(box) 6 2 2 15" xfId="15367" xr:uid="{00000000-0005-0000-0000-0000083C0000}"/>
    <cellStyle name="Header 1(box) 6 2 2 16" xfId="15368" xr:uid="{00000000-0005-0000-0000-0000093C0000}"/>
    <cellStyle name="Header 1(box) 6 2 2 17" xfId="15369" xr:uid="{00000000-0005-0000-0000-00000A3C0000}"/>
    <cellStyle name="Header 1(box) 6 2 2 18" xfId="15370" xr:uid="{00000000-0005-0000-0000-00000B3C0000}"/>
    <cellStyle name="Header 1(box) 6 2 2 19" xfId="15371" xr:uid="{00000000-0005-0000-0000-00000C3C0000}"/>
    <cellStyle name="Header 1(box) 6 2 2 2" xfId="15372" xr:uid="{00000000-0005-0000-0000-00000D3C0000}"/>
    <cellStyle name="Header 1(box) 6 2 2 2 2" xfId="15373" xr:uid="{00000000-0005-0000-0000-00000E3C0000}"/>
    <cellStyle name="Header 1(box) 6 2 2 2 3" xfId="15374" xr:uid="{00000000-0005-0000-0000-00000F3C0000}"/>
    <cellStyle name="Header 1(box) 6 2 2 2 4" xfId="15375" xr:uid="{00000000-0005-0000-0000-0000103C0000}"/>
    <cellStyle name="Header 1(box) 6 2 2 20" xfId="15376" xr:uid="{00000000-0005-0000-0000-0000113C0000}"/>
    <cellStyle name="Header 1(box) 6 2 2 3" xfId="15377" xr:uid="{00000000-0005-0000-0000-0000123C0000}"/>
    <cellStyle name="Header 1(box) 6 2 2 4" xfId="15378" xr:uid="{00000000-0005-0000-0000-0000133C0000}"/>
    <cellStyle name="Header 1(box) 6 2 2 5" xfId="15379" xr:uid="{00000000-0005-0000-0000-0000143C0000}"/>
    <cellStyle name="Header 1(box) 6 2 2 6" xfId="15380" xr:uid="{00000000-0005-0000-0000-0000153C0000}"/>
    <cellStyle name="Header 1(box) 6 2 2 7" xfId="15381" xr:uid="{00000000-0005-0000-0000-0000163C0000}"/>
    <cellStyle name="Header 1(box) 6 2 2 8" xfId="15382" xr:uid="{00000000-0005-0000-0000-0000173C0000}"/>
    <cellStyle name="Header 1(box) 6 2 2 9" xfId="15383" xr:uid="{00000000-0005-0000-0000-0000183C0000}"/>
    <cellStyle name="Header 1(box) 6 2 3" xfId="15384" xr:uid="{00000000-0005-0000-0000-0000193C0000}"/>
    <cellStyle name="Header 1(box) 6 2 3 2" xfId="15385" xr:uid="{00000000-0005-0000-0000-00001A3C0000}"/>
    <cellStyle name="Header 1(box) 6 2 3 2 2" xfId="15386" xr:uid="{00000000-0005-0000-0000-00001B3C0000}"/>
    <cellStyle name="Header 1(box) 6 2 3 2 3" xfId="15387" xr:uid="{00000000-0005-0000-0000-00001C3C0000}"/>
    <cellStyle name="Header 1(box) 6 2 3 2 4" xfId="15388" xr:uid="{00000000-0005-0000-0000-00001D3C0000}"/>
    <cellStyle name="Header 1(box) 6 2 3 3" xfId="15389" xr:uid="{00000000-0005-0000-0000-00001E3C0000}"/>
    <cellStyle name="Header 1(box) 6 2 3 4" xfId="15390" xr:uid="{00000000-0005-0000-0000-00001F3C0000}"/>
    <cellStyle name="Header 1(box) 6 2 3 5" xfId="15391" xr:uid="{00000000-0005-0000-0000-0000203C0000}"/>
    <cellStyle name="Header 1(box) 6 2 4" xfId="15392" xr:uid="{00000000-0005-0000-0000-0000213C0000}"/>
    <cellStyle name="Header 1(box) 6 2 4 2" xfId="15393" xr:uid="{00000000-0005-0000-0000-0000223C0000}"/>
    <cellStyle name="Header 1(box) 6 2 4 2 2" xfId="15394" xr:uid="{00000000-0005-0000-0000-0000233C0000}"/>
    <cellStyle name="Header 1(box) 6 2 4 2 3" xfId="15395" xr:uid="{00000000-0005-0000-0000-0000243C0000}"/>
    <cellStyle name="Header 1(box) 6 2 4 2 4" xfId="15396" xr:uid="{00000000-0005-0000-0000-0000253C0000}"/>
    <cellStyle name="Header 1(box) 6 2 4 3" xfId="15397" xr:uid="{00000000-0005-0000-0000-0000263C0000}"/>
    <cellStyle name="Header 1(box) 6 2 4 4" xfId="15398" xr:uid="{00000000-0005-0000-0000-0000273C0000}"/>
    <cellStyle name="Header 1(box) 6 2 4 5" xfId="15399" xr:uid="{00000000-0005-0000-0000-0000283C0000}"/>
    <cellStyle name="Header 1(box) 6 2 5" xfId="15400" xr:uid="{00000000-0005-0000-0000-0000293C0000}"/>
    <cellStyle name="Header 1(box) 6 2 5 2" xfId="15401" xr:uid="{00000000-0005-0000-0000-00002A3C0000}"/>
    <cellStyle name="Header 1(box) 6 2 5 3" xfId="15402" xr:uid="{00000000-0005-0000-0000-00002B3C0000}"/>
    <cellStyle name="Header 1(box) 6 2 5 4" xfId="15403" xr:uid="{00000000-0005-0000-0000-00002C3C0000}"/>
    <cellStyle name="Header 1(box) 6 2 6" xfId="15404" xr:uid="{00000000-0005-0000-0000-00002D3C0000}"/>
    <cellStyle name="Header 1(box) 6 2 6 2" xfId="15405" xr:uid="{00000000-0005-0000-0000-00002E3C0000}"/>
    <cellStyle name="Header 1(box) 6 2 7" xfId="15406" xr:uid="{00000000-0005-0000-0000-00002F3C0000}"/>
    <cellStyle name="Header 1(box) 6 2 7 2" xfId="15407" xr:uid="{00000000-0005-0000-0000-0000303C0000}"/>
    <cellStyle name="Header 1(box) 6 2 8" xfId="15408" xr:uid="{00000000-0005-0000-0000-0000313C0000}"/>
    <cellStyle name="Header 1(box) 6 2 8 2" xfId="15409" xr:uid="{00000000-0005-0000-0000-0000323C0000}"/>
    <cellStyle name="Header 1(box) 6 2 9" xfId="15410" xr:uid="{00000000-0005-0000-0000-0000333C0000}"/>
    <cellStyle name="Header 1(box) 6 2 9 2" xfId="15411" xr:uid="{00000000-0005-0000-0000-0000343C0000}"/>
    <cellStyle name="Header 1(box) 6 3" xfId="15412" xr:uid="{00000000-0005-0000-0000-0000353C0000}"/>
    <cellStyle name="Header 1(box) 6 3 10" xfId="15413" xr:uid="{00000000-0005-0000-0000-0000363C0000}"/>
    <cellStyle name="Header 1(box) 6 3 11" xfId="15414" xr:uid="{00000000-0005-0000-0000-0000373C0000}"/>
    <cellStyle name="Header 1(box) 6 3 12" xfId="15415" xr:uid="{00000000-0005-0000-0000-0000383C0000}"/>
    <cellStyle name="Header 1(box) 6 3 13" xfId="15416" xr:uid="{00000000-0005-0000-0000-0000393C0000}"/>
    <cellStyle name="Header 1(box) 6 3 14" xfId="15417" xr:uid="{00000000-0005-0000-0000-00003A3C0000}"/>
    <cellStyle name="Header 1(box) 6 3 15" xfId="15418" xr:uid="{00000000-0005-0000-0000-00003B3C0000}"/>
    <cellStyle name="Header 1(box) 6 3 16" xfId="15419" xr:uid="{00000000-0005-0000-0000-00003C3C0000}"/>
    <cellStyle name="Header 1(box) 6 3 17" xfId="15420" xr:uid="{00000000-0005-0000-0000-00003D3C0000}"/>
    <cellStyle name="Header 1(box) 6 3 18" xfId="15421" xr:uid="{00000000-0005-0000-0000-00003E3C0000}"/>
    <cellStyle name="Header 1(box) 6 3 19" xfId="15422" xr:uid="{00000000-0005-0000-0000-00003F3C0000}"/>
    <cellStyle name="Header 1(box) 6 3 2" xfId="15423" xr:uid="{00000000-0005-0000-0000-0000403C0000}"/>
    <cellStyle name="Header 1(box) 6 3 2 2" xfId="15424" xr:uid="{00000000-0005-0000-0000-0000413C0000}"/>
    <cellStyle name="Header 1(box) 6 3 2 3" xfId="15425" xr:uid="{00000000-0005-0000-0000-0000423C0000}"/>
    <cellStyle name="Header 1(box) 6 3 2 4" xfId="15426" xr:uid="{00000000-0005-0000-0000-0000433C0000}"/>
    <cellStyle name="Header 1(box) 6 3 20" xfId="15427" xr:uid="{00000000-0005-0000-0000-0000443C0000}"/>
    <cellStyle name="Header 1(box) 6 3 3" xfId="15428" xr:uid="{00000000-0005-0000-0000-0000453C0000}"/>
    <cellStyle name="Header 1(box) 6 3 4" xfId="15429" xr:uid="{00000000-0005-0000-0000-0000463C0000}"/>
    <cellStyle name="Header 1(box) 6 3 5" xfId="15430" xr:uid="{00000000-0005-0000-0000-0000473C0000}"/>
    <cellStyle name="Header 1(box) 6 3 6" xfId="15431" xr:uid="{00000000-0005-0000-0000-0000483C0000}"/>
    <cellStyle name="Header 1(box) 6 3 7" xfId="15432" xr:uid="{00000000-0005-0000-0000-0000493C0000}"/>
    <cellStyle name="Header 1(box) 6 3 8" xfId="15433" xr:uid="{00000000-0005-0000-0000-00004A3C0000}"/>
    <cellStyle name="Header 1(box) 6 3 9" xfId="15434" xr:uid="{00000000-0005-0000-0000-00004B3C0000}"/>
    <cellStyle name="Header 1(box) 6 4" xfId="15435" xr:uid="{00000000-0005-0000-0000-00004C3C0000}"/>
    <cellStyle name="Header 1(box) 6 4 2" xfId="15436" xr:uid="{00000000-0005-0000-0000-00004D3C0000}"/>
    <cellStyle name="Header 1(box) 6 4 2 2" xfId="15437" xr:uid="{00000000-0005-0000-0000-00004E3C0000}"/>
    <cellStyle name="Header 1(box) 6 4 2 3" xfId="15438" xr:uid="{00000000-0005-0000-0000-00004F3C0000}"/>
    <cellStyle name="Header 1(box) 6 4 2 4" xfId="15439" xr:uid="{00000000-0005-0000-0000-0000503C0000}"/>
    <cellStyle name="Header 1(box) 6 4 3" xfId="15440" xr:uid="{00000000-0005-0000-0000-0000513C0000}"/>
    <cellStyle name="Header 1(box) 6 4 4" xfId="15441" xr:uid="{00000000-0005-0000-0000-0000523C0000}"/>
    <cellStyle name="Header 1(box) 6 4 5" xfId="15442" xr:uid="{00000000-0005-0000-0000-0000533C0000}"/>
    <cellStyle name="Header 1(box) 6 5" xfId="15443" xr:uid="{00000000-0005-0000-0000-0000543C0000}"/>
    <cellStyle name="Header 1(box) 6 5 2" xfId="15444" xr:uid="{00000000-0005-0000-0000-0000553C0000}"/>
    <cellStyle name="Header 1(box) 6 5 2 2" xfId="15445" xr:uid="{00000000-0005-0000-0000-0000563C0000}"/>
    <cellStyle name="Header 1(box) 6 5 2 3" xfId="15446" xr:uid="{00000000-0005-0000-0000-0000573C0000}"/>
    <cellStyle name="Header 1(box) 6 5 2 4" xfId="15447" xr:uid="{00000000-0005-0000-0000-0000583C0000}"/>
    <cellStyle name="Header 1(box) 6 5 3" xfId="15448" xr:uid="{00000000-0005-0000-0000-0000593C0000}"/>
    <cellStyle name="Header 1(box) 6 5 4" xfId="15449" xr:uid="{00000000-0005-0000-0000-00005A3C0000}"/>
    <cellStyle name="Header 1(box) 6 5 5" xfId="15450" xr:uid="{00000000-0005-0000-0000-00005B3C0000}"/>
    <cellStyle name="Header 1(box) 6 6" xfId="15451" xr:uid="{00000000-0005-0000-0000-00005C3C0000}"/>
    <cellStyle name="Header 1(box) 6 6 2" xfId="15452" xr:uid="{00000000-0005-0000-0000-00005D3C0000}"/>
    <cellStyle name="Header 1(box) 6 6 3" xfId="15453" xr:uid="{00000000-0005-0000-0000-00005E3C0000}"/>
    <cellStyle name="Header 1(box) 6 6 4" xfId="15454" xr:uid="{00000000-0005-0000-0000-00005F3C0000}"/>
    <cellStyle name="Header 1(box) 6 7" xfId="15455" xr:uid="{00000000-0005-0000-0000-0000603C0000}"/>
    <cellStyle name="Header 1(box) 6 7 2" xfId="15456" xr:uid="{00000000-0005-0000-0000-0000613C0000}"/>
    <cellStyle name="Header 1(box) 6 8" xfId="15457" xr:uid="{00000000-0005-0000-0000-0000623C0000}"/>
    <cellStyle name="Header 1(box) 6 8 2" xfId="15458" xr:uid="{00000000-0005-0000-0000-0000633C0000}"/>
    <cellStyle name="Header 1(box) 6 9" xfId="15459" xr:uid="{00000000-0005-0000-0000-0000643C0000}"/>
    <cellStyle name="Header 1(box) 6 9 2" xfId="15460" xr:uid="{00000000-0005-0000-0000-0000653C0000}"/>
    <cellStyle name="Header 1(box) 7" xfId="15461" xr:uid="{00000000-0005-0000-0000-0000663C0000}"/>
    <cellStyle name="Header 1(box) 7 10" xfId="15462" xr:uid="{00000000-0005-0000-0000-0000673C0000}"/>
    <cellStyle name="Header 1(box) 7 10 2" xfId="15463" xr:uid="{00000000-0005-0000-0000-0000683C0000}"/>
    <cellStyle name="Header 1(box) 7 11" xfId="15464" xr:uid="{00000000-0005-0000-0000-0000693C0000}"/>
    <cellStyle name="Header 1(box) 7 11 2" xfId="15465" xr:uid="{00000000-0005-0000-0000-00006A3C0000}"/>
    <cellStyle name="Header 1(box) 7 12" xfId="15466" xr:uid="{00000000-0005-0000-0000-00006B3C0000}"/>
    <cellStyle name="Header 1(box) 7 13" xfId="15467" xr:uid="{00000000-0005-0000-0000-00006C3C0000}"/>
    <cellStyle name="Header 1(box) 7 14" xfId="15468" xr:uid="{00000000-0005-0000-0000-00006D3C0000}"/>
    <cellStyle name="Header 1(box) 7 15" xfId="15469" xr:uid="{00000000-0005-0000-0000-00006E3C0000}"/>
    <cellStyle name="Header 1(box) 7 2" xfId="15470" xr:uid="{00000000-0005-0000-0000-00006F3C0000}"/>
    <cellStyle name="Header 1(box) 7 2 10" xfId="15471" xr:uid="{00000000-0005-0000-0000-0000703C0000}"/>
    <cellStyle name="Header 1(box) 7 2 10 2" xfId="15472" xr:uid="{00000000-0005-0000-0000-0000713C0000}"/>
    <cellStyle name="Header 1(box) 7 2 11" xfId="15473" xr:uid="{00000000-0005-0000-0000-0000723C0000}"/>
    <cellStyle name="Header 1(box) 7 2 12" xfId="15474" xr:uid="{00000000-0005-0000-0000-0000733C0000}"/>
    <cellStyle name="Header 1(box) 7 2 13" xfId="15475" xr:uid="{00000000-0005-0000-0000-0000743C0000}"/>
    <cellStyle name="Header 1(box) 7 2 14" xfId="15476" xr:uid="{00000000-0005-0000-0000-0000753C0000}"/>
    <cellStyle name="Header 1(box) 7 2 2" xfId="15477" xr:uid="{00000000-0005-0000-0000-0000763C0000}"/>
    <cellStyle name="Header 1(box) 7 2 2 10" xfId="15478" xr:uid="{00000000-0005-0000-0000-0000773C0000}"/>
    <cellStyle name="Header 1(box) 7 2 2 11" xfId="15479" xr:uid="{00000000-0005-0000-0000-0000783C0000}"/>
    <cellStyle name="Header 1(box) 7 2 2 12" xfId="15480" xr:uid="{00000000-0005-0000-0000-0000793C0000}"/>
    <cellStyle name="Header 1(box) 7 2 2 13" xfId="15481" xr:uid="{00000000-0005-0000-0000-00007A3C0000}"/>
    <cellStyle name="Header 1(box) 7 2 2 14" xfId="15482" xr:uid="{00000000-0005-0000-0000-00007B3C0000}"/>
    <cellStyle name="Header 1(box) 7 2 2 15" xfId="15483" xr:uid="{00000000-0005-0000-0000-00007C3C0000}"/>
    <cellStyle name="Header 1(box) 7 2 2 16" xfId="15484" xr:uid="{00000000-0005-0000-0000-00007D3C0000}"/>
    <cellStyle name="Header 1(box) 7 2 2 17" xfId="15485" xr:uid="{00000000-0005-0000-0000-00007E3C0000}"/>
    <cellStyle name="Header 1(box) 7 2 2 18" xfId="15486" xr:uid="{00000000-0005-0000-0000-00007F3C0000}"/>
    <cellStyle name="Header 1(box) 7 2 2 19" xfId="15487" xr:uid="{00000000-0005-0000-0000-0000803C0000}"/>
    <cellStyle name="Header 1(box) 7 2 2 2" xfId="15488" xr:uid="{00000000-0005-0000-0000-0000813C0000}"/>
    <cellStyle name="Header 1(box) 7 2 2 2 2" xfId="15489" xr:uid="{00000000-0005-0000-0000-0000823C0000}"/>
    <cellStyle name="Header 1(box) 7 2 2 2 3" xfId="15490" xr:uid="{00000000-0005-0000-0000-0000833C0000}"/>
    <cellStyle name="Header 1(box) 7 2 2 2 4" xfId="15491" xr:uid="{00000000-0005-0000-0000-0000843C0000}"/>
    <cellStyle name="Header 1(box) 7 2 2 20" xfId="15492" xr:uid="{00000000-0005-0000-0000-0000853C0000}"/>
    <cellStyle name="Header 1(box) 7 2 2 3" xfId="15493" xr:uid="{00000000-0005-0000-0000-0000863C0000}"/>
    <cellStyle name="Header 1(box) 7 2 2 4" xfId="15494" xr:uid="{00000000-0005-0000-0000-0000873C0000}"/>
    <cellStyle name="Header 1(box) 7 2 2 5" xfId="15495" xr:uid="{00000000-0005-0000-0000-0000883C0000}"/>
    <cellStyle name="Header 1(box) 7 2 2 6" xfId="15496" xr:uid="{00000000-0005-0000-0000-0000893C0000}"/>
    <cellStyle name="Header 1(box) 7 2 2 7" xfId="15497" xr:uid="{00000000-0005-0000-0000-00008A3C0000}"/>
    <cellStyle name="Header 1(box) 7 2 2 8" xfId="15498" xr:uid="{00000000-0005-0000-0000-00008B3C0000}"/>
    <cellStyle name="Header 1(box) 7 2 2 9" xfId="15499" xr:uid="{00000000-0005-0000-0000-00008C3C0000}"/>
    <cellStyle name="Header 1(box) 7 2 3" xfId="15500" xr:uid="{00000000-0005-0000-0000-00008D3C0000}"/>
    <cellStyle name="Header 1(box) 7 2 3 2" xfId="15501" xr:uid="{00000000-0005-0000-0000-00008E3C0000}"/>
    <cellStyle name="Header 1(box) 7 2 3 2 2" xfId="15502" xr:uid="{00000000-0005-0000-0000-00008F3C0000}"/>
    <cellStyle name="Header 1(box) 7 2 3 2 3" xfId="15503" xr:uid="{00000000-0005-0000-0000-0000903C0000}"/>
    <cellStyle name="Header 1(box) 7 2 3 2 4" xfId="15504" xr:uid="{00000000-0005-0000-0000-0000913C0000}"/>
    <cellStyle name="Header 1(box) 7 2 3 3" xfId="15505" xr:uid="{00000000-0005-0000-0000-0000923C0000}"/>
    <cellStyle name="Header 1(box) 7 2 3 4" xfId="15506" xr:uid="{00000000-0005-0000-0000-0000933C0000}"/>
    <cellStyle name="Header 1(box) 7 2 3 5" xfId="15507" xr:uid="{00000000-0005-0000-0000-0000943C0000}"/>
    <cellStyle name="Header 1(box) 7 2 4" xfId="15508" xr:uid="{00000000-0005-0000-0000-0000953C0000}"/>
    <cellStyle name="Header 1(box) 7 2 4 2" xfId="15509" xr:uid="{00000000-0005-0000-0000-0000963C0000}"/>
    <cellStyle name="Header 1(box) 7 2 4 2 2" xfId="15510" xr:uid="{00000000-0005-0000-0000-0000973C0000}"/>
    <cellStyle name="Header 1(box) 7 2 4 2 3" xfId="15511" xr:uid="{00000000-0005-0000-0000-0000983C0000}"/>
    <cellStyle name="Header 1(box) 7 2 4 2 4" xfId="15512" xr:uid="{00000000-0005-0000-0000-0000993C0000}"/>
    <cellStyle name="Header 1(box) 7 2 4 3" xfId="15513" xr:uid="{00000000-0005-0000-0000-00009A3C0000}"/>
    <cellStyle name="Header 1(box) 7 2 4 4" xfId="15514" xr:uid="{00000000-0005-0000-0000-00009B3C0000}"/>
    <cellStyle name="Header 1(box) 7 2 4 5" xfId="15515" xr:uid="{00000000-0005-0000-0000-00009C3C0000}"/>
    <cellStyle name="Header 1(box) 7 2 5" xfId="15516" xr:uid="{00000000-0005-0000-0000-00009D3C0000}"/>
    <cellStyle name="Header 1(box) 7 2 5 2" xfId="15517" xr:uid="{00000000-0005-0000-0000-00009E3C0000}"/>
    <cellStyle name="Header 1(box) 7 2 5 3" xfId="15518" xr:uid="{00000000-0005-0000-0000-00009F3C0000}"/>
    <cellStyle name="Header 1(box) 7 2 5 4" xfId="15519" xr:uid="{00000000-0005-0000-0000-0000A03C0000}"/>
    <cellStyle name="Header 1(box) 7 2 6" xfId="15520" xr:uid="{00000000-0005-0000-0000-0000A13C0000}"/>
    <cellStyle name="Header 1(box) 7 2 6 2" xfId="15521" xr:uid="{00000000-0005-0000-0000-0000A23C0000}"/>
    <cellStyle name="Header 1(box) 7 2 7" xfId="15522" xr:uid="{00000000-0005-0000-0000-0000A33C0000}"/>
    <cellStyle name="Header 1(box) 7 2 7 2" xfId="15523" xr:uid="{00000000-0005-0000-0000-0000A43C0000}"/>
    <cellStyle name="Header 1(box) 7 2 8" xfId="15524" xr:uid="{00000000-0005-0000-0000-0000A53C0000}"/>
    <cellStyle name="Header 1(box) 7 2 8 2" xfId="15525" xr:uid="{00000000-0005-0000-0000-0000A63C0000}"/>
    <cellStyle name="Header 1(box) 7 2 9" xfId="15526" xr:uid="{00000000-0005-0000-0000-0000A73C0000}"/>
    <cellStyle name="Header 1(box) 7 2 9 2" xfId="15527" xr:uid="{00000000-0005-0000-0000-0000A83C0000}"/>
    <cellStyle name="Header 1(box) 7 3" xfId="15528" xr:uid="{00000000-0005-0000-0000-0000A93C0000}"/>
    <cellStyle name="Header 1(box) 7 3 10" xfId="15529" xr:uid="{00000000-0005-0000-0000-0000AA3C0000}"/>
    <cellStyle name="Header 1(box) 7 3 11" xfId="15530" xr:uid="{00000000-0005-0000-0000-0000AB3C0000}"/>
    <cellStyle name="Header 1(box) 7 3 12" xfId="15531" xr:uid="{00000000-0005-0000-0000-0000AC3C0000}"/>
    <cellStyle name="Header 1(box) 7 3 13" xfId="15532" xr:uid="{00000000-0005-0000-0000-0000AD3C0000}"/>
    <cellStyle name="Header 1(box) 7 3 14" xfId="15533" xr:uid="{00000000-0005-0000-0000-0000AE3C0000}"/>
    <cellStyle name="Header 1(box) 7 3 15" xfId="15534" xr:uid="{00000000-0005-0000-0000-0000AF3C0000}"/>
    <cellStyle name="Header 1(box) 7 3 16" xfId="15535" xr:uid="{00000000-0005-0000-0000-0000B03C0000}"/>
    <cellStyle name="Header 1(box) 7 3 17" xfId="15536" xr:uid="{00000000-0005-0000-0000-0000B13C0000}"/>
    <cellStyle name="Header 1(box) 7 3 18" xfId="15537" xr:uid="{00000000-0005-0000-0000-0000B23C0000}"/>
    <cellStyle name="Header 1(box) 7 3 19" xfId="15538" xr:uid="{00000000-0005-0000-0000-0000B33C0000}"/>
    <cellStyle name="Header 1(box) 7 3 2" xfId="15539" xr:uid="{00000000-0005-0000-0000-0000B43C0000}"/>
    <cellStyle name="Header 1(box) 7 3 2 2" xfId="15540" xr:uid="{00000000-0005-0000-0000-0000B53C0000}"/>
    <cellStyle name="Header 1(box) 7 3 2 3" xfId="15541" xr:uid="{00000000-0005-0000-0000-0000B63C0000}"/>
    <cellStyle name="Header 1(box) 7 3 2 4" xfId="15542" xr:uid="{00000000-0005-0000-0000-0000B73C0000}"/>
    <cellStyle name="Header 1(box) 7 3 20" xfId="15543" xr:uid="{00000000-0005-0000-0000-0000B83C0000}"/>
    <cellStyle name="Header 1(box) 7 3 3" xfId="15544" xr:uid="{00000000-0005-0000-0000-0000B93C0000}"/>
    <cellStyle name="Header 1(box) 7 3 4" xfId="15545" xr:uid="{00000000-0005-0000-0000-0000BA3C0000}"/>
    <cellStyle name="Header 1(box) 7 3 5" xfId="15546" xr:uid="{00000000-0005-0000-0000-0000BB3C0000}"/>
    <cellStyle name="Header 1(box) 7 3 6" xfId="15547" xr:uid="{00000000-0005-0000-0000-0000BC3C0000}"/>
    <cellStyle name="Header 1(box) 7 3 7" xfId="15548" xr:uid="{00000000-0005-0000-0000-0000BD3C0000}"/>
    <cellStyle name="Header 1(box) 7 3 8" xfId="15549" xr:uid="{00000000-0005-0000-0000-0000BE3C0000}"/>
    <cellStyle name="Header 1(box) 7 3 9" xfId="15550" xr:uid="{00000000-0005-0000-0000-0000BF3C0000}"/>
    <cellStyle name="Header 1(box) 7 4" xfId="15551" xr:uid="{00000000-0005-0000-0000-0000C03C0000}"/>
    <cellStyle name="Header 1(box) 7 4 2" xfId="15552" xr:uid="{00000000-0005-0000-0000-0000C13C0000}"/>
    <cellStyle name="Header 1(box) 7 4 2 2" xfId="15553" xr:uid="{00000000-0005-0000-0000-0000C23C0000}"/>
    <cellStyle name="Header 1(box) 7 4 2 3" xfId="15554" xr:uid="{00000000-0005-0000-0000-0000C33C0000}"/>
    <cellStyle name="Header 1(box) 7 4 2 4" xfId="15555" xr:uid="{00000000-0005-0000-0000-0000C43C0000}"/>
    <cellStyle name="Header 1(box) 7 4 3" xfId="15556" xr:uid="{00000000-0005-0000-0000-0000C53C0000}"/>
    <cellStyle name="Header 1(box) 7 4 4" xfId="15557" xr:uid="{00000000-0005-0000-0000-0000C63C0000}"/>
    <cellStyle name="Header 1(box) 7 4 5" xfId="15558" xr:uid="{00000000-0005-0000-0000-0000C73C0000}"/>
    <cellStyle name="Header 1(box) 7 5" xfId="15559" xr:uid="{00000000-0005-0000-0000-0000C83C0000}"/>
    <cellStyle name="Header 1(box) 7 5 2" xfId="15560" xr:uid="{00000000-0005-0000-0000-0000C93C0000}"/>
    <cellStyle name="Header 1(box) 7 5 2 2" xfId="15561" xr:uid="{00000000-0005-0000-0000-0000CA3C0000}"/>
    <cellStyle name="Header 1(box) 7 5 2 3" xfId="15562" xr:uid="{00000000-0005-0000-0000-0000CB3C0000}"/>
    <cellStyle name="Header 1(box) 7 5 2 4" xfId="15563" xr:uid="{00000000-0005-0000-0000-0000CC3C0000}"/>
    <cellStyle name="Header 1(box) 7 5 3" xfId="15564" xr:uid="{00000000-0005-0000-0000-0000CD3C0000}"/>
    <cellStyle name="Header 1(box) 7 5 4" xfId="15565" xr:uid="{00000000-0005-0000-0000-0000CE3C0000}"/>
    <cellStyle name="Header 1(box) 7 5 5" xfId="15566" xr:uid="{00000000-0005-0000-0000-0000CF3C0000}"/>
    <cellStyle name="Header 1(box) 7 6" xfId="15567" xr:uid="{00000000-0005-0000-0000-0000D03C0000}"/>
    <cellStyle name="Header 1(box) 7 6 2" xfId="15568" xr:uid="{00000000-0005-0000-0000-0000D13C0000}"/>
    <cellStyle name="Header 1(box) 7 6 3" xfId="15569" xr:uid="{00000000-0005-0000-0000-0000D23C0000}"/>
    <cellStyle name="Header 1(box) 7 6 4" xfId="15570" xr:uid="{00000000-0005-0000-0000-0000D33C0000}"/>
    <cellStyle name="Header 1(box) 7 7" xfId="15571" xr:uid="{00000000-0005-0000-0000-0000D43C0000}"/>
    <cellStyle name="Header 1(box) 7 7 2" xfId="15572" xr:uid="{00000000-0005-0000-0000-0000D53C0000}"/>
    <cellStyle name="Header 1(box) 7 8" xfId="15573" xr:uid="{00000000-0005-0000-0000-0000D63C0000}"/>
    <cellStyle name="Header 1(box) 7 8 2" xfId="15574" xr:uid="{00000000-0005-0000-0000-0000D73C0000}"/>
    <cellStyle name="Header 1(box) 7 9" xfId="15575" xr:uid="{00000000-0005-0000-0000-0000D83C0000}"/>
    <cellStyle name="Header 1(box) 7 9 2" xfId="15576" xr:uid="{00000000-0005-0000-0000-0000D93C0000}"/>
    <cellStyle name="Header 1(box) 8" xfId="15577" xr:uid="{00000000-0005-0000-0000-0000DA3C0000}"/>
    <cellStyle name="Header 1(box) 8 10" xfId="15578" xr:uid="{00000000-0005-0000-0000-0000DB3C0000}"/>
    <cellStyle name="Header 1(box) 8 10 2" xfId="15579" xr:uid="{00000000-0005-0000-0000-0000DC3C0000}"/>
    <cellStyle name="Header 1(box) 8 11" xfId="15580" xr:uid="{00000000-0005-0000-0000-0000DD3C0000}"/>
    <cellStyle name="Header 1(box) 8 12" xfId="15581" xr:uid="{00000000-0005-0000-0000-0000DE3C0000}"/>
    <cellStyle name="Header 1(box) 8 13" xfId="15582" xr:uid="{00000000-0005-0000-0000-0000DF3C0000}"/>
    <cellStyle name="Header 1(box) 8 14" xfId="15583" xr:uid="{00000000-0005-0000-0000-0000E03C0000}"/>
    <cellStyle name="Header 1(box) 8 2" xfId="15584" xr:uid="{00000000-0005-0000-0000-0000E13C0000}"/>
    <cellStyle name="Header 1(box) 8 2 10" xfId="15585" xr:uid="{00000000-0005-0000-0000-0000E23C0000}"/>
    <cellStyle name="Header 1(box) 8 2 11" xfId="15586" xr:uid="{00000000-0005-0000-0000-0000E33C0000}"/>
    <cellStyle name="Header 1(box) 8 2 12" xfId="15587" xr:uid="{00000000-0005-0000-0000-0000E43C0000}"/>
    <cellStyle name="Header 1(box) 8 2 13" xfId="15588" xr:uid="{00000000-0005-0000-0000-0000E53C0000}"/>
    <cellStyle name="Header 1(box) 8 2 14" xfId="15589" xr:uid="{00000000-0005-0000-0000-0000E63C0000}"/>
    <cellStyle name="Header 1(box) 8 2 15" xfId="15590" xr:uid="{00000000-0005-0000-0000-0000E73C0000}"/>
    <cellStyle name="Header 1(box) 8 2 16" xfId="15591" xr:uid="{00000000-0005-0000-0000-0000E83C0000}"/>
    <cellStyle name="Header 1(box) 8 2 17" xfId="15592" xr:uid="{00000000-0005-0000-0000-0000E93C0000}"/>
    <cellStyle name="Header 1(box) 8 2 18" xfId="15593" xr:uid="{00000000-0005-0000-0000-0000EA3C0000}"/>
    <cellStyle name="Header 1(box) 8 2 19" xfId="15594" xr:uid="{00000000-0005-0000-0000-0000EB3C0000}"/>
    <cellStyle name="Header 1(box) 8 2 2" xfId="15595" xr:uid="{00000000-0005-0000-0000-0000EC3C0000}"/>
    <cellStyle name="Header 1(box) 8 2 2 2" xfId="15596" xr:uid="{00000000-0005-0000-0000-0000ED3C0000}"/>
    <cellStyle name="Header 1(box) 8 2 2 3" xfId="15597" xr:uid="{00000000-0005-0000-0000-0000EE3C0000}"/>
    <cellStyle name="Header 1(box) 8 2 2 4" xfId="15598" xr:uid="{00000000-0005-0000-0000-0000EF3C0000}"/>
    <cellStyle name="Header 1(box) 8 2 20" xfId="15599" xr:uid="{00000000-0005-0000-0000-0000F03C0000}"/>
    <cellStyle name="Header 1(box) 8 2 3" xfId="15600" xr:uid="{00000000-0005-0000-0000-0000F13C0000}"/>
    <cellStyle name="Header 1(box) 8 2 4" xfId="15601" xr:uid="{00000000-0005-0000-0000-0000F23C0000}"/>
    <cellStyle name="Header 1(box) 8 2 5" xfId="15602" xr:uid="{00000000-0005-0000-0000-0000F33C0000}"/>
    <cellStyle name="Header 1(box) 8 2 6" xfId="15603" xr:uid="{00000000-0005-0000-0000-0000F43C0000}"/>
    <cellStyle name="Header 1(box) 8 2 7" xfId="15604" xr:uid="{00000000-0005-0000-0000-0000F53C0000}"/>
    <cellStyle name="Header 1(box) 8 2 8" xfId="15605" xr:uid="{00000000-0005-0000-0000-0000F63C0000}"/>
    <cellStyle name="Header 1(box) 8 2 9" xfId="15606" xr:uid="{00000000-0005-0000-0000-0000F73C0000}"/>
    <cellStyle name="Header 1(box) 8 3" xfId="15607" xr:uid="{00000000-0005-0000-0000-0000F83C0000}"/>
    <cellStyle name="Header 1(box) 8 3 2" xfId="15608" xr:uid="{00000000-0005-0000-0000-0000F93C0000}"/>
    <cellStyle name="Header 1(box) 8 3 2 2" xfId="15609" xr:uid="{00000000-0005-0000-0000-0000FA3C0000}"/>
    <cellStyle name="Header 1(box) 8 3 2 3" xfId="15610" xr:uid="{00000000-0005-0000-0000-0000FB3C0000}"/>
    <cellStyle name="Header 1(box) 8 3 2 4" xfId="15611" xr:uid="{00000000-0005-0000-0000-0000FC3C0000}"/>
    <cellStyle name="Header 1(box) 8 3 3" xfId="15612" xr:uid="{00000000-0005-0000-0000-0000FD3C0000}"/>
    <cellStyle name="Header 1(box) 8 3 4" xfId="15613" xr:uid="{00000000-0005-0000-0000-0000FE3C0000}"/>
    <cellStyle name="Header 1(box) 8 3 5" xfId="15614" xr:uid="{00000000-0005-0000-0000-0000FF3C0000}"/>
    <cellStyle name="Header 1(box) 8 4" xfId="15615" xr:uid="{00000000-0005-0000-0000-0000003D0000}"/>
    <cellStyle name="Header 1(box) 8 4 2" xfId="15616" xr:uid="{00000000-0005-0000-0000-0000013D0000}"/>
    <cellStyle name="Header 1(box) 8 4 2 2" xfId="15617" xr:uid="{00000000-0005-0000-0000-0000023D0000}"/>
    <cellStyle name="Header 1(box) 8 4 2 3" xfId="15618" xr:uid="{00000000-0005-0000-0000-0000033D0000}"/>
    <cellStyle name="Header 1(box) 8 4 2 4" xfId="15619" xr:uid="{00000000-0005-0000-0000-0000043D0000}"/>
    <cellStyle name="Header 1(box) 8 4 3" xfId="15620" xr:uid="{00000000-0005-0000-0000-0000053D0000}"/>
    <cellStyle name="Header 1(box) 8 4 4" xfId="15621" xr:uid="{00000000-0005-0000-0000-0000063D0000}"/>
    <cellStyle name="Header 1(box) 8 4 5" xfId="15622" xr:uid="{00000000-0005-0000-0000-0000073D0000}"/>
    <cellStyle name="Header 1(box) 8 5" xfId="15623" xr:uid="{00000000-0005-0000-0000-0000083D0000}"/>
    <cellStyle name="Header 1(box) 8 5 2" xfId="15624" xr:uid="{00000000-0005-0000-0000-0000093D0000}"/>
    <cellStyle name="Header 1(box) 8 5 3" xfId="15625" xr:uid="{00000000-0005-0000-0000-00000A3D0000}"/>
    <cellStyle name="Header 1(box) 8 5 4" xfId="15626" xr:uid="{00000000-0005-0000-0000-00000B3D0000}"/>
    <cellStyle name="Header 1(box) 8 6" xfId="15627" xr:uid="{00000000-0005-0000-0000-00000C3D0000}"/>
    <cellStyle name="Header 1(box) 8 6 2" xfId="15628" xr:uid="{00000000-0005-0000-0000-00000D3D0000}"/>
    <cellStyle name="Header 1(box) 8 7" xfId="15629" xr:uid="{00000000-0005-0000-0000-00000E3D0000}"/>
    <cellStyle name="Header 1(box) 8 7 2" xfId="15630" xr:uid="{00000000-0005-0000-0000-00000F3D0000}"/>
    <cellStyle name="Header 1(box) 8 8" xfId="15631" xr:uid="{00000000-0005-0000-0000-0000103D0000}"/>
    <cellStyle name="Header 1(box) 8 8 2" xfId="15632" xr:uid="{00000000-0005-0000-0000-0000113D0000}"/>
    <cellStyle name="Header 1(box) 8 9" xfId="15633" xr:uid="{00000000-0005-0000-0000-0000123D0000}"/>
    <cellStyle name="Header 1(box) 8 9 2" xfId="15634" xr:uid="{00000000-0005-0000-0000-0000133D0000}"/>
    <cellStyle name="Header 1(box) 9" xfId="15635" xr:uid="{00000000-0005-0000-0000-0000143D0000}"/>
    <cellStyle name="Header 1(box) 9 10" xfId="15636" xr:uid="{00000000-0005-0000-0000-0000153D0000}"/>
    <cellStyle name="Header 1(box) 9 11" xfId="15637" xr:uid="{00000000-0005-0000-0000-0000163D0000}"/>
    <cellStyle name="Header 1(box) 9 12" xfId="15638" xr:uid="{00000000-0005-0000-0000-0000173D0000}"/>
    <cellStyle name="Header 1(box) 9 13" xfId="15639" xr:uid="{00000000-0005-0000-0000-0000183D0000}"/>
    <cellStyle name="Header 1(box) 9 14" xfId="15640" xr:uid="{00000000-0005-0000-0000-0000193D0000}"/>
    <cellStyle name="Header 1(box) 9 15" xfId="15641" xr:uid="{00000000-0005-0000-0000-00001A3D0000}"/>
    <cellStyle name="Header 1(box) 9 16" xfId="15642" xr:uid="{00000000-0005-0000-0000-00001B3D0000}"/>
    <cellStyle name="Header 1(box) 9 17" xfId="15643" xr:uid="{00000000-0005-0000-0000-00001C3D0000}"/>
    <cellStyle name="Header 1(box) 9 18" xfId="15644" xr:uid="{00000000-0005-0000-0000-00001D3D0000}"/>
    <cellStyle name="Header 1(box) 9 19" xfId="15645" xr:uid="{00000000-0005-0000-0000-00001E3D0000}"/>
    <cellStyle name="Header 1(box) 9 2" xfId="15646" xr:uid="{00000000-0005-0000-0000-00001F3D0000}"/>
    <cellStyle name="Header 1(box) 9 2 2" xfId="15647" xr:uid="{00000000-0005-0000-0000-0000203D0000}"/>
    <cellStyle name="Header 1(box) 9 2 3" xfId="15648" xr:uid="{00000000-0005-0000-0000-0000213D0000}"/>
    <cellStyle name="Header 1(box) 9 2 4" xfId="15649" xr:uid="{00000000-0005-0000-0000-0000223D0000}"/>
    <cellStyle name="Header 1(box) 9 20" xfId="15650" xr:uid="{00000000-0005-0000-0000-0000233D0000}"/>
    <cellStyle name="Header 1(box) 9 3" xfId="15651" xr:uid="{00000000-0005-0000-0000-0000243D0000}"/>
    <cellStyle name="Header 1(box) 9 4" xfId="15652" xr:uid="{00000000-0005-0000-0000-0000253D0000}"/>
    <cellStyle name="Header 1(box) 9 5" xfId="15653" xr:uid="{00000000-0005-0000-0000-0000263D0000}"/>
    <cellStyle name="Header 1(box) 9 6" xfId="15654" xr:uid="{00000000-0005-0000-0000-0000273D0000}"/>
    <cellStyle name="Header 1(box) 9 7" xfId="15655" xr:uid="{00000000-0005-0000-0000-0000283D0000}"/>
    <cellStyle name="Header 1(box) 9 8" xfId="15656" xr:uid="{00000000-0005-0000-0000-0000293D0000}"/>
    <cellStyle name="Header 1(box) 9 9" xfId="15657" xr:uid="{00000000-0005-0000-0000-00002A3D0000}"/>
    <cellStyle name="Header 1(middle)" xfId="15658" xr:uid="{00000000-0005-0000-0000-00002B3D0000}"/>
    <cellStyle name="Header 1(middle) 10" xfId="15659" xr:uid="{00000000-0005-0000-0000-00002C3D0000}"/>
    <cellStyle name="Header 1(middle) 10 2" xfId="15660" xr:uid="{00000000-0005-0000-0000-00002D3D0000}"/>
    <cellStyle name="Header 1(middle) 10 2 2" xfId="15661" xr:uid="{00000000-0005-0000-0000-00002E3D0000}"/>
    <cellStyle name="Header 1(middle) 10 2 3" xfId="15662" xr:uid="{00000000-0005-0000-0000-00002F3D0000}"/>
    <cellStyle name="Header 1(middle) 10 2 4" xfId="15663" xr:uid="{00000000-0005-0000-0000-0000303D0000}"/>
    <cellStyle name="Header 1(middle) 10 3" xfId="15664" xr:uid="{00000000-0005-0000-0000-0000313D0000}"/>
    <cellStyle name="Header 1(middle) 10 4" xfId="15665" xr:uid="{00000000-0005-0000-0000-0000323D0000}"/>
    <cellStyle name="Header 1(middle) 10 5" xfId="15666" xr:uid="{00000000-0005-0000-0000-0000333D0000}"/>
    <cellStyle name="Header 1(middle) 11" xfId="15667" xr:uid="{00000000-0005-0000-0000-0000343D0000}"/>
    <cellStyle name="Header 1(middle) 11 2" xfId="15668" xr:uid="{00000000-0005-0000-0000-0000353D0000}"/>
    <cellStyle name="Header 1(middle) 11 2 2" xfId="15669" xr:uid="{00000000-0005-0000-0000-0000363D0000}"/>
    <cellStyle name="Header 1(middle) 11 2 3" xfId="15670" xr:uid="{00000000-0005-0000-0000-0000373D0000}"/>
    <cellStyle name="Header 1(middle) 11 2 4" xfId="15671" xr:uid="{00000000-0005-0000-0000-0000383D0000}"/>
    <cellStyle name="Header 1(middle) 11 3" xfId="15672" xr:uid="{00000000-0005-0000-0000-0000393D0000}"/>
    <cellStyle name="Header 1(middle) 11 4" xfId="15673" xr:uid="{00000000-0005-0000-0000-00003A3D0000}"/>
    <cellStyle name="Header 1(middle) 11 5" xfId="15674" xr:uid="{00000000-0005-0000-0000-00003B3D0000}"/>
    <cellStyle name="Header 1(middle) 12" xfId="15675" xr:uid="{00000000-0005-0000-0000-00003C3D0000}"/>
    <cellStyle name="Header 1(middle) 12 2" xfId="15676" xr:uid="{00000000-0005-0000-0000-00003D3D0000}"/>
    <cellStyle name="Header 1(middle) 13" xfId="15677" xr:uid="{00000000-0005-0000-0000-00003E3D0000}"/>
    <cellStyle name="Header 1(middle) 13 2" xfId="15678" xr:uid="{00000000-0005-0000-0000-00003F3D0000}"/>
    <cellStyle name="Header 1(middle) 14" xfId="15679" xr:uid="{00000000-0005-0000-0000-0000403D0000}"/>
    <cellStyle name="Header 1(middle) 14 2" xfId="15680" xr:uid="{00000000-0005-0000-0000-0000413D0000}"/>
    <cellStyle name="Header 1(middle) 15" xfId="15681" xr:uid="{00000000-0005-0000-0000-0000423D0000}"/>
    <cellStyle name="Header 1(middle) 15 2" xfId="15682" xr:uid="{00000000-0005-0000-0000-0000433D0000}"/>
    <cellStyle name="Header 1(middle) 16" xfId="15683" xr:uid="{00000000-0005-0000-0000-0000443D0000}"/>
    <cellStyle name="Header 1(middle) 16 2" xfId="15684" xr:uid="{00000000-0005-0000-0000-0000453D0000}"/>
    <cellStyle name="Header 1(middle) 17" xfId="15685" xr:uid="{00000000-0005-0000-0000-0000463D0000}"/>
    <cellStyle name="Header 1(middle) 17 2" xfId="15686" xr:uid="{00000000-0005-0000-0000-0000473D0000}"/>
    <cellStyle name="Header 1(middle) 18" xfId="15687" xr:uid="{00000000-0005-0000-0000-0000483D0000}"/>
    <cellStyle name="Header 1(middle) 19" xfId="15688" xr:uid="{00000000-0005-0000-0000-0000493D0000}"/>
    <cellStyle name="Header 1(middle) 2" xfId="15689" xr:uid="{00000000-0005-0000-0000-00004A3D0000}"/>
    <cellStyle name="Header 1(middle) 2 10" xfId="15690" xr:uid="{00000000-0005-0000-0000-00004B3D0000}"/>
    <cellStyle name="Header 1(middle) 2 10 2" xfId="15691" xr:uid="{00000000-0005-0000-0000-00004C3D0000}"/>
    <cellStyle name="Header 1(middle) 2 11" xfId="15692" xr:uid="{00000000-0005-0000-0000-00004D3D0000}"/>
    <cellStyle name="Header 1(middle) 2 11 2" xfId="15693" xr:uid="{00000000-0005-0000-0000-00004E3D0000}"/>
    <cellStyle name="Header 1(middle) 2 12" xfId="15694" xr:uid="{00000000-0005-0000-0000-00004F3D0000}"/>
    <cellStyle name="Header 1(middle) 2 12 2" xfId="15695" xr:uid="{00000000-0005-0000-0000-0000503D0000}"/>
    <cellStyle name="Header 1(middle) 2 13" xfId="15696" xr:uid="{00000000-0005-0000-0000-0000513D0000}"/>
    <cellStyle name="Header 1(middle) 2 14" xfId="15697" xr:uid="{00000000-0005-0000-0000-0000523D0000}"/>
    <cellStyle name="Header 1(middle) 2 15" xfId="15698" xr:uid="{00000000-0005-0000-0000-0000533D0000}"/>
    <cellStyle name="Header 1(middle) 2 2" xfId="15699" xr:uid="{00000000-0005-0000-0000-0000543D0000}"/>
    <cellStyle name="Header 1(middle) 2 2 10" xfId="15700" xr:uid="{00000000-0005-0000-0000-0000553D0000}"/>
    <cellStyle name="Header 1(middle) 2 2 10 2" xfId="15701" xr:uid="{00000000-0005-0000-0000-0000563D0000}"/>
    <cellStyle name="Header 1(middle) 2 2 11" xfId="15702" xr:uid="{00000000-0005-0000-0000-0000573D0000}"/>
    <cellStyle name="Header 1(middle) 2 2 11 2" xfId="15703" xr:uid="{00000000-0005-0000-0000-0000583D0000}"/>
    <cellStyle name="Header 1(middle) 2 2 12" xfId="15704" xr:uid="{00000000-0005-0000-0000-0000593D0000}"/>
    <cellStyle name="Header 1(middle) 2 2 13" xfId="15705" xr:uid="{00000000-0005-0000-0000-00005A3D0000}"/>
    <cellStyle name="Header 1(middle) 2 2 14" xfId="15706" xr:uid="{00000000-0005-0000-0000-00005B3D0000}"/>
    <cellStyle name="Header 1(middle) 2 2 2" xfId="15707" xr:uid="{00000000-0005-0000-0000-00005C3D0000}"/>
    <cellStyle name="Header 1(middle) 2 2 2 10" xfId="15708" xr:uid="{00000000-0005-0000-0000-00005D3D0000}"/>
    <cellStyle name="Header 1(middle) 2 2 2 10 2" xfId="15709" xr:uid="{00000000-0005-0000-0000-00005E3D0000}"/>
    <cellStyle name="Header 1(middle) 2 2 2 11" xfId="15710" xr:uid="{00000000-0005-0000-0000-00005F3D0000}"/>
    <cellStyle name="Header 1(middle) 2 2 2 12" xfId="15711" xr:uid="{00000000-0005-0000-0000-0000603D0000}"/>
    <cellStyle name="Header 1(middle) 2 2 2 13" xfId="15712" xr:uid="{00000000-0005-0000-0000-0000613D0000}"/>
    <cellStyle name="Header 1(middle) 2 2 2 2" xfId="15713" xr:uid="{00000000-0005-0000-0000-0000623D0000}"/>
    <cellStyle name="Header 1(middle) 2 2 2 2 10" xfId="15714" xr:uid="{00000000-0005-0000-0000-0000633D0000}"/>
    <cellStyle name="Header 1(middle) 2 2 2 2 11" xfId="15715" xr:uid="{00000000-0005-0000-0000-0000643D0000}"/>
    <cellStyle name="Header 1(middle) 2 2 2 2 12" xfId="15716" xr:uid="{00000000-0005-0000-0000-0000653D0000}"/>
    <cellStyle name="Header 1(middle) 2 2 2 2 13" xfId="15717" xr:uid="{00000000-0005-0000-0000-0000663D0000}"/>
    <cellStyle name="Header 1(middle) 2 2 2 2 14" xfId="15718" xr:uid="{00000000-0005-0000-0000-0000673D0000}"/>
    <cellStyle name="Header 1(middle) 2 2 2 2 15" xfId="15719" xr:uid="{00000000-0005-0000-0000-0000683D0000}"/>
    <cellStyle name="Header 1(middle) 2 2 2 2 16" xfId="15720" xr:uid="{00000000-0005-0000-0000-0000693D0000}"/>
    <cellStyle name="Header 1(middle) 2 2 2 2 17" xfId="15721" xr:uid="{00000000-0005-0000-0000-00006A3D0000}"/>
    <cellStyle name="Header 1(middle) 2 2 2 2 18" xfId="15722" xr:uid="{00000000-0005-0000-0000-00006B3D0000}"/>
    <cellStyle name="Header 1(middle) 2 2 2 2 19" xfId="15723" xr:uid="{00000000-0005-0000-0000-00006C3D0000}"/>
    <cellStyle name="Header 1(middle) 2 2 2 2 2" xfId="15724" xr:uid="{00000000-0005-0000-0000-00006D3D0000}"/>
    <cellStyle name="Header 1(middle) 2 2 2 2 2 2" xfId="15725" xr:uid="{00000000-0005-0000-0000-00006E3D0000}"/>
    <cellStyle name="Header 1(middle) 2 2 2 2 2 2 2" xfId="15726" xr:uid="{00000000-0005-0000-0000-00006F3D0000}"/>
    <cellStyle name="Header 1(middle) 2 2 2 2 2 2 3" xfId="15727" xr:uid="{00000000-0005-0000-0000-0000703D0000}"/>
    <cellStyle name="Header 1(middle) 2 2 2 2 2 2 4" xfId="15728" xr:uid="{00000000-0005-0000-0000-0000713D0000}"/>
    <cellStyle name="Header 1(middle) 2 2 2 2 2 3" xfId="15729" xr:uid="{00000000-0005-0000-0000-0000723D0000}"/>
    <cellStyle name="Header 1(middle) 2 2 2 2 2 3 2" xfId="15730" xr:uid="{00000000-0005-0000-0000-0000733D0000}"/>
    <cellStyle name="Header 1(middle) 2 2 2 2 2 3 3" xfId="15731" xr:uid="{00000000-0005-0000-0000-0000743D0000}"/>
    <cellStyle name="Header 1(middle) 2 2 2 2 2 3 4" xfId="15732" xr:uid="{00000000-0005-0000-0000-0000753D0000}"/>
    <cellStyle name="Header 1(middle) 2 2 2 2 2 4" xfId="15733" xr:uid="{00000000-0005-0000-0000-0000763D0000}"/>
    <cellStyle name="Header 1(middle) 2 2 2 2 2 5" xfId="15734" xr:uid="{00000000-0005-0000-0000-0000773D0000}"/>
    <cellStyle name="Header 1(middle) 2 2 2 2 2 6" xfId="15735" xr:uid="{00000000-0005-0000-0000-0000783D0000}"/>
    <cellStyle name="Header 1(middle) 2 2 2 2 20" xfId="15736" xr:uid="{00000000-0005-0000-0000-0000793D0000}"/>
    <cellStyle name="Header 1(middle) 2 2 2 2 3" xfId="15737" xr:uid="{00000000-0005-0000-0000-00007A3D0000}"/>
    <cellStyle name="Header 1(middle) 2 2 2 2 3 2" xfId="15738" xr:uid="{00000000-0005-0000-0000-00007B3D0000}"/>
    <cellStyle name="Header 1(middle) 2 2 2 2 3 2 2" xfId="15739" xr:uid="{00000000-0005-0000-0000-00007C3D0000}"/>
    <cellStyle name="Header 1(middle) 2 2 2 2 3 2 3" xfId="15740" xr:uid="{00000000-0005-0000-0000-00007D3D0000}"/>
    <cellStyle name="Header 1(middle) 2 2 2 2 3 2 4" xfId="15741" xr:uid="{00000000-0005-0000-0000-00007E3D0000}"/>
    <cellStyle name="Header 1(middle) 2 2 2 2 3 3" xfId="15742" xr:uid="{00000000-0005-0000-0000-00007F3D0000}"/>
    <cellStyle name="Header 1(middle) 2 2 2 2 3 4" xfId="15743" xr:uid="{00000000-0005-0000-0000-0000803D0000}"/>
    <cellStyle name="Header 1(middle) 2 2 2 2 3 5" xfId="15744" xr:uid="{00000000-0005-0000-0000-0000813D0000}"/>
    <cellStyle name="Header 1(middle) 2 2 2 2 4" xfId="15745" xr:uid="{00000000-0005-0000-0000-0000823D0000}"/>
    <cellStyle name="Header 1(middle) 2 2 2 2 4 2" xfId="15746" xr:uid="{00000000-0005-0000-0000-0000833D0000}"/>
    <cellStyle name="Header 1(middle) 2 2 2 2 4 3" xfId="15747" xr:uid="{00000000-0005-0000-0000-0000843D0000}"/>
    <cellStyle name="Header 1(middle) 2 2 2 2 4 4" xfId="15748" xr:uid="{00000000-0005-0000-0000-0000853D0000}"/>
    <cellStyle name="Header 1(middle) 2 2 2 2 5" xfId="15749" xr:uid="{00000000-0005-0000-0000-0000863D0000}"/>
    <cellStyle name="Header 1(middle) 2 2 2 2 6" xfId="15750" xr:uid="{00000000-0005-0000-0000-0000873D0000}"/>
    <cellStyle name="Header 1(middle) 2 2 2 2 7" xfId="15751" xr:uid="{00000000-0005-0000-0000-0000883D0000}"/>
    <cellStyle name="Header 1(middle) 2 2 2 2 8" xfId="15752" xr:uid="{00000000-0005-0000-0000-0000893D0000}"/>
    <cellStyle name="Header 1(middle) 2 2 2 2 9" xfId="15753" xr:uid="{00000000-0005-0000-0000-00008A3D0000}"/>
    <cellStyle name="Header 1(middle) 2 2 2 3" xfId="15754" xr:uid="{00000000-0005-0000-0000-00008B3D0000}"/>
    <cellStyle name="Header 1(middle) 2 2 2 3 2" xfId="15755" xr:uid="{00000000-0005-0000-0000-00008C3D0000}"/>
    <cellStyle name="Header 1(middle) 2 2 2 3 2 2" xfId="15756" xr:uid="{00000000-0005-0000-0000-00008D3D0000}"/>
    <cellStyle name="Header 1(middle) 2 2 2 3 2 3" xfId="15757" xr:uid="{00000000-0005-0000-0000-00008E3D0000}"/>
    <cellStyle name="Header 1(middle) 2 2 2 3 2 4" xfId="15758" xr:uid="{00000000-0005-0000-0000-00008F3D0000}"/>
    <cellStyle name="Header 1(middle) 2 2 2 3 3" xfId="15759" xr:uid="{00000000-0005-0000-0000-0000903D0000}"/>
    <cellStyle name="Header 1(middle) 2 2 2 3 4" xfId="15760" xr:uid="{00000000-0005-0000-0000-0000913D0000}"/>
    <cellStyle name="Header 1(middle) 2 2 2 3 5" xfId="15761" xr:uid="{00000000-0005-0000-0000-0000923D0000}"/>
    <cellStyle name="Header 1(middle) 2 2 2 4" xfId="15762" xr:uid="{00000000-0005-0000-0000-0000933D0000}"/>
    <cellStyle name="Header 1(middle) 2 2 2 4 2" xfId="15763" xr:uid="{00000000-0005-0000-0000-0000943D0000}"/>
    <cellStyle name="Header 1(middle) 2 2 2 4 2 2" xfId="15764" xr:uid="{00000000-0005-0000-0000-0000953D0000}"/>
    <cellStyle name="Header 1(middle) 2 2 2 4 2 3" xfId="15765" xr:uid="{00000000-0005-0000-0000-0000963D0000}"/>
    <cellStyle name="Header 1(middle) 2 2 2 4 2 4" xfId="15766" xr:uid="{00000000-0005-0000-0000-0000973D0000}"/>
    <cellStyle name="Header 1(middle) 2 2 2 4 3" xfId="15767" xr:uid="{00000000-0005-0000-0000-0000983D0000}"/>
    <cellStyle name="Header 1(middle) 2 2 2 4 4" xfId="15768" xr:uid="{00000000-0005-0000-0000-0000993D0000}"/>
    <cellStyle name="Header 1(middle) 2 2 2 4 5" xfId="15769" xr:uid="{00000000-0005-0000-0000-00009A3D0000}"/>
    <cellStyle name="Header 1(middle) 2 2 2 5" xfId="15770" xr:uid="{00000000-0005-0000-0000-00009B3D0000}"/>
    <cellStyle name="Header 1(middle) 2 2 2 5 2" xfId="15771" xr:uid="{00000000-0005-0000-0000-00009C3D0000}"/>
    <cellStyle name="Header 1(middle) 2 2 2 6" xfId="15772" xr:uid="{00000000-0005-0000-0000-00009D3D0000}"/>
    <cellStyle name="Header 1(middle) 2 2 2 6 2" xfId="15773" xr:uid="{00000000-0005-0000-0000-00009E3D0000}"/>
    <cellStyle name="Header 1(middle) 2 2 2 7" xfId="15774" xr:uid="{00000000-0005-0000-0000-00009F3D0000}"/>
    <cellStyle name="Header 1(middle) 2 2 2 7 2" xfId="15775" xr:uid="{00000000-0005-0000-0000-0000A03D0000}"/>
    <cellStyle name="Header 1(middle) 2 2 2 8" xfId="15776" xr:uid="{00000000-0005-0000-0000-0000A13D0000}"/>
    <cellStyle name="Header 1(middle) 2 2 2 8 2" xfId="15777" xr:uid="{00000000-0005-0000-0000-0000A23D0000}"/>
    <cellStyle name="Header 1(middle) 2 2 2 9" xfId="15778" xr:uid="{00000000-0005-0000-0000-0000A33D0000}"/>
    <cellStyle name="Header 1(middle) 2 2 2 9 2" xfId="15779" xr:uid="{00000000-0005-0000-0000-0000A43D0000}"/>
    <cellStyle name="Header 1(middle) 2 2 3" xfId="15780" xr:uid="{00000000-0005-0000-0000-0000A53D0000}"/>
    <cellStyle name="Header 1(middle) 2 2 3 10" xfId="15781" xr:uid="{00000000-0005-0000-0000-0000A63D0000}"/>
    <cellStyle name="Header 1(middle) 2 2 3 11" xfId="15782" xr:uid="{00000000-0005-0000-0000-0000A73D0000}"/>
    <cellStyle name="Header 1(middle) 2 2 3 12" xfId="15783" xr:uid="{00000000-0005-0000-0000-0000A83D0000}"/>
    <cellStyle name="Header 1(middle) 2 2 3 13" xfId="15784" xr:uid="{00000000-0005-0000-0000-0000A93D0000}"/>
    <cellStyle name="Header 1(middle) 2 2 3 14" xfId="15785" xr:uid="{00000000-0005-0000-0000-0000AA3D0000}"/>
    <cellStyle name="Header 1(middle) 2 2 3 15" xfId="15786" xr:uid="{00000000-0005-0000-0000-0000AB3D0000}"/>
    <cellStyle name="Header 1(middle) 2 2 3 16" xfId="15787" xr:uid="{00000000-0005-0000-0000-0000AC3D0000}"/>
    <cellStyle name="Header 1(middle) 2 2 3 17" xfId="15788" xr:uid="{00000000-0005-0000-0000-0000AD3D0000}"/>
    <cellStyle name="Header 1(middle) 2 2 3 18" xfId="15789" xr:uid="{00000000-0005-0000-0000-0000AE3D0000}"/>
    <cellStyle name="Header 1(middle) 2 2 3 19" xfId="15790" xr:uid="{00000000-0005-0000-0000-0000AF3D0000}"/>
    <cellStyle name="Header 1(middle) 2 2 3 2" xfId="15791" xr:uid="{00000000-0005-0000-0000-0000B03D0000}"/>
    <cellStyle name="Header 1(middle) 2 2 3 2 2" xfId="15792" xr:uid="{00000000-0005-0000-0000-0000B13D0000}"/>
    <cellStyle name="Header 1(middle) 2 2 3 2 2 2" xfId="15793" xr:uid="{00000000-0005-0000-0000-0000B23D0000}"/>
    <cellStyle name="Header 1(middle) 2 2 3 2 2 3" xfId="15794" xr:uid="{00000000-0005-0000-0000-0000B33D0000}"/>
    <cellStyle name="Header 1(middle) 2 2 3 2 2 4" xfId="15795" xr:uid="{00000000-0005-0000-0000-0000B43D0000}"/>
    <cellStyle name="Header 1(middle) 2 2 3 2 3" xfId="15796" xr:uid="{00000000-0005-0000-0000-0000B53D0000}"/>
    <cellStyle name="Header 1(middle) 2 2 3 2 3 2" xfId="15797" xr:uid="{00000000-0005-0000-0000-0000B63D0000}"/>
    <cellStyle name="Header 1(middle) 2 2 3 2 3 3" xfId="15798" xr:uid="{00000000-0005-0000-0000-0000B73D0000}"/>
    <cellStyle name="Header 1(middle) 2 2 3 2 3 4" xfId="15799" xr:uid="{00000000-0005-0000-0000-0000B83D0000}"/>
    <cellStyle name="Header 1(middle) 2 2 3 2 4" xfId="15800" xr:uid="{00000000-0005-0000-0000-0000B93D0000}"/>
    <cellStyle name="Header 1(middle) 2 2 3 2 5" xfId="15801" xr:uid="{00000000-0005-0000-0000-0000BA3D0000}"/>
    <cellStyle name="Header 1(middle) 2 2 3 2 6" xfId="15802" xr:uid="{00000000-0005-0000-0000-0000BB3D0000}"/>
    <cellStyle name="Header 1(middle) 2 2 3 20" xfId="15803" xr:uid="{00000000-0005-0000-0000-0000BC3D0000}"/>
    <cellStyle name="Header 1(middle) 2 2 3 3" xfId="15804" xr:uid="{00000000-0005-0000-0000-0000BD3D0000}"/>
    <cellStyle name="Header 1(middle) 2 2 3 3 2" xfId="15805" xr:uid="{00000000-0005-0000-0000-0000BE3D0000}"/>
    <cellStyle name="Header 1(middle) 2 2 3 3 2 2" xfId="15806" xr:uid="{00000000-0005-0000-0000-0000BF3D0000}"/>
    <cellStyle name="Header 1(middle) 2 2 3 3 2 3" xfId="15807" xr:uid="{00000000-0005-0000-0000-0000C03D0000}"/>
    <cellStyle name="Header 1(middle) 2 2 3 3 2 4" xfId="15808" xr:uid="{00000000-0005-0000-0000-0000C13D0000}"/>
    <cellStyle name="Header 1(middle) 2 2 3 3 3" xfId="15809" xr:uid="{00000000-0005-0000-0000-0000C23D0000}"/>
    <cellStyle name="Header 1(middle) 2 2 3 3 4" xfId="15810" xr:uid="{00000000-0005-0000-0000-0000C33D0000}"/>
    <cellStyle name="Header 1(middle) 2 2 3 3 5" xfId="15811" xr:uid="{00000000-0005-0000-0000-0000C43D0000}"/>
    <cellStyle name="Header 1(middle) 2 2 3 4" xfId="15812" xr:uid="{00000000-0005-0000-0000-0000C53D0000}"/>
    <cellStyle name="Header 1(middle) 2 2 3 4 2" xfId="15813" xr:uid="{00000000-0005-0000-0000-0000C63D0000}"/>
    <cellStyle name="Header 1(middle) 2 2 3 4 3" xfId="15814" xr:uid="{00000000-0005-0000-0000-0000C73D0000}"/>
    <cellStyle name="Header 1(middle) 2 2 3 4 4" xfId="15815" xr:uid="{00000000-0005-0000-0000-0000C83D0000}"/>
    <cellStyle name="Header 1(middle) 2 2 3 5" xfId="15816" xr:uid="{00000000-0005-0000-0000-0000C93D0000}"/>
    <cellStyle name="Header 1(middle) 2 2 3 6" xfId="15817" xr:uid="{00000000-0005-0000-0000-0000CA3D0000}"/>
    <cellStyle name="Header 1(middle) 2 2 3 7" xfId="15818" xr:uid="{00000000-0005-0000-0000-0000CB3D0000}"/>
    <cellStyle name="Header 1(middle) 2 2 3 8" xfId="15819" xr:uid="{00000000-0005-0000-0000-0000CC3D0000}"/>
    <cellStyle name="Header 1(middle) 2 2 3 9" xfId="15820" xr:uid="{00000000-0005-0000-0000-0000CD3D0000}"/>
    <cellStyle name="Header 1(middle) 2 2 4" xfId="15821" xr:uid="{00000000-0005-0000-0000-0000CE3D0000}"/>
    <cellStyle name="Header 1(middle) 2 2 4 2" xfId="15822" xr:uid="{00000000-0005-0000-0000-0000CF3D0000}"/>
    <cellStyle name="Header 1(middle) 2 2 4 2 2" xfId="15823" xr:uid="{00000000-0005-0000-0000-0000D03D0000}"/>
    <cellStyle name="Header 1(middle) 2 2 4 2 3" xfId="15824" xr:uid="{00000000-0005-0000-0000-0000D13D0000}"/>
    <cellStyle name="Header 1(middle) 2 2 4 2 4" xfId="15825" xr:uid="{00000000-0005-0000-0000-0000D23D0000}"/>
    <cellStyle name="Header 1(middle) 2 2 4 3" xfId="15826" xr:uid="{00000000-0005-0000-0000-0000D33D0000}"/>
    <cellStyle name="Header 1(middle) 2 2 4 4" xfId="15827" xr:uid="{00000000-0005-0000-0000-0000D43D0000}"/>
    <cellStyle name="Header 1(middle) 2 2 4 5" xfId="15828" xr:uid="{00000000-0005-0000-0000-0000D53D0000}"/>
    <cellStyle name="Header 1(middle) 2 2 5" xfId="15829" xr:uid="{00000000-0005-0000-0000-0000D63D0000}"/>
    <cellStyle name="Header 1(middle) 2 2 5 2" xfId="15830" xr:uid="{00000000-0005-0000-0000-0000D73D0000}"/>
    <cellStyle name="Header 1(middle) 2 2 5 2 2" xfId="15831" xr:uid="{00000000-0005-0000-0000-0000D83D0000}"/>
    <cellStyle name="Header 1(middle) 2 2 5 2 3" xfId="15832" xr:uid="{00000000-0005-0000-0000-0000D93D0000}"/>
    <cellStyle name="Header 1(middle) 2 2 5 2 4" xfId="15833" xr:uid="{00000000-0005-0000-0000-0000DA3D0000}"/>
    <cellStyle name="Header 1(middle) 2 2 5 3" xfId="15834" xr:uid="{00000000-0005-0000-0000-0000DB3D0000}"/>
    <cellStyle name="Header 1(middle) 2 2 5 4" xfId="15835" xr:uid="{00000000-0005-0000-0000-0000DC3D0000}"/>
    <cellStyle name="Header 1(middle) 2 2 5 5" xfId="15836" xr:uid="{00000000-0005-0000-0000-0000DD3D0000}"/>
    <cellStyle name="Header 1(middle) 2 2 6" xfId="15837" xr:uid="{00000000-0005-0000-0000-0000DE3D0000}"/>
    <cellStyle name="Header 1(middle) 2 2 6 2" xfId="15838" xr:uid="{00000000-0005-0000-0000-0000DF3D0000}"/>
    <cellStyle name="Header 1(middle) 2 2 7" xfId="15839" xr:uid="{00000000-0005-0000-0000-0000E03D0000}"/>
    <cellStyle name="Header 1(middle) 2 2 7 2" xfId="15840" xr:uid="{00000000-0005-0000-0000-0000E13D0000}"/>
    <cellStyle name="Header 1(middle) 2 2 8" xfId="15841" xr:uid="{00000000-0005-0000-0000-0000E23D0000}"/>
    <cellStyle name="Header 1(middle) 2 2 8 2" xfId="15842" xr:uid="{00000000-0005-0000-0000-0000E33D0000}"/>
    <cellStyle name="Header 1(middle) 2 2 9" xfId="15843" xr:uid="{00000000-0005-0000-0000-0000E43D0000}"/>
    <cellStyle name="Header 1(middle) 2 2 9 2" xfId="15844" xr:uid="{00000000-0005-0000-0000-0000E53D0000}"/>
    <cellStyle name="Header 1(middle) 2 3" xfId="15845" xr:uid="{00000000-0005-0000-0000-0000E63D0000}"/>
    <cellStyle name="Header 1(middle) 2 3 10" xfId="15846" xr:uid="{00000000-0005-0000-0000-0000E73D0000}"/>
    <cellStyle name="Header 1(middle) 2 3 10 2" xfId="15847" xr:uid="{00000000-0005-0000-0000-0000E83D0000}"/>
    <cellStyle name="Header 1(middle) 2 3 11" xfId="15848" xr:uid="{00000000-0005-0000-0000-0000E93D0000}"/>
    <cellStyle name="Header 1(middle) 2 3 12" xfId="15849" xr:uid="{00000000-0005-0000-0000-0000EA3D0000}"/>
    <cellStyle name="Header 1(middle) 2 3 13" xfId="15850" xr:uid="{00000000-0005-0000-0000-0000EB3D0000}"/>
    <cellStyle name="Header 1(middle) 2 3 2" xfId="15851" xr:uid="{00000000-0005-0000-0000-0000EC3D0000}"/>
    <cellStyle name="Header 1(middle) 2 3 2 10" xfId="15852" xr:uid="{00000000-0005-0000-0000-0000ED3D0000}"/>
    <cellStyle name="Header 1(middle) 2 3 2 11" xfId="15853" xr:uid="{00000000-0005-0000-0000-0000EE3D0000}"/>
    <cellStyle name="Header 1(middle) 2 3 2 12" xfId="15854" xr:uid="{00000000-0005-0000-0000-0000EF3D0000}"/>
    <cellStyle name="Header 1(middle) 2 3 2 13" xfId="15855" xr:uid="{00000000-0005-0000-0000-0000F03D0000}"/>
    <cellStyle name="Header 1(middle) 2 3 2 14" xfId="15856" xr:uid="{00000000-0005-0000-0000-0000F13D0000}"/>
    <cellStyle name="Header 1(middle) 2 3 2 15" xfId="15857" xr:uid="{00000000-0005-0000-0000-0000F23D0000}"/>
    <cellStyle name="Header 1(middle) 2 3 2 16" xfId="15858" xr:uid="{00000000-0005-0000-0000-0000F33D0000}"/>
    <cellStyle name="Header 1(middle) 2 3 2 17" xfId="15859" xr:uid="{00000000-0005-0000-0000-0000F43D0000}"/>
    <cellStyle name="Header 1(middle) 2 3 2 18" xfId="15860" xr:uid="{00000000-0005-0000-0000-0000F53D0000}"/>
    <cellStyle name="Header 1(middle) 2 3 2 19" xfId="15861" xr:uid="{00000000-0005-0000-0000-0000F63D0000}"/>
    <cellStyle name="Header 1(middle) 2 3 2 2" xfId="15862" xr:uid="{00000000-0005-0000-0000-0000F73D0000}"/>
    <cellStyle name="Header 1(middle) 2 3 2 2 2" xfId="15863" xr:uid="{00000000-0005-0000-0000-0000F83D0000}"/>
    <cellStyle name="Header 1(middle) 2 3 2 2 2 2" xfId="15864" xr:uid="{00000000-0005-0000-0000-0000F93D0000}"/>
    <cellStyle name="Header 1(middle) 2 3 2 2 2 3" xfId="15865" xr:uid="{00000000-0005-0000-0000-0000FA3D0000}"/>
    <cellStyle name="Header 1(middle) 2 3 2 2 2 4" xfId="15866" xr:uid="{00000000-0005-0000-0000-0000FB3D0000}"/>
    <cellStyle name="Header 1(middle) 2 3 2 2 3" xfId="15867" xr:uid="{00000000-0005-0000-0000-0000FC3D0000}"/>
    <cellStyle name="Header 1(middle) 2 3 2 2 3 2" xfId="15868" xr:uid="{00000000-0005-0000-0000-0000FD3D0000}"/>
    <cellStyle name="Header 1(middle) 2 3 2 2 3 3" xfId="15869" xr:uid="{00000000-0005-0000-0000-0000FE3D0000}"/>
    <cellStyle name="Header 1(middle) 2 3 2 2 3 4" xfId="15870" xr:uid="{00000000-0005-0000-0000-0000FF3D0000}"/>
    <cellStyle name="Header 1(middle) 2 3 2 2 4" xfId="15871" xr:uid="{00000000-0005-0000-0000-0000003E0000}"/>
    <cellStyle name="Header 1(middle) 2 3 2 2 5" xfId="15872" xr:uid="{00000000-0005-0000-0000-0000013E0000}"/>
    <cellStyle name="Header 1(middle) 2 3 2 2 6" xfId="15873" xr:uid="{00000000-0005-0000-0000-0000023E0000}"/>
    <cellStyle name="Header 1(middle) 2 3 2 20" xfId="15874" xr:uid="{00000000-0005-0000-0000-0000033E0000}"/>
    <cellStyle name="Header 1(middle) 2 3 2 3" xfId="15875" xr:uid="{00000000-0005-0000-0000-0000043E0000}"/>
    <cellStyle name="Header 1(middle) 2 3 2 3 2" xfId="15876" xr:uid="{00000000-0005-0000-0000-0000053E0000}"/>
    <cellStyle name="Header 1(middle) 2 3 2 3 2 2" xfId="15877" xr:uid="{00000000-0005-0000-0000-0000063E0000}"/>
    <cellStyle name="Header 1(middle) 2 3 2 3 2 3" xfId="15878" xr:uid="{00000000-0005-0000-0000-0000073E0000}"/>
    <cellStyle name="Header 1(middle) 2 3 2 3 2 4" xfId="15879" xr:uid="{00000000-0005-0000-0000-0000083E0000}"/>
    <cellStyle name="Header 1(middle) 2 3 2 3 3" xfId="15880" xr:uid="{00000000-0005-0000-0000-0000093E0000}"/>
    <cellStyle name="Header 1(middle) 2 3 2 3 4" xfId="15881" xr:uid="{00000000-0005-0000-0000-00000A3E0000}"/>
    <cellStyle name="Header 1(middle) 2 3 2 3 5" xfId="15882" xr:uid="{00000000-0005-0000-0000-00000B3E0000}"/>
    <cellStyle name="Header 1(middle) 2 3 2 4" xfId="15883" xr:uid="{00000000-0005-0000-0000-00000C3E0000}"/>
    <cellStyle name="Header 1(middle) 2 3 2 4 2" xfId="15884" xr:uid="{00000000-0005-0000-0000-00000D3E0000}"/>
    <cellStyle name="Header 1(middle) 2 3 2 4 3" xfId="15885" xr:uid="{00000000-0005-0000-0000-00000E3E0000}"/>
    <cellStyle name="Header 1(middle) 2 3 2 4 4" xfId="15886" xr:uid="{00000000-0005-0000-0000-00000F3E0000}"/>
    <cellStyle name="Header 1(middle) 2 3 2 5" xfId="15887" xr:uid="{00000000-0005-0000-0000-0000103E0000}"/>
    <cellStyle name="Header 1(middle) 2 3 2 6" xfId="15888" xr:uid="{00000000-0005-0000-0000-0000113E0000}"/>
    <cellStyle name="Header 1(middle) 2 3 2 7" xfId="15889" xr:uid="{00000000-0005-0000-0000-0000123E0000}"/>
    <cellStyle name="Header 1(middle) 2 3 2 8" xfId="15890" xr:uid="{00000000-0005-0000-0000-0000133E0000}"/>
    <cellStyle name="Header 1(middle) 2 3 2 9" xfId="15891" xr:uid="{00000000-0005-0000-0000-0000143E0000}"/>
    <cellStyle name="Header 1(middle) 2 3 3" xfId="15892" xr:uid="{00000000-0005-0000-0000-0000153E0000}"/>
    <cellStyle name="Header 1(middle) 2 3 3 2" xfId="15893" xr:uid="{00000000-0005-0000-0000-0000163E0000}"/>
    <cellStyle name="Header 1(middle) 2 3 3 2 2" xfId="15894" xr:uid="{00000000-0005-0000-0000-0000173E0000}"/>
    <cellStyle name="Header 1(middle) 2 3 3 2 3" xfId="15895" xr:uid="{00000000-0005-0000-0000-0000183E0000}"/>
    <cellStyle name="Header 1(middle) 2 3 3 2 4" xfId="15896" xr:uid="{00000000-0005-0000-0000-0000193E0000}"/>
    <cellStyle name="Header 1(middle) 2 3 3 3" xfId="15897" xr:uid="{00000000-0005-0000-0000-00001A3E0000}"/>
    <cellStyle name="Header 1(middle) 2 3 3 4" xfId="15898" xr:uid="{00000000-0005-0000-0000-00001B3E0000}"/>
    <cellStyle name="Header 1(middle) 2 3 3 5" xfId="15899" xr:uid="{00000000-0005-0000-0000-00001C3E0000}"/>
    <cellStyle name="Header 1(middle) 2 3 4" xfId="15900" xr:uid="{00000000-0005-0000-0000-00001D3E0000}"/>
    <cellStyle name="Header 1(middle) 2 3 4 2" xfId="15901" xr:uid="{00000000-0005-0000-0000-00001E3E0000}"/>
    <cellStyle name="Header 1(middle) 2 3 4 2 2" xfId="15902" xr:uid="{00000000-0005-0000-0000-00001F3E0000}"/>
    <cellStyle name="Header 1(middle) 2 3 4 2 3" xfId="15903" xr:uid="{00000000-0005-0000-0000-0000203E0000}"/>
    <cellStyle name="Header 1(middle) 2 3 4 2 4" xfId="15904" xr:uid="{00000000-0005-0000-0000-0000213E0000}"/>
    <cellStyle name="Header 1(middle) 2 3 4 3" xfId="15905" xr:uid="{00000000-0005-0000-0000-0000223E0000}"/>
    <cellStyle name="Header 1(middle) 2 3 4 4" xfId="15906" xr:uid="{00000000-0005-0000-0000-0000233E0000}"/>
    <cellStyle name="Header 1(middle) 2 3 4 5" xfId="15907" xr:uid="{00000000-0005-0000-0000-0000243E0000}"/>
    <cellStyle name="Header 1(middle) 2 3 5" xfId="15908" xr:uid="{00000000-0005-0000-0000-0000253E0000}"/>
    <cellStyle name="Header 1(middle) 2 3 5 2" xfId="15909" xr:uid="{00000000-0005-0000-0000-0000263E0000}"/>
    <cellStyle name="Header 1(middle) 2 3 6" xfId="15910" xr:uid="{00000000-0005-0000-0000-0000273E0000}"/>
    <cellStyle name="Header 1(middle) 2 3 6 2" xfId="15911" xr:uid="{00000000-0005-0000-0000-0000283E0000}"/>
    <cellStyle name="Header 1(middle) 2 3 7" xfId="15912" xr:uid="{00000000-0005-0000-0000-0000293E0000}"/>
    <cellStyle name="Header 1(middle) 2 3 7 2" xfId="15913" xr:uid="{00000000-0005-0000-0000-00002A3E0000}"/>
    <cellStyle name="Header 1(middle) 2 3 8" xfId="15914" xr:uid="{00000000-0005-0000-0000-00002B3E0000}"/>
    <cellStyle name="Header 1(middle) 2 3 8 2" xfId="15915" xr:uid="{00000000-0005-0000-0000-00002C3E0000}"/>
    <cellStyle name="Header 1(middle) 2 3 9" xfId="15916" xr:uid="{00000000-0005-0000-0000-00002D3E0000}"/>
    <cellStyle name="Header 1(middle) 2 3 9 2" xfId="15917" xr:uid="{00000000-0005-0000-0000-00002E3E0000}"/>
    <cellStyle name="Header 1(middle) 2 4" xfId="15918" xr:uid="{00000000-0005-0000-0000-00002F3E0000}"/>
    <cellStyle name="Header 1(middle) 2 4 10" xfId="15919" xr:uid="{00000000-0005-0000-0000-0000303E0000}"/>
    <cellStyle name="Header 1(middle) 2 4 11" xfId="15920" xr:uid="{00000000-0005-0000-0000-0000313E0000}"/>
    <cellStyle name="Header 1(middle) 2 4 12" xfId="15921" xr:uid="{00000000-0005-0000-0000-0000323E0000}"/>
    <cellStyle name="Header 1(middle) 2 4 13" xfId="15922" xr:uid="{00000000-0005-0000-0000-0000333E0000}"/>
    <cellStyle name="Header 1(middle) 2 4 14" xfId="15923" xr:uid="{00000000-0005-0000-0000-0000343E0000}"/>
    <cellStyle name="Header 1(middle) 2 4 15" xfId="15924" xr:uid="{00000000-0005-0000-0000-0000353E0000}"/>
    <cellStyle name="Header 1(middle) 2 4 16" xfId="15925" xr:uid="{00000000-0005-0000-0000-0000363E0000}"/>
    <cellStyle name="Header 1(middle) 2 4 17" xfId="15926" xr:uid="{00000000-0005-0000-0000-0000373E0000}"/>
    <cellStyle name="Header 1(middle) 2 4 18" xfId="15927" xr:uid="{00000000-0005-0000-0000-0000383E0000}"/>
    <cellStyle name="Header 1(middle) 2 4 19" xfId="15928" xr:uid="{00000000-0005-0000-0000-0000393E0000}"/>
    <cellStyle name="Header 1(middle) 2 4 2" xfId="15929" xr:uid="{00000000-0005-0000-0000-00003A3E0000}"/>
    <cellStyle name="Header 1(middle) 2 4 2 2" xfId="15930" xr:uid="{00000000-0005-0000-0000-00003B3E0000}"/>
    <cellStyle name="Header 1(middle) 2 4 2 2 2" xfId="15931" xr:uid="{00000000-0005-0000-0000-00003C3E0000}"/>
    <cellStyle name="Header 1(middle) 2 4 2 2 3" xfId="15932" xr:uid="{00000000-0005-0000-0000-00003D3E0000}"/>
    <cellStyle name="Header 1(middle) 2 4 2 2 4" xfId="15933" xr:uid="{00000000-0005-0000-0000-00003E3E0000}"/>
    <cellStyle name="Header 1(middle) 2 4 2 3" xfId="15934" xr:uid="{00000000-0005-0000-0000-00003F3E0000}"/>
    <cellStyle name="Header 1(middle) 2 4 2 3 2" xfId="15935" xr:uid="{00000000-0005-0000-0000-0000403E0000}"/>
    <cellStyle name="Header 1(middle) 2 4 2 3 3" xfId="15936" xr:uid="{00000000-0005-0000-0000-0000413E0000}"/>
    <cellStyle name="Header 1(middle) 2 4 2 3 4" xfId="15937" xr:uid="{00000000-0005-0000-0000-0000423E0000}"/>
    <cellStyle name="Header 1(middle) 2 4 2 4" xfId="15938" xr:uid="{00000000-0005-0000-0000-0000433E0000}"/>
    <cellStyle name="Header 1(middle) 2 4 2 5" xfId="15939" xr:uid="{00000000-0005-0000-0000-0000443E0000}"/>
    <cellStyle name="Header 1(middle) 2 4 2 6" xfId="15940" xr:uid="{00000000-0005-0000-0000-0000453E0000}"/>
    <cellStyle name="Header 1(middle) 2 4 20" xfId="15941" xr:uid="{00000000-0005-0000-0000-0000463E0000}"/>
    <cellStyle name="Header 1(middle) 2 4 3" xfId="15942" xr:uid="{00000000-0005-0000-0000-0000473E0000}"/>
    <cellStyle name="Header 1(middle) 2 4 3 2" xfId="15943" xr:uid="{00000000-0005-0000-0000-0000483E0000}"/>
    <cellStyle name="Header 1(middle) 2 4 3 2 2" xfId="15944" xr:uid="{00000000-0005-0000-0000-0000493E0000}"/>
    <cellStyle name="Header 1(middle) 2 4 3 2 3" xfId="15945" xr:uid="{00000000-0005-0000-0000-00004A3E0000}"/>
    <cellStyle name="Header 1(middle) 2 4 3 2 4" xfId="15946" xr:uid="{00000000-0005-0000-0000-00004B3E0000}"/>
    <cellStyle name="Header 1(middle) 2 4 3 3" xfId="15947" xr:uid="{00000000-0005-0000-0000-00004C3E0000}"/>
    <cellStyle name="Header 1(middle) 2 4 3 4" xfId="15948" xr:uid="{00000000-0005-0000-0000-00004D3E0000}"/>
    <cellStyle name="Header 1(middle) 2 4 3 5" xfId="15949" xr:uid="{00000000-0005-0000-0000-00004E3E0000}"/>
    <cellStyle name="Header 1(middle) 2 4 4" xfId="15950" xr:uid="{00000000-0005-0000-0000-00004F3E0000}"/>
    <cellStyle name="Header 1(middle) 2 4 4 2" xfId="15951" xr:uid="{00000000-0005-0000-0000-0000503E0000}"/>
    <cellStyle name="Header 1(middle) 2 4 4 3" xfId="15952" xr:uid="{00000000-0005-0000-0000-0000513E0000}"/>
    <cellStyle name="Header 1(middle) 2 4 4 4" xfId="15953" xr:uid="{00000000-0005-0000-0000-0000523E0000}"/>
    <cellStyle name="Header 1(middle) 2 4 5" xfId="15954" xr:uid="{00000000-0005-0000-0000-0000533E0000}"/>
    <cellStyle name="Header 1(middle) 2 4 6" xfId="15955" xr:uid="{00000000-0005-0000-0000-0000543E0000}"/>
    <cellStyle name="Header 1(middle) 2 4 7" xfId="15956" xr:uid="{00000000-0005-0000-0000-0000553E0000}"/>
    <cellStyle name="Header 1(middle) 2 4 8" xfId="15957" xr:uid="{00000000-0005-0000-0000-0000563E0000}"/>
    <cellStyle name="Header 1(middle) 2 4 9" xfId="15958" xr:uid="{00000000-0005-0000-0000-0000573E0000}"/>
    <cellStyle name="Header 1(middle) 2 5" xfId="15959" xr:uid="{00000000-0005-0000-0000-0000583E0000}"/>
    <cellStyle name="Header 1(middle) 2 5 2" xfId="15960" xr:uid="{00000000-0005-0000-0000-0000593E0000}"/>
    <cellStyle name="Header 1(middle) 2 5 2 2" xfId="15961" xr:uid="{00000000-0005-0000-0000-00005A3E0000}"/>
    <cellStyle name="Header 1(middle) 2 5 2 3" xfId="15962" xr:uid="{00000000-0005-0000-0000-00005B3E0000}"/>
    <cellStyle name="Header 1(middle) 2 5 2 4" xfId="15963" xr:uid="{00000000-0005-0000-0000-00005C3E0000}"/>
    <cellStyle name="Header 1(middle) 2 5 3" xfId="15964" xr:uid="{00000000-0005-0000-0000-00005D3E0000}"/>
    <cellStyle name="Header 1(middle) 2 5 4" xfId="15965" xr:uid="{00000000-0005-0000-0000-00005E3E0000}"/>
    <cellStyle name="Header 1(middle) 2 5 5" xfId="15966" xr:uid="{00000000-0005-0000-0000-00005F3E0000}"/>
    <cellStyle name="Header 1(middle) 2 6" xfId="15967" xr:uid="{00000000-0005-0000-0000-0000603E0000}"/>
    <cellStyle name="Header 1(middle) 2 6 2" xfId="15968" xr:uid="{00000000-0005-0000-0000-0000613E0000}"/>
    <cellStyle name="Header 1(middle) 2 6 2 2" xfId="15969" xr:uid="{00000000-0005-0000-0000-0000623E0000}"/>
    <cellStyle name="Header 1(middle) 2 6 2 3" xfId="15970" xr:uid="{00000000-0005-0000-0000-0000633E0000}"/>
    <cellStyle name="Header 1(middle) 2 6 2 4" xfId="15971" xr:uid="{00000000-0005-0000-0000-0000643E0000}"/>
    <cellStyle name="Header 1(middle) 2 6 3" xfId="15972" xr:uid="{00000000-0005-0000-0000-0000653E0000}"/>
    <cellStyle name="Header 1(middle) 2 6 4" xfId="15973" xr:uid="{00000000-0005-0000-0000-0000663E0000}"/>
    <cellStyle name="Header 1(middle) 2 6 5" xfId="15974" xr:uid="{00000000-0005-0000-0000-0000673E0000}"/>
    <cellStyle name="Header 1(middle) 2 7" xfId="15975" xr:uid="{00000000-0005-0000-0000-0000683E0000}"/>
    <cellStyle name="Header 1(middle) 2 7 2" xfId="15976" xr:uid="{00000000-0005-0000-0000-0000693E0000}"/>
    <cellStyle name="Header 1(middle) 2 8" xfId="15977" xr:uid="{00000000-0005-0000-0000-00006A3E0000}"/>
    <cellStyle name="Header 1(middle) 2 8 2" xfId="15978" xr:uid="{00000000-0005-0000-0000-00006B3E0000}"/>
    <cellStyle name="Header 1(middle) 2 9" xfId="15979" xr:uid="{00000000-0005-0000-0000-00006C3E0000}"/>
    <cellStyle name="Header 1(middle) 2 9 2" xfId="15980" xr:uid="{00000000-0005-0000-0000-00006D3E0000}"/>
    <cellStyle name="Header 1(middle) 20" xfId="15981" xr:uid="{00000000-0005-0000-0000-00006E3E0000}"/>
    <cellStyle name="Header 1(middle) 3" xfId="15982" xr:uid="{00000000-0005-0000-0000-00006F3E0000}"/>
    <cellStyle name="Header 1(middle) 3 10" xfId="15983" xr:uid="{00000000-0005-0000-0000-0000703E0000}"/>
    <cellStyle name="Header 1(middle) 3 10 2" xfId="15984" xr:uid="{00000000-0005-0000-0000-0000713E0000}"/>
    <cellStyle name="Header 1(middle) 3 11" xfId="15985" xr:uid="{00000000-0005-0000-0000-0000723E0000}"/>
    <cellStyle name="Header 1(middle) 3 11 2" xfId="15986" xr:uid="{00000000-0005-0000-0000-0000733E0000}"/>
    <cellStyle name="Header 1(middle) 3 12" xfId="15987" xr:uid="{00000000-0005-0000-0000-0000743E0000}"/>
    <cellStyle name="Header 1(middle) 3 13" xfId="15988" xr:uid="{00000000-0005-0000-0000-0000753E0000}"/>
    <cellStyle name="Header 1(middle) 3 14" xfId="15989" xr:uid="{00000000-0005-0000-0000-0000763E0000}"/>
    <cellStyle name="Header 1(middle) 3 2" xfId="15990" xr:uid="{00000000-0005-0000-0000-0000773E0000}"/>
    <cellStyle name="Header 1(middle) 3 2 10" xfId="15991" xr:uid="{00000000-0005-0000-0000-0000783E0000}"/>
    <cellStyle name="Header 1(middle) 3 2 10 2" xfId="15992" xr:uid="{00000000-0005-0000-0000-0000793E0000}"/>
    <cellStyle name="Header 1(middle) 3 2 11" xfId="15993" xr:uid="{00000000-0005-0000-0000-00007A3E0000}"/>
    <cellStyle name="Header 1(middle) 3 2 12" xfId="15994" xr:uid="{00000000-0005-0000-0000-00007B3E0000}"/>
    <cellStyle name="Header 1(middle) 3 2 13" xfId="15995" xr:uid="{00000000-0005-0000-0000-00007C3E0000}"/>
    <cellStyle name="Header 1(middle) 3 2 2" xfId="15996" xr:uid="{00000000-0005-0000-0000-00007D3E0000}"/>
    <cellStyle name="Header 1(middle) 3 2 2 10" xfId="15997" xr:uid="{00000000-0005-0000-0000-00007E3E0000}"/>
    <cellStyle name="Header 1(middle) 3 2 2 11" xfId="15998" xr:uid="{00000000-0005-0000-0000-00007F3E0000}"/>
    <cellStyle name="Header 1(middle) 3 2 2 12" xfId="15999" xr:uid="{00000000-0005-0000-0000-0000803E0000}"/>
    <cellStyle name="Header 1(middle) 3 2 2 13" xfId="16000" xr:uid="{00000000-0005-0000-0000-0000813E0000}"/>
    <cellStyle name="Header 1(middle) 3 2 2 14" xfId="16001" xr:uid="{00000000-0005-0000-0000-0000823E0000}"/>
    <cellStyle name="Header 1(middle) 3 2 2 15" xfId="16002" xr:uid="{00000000-0005-0000-0000-0000833E0000}"/>
    <cellStyle name="Header 1(middle) 3 2 2 16" xfId="16003" xr:uid="{00000000-0005-0000-0000-0000843E0000}"/>
    <cellStyle name="Header 1(middle) 3 2 2 17" xfId="16004" xr:uid="{00000000-0005-0000-0000-0000853E0000}"/>
    <cellStyle name="Header 1(middle) 3 2 2 18" xfId="16005" xr:uid="{00000000-0005-0000-0000-0000863E0000}"/>
    <cellStyle name="Header 1(middle) 3 2 2 19" xfId="16006" xr:uid="{00000000-0005-0000-0000-0000873E0000}"/>
    <cellStyle name="Header 1(middle) 3 2 2 2" xfId="16007" xr:uid="{00000000-0005-0000-0000-0000883E0000}"/>
    <cellStyle name="Header 1(middle) 3 2 2 2 2" xfId="16008" xr:uid="{00000000-0005-0000-0000-0000893E0000}"/>
    <cellStyle name="Header 1(middle) 3 2 2 2 2 2" xfId="16009" xr:uid="{00000000-0005-0000-0000-00008A3E0000}"/>
    <cellStyle name="Header 1(middle) 3 2 2 2 2 3" xfId="16010" xr:uid="{00000000-0005-0000-0000-00008B3E0000}"/>
    <cellStyle name="Header 1(middle) 3 2 2 2 2 4" xfId="16011" xr:uid="{00000000-0005-0000-0000-00008C3E0000}"/>
    <cellStyle name="Header 1(middle) 3 2 2 2 3" xfId="16012" xr:uid="{00000000-0005-0000-0000-00008D3E0000}"/>
    <cellStyle name="Header 1(middle) 3 2 2 2 3 2" xfId="16013" xr:uid="{00000000-0005-0000-0000-00008E3E0000}"/>
    <cellStyle name="Header 1(middle) 3 2 2 2 3 3" xfId="16014" xr:uid="{00000000-0005-0000-0000-00008F3E0000}"/>
    <cellStyle name="Header 1(middle) 3 2 2 2 3 4" xfId="16015" xr:uid="{00000000-0005-0000-0000-0000903E0000}"/>
    <cellStyle name="Header 1(middle) 3 2 2 2 4" xfId="16016" xr:uid="{00000000-0005-0000-0000-0000913E0000}"/>
    <cellStyle name="Header 1(middle) 3 2 2 2 5" xfId="16017" xr:uid="{00000000-0005-0000-0000-0000923E0000}"/>
    <cellStyle name="Header 1(middle) 3 2 2 2 6" xfId="16018" xr:uid="{00000000-0005-0000-0000-0000933E0000}"/>
    <cellStyle name="Header 1(middle) 3 2 2 20" xfId="16019" xr:uid="{00000000-0005-0000-0000-0000943E0000}"/>
    <cellStyle name="Header 1(middle) 3 2 2 3" xfId="16020" xr:uid="{00000000-0005-0000-0000-0000953E0000}"/>
    <cellStyle name="Header 1(middle) 3 2 2 3 2" xfId="16021" xr:uid="{00000000-0005-0000-0000-0000963E0000}"/>
    <cellStyle name="Header 1(middle) 3 2 2 3 2 2" xfId="16022" xr:uid="{00000000-0005-0000-0000-0000973E0000}"/>
    <cellStyle name="Header 1(middle) 3 2 2 3 2 3" xfId="16023" xr:uid="{00000000-0005-0000-0000-0000983E0000}"/>
    <cellStyle name="Header 1(middle) 3 2 2 3 2 4" xfId="16024" xr:uid="{00000000-0005-0000-0000-0000993E0000}"/>
    <cellStyle name="Header 1(middle) 3 2 2 3 3" xfId="16025" xr:uid="{00000000-0005-0000-0000-00009A3E0000}"/>
    <cellStyle name="Header 1(middle) 3 2 2 3 4" xfId="16026" xr:uid="{00000000-0005-0000-0000-00009B3E0000}"/>
    <cellStyle name="Header 1(middle) 3 2 2 3 5" xfId="16027" xr:uid="{00000000-0005-0000-0000-00009C3E0000}"/>
    <cellStyle name="Header 1(middle) 3 2 2 4" xfId="16028" xr:uid="{00000000-0005-0000-0000-00009D3E0000}"/>
    <cellStyle name="Header 1(middle) 3 2 2 4 2" xfId="16029" xr:uid="{00000000-0005-0000-0000-00009E3E0000}"/>
    <cellStyle name="Header 1(middle) 3 2 2 4 3" xfId="16030" xr:uid="{00000000-0005-0000-0000-00009F3E0000}"/>
    <cellStyle name="Header 1(middle) 3 2 2 4 4" xfId="16031" xr:uid="{00000000-0005-0000-0000-0000A03E0000}"/>
    <cellStyle name="Header 1(middle) 3 2 2 5" xfId="16032" xr:uid="{00000000-0005-0000-0000-0000A13E0000}"/>
    <cellStyle name="Header 1(middle) 3 2 2 6" xfId="16033" xr:uid="{00000000-0005-0000-0000-0000A23E0000}"/>
    <cellStyle name="Header 1(middle) 3 2 2 7" xfId="16034" xr:uid="{00000000-0005-0000-0000-0000A33E0000}"/>
    <cellStyle name="Header 1(middle) 3 2 2 8" xfId="16035" xr:uid="{00000000-0005-0000-0000-0000A43E0000}"/>
    <cellStyle name="Header 1(middle) 3 2 2 9" xfId="16036" xr:uid="{00000000-0005-0000-0000-0000A53E0000}"/>
    <cellStyle name="Header 1(middle) 3 2 3" xfId="16037" xr:uid="{00000000-0005-0000-0000-0000A63E0000}"/>
    <cellStyle name="Header 1(middle) 3 2 3 2" xfId="16038" xr:uid="{00000000-0005-0000-0000-0000A73E0000}"/>
    <cellStyle name="Header 1(middle) 3 2 3 2 2" xfId="16039" xr:uid="{00000000-0005-0000-0000-0000A83E0000}"/>
    <cellStyle name="Header 1(middle) 3 2 3 2 3" xfId="16040" xr:uid="{00000000-0005-0000-0000-0000A93E0000}"/>
    <cellStyle name="Header 1(middle) 3 2 3 2 4" xfId="16041" xr:uid="{00000000-0005-0000-0000-0000AA3E0000}"/>
    <cellStyle name="Header 1(middle) 3 2 3 3" xfId="16042" xr:uid="{00000000-0005-0000-0000-0000AB3E0000}"/>
    <cellStyle name="Header 1(middle) 3 2 3 4" xfId="16043" xr:uid="{00000000-0005-0000-0000-0000AC3E0000}"/>
    <cellStyle name="Header 1(middle) 3 2 3 5" xfId="16044" xr:uid="{00000000-0005-0000-0000-0000AD3E0000}"/>
    <cellStyle name="Header 1(middle) 3 2 4" xfId="16045" xr:uid="{00000000-0005-0000-0000-0000AE3E0000}"/>
    <cellStyle name="Header 1(middle) 3 2 4 2" xfId="16046" xr:uid="{00000000-0005-0000-0000-0000AF3E0000}"/>
    <cellStyle name="Header 1(middle) 3 2 4 2 2" xfId="16047" xr:uid="{00000000-0005-0000-0000-0000B03E0000}"/>
    <cellStyle name="Header 1(middle) 3 2 4 2 3" xfId="16048" xr:uid="{00000000-0005-0000-0000-0000B13E0000}"/>
    <cellStyle name="Header 1(middle) 3 2 4 2 4" xfId="16049" xr:uid="{00000000-0005-0000-0000-0000B23E0000}"/>
    <cellStyle name="Header 1(middle) 3 2 4 3" xfId="16050" xr:uid="{00000000-0005-0000-0000-0000B33E0000}"/>
    <cellStyle name="Header 1(middle) 3 2 4 4" xfId="16051" xr:uid="{00000000-0005-0000-0000-0000B43E0000}"/>
    <cellStyle name="Header 1(middle) 3 2 4 5" xfId="16052" xr:uid="{00000000-0005-0000-0000-0000B53E0000}"/>
    <cellStyle name="Header 1(middle) 3 2 5" xfId="16053" xr:uid="{00000000-0005-0000-0000-0000B63E0000}"/>
    <cellStyle name="Header 1(middle) 3 2 5 2" xfId="16054" xr:uid="{00000000-0005-0000-0000-0000B73E0000}"/>
    <cellStyle name="Header 1(middle) 3 2 6" xfId="16055" xr:uid="{00000000-0005-0000-0000-0000B83E0000}"/>
    <cellStyle name="Header 1(middle) 3 2 6 2" xfId="16056" xr:uid="{00000000-0005-0000-0000-0000B93E0000}"/>
    <cellStyle name="Header 1(middle) 3 2 7" xfId="16057" xr:uid="{00000000-0005-0000-0000-0000BA3E0000}"/>
    <cellStyle name="Header 1(middle) 3 2 7 2" xfId="16058" xr:uid="{00000000-0005-0000-0000-0000BB3E0000}"/>
    <cellStyle name="Header 1(middle) 3 2 8" xfId="16059" xr:uid="{00000000-0005-0000-0000-0000BC3E0000}"/>
    <cellStyle name="Header 1(middle) 3 2 8 2" xfId="16060" xr:uid="{00000000-0005-0000-0000-0000BD3E0000}"/>
    <cellStyle name="Header 1(middle) 3 2 9" xfId="16061" xr:uid="{00000000-0005-0000-0000-0000BE3E0000}"/>
    <cellStyle name="Header 1(middle) 3 2 9 2" xfId="16062" xr:uid="{00000000-0005-0000-0000-0000BF3E0000}"/>
    <cellStyle name="Header 1(middle) 3 3" xfId="16063" xr:uid="{00000000-0005-0000-0000-0000C03E0000}"/>
    <cellStyle name="Header 1(middle) 3 3 10" xfId="16064" xr:uid="{00000000-0005-0000-0000-0000C13E0000}"/>
    <cellStyle name="Header 1(middle) 3 3 11" xfId="16065" xr:uid="{00000000-0005-0000-0000-0000C23E0000}"/>
    <cellStyle name="Header 1(middle) 3 3 12" xfId="16066" xr:uid="{00000000-0005-0000-0000-0000C33E0000}"/>
    <cellStyle name="Header 1(middle) 3 3 13" xfId="16067" xr:uid="{00000000-0005-0000-0000-0000C43E0000}"/>
    <cellStyle name="Header 1(middle) 3 3 14" xfId="16068" xr:uid="{00000000-0005-0000-0000-0000C53E0000}"/>
    <cellStyle name="Header 1(middle) 3 3 15" xfId="16069" xr:uid="{00000000-0005-0000-0000-0000C63E0000}"/>
    <cellStyle name="Header 1(middle) 3 3 16" xfId="16070" xr:uid="{00000000-0005-0000-0000-0000C73E0000}"/>
    <cellStyle name="Header 1(middle) 3 3 17" xfId="16071" xr:uid="{00000000-0005-0000-0000-0000C83E0000}"/>
    <cellStyle name="Header 1(middle) 3 3 18" xfId="16072" xr:uid="{00000000-0005-0000-0000-0000C93E0000}"/>
    <cellStyle name="Header 1(middle) 3 3 19" xfId="16073" xr:uid="{00000000-0005-0000-0000-0000CA3E0000}"/>
    <cellStyle name="Header 1(middle) 3 3 2" xfId="16074" xr:uid="{00000000-0005-0000-0000-0000CB3E0000}"/>
    <cellStyle name="Header 1(middle) 3 3 2 2" xfId="16075" xr:uid="{00000000-0005-0000-0000-0000CC3E0000}"/>
    <cellStyle name="Header 1(middle) 3 3 2 2 2" xfId="16076" xr:uid="{00000000-0005-0000-0000-0000CD3E0000}"/>
    <cellStyle name="Header 1(middle) 3 3 2 2 3" xfId="16077" xr:uid="{00000000-0005-0000-0000-0000CE3E0000}"/>
    <cellStyle name="Header 1(middle) 3 3 2 2 4" xfId="16078" xr:uid="{00000000-0005-0000-0000-0000CF3E0000}"/>
    <cellStyle name="Header 1(middle) 3 3 2 3" xfId="16079" xr:uid="{00000000-0005-0000-0000-0000D03E0000}"/>
    <cellStyle name="Header 1(middle) 3 3 2 3 2" xfId="16080" xr:uid="{00000000-0005-0000-0000-0000D13E0000}"/>
    <cellStyle name="Header 1(middle) 3 3 2 3 3" xfId="16081" xr:uid="{00000000-0005-0000-0000-0000D23E0000}"/>
    <cellStyle name="Header 1(middle) 3 3 2 3 4" xfId="16082" xr:uid="{00000000-0005-0000-0000-0000D33E0000}"/>
    <cellStyle name="Header 1(middle) 3 3 2 4" xfId="16083" xr:uid="{00000000-0005-0000-0000-0000D43E0000}"/>
    <cellStyle name="Header 1(middle) 3 3 2 5" xfId="16084" xr:uid="{00000000-0005-0000-0000-0000D53E0000}"/>
    <cellStyle name="Header 1(middle) 3 3 2 6" xfId="16085" xr:uid="{00000000-0005-0000-0000-0000D63E0000}"/>
    <cellStyle name="Header 1(middle) 3 3 20" xfId="16086" xr:uid="{00000000-0005-0000-0000-0000D73E0000}"/>
    <cellStyle name="Header 1(middle) 3 3 3" xfId="16087" xr:uid="{00000000-0005-0000-0000-0000D83E0000}"/>
    <cellStyle name="Header 1(middle) 3 3 3 2" xfId="16088" xr:uid="{00000000-0005-0000-0000-0000D93E0000}"/>
    <cellStyle name="Header 1(middle) 3 3 3 2 2" xfId="16089" xr:uid="{00000000-0005-0000-0000-0000DA3E0000}"/>
    <cellStyle name="Header 1(middle) 3 3 3 2 3" xfId="16090" xr:uid="{00000000-0005-0000-0000-0000DB3E0000}"/>
    <cellStyle name="Header 1(middle) 3 3 3 2 4" xfId="16091" xr:uid="{00000000-0005-0000-0000-0000DC3E0000}"/>
    <cellStyle name="Header 1(middle) 3 3 3 3" xfId="16092" xr:uid="{00000000-0005-0000-0000-0000DD3E0000}"/>
    <cellStyle name="Header 1(middle) 3 3 3 4" xfId="16093" xr:uid="{00000000-0005-0000-0000-0000DE3E0000}"/>
    <cellStyle name="Header 1(middle) 3 3 3 5" xfId="16094" xr:uid="{00000000-0005-0000-0000-0000DF3E0000}"/>
    <cellStyle name="Header 1(middle) 3 3 4" xfId="16095" xr:uid="{00000000-0005-0000-0000-0000E03E0000}"/>
    <cellStyle name="Header 1(middle) 3 3 4 2" xfId="16096" xr:uid="{00000000-0005-0000-0000-0000E13E0000}"/>
    <cellStyle name="Header 1(middle) 3 3 4 3" xfId="16097" xr:uid="{00000000-0005-0000-0000-0000E23E0000}"/>
    <cellStyle name="Header 1(middle) 3 3 4 4" xfId="16098" xr:uid="{00000000-0005-0000-0000-0000E33E0000}"/>
    <cellStyle name="Header 1(middle) 3 3 5" xfId="16099" xr:uid="{00000000-0005-0000-0000-0000E43E0000}"/>
    <cellStyle name="Header 1(middle) 3 3 6" xfId="16100" xr:uid="{00000000-0005-0000-0000-0000E53E0000}"/>
    <cellStyle name="Header 1(middle) 3 3 7" xfId="16101" xr:uid="{00000000-0005-0000-0000-0000E63E0000}"/>
    <cellStyle name="Header 1(middle) 3 3 8" xfId="16102" xr:uid="{00000000-0005-0000-0000-0000E73E0000}"/>
    <cellStyle name="Header 1(middle) 3 3 9" xfId="16103" xr:uid="{00000000-0005-0000-0000-0000E83E0000}"/>
    <cellStyle name="Header 1(middle) 3 4" xfId="16104" xr:uid="{00000000-0005-0000-0000-0000E93E0000}"/>
    <cellStyle name="Header 1(middle) 3 4 2" xfId="16105" xr:uid="{00000000-0005-0000-0000-0000EA3E0000}"/>
    <cellStyle name="Header 1(middle) 3 4 2 2" xfId="16106" xr:uid="{00000000-0005-0000-0000-0000EB3E0000}"/>
    <cellStyle name="Header 1(middle) 3 4 2 3" xfId="16107" xr:uid="{00000000-0005-0000-0000-0000EC3E0000}"/>
    <cellStyle name="Header 1(middle) 3 4 2 4" xfId="16108" xr:uid="{00000000-0005-0000-0000-0000ED3E0000}"/>
    <cellStyle name="Header 1(middle) 3 4 3" xfId="16109" xr:uid="{00000000-0005-0000-0000-0000EE3E0000}"/>
    <cellStyle name="Header 1(middle) 3 4 4" xfId="16110" xr:uid="{00000000-0005-0000-0000-0000EF3E0000}"/>
    <cellStyle name="Header 1(middle) 3 4 5" xfId="16111" xr:uid="{00000000-0005-0000-0000-0000F03E0000}"/>
    <cellStyle name="Header 1(middle) 3 5" xfId="16112" xr:uid="{00000000-0005-0000-0000-0000F13E0000}"/>
    <cellStyle name="Header 1(middle) 3 5 2" xfId="16113" xr:uid="{00000000-0005-0000-0000-0000F23E0000}"/>
    <cellStyle name="Header 1(middle) 3 5 2 2" xfId="16114" xr:uid="{00000000-0005-0000-0000-0000F33E0000}"/>
    <cellStyle name="Header 1(middle) 3 5 2 3" xfId="16115" xr:uid="{00000000-0005-0000-0000-0000F43E0000}"/>
    <cellStyle name="Header 1(middle) 3 5 2 4" xfId="16116" xr:uid="{00000000-0005-0000-0000-0000F53E0000}"/>
    <cellStyle name="Header 1(middle) 3 5 3" xfId="16117" xr:uid="{00000000-0005-0000-0000-0000F63E0000}"/>
    <cellStyle name="Header 1(middle) 3 5 4" xfId="16118" xr:uid="{00000000-0005-0000-0000-0000F73E0000}"/>
    <cellStyle name="Header 1(middle) 3 5 5" xfId="16119" xr:uid="{00000000-0005-0000-0000-0000F83E0000}"/>
    <cellStyle name="Header 1(middle) 3 6" xfId="16120" xr:uid="{00000000-0005-0000-0000-0000F93E0000}"/>
    <cellStyle name="Header 1(middle) 3 6 2" xfId="16121" xr:uid="{00000000-0005-0000-0000-0000FA3E0000}"/>
    <cellStyle name="Header 1(middle) 3 7" xfId="16122" xr:uid="{00000000-0005-0000-0000-0000FB3E0000}"/>
    <cellStyle name="Header 1(middle) 3 7 2" xfId="16123" xr:uid="{00000000-0005-0000-0000-0000FC3E0000}"/>
    <cellStyle name="Header 1(middle) 3 8" xfId="16124" xr:uid="{00000000-0005-0000-0000-0000FD3E0000}"/>
    <cellStyle name="Header 1(middle) 3 8 2" xfId="16125" xr:uid="{00000000-0005-0000-0000-0000FE3E0000}"/>
    <cellStyle name="Header 1(middle) 3 9" xfId="16126" xr:uid="{00000000-0005-0000-0000-0000FF3E0000}"/>
    <cellStyle name="Header 1(middle) 3 9 2" xfId="16127" xr:uid="{00000000-0005-0000-0000-0000003F0000}"/>
    <cellStyle name="Header 1(middle) 4" xfId="16128" xr:uid="{00000000-0005-0000-0000-0000013F0000}"/>
    <cellStyle name="Header 1(middle) 4 10" xfId="16129" xr:uid="{00000000-0005-0000-0000-0000023F0000}"/>
    <cellStyle name="Header 1(middle) 4 10 2" xfId="16130" xr:uid="{00000000-0005-0000-0000-0000033F0000}"/>
    <cellStyle name="Header 1(middle) 4 11" xfId="16131" xr:uid="{00000000-0005-0000-0000-0000043F0000}"/>
    <cellStyle name="Header 1(middle) 4 11 2" xfId="16132" xr:uid="{00000000-0005-0000-0000-0000053F0000}"/>
    <cellStyle name="Header 1(middle) 4 12" xfId="16133" xr:uid="{00000000-0005-0000-0000-0000063F0000}"/>
    <cellStyle name="Header 1(middle) 4 13" xfId="16134" xr:uid="{00000000-0005-0000-0000-0000073F0000}"/>
    <cellStyle name="Header 1(middle) 4 14" xfId="16135" xr:uid="{00000000-0005-0000-0000-0000083F0000}"/>
    <cellStyle name="Header 1(middle) 4 2" xfId="16136" xr:uid="{00000000-0005-0000-0000-0000093F0000}"/>
    <cellStyle name="Header 1(middle) 4 2 10" xfId="16137" xr:uid="{00000000-0005-0000-0000-00000A3F0000}"/>
    <cellStyle name="Header 1(middle) 4 2 10 2" xfId="16138" xr:uid="{00000000-0005-0000-0000-00000B3F0000}"/>
    <cellStyle name="Header 1(middle) 4 2 11" xfId="16139" xr:uid="{00000000-0005-0000-0000-00000C3F0000}"/>
    <cellStyle name="Header 1(middle) 4 2 12" xfId="16140" xr:uid="{00000000-0005-0000-0000-00000D3F0000}"/>
    <cellStyle name="Header 1(middle) 4 2 13" xfId="16141" xr:uid="{00000000-0005-0000-0000-00000E3F0000}"/>
    <cellStyle name="Header 1(middle) 4 2 2" xfId="16142" xr:uid="{00000000-0005-0000-0000-00000F3F0000}"/>
    <cellStyle name="Header 1(middle) 4 2 2 10" xfId="16143" xr:uid="{00000000-0005-0000-0000-0000103F0000}"/>
    <cellStyle name="Header 1(middle) 4 2 2 11" xfId="16144" xr:uid="{00000000-0005-0000-0000-0000113F0000}"/>
    <cellStyle name="Header 1(middle) 4 2 2 12" xfId="16145" xr:uid="{00000000-0005-0000-0000-0000123F0000}"/>
    <cellStyle name="Header 1(middle) 4 2 2 13" xfId="16146" xr:uid="{00000000-0005-0000-0000-0000133F0000}"/>
    <cellStyle name="Header 1(middle) 4 2 2 14" xfId="16147" xr:uid="{00000000-0005-0000-0000-0000143F0000}"/>
    <cellStyle name="Header 1(middle) 4 2 2 15" xfId="16148" xr:uid="{00000000-0005-0000-0000-0000153F0000}"/>
    <cellStyle name="Header 1(middle) 4 2 2 16" xfId="16149" xr:uid="{00000000-0005-0000-0000-0000163F0000}"/>
    <cellStyle name="Header 1(middle) 4 2 2 17" xfId="16150" xr:uid="{00000000-0005-0000-0000-0000173F0000}"/>
    <cellStyle name="Header 1(middle) 4 2 2 18" xfId="16151" xr:uid="{00000000-0005-0000-0000-0000183F0000}"/>
    <cellStyle name="Header 1(middle) 4 2 2 19" xfId="16152" xr:uid="{00000000-0005-0000-0000-0000193F0000}"/>
    <cellStyle name="Header 1(middle) 4 2 2 2" xfId="16153" xr:uid="{00000000-0005-0000-0000-00001A3F0000}"/>
    <cellStyle name="Header 1(middle) 4 2 2 2 2" xfId="16154" xr:uid="{00000000-0005-0000-0000-00001B3F0000}"/>
    <cellStyle name="Header 1(middle) 4 2 2 2 2 2" xfId="16155" xr:uid="{00000000-0005-0000-0000-00001C3F0000}"/>
    <cellStyle name="Header 1(middle) 4 2 2 2 2 3" xfId="16156" xr:uid="{00000000-0005-0000-0000-00001D3F0000}"/>
    <cellStyle name="Header 1(middle) 4 2 2 2 2 4" xfId="16157" xr:uid="{00000000-0005-0000-0000-00001E3F0000}"/>
    <cellStyle name="Header 1(middle) 4 2 2 2 3" xfId="16158" xr:uid="{00000000-0005-0000-0000-00001F3F0000}"/>
    <cellStyle name="Header 1(middle) 4 2 2 2 3 2" xfId="16159" xr:uid="{00000000-0005-0000-0000-0000203F0000}"/>
    <cellStyle name="Header 1(middle) 4 2 2 2 3 3" xfId="16160" xr:uid="{00000000-0005-0000-0000-0000213F0000}"/>
    <cellStyle name="Header 1(middle) 4 2 2 2 3 4" xfId="16161" xr:uid="{00000000-0005-0000-0000-0000223F0000}"/>
    <cellStyle name="Header 1(middle) 4 2 2 2 4" xfId="16162" xr:uid="{00000000-0005-0000-0000-0000233F0000}"/>
    <cellStyle name="Header 1(middle) 4 2 2 2 5" xfId="16163" xr:uid="{00000000-0005-0000-0000-0000243F0000}"/>
    <cellStyle name="Header 1(middle) 4 2 2 2 6" xfId="16164" xr:uid="{00000000-0005-0000-0000-0000253F0000}"/>
    <cellStyle name="Header 1(middle) 4 2 2 20" xfId="16165" xr:uid="{00000000-0005-0000-0000-0000263F0000}"/>
    <cellStyle name="Header 1(middle) 4 2 2 3" xfId="16166" xr:uid="{00000000-0005-0000-0000-0000273F0000}"/>
    <cellStyle name="Header 1(middle) 4 2 2 3 2" xfId="16167" xr:uid="{00000000-0005-0000-0000-0000283F0000}"/>
    <cellStyle name="Header 1(middle) 4 2 2 3 2 2" xfId="16168" xr:uid="{00000000-0005-0000-0000-0000293F0000}"/>
    <cellStyle name="Header 1(middle) 4 2 2 3 2 3" xfId="16169" xr:uid="{00000000-0005-0000-0000-00002A3F0000}"/>
    <cellStyle name="Header 1(middle) 4 2 2 3 2 4" xfId="16170" xr:uid="{00000000-0005-0000-0000-00002B3F0000}"/>
    <cellStyle name="Header 1(middle) 4 2 2 3 3" xfId="16171" xr:uid="{00000000-0005-0000-0000-00002C3F0000}"/>
    <cellStyle name="Header 1(middle) 4 2 2 3 4" xfId="16172" xr:uid="{00000000-0005-0000-0000-00002D3F0000}"/>
    <cellStyle name="Header 1(middle) 4 2 2 3 5" xfId="16173" xr:uid="{00000000-0005-0000-0000-00002E3F0000}"/>
    <cellStyle name="Header 1(middle) 4 2 2 4" xfId="16174" xr:uid="{00000000-0005-0000-0000-00002F3F0000}"/>
    <cellStyle name="Header 1(middle) 4 2 2 4 2" xfId="16175" xr:uid="{00000000-0005-0000-0000-0000303F0000}"/>
    <cellStyle name="Header 1(middle) 4 2 2 4 3" xfId="16176" xr:uid="{00000000-0005-0000-0000-0000313F0000}"/>
    <cellStyle name="Header 1(middle) 4 2 2 4 4" xfId="16177" xr:uid="{00000000-0005-0000-0000-0000323F0000}"/>
    <cellStyle name="Header 1(middle) 4 2 2 5" xfId="16178" xr:uid="{00000000-0005-0000-0000-0000333F0000}"/>
    <cellStyle name="Header 1(middle) 4 2 2 6" xfId="16179" xr:uid="{00000000-0005-0000-0000-0000343F0000}"/>
    <cellStyle name="Header 1(middle) 4 2 2 7" xfId="16180" xr:uid="{00000000-0005-0000-0000-0000353F0000}"/>
    <cellStyle name="Header 1(middle) 4 2 2 8" xfId="16181" xr:uid="{00000000-0005-0000-0000-0000363F0000}"/>
    <cellStyle name="Header 1(middle) 4 2 2 9" xfId="16182" xr:uid="{00000000-0005-0000-0000-0000373F0000}"/>
    <cellStyle name="Header 1(middle) 4 2 3" xfId="16183" xr:uid="{00000000-0005-0000-0000-0000383F0000}"/>
    <cellStyle name="Header 1(middle) 4 2 3 2" xfId="16184" xr:uid="{00000000-0005-0000-0000-0000393F0000}"/>
    <cellStyle name="Header 1(middle) 4 2 3 2 2" xfId="16185" xr:uid="{00000000-0005-0000-0000-00003A3F0000}"/>
    <cellStyle name="Header 1(middle) 4 2 3 2 3" xfId="16186" xr:uid="{00000000-0005-0000-0000-00003B3F0000}"/>
    <cellStyle name="Header 1(middle) 4 2 3 2 4" xfId="16187" xr:uid="{00000000-0005-0000-0000-00003C3F0000}"/>
    <cellStyle name="Header 1(middle) 4 2 3 3" xfId="16188" xr:uid="{00000000-0005-0000-0000-00003D3F0000}"/>
    <cellStyle name="Header 1(middle) 4 2 3 4" xfId="16189" xr:uid="{00000000-0005-0000-0000-00003E3F0000}"/>
    <cellStyle name="Header 1(middle) 4 2 3 5" xfId="16190" xr:uid="{00000000-0005-0000-0000-00003F3F0000}"/>
    <cellStyle name="Header 1(middle) 4 2 4" xfId="16191" xr:uid="{00000000-0005-0000-0000-0000403F0000}"/>
    <cellStyle name="Header 1(middle) 4 2 4 2" xfId="16192" xr:uid="{00000000-0005-0000-0000-0000413F0000}"/>
    <cellStyle name="Header 1(middle) 4 2 4 2 2" xfId="16193" xr:uid="{00000000-0005-0000-0000-0000423F0000}"/>
    <cellStyle name="Header 1(middle) 4 2 4 2 3" xfId="16194" xr:uid="{00000000-0005-0000-0000-0000433F0000}"/>
    <cellStyle name="Header 1(middle) 4 2 4 2 4" xfId="16195" xr:uid="{00000000-0005-0000-0000-0000443F0000}"/>
    <cellStyle name="Header 1(middle) 4 2 4 3" xfId="16196" xr:uid="{00000000-0005-0000-0000-0000453F0000}"/>
    <cellStyle name="Header 1(middle) 4 2 4 4" xfId="16197" xr:uid="{00000000-0005-0000-0000-0000463F0000}"/>
    <cellStyle name="Header 1(middle) 4 2 4 5" xfId="16198" xr:uid="{00000000-0005-0000-0000-0000473F0000}"/>
    <cellStyle name="Header 1(middle) 4 2 5" xfId="16199" xr:uid="{00000000-0005-0000-0000-0000483F0000}"/>
    <cellStyle name="Header 1(middle) 4 2 5 2" xfId="16200" xr:uid="{00000000-0005-0000-0000-0000493F0000}"/>
    <cellStyle name="Header 1(middle) 4 2 6" xfId="16201" xr:uid="{00000000-0005-0000-0000-00004A3F0000}"/>
    <cellStyle name="Header 1(middle) 4 2 6 2" xfId="16202" xr:uid="{00000000-0005-0000-0000-00004B3F0000}"/>
    <cellStyle name="Header 1(middle) 4 2 7" xfId="16203" xr:uid="{00000000-0005-0000-0000-00004C3F0000}"/>
    <cellStyle name="Header 1(middle) 4 2 7 2" xfId="16204" xr:uid="{00000000-0005-0000-0000-00004D3F0000}"/>
    <cellStyle name="Header 1(middle) 4 2 8" xfId="16205" xr:uid="{00000000-0005-0000-0000-00004E3F0000}"/>
    <cellStyle name="Header 1(middle) 4 2 8 2" xfId="16206" xr:uid="{00000000-0005-0000-0000-00004F3F0000}"/>
    <cellStyle name="Header 1(middle) 4 2 9" xfId="16207" xr:uid="{00000000-0005-0000-0000-0000503F0000}"/>
    <cellStyle name="Header 1(middle) 4 2 9 2" xfId="16208" xr:uid="{00000000-0005-0000-0000-0000513F0000}"/>
    <cellStyle name="Header 1(middle) 4 3" xfId="16209" xr:uid="{00000000-0005-0000-0000-0000523F0000}"/>
    <cellStyle name="Header 1(middle) 4 3 10" xfId="16210" xr:uid="{00000000-0005-0000-0000-0000533F0000}"/>
    <cellStyle name="Header 1(middle) 4 3 11" xfId="16211" xr:uid="{00000000-0005-0000-0000-0000543F0000}"/>
    <cellStyle name="Header 1(middle) 4 3 12" xfId="16212" xr:uid="{00000000-0005-0000-0000-0000553F0000}"/>
    <cellStyle name="Header 1(middle) 4 3 13" xfId="16213" xr:uid="{00000000-0005-0000-0000-0000563F0000}"/>
    <cellStyle name="Header 1(middle) 4 3 14" xfId="16214" xr:uid="{00000000-0005-0000-0000-0000573F0000}"/>
    <cellStyle name="Header 1(middle) 4 3 15" xfId="16215" xr:uid="{00000000-0005-0000-0000-0000583F0000}"/>
    <cellStyle name="Header 1(middle) 4 3 16" xfId="16216" xr:uid="{00000000-0005-0000-0000-0000593F0000}"/>
    <cellStyle name="Header 1(middle) 4 3 17" xfId="16217" xr:uid="{00000000-0005-0000-0000-00005A3F0000}"/>
    <cellStyle name="Header 1(middle) 4 3 18" xfId="16218" xr:uid="{00000000-0005-0000-0000-00005B3F0000}"/>
    <cellStyle name="Header 1(middle) 4 3 19" xfId="16219" xr:uid="{00000000-0005-0000-0000-00005C3F0000}"/>
    <cellStyle name="Header 1(middle) 4 3 2" xfId="16220" xr:uid="{00000000-0005-0000-0000-00005D3F0000}"/>
    <cellStyle name="Header 1(middle) 4 3 2 2" xfId="16221" xr:uid="{00000000-0005-0000-0000-00005E3F0000}"/>
    <cellStyle name="Header 1(middle) 4 3 2 2 2" xfId="16222" xr:uid="{00000000-0005-0000-0000-00005F3F0000}"/>
    <cellStyle name="Header 1(middle) 4 3 2 2 3" xfId="16223" xr:uid="{00000000-0005-0000-0000-0000603F0000}"/>
    <cellStyle name="Header 1(middle) 4 3 2 2 4" xfId="16224" xr:uid="{00000000-0005-0000-0000-0000613F0000}"/>
    <cellStyle name="Header 1(middle) 4 3 2 3" xfId="16225" xr:uid="{00000000-0005-0000-0000-0000623F0000}"/>
    <cellStyle name="Header 1(middle) 4 3 2 3 2" xfId="16226" xr:uid="{00000000-0005-0000-0000-0000633F0000}"/>
    <cellStyle name="Header 1(middle) 4 3 2 3 3" xfId="16227" xr:uid="{00000000-0005-0000-0000-0000643F0000}"/>
    <cellStyle name="Header 1(middle) 4 3 2 3 4" xfId="16228" xr:uid="{00000000-0005-0000-0000-0000653F0000}"/>
    <cellStyle name="Header 1(middle) 4 3 2 4" xfId="16229" xr:uid="{00000000-0005-0000-0000-0000663F0000}"/>
    <cellStyle name="Header 1(middle) 4 3 2 5" xfId="16230" xr:uid="{00000000-0005-0000-0000-0000673F0000}"/>
    <cellStyle name="Header 1(middle) 4 3 2 6" xfId="16231" xr:uid="{00000000-0005-0000-0000-0000683F0000}"/>
    <cellStyle name="Header 1(middle) 4 3 20" xfId="16232" xr:uid="{00000000-0005-0000-0000-0000693F0000}"/>
    <cellStyle name="Header 1(middle) 4 3 3" xfId="16233" xr:uid="{00000000-0005-0000-0000-00006A3F0000}"/>
    <cellStyle name="Header 1(middle) 4 3 3 2" xfId="16234" xr:uid="{00000000-0005-0000-0000-00006B3F0000}"/>
    <cellStyle name="Header 1(middle) 4 3 3 2 2" xfId="16235" xr:uid="{00000000-0005-0000-0000-00006C3F0000}"/>
    <cellStyle name="Header 1(middle) 4 3 3 2 3" xfId="16236" xr:uid="{00000000-0005-0000-0000-00006D3F0000}"/>
    <cellStyle name="Header 1(middle) 4 3 3 2 4" xfId="16237" xr:uid="{00000000-0005-0000-0000-00006E3F0000}"/>
    <cellStyle name="Header 1(middle) 4 3 3 3" xfId="16238" xr:uid="{00000000-0005-0000-0000-00006F3F0000}"/>
    <cellStyle name="Header 1(middle) 4 3 3 4" xfId="16239" xr:uid="{00000000-0005-0000-0000-0000703F0000}"/>
    <cellStyle name="Header 1(middle) 4 3 3 5" xfId="16240" xr:uid="{00000000-0005-0000-0000-0000713F0000}"/>
    <cellStyle name="Header 1(middle) 4 3 4" xfId="16241" xr:uid="{00000000-0005-0000-0000-0000723F0000}"/>
    <cellStyle name="Header 1(middle) 4 3 4 2" xfId="16242" xr:uid="{00000000-0005-0000-0000-0000733F0000}"/>
    <cellStyle name="Header 1(middle) 4 3 4 3" xfId="16243" xr:uid="{00000000-0005-0000-0000-0000743F0000}"/>
    <cellStyle name="Header 1(middle) 4 3 4 4" xfId="16244" xr:uid="{00000000-0005-0000-0000-0000753F0000}"/>
    <cellStyle name="Header 1(middle) 4 3 5" xfId="16245" xr:uid="{00000000-0005-0000-0000-0000763F0000}"/>
    <cellStyle name="Header 1(middle) 4 3 6" xfId="16246" xr:uid="{00000000-0005-0000-0000-0000773F0000}"/>
    <cellStyle name="Header 1(middle) 4 3 7" xfId="16247" xr:uid="{00000000-0005-0000-0000-0000783F0000}"/>
    <cellStyle name="Header 1(middle) 4 3 8" xfId="16248" xr:uid="{00000000-0005-0000-0000-0000793F0000}"/>
    <cellStyle name="Header 1(middle) 4 3 9" xfId="16249" xr:uid="{00000000-0005-0000-0000-00007A3F0000}"/>
    <cellStyle name="Header 1(middle) 4 4" xfId="16250" xr:uid="{00000000-0005-0000-0000-00007B3F0000}"/>
    <cellStyle name="Header 1(middle) 4 4 2" xfId="16251" xr:uid="{00000000-0005-0000-0000-00007C3F0000}"/>
    <cellStyle name="Header 1(middle) 4 4 2 2" xfId="16252" xr:uid="{00000000-0005-0000-0000-00007D3F0000}"/>
    <cellStyle name="Header 1(middle) 4 4 2 3" xfId="16253" xr:uid="{00000000-0005-0000-0000-00007E3F0000}"/>
    <cellStyle name="Header 1(middle) 4 4 2 4" xfId="16254" xr:uid="{00000000-0005-0000-0000-00007F3F0000}"/>
    <cellStyle name="Header 1(middle) 4 4 3" xfId="16255" xr:uid="{00000000-0005-0000-0000-0000803F0000}"/>
    <cellStyle name="Header 1(middle) 4 4 4" xfId="16256" xr:uid="{00000000-0005-0000-0000-0000813F0000}"/>
    <cellStyle name="Header 1(middle) 4 4 5" xfId="16257" xr:uid="{00000000-0005-0000-0000-0000823F0000}"/>
    <cellStyle name="Header 1(middle) 4 5" xfId="16258" xr:uid="{00000000-0005-0000-0000-0000833F0000}"/>
    <cellStyle name="Header 1(middle) 4 5 2" xfId="16259" xr:uid="{00000000-0005-0000-0000-0000843F0000}"/>
    <cellStyle name="Header 1(middle) 4 5 2 2" xfId="16260" xr:uid="{00000000-0005-0000-0000-0000853F0000}"/>
    <cellStyle name="Header 1(middle) 4 5 2 3" xfId="16261" xr:uid="{00000000-0005-0000-0000-0000863F0000}"/>
    <cellStyle name="Header 1(middle) 4 5 2 4" xfId="16262" xr:uid="{00000000-0005-0000-0000-0000873F0000}"/>
    <cellStyle name="Header 1(middle) 4 5 3" xfId="16263" xr:uid="{00000000-0005-0000-0000-0000883F0000}"/>
    <cellStyle name="Header 1(middle) 4 5 4" xfId="16264" xr:uid="{00000000-0005-0000-0000-0000893F0000}"/>
    <cellStyle name="Header 1(middle) 4 5 5" xfId="16265" xr:uid="{00000000-0005-0000-0000-00008A3F0000}"/>
    <cellStyle name="Header 1(middle) 4 6" xfId="16266" xr:uid="{00000000-0005-0000-0000-00008B3F0000}"/>
    <cellStyle name="Header 1(middle) 4 6 2" xfId="16267" xr:uid="{00000000-0005-0000-0000-00008C3F0000}"/>
    <cellStyle name="Header 1(middle) 4 7" xfId="16268" xr:uid="{00000000-0005-0000-0000-00008D3F0000}"/>
    <cellStyle name="Header 1(middle) 4 7 2" xfId="16269" xr:uid="{00000000-0005-0000-0000-00008E3F0000}"/>
    <cellStyle name="Header 1(middle) 4 8" xfId="16270" xr:uid="{00000000-0005-0000-0000-00008F3F0000}"/>
    <cellStyle name="Header 1(middle) 4 8 2" xfId="16271" xr:uid="{00000000-0005-0000-0000-0000903F0000}"/>
    <cellStyle name="Header 1(middle) 4 9" xfId="16272" xr:uid="{00000000-0005-0000-0000-0000913F0000}"/>
    <cellStyle name="Header 1(middle) 4 9 2" xfId="16273" xr:uid="{00000000-0005-0000-0000-0000923F0000}"/>
    <cellStyle name="Header 1(middle) 5" xfId="16274" xr:uid="{00000000-0005-0000-0000-0000933F0000}"/>
    <cellStyle name="Header 1(middle) 5 10" xfId="16275" xr:uid="{00000000-0005-0000-0000-0000943F0000}"/>
    <cellStyle name="Header 1(middle) 5 10 2" xfId="16276" xr:uid="{00000000-0005-0000-0000-0000953F0000}"/>
    <cellStyle name="Header 1(middle) 5 11" xfId="16277" xr:uid="{00000000-0005-0000-0000-0000963F0000}"/>
    <cellStyle name="Header 1(middle) 5 11 2" xfId="16278" xr:uid="{00000000-0005-0000-0000-0000973F0000}"/>
    <cellStyle name="Header 1(middle) 5 12" xfId="16279" xr:uid="{00000000-0005-0000-0000-0000983F0000}"/>
    <cellStyle name="Header 1(middle) 5 13" xfId="16280" xr:uid="{00000000-0005-0000-0000-0000993F0000}"/>
    <cellStyle name="Header 1(middle) 5 14" xfId="16281" xr:uid="{00000000-0005-0000-0000-00009A3F0000}"/>
    <cellStyle name="Header 1(middle) 5 2" xfId="16282" xr:uid="{00000000-0005-0000-0000-00009B3F0000}"/>
    <cellStyle name="Header 1(middle) 5 2 10" xfId="16283" xr:uid="{00000000-0005-0000-0000-00009C3F0000}"/>
    <cellStyle name="Header 1(middle) 5 2 10 2" xfId="16284" xr:uid="{00000000-0005-0000-0000-00009D3F0000}"/>
    <cellStyle name="Header 1(middle) 5 2 11" xfId="16285" xr:uid="{00000000-0005-0000-0000-00009E3F0000}"/>
    <cellStyle name="Header 1(middle) 5 2 12" xfId="16286" xr:uid="{00000000-0005-0000-0000-00009F3F0000}"/>
    <cellStyle name="Header 1(middle) 5 2 13" xfId="16287" xr:uid="{00000000-0005-0000-0000-0000A03F0000}"/>
    <cellStyle name="Header 1(middle) 5 2 2" xfId="16288" xr:uid="{00000000-0005-0000-0000-0000A13F0000}"/>
    <cellStyle name="Header 1(middle) 5 2 2 10" xfId="16289" xr:uid="{00000000-0005-0000-0000-0000A23F0000}"/>
    <cellStyle name="Header 1(middle) 5 2 2 11" xfId="16290" xr:uid="{00000000-0005-0000-0000-0000A33F0000}"/>
    <cellStyle name="Header 1(middle) 5 2 2 12" xfId="16291" xr:uid="{00000000-0005-0000-0000-0000A43F0000}"/>
    <cellStyle name="Header 1(middle) 5 2 2 13" xfId="16292" xr:uid="{00000000-0005-0000-0000-0000A53F0000}"/>
    <cellStyle name="Header 1(middle) 5 2 2 14" xfId="16293" xr:uid="{00000000-0005-0000-0000-0000A63F0000}"/>
    <cellStyle name="Header 1(middle) 5 2 2 15" xfId="16294" xr:uid="{00000000-0005-0000-0000-0000A73F0000}"/>
    <cellStyle name="Header 1(middle) 5 2 2 16" xfId="16295" xr:uid="{00000000-0005-0000-0000-0000A83F0000}"/>
    <cellStyle name="Header 1(middle) 5 2 2 17" xfId="16296" xr:uid="{00000000-0005-0000-0000-0000A93F0000}"/>
    <cellStyle name="Header 1(middle) 5 2 2 18" xfId="16297" xr:uid="{00000000-0005-0000-0000-0000AA3F0000}"/>
    <cellStyle name="Header 1(middle) 5 2 2 19" xfId="16298" xr:uid="{00000000-0005-0000-0000-0000AB3F0000}"/>
    <cellStyle name="Header 1(middle) 5 2 2 2" xfId="16299" xr:uid="{00000000-0005-0000-0000-0000AC3F0000}"/>
    <cellStyle name="Header 1(middle) 5 2 2 2 2" xfId="16300" xr:uid="{00000000-0005-0000-0000-0000AD3F0000}"/>
    <cellStyle name="Header 1(middle) 5 2 2 2 2 2" xfId="16301" xr:uid="{00000000-0005-0000-0000-0000AE3F0000}"/>
    <cellStyle name="Header 1(middle) 5 2 2 2 2 3" xfId="16302" xr:uid="{00000000-0005-0000-0000-0000AF3F0000}"/>
    <cellStyle name="Header 1(middle) 5 2 2 2 2 4" xfId="16303" xr:uid="{00000000-0005-0000-0000-0000B03F0000}"/>
    <cellStyle name="Header 1(middle) 5 2 2 2 3" xfId="16304" xr:uid="{00000000-0005-0000-0000-0000B13F0000}"/>
    <cellStyle name="Header 1(middle) 5 2 2 2 3 2" xfId="16305" xr:uid="{00000000-0005-0000-0000-0000B23F0000}"/>
    <cellStyle name="Header 1(middle) 5 2 2 2 3 3" xfId="16306" xr:uid="{00000000-0005-0000-0000-0000B33F0000}"/>
    <cellStyle name="Header 1(middle) 5 2 2 2 3 4" xfId="16307" xr:uid="{00000000-0005-0000-0000-0000B43F0000}"/>
    <cellStyle name="Header 1(middle) 5 2 2 2 4" xfId="16308" xr:uid="{00000000-0005-0000-0000-0000B53F0000}"/>
    <cellStyle name="Header 1(middle) 5 2 2 2 5" xfId="16309" xr:uid="{00000000-0005-0000-0000-0000B63F0000}"/>
    <cellStyle name="Header 1(middle) 5 2 2 2 6" xfId="16310" xr:uid="{00000000-0005-0000-0000-0000B73F0000}"/>
    <cellStyle name="Header 1(middle) 5 2 2 20" xfId="16311" xr:uid="{00000000-0005-0000-0000-0000B83F0000}"/>
    <cellStyle name="Header 1(middle) 5 2 2 3" xfId="16312" xr:uid="{00000000-0005-0000-0000-0000B93F0000}"/>
    <cellStyle name="Header 1(middle) 5 2 2 3 2" xfId="16313" xr:uid="{00000000-0005-0000-0000-0000BA3F0000}"/>
    <cellStyle name="Header 1(middle) 5 2 2 3 2 2" xfId="16314" xr:uid="{00000000-0005-0000-0000-0000BB3F0000}"/>
    <cellStyle name="Header 1(middle) 5 2 2 3 2 3" xfId="16315" xr:uid="{00000000-0005-0000-0000-0000BC3F0000}"/>
    <cellStyle name="Header 1(middle) 5 2 2 3 2 4" xfId="16316" xr:uid="{00000000-0005-0000-0000-0000BD3F0000}"/>
    <cellStyle name="Header 1(middle) 5 2 2 3 3" xfId="16317" xr:uid="{00000000-0005-0000-0000-0000BE3F0000}"/>
    <cellStyle name="Header 1(middle) 5 2 2 3 4" xfId="16318" xr:uid="{00000000-0005-0000-0000-0000BF3F0000}"/>
    <cellStyle name="Header 1(middle) 5 2 2 3 5" xfId="16319" xr:uid="{00000000-0005-0000-0000-0000C03F0000}"/>
    <cellStyle name="Header 1(middle) 5 2 2 4" xfId="16320" xr:uid="{00000000-0005-0000-0000-0000C13F0000}"/>
    <cellStyle name="Header 1(middle) 5 2 2 4 2" xfId="16321" xr:uid="{00000000-0005-0000-0000-0000C23F0000}"/>
    <cellStyle name="Header 1(middle) 5 2 2 4 3" xfId="16322" xr:uid="{00000000-0005-0000-0000-0000C33F0000}"/>
    <cellStyle name="Header 1(middle) 5 2 2 4 4" xfId="16323" xr:uid="{00000000-0005-0000-0000-0000C43F0000}"/>
    <cellStyle name="Header 1(middle) 5 2 2 5" xfId="16324" xr:uid="{00000000-0005-0000-0000-0000C53F0000}"/>
    <cellStyle name="Header 1(middle) 5 2 2 6" xfId="16325" xr:uid="{00000000-0005-0000-0000-0000C63F0000}"/>
    <cellStyle name="Header 1(middle) 5 2 2 7" xfId="16326" xr:uid="{00000000-0005-0000-0000-0000C73F0000}"/>
    <cellStyle name="Header 1(middle) 5 2 2 8" xfId="16327" xr:uid="{00000000-0005-0000-0000-0000C83F0000}"/>
    <cellStyle name="Header 1(middle) 5 2 2 9" xfId="16328" xr:uid="{00000000-0005-0000-0000-0000C93F0000}"/>
    <cellStyle name="Header 1(middle) 5 2 3" xfId="16329" xr:uid="{00000000-0005-0000-0000-0000CA3F0000}"/>
    <cellStyle name="Header 1(middle) 5 2 3 2" xfId="16330" xr:uid="{00000000-0005-0000-0000-0000CB3F0000}"/>
    <cellStyle name="Header 1(middle) 5 2 3 2 2" xfId="16331" xr:uid="{00000000-0005-0000-0000-0000CC3F0000}"/>
    <cellStyle name="Header 1(middle) 5 2 3 2 3" xfId="16332" xr:uid="{00000000-0005-0000-0000-0000CD3F0000}"/>
    <cellStyle name="Header 1(middle) 5 2 3 2 4" xfId="16333" xr:uid="{00000000-0005-0000-0000-0000CE3F0000}"/>
    <cellStyle name="Header 1(middle) 5 2 3 3" xfId="16334" xr:uid="{00000000-0005-0000-0000-0000CF3F0000}"/>
    <cellStyle name="Header 1(middle) 5 2 3 4" xfId="16335" xr:uid="{00000000-0005-0000-0000-0000D03F0000}"/>
    <cellStyle name="Header 1(middle) 5 2 3 5" xfId="16336" xr:uid="{00000000-0005-0000-0000-0000D13F0000}"/>
    <cellStyle name="Header 1(middle) 5 2 4" xfId="16337" xr:uid="{00000000-0005-0000-0000-0000D23F0000}"/>
    <cellStyle name="Header 1(middle) 5 2 4 2" xfId="16338" xr:uid="{00000000-0005-0000-0000-0000D33F0000}"/>
    <cellStyle name="Header 1(middle) 5 2 4 2 2" xfId="16339" xr:uid="{00000000-0005-0000-0000-0000D43F0000}"/>
    <cellStyle name="Header 1(middle) 5 2 4 2 3" xfId="16340" xr:uid="{00000000-0005-0000-0000-0000D53F0000}"/>
    <cellStyle name="Header 1(middle) 5 2 4 2 4" xfId="16341" xr:uid="{00000000-0005-0000-0000-0000D63F0000}"/>
    <cellStyle name="Header 1(middle) 5 2 4 3" xfId="16342" xr:uid="{00000000-0005-0000-0000-0000D73F0000}"/>
    <cellStyle name="Header 1(middle) 5 2 4 4" xfId="16343" xr:uid="{00000000-0005-0000-0000-0000D83F0000}"/>
    <cellStyle name="Header 1(middle) 5 2 4 5" xfId="16344" xr:uid="{00000000-0005-0000-0000-0000D93F0000}"/>
    <cellStyle name="Header 1(middle) 5 2 5" xfId="16345" xr:uid="{00000000-0005-0000-0000-0000DA3F0000}"/>
    <cellStyle name="Header 1(middle) 5 2 5 2" xfId="16346" xr:uid="{00000000-0005-0000-0000-0000DB3F0000}"/>
    <cellStyle name="Header 1(middle) 5 2 6" xfId="16347" xr:uid="{00000000-0005-0000-0000-0000DC3F0000}"/>
    <cellStyle name="Header 1(middle) 5 2 6 2" xfId="16348" xr:uid="{00000000-0005-0000-0000-0000DD3F0000}"/>
    <cellStyle name="Header 1(middle) 5 2 7" xfId="16349" xr:uid="{00000000-0005-0000-0000-0000DE3F0000}"/>
    <cellStyle name="Header 1(middle) 5 2 7 2" xfId="16350" xr:uid="{00000000-0005-0000-0000-0000DF3F0000}"/>
    <cellStyle name="Header 1(middle) 5 2 8" xfId="16351" xr:uid="{00000000-0005-0000-0000-0000E03F0000}"/>
    <cellStyle name="Header 1(middle) 5 2 8 2" xfId="16352" xr:uid="{00000000-0005-0000-0000-0000E13F0000}"/>
    <cellStyle name="Header 1(middle) 5 2 9" xfId="16353" xr:uid="{00000000-0005-0000-0000-0000E23F0000}"/>
    <cellStyle name="Header 1(middle) 5 2 9 2" xfId="16354" xr:uid="{00000000-0005-0000-0000-0000E33F0000}"/>
    <cellStyle name="Header 1(middle) 5 3" xfId="16355" xr:uid="{00000000-0005-0000-0000-0000E43F0000}"/>
    <cellStyle name="Header 1(middle) 5 3 10" xfId="16356" xr:uid="{00000000-0005-0000-0000-0000E53F0000}"/>
    <cellStyle name="Header 1(middle) 5 3 11" xfId="16357" xr:uid="{00000000-0005-0000-0000-0000E63F0000}"/>
    <cellStyle name="Header 1(middle) 5 3 12" xfId="16358" xr:uid="{00000000-0005-0000-0000-0000E73F0000}"/>
    <cellStyle name="Header 1(middle) 5 3 13" xfId="16359" xr:uid="{00000000-0005-0000-0000-0000E83F0000}"/>
    <cellStyle name="Header 1(middle) 5 3 14" xfId="16360" xr:uid="{00000000-0005-0000-0000-0000E93F0000}"/>
    <cellStyle name="Header 1(middle) 5 3 15" xfId="16361" xr:uid="{00000000-0005-0000-0000-0000EA3F0000}"/>
    <cellStyle name="Header 1(middle) 5 3 16" xfId="16362" xr:uid="{00000000-0005-0000-0000-0000EB3F0000}"/>
    <cellStyle name="Header 1(middle) 5 3 17" xfId="16363" xr:uid="{00000000-0005-0000-0000-0000EC3F0000}"/>
    <cellStyle name="Header 1(middle) 5 3 18" xfId="16364" xr:uid="{00000000-0005-0000-0000-0000ED3F0000}"/>
    <cellStyle name="Header 1(middle) 5 3 19" xfId="16365" xr:uid="{00000000-0005-0000-0000-0000EE3F0000}"/>
    <cellStyle name="Header 1(middle) 5 3 2" xfId="16366" xr:uid="{00000000-0005-0000-0000-0000EF3F0000}"/>
    <cellStyle name="Header 1(middle) 5 3 2 2" xfId="16367" xr:uid="{00000000-0005-0000-0000-0000F03F0000}"/>
    <cellStyle name="Header 1(middle) 5 3 2 2 2" xfId="16368" xr:uid="{00000000-0005-0000-0000-0000F13F0000}"/>
    <cellStyle name="Header 1(middle) 5 3 2 2 3" xfId="16369" xr:uid="{00000000-0005-0000-0000-0000F23F0000}"/>
    <cellStyle name="Header 1(middle) 5 3 2 2 4" xfId="16370" xr:uid="{00000000-0005-0000-0000-0000F33F0000}"/>
    <cellStyle name="Header 1(middle) 5 3 2 3" xfId="16371" xr:uid="{00000000-0005-0000-0000-0000F43F0000}"/>
    <cellStyle name="Header 1(middle) 5 3 2 3 2" xfId="16372" xr:uid="{00000000-0005-0000-0000-0000F53F0000}"/>
    <cellStyle name="Header 1(middle) 5 3 2 3 3" xfId="16373" xr:uid="{00000000-0005-0000-0000-0000F63F0000}"/>
    <cellStyle name="Header 1(middle) 5 3 2 3 4" xfId="16374" xr:uid="{00000000-0005-0000-0000-0000F73F0000}"/>
    <cellStyle name="Header 1(middle) 5 3 2 4" xfId="16375" xr:uid="{00000000-0005-0000-0000-0000F83F0000}"/>
    <cellStyle name="Header 1(middle) 5 3 2 5" xfId="16376" xr:uid="{00000000-0005-0000-0000-0000F93F0000}"/>
    <cellStyle name="Header 1(middle) 5 3 2 6" xfId="16377" xr:uid="{00000000-0005-0000-0000-0000FA3F0000}"/>
    <cellStyle name="Header 1(middle) 5 3 20" xfId="16378" xr:uid="{00000000-0005-0000-0000-0000FB3F0000}"/>
    <cellStyle name="Header 1(middle) 5 3 3" xfId="16379" xr:uid="{00000000-0005-0000-0000-0000FC3F0000}"/>
    <cellStyle name="Header 1(middle) 5 3 3 2" xfId="16380" xr:uid="{00000000-0005-0000-0000-0000FD3F0000}"/>
    <cellStyle name="Header 1(middle) 5 3 3 2 2" xfId="16381" xr:uid="{00000000-0005-0000-0000-0000FE3F0000}"/>
    <cellStyle name="Header 1(middle) 5 3 3 2 3" xfId="16382" xr:uid="{00000000-0005-0000-0000-0000FF3F0000}"/>
    <cellStyle name="Header 1(middle) 5 3 3 2 4" xfId="16383" xr:uid="{00000000-0005-0000-0000-000000400000}"/>
    <cellStyle name="Header 1(middle) 5 3 3 3" xfId="16384" xr:uid="{00000000-0005-0000-0000-000001400000}"/>
    <cellStyle name="Header 1(middle) 5 3 3 4" xfId="16385" xr:uid="{00000000-0005-0000-0000-000002400000}"/>
    <cellStyle name="Header 1(middle) 5 3 3 5" xfId="16386" xr:uid="{00000000-0005-0000-0000-000003400000}"/>
    <cellStyle name="Header 1(middle) 5 3 4" xfId="16387" xr:uid="{00000000-0005-0000-0000-000004400000}"/>
    <cellStyle name="Header 1(middle) 5 3 4 2" xfId="16388" xr:uid="{00000000-0005-0000-0000-000005400000}"/>
    <cellStyle name="Header 1(middle) 5 3 4 3" xfId="16389" xr:uid="{00000000-0005-0000-0000-000006400000}"/>
    <cellStyle name="Header 1(middle) 5 3 4 4" xfId="16390" xr:uid="{00000000-0005-0000-0000-000007400000}"/>
    <cellStyle name="Header 1(middle) 5 3 5" xfId="16391" xr:uid="{00000000-0005-0000-0000-000008400000}"/>
    <cellStyle name="Header 1(middle) 5 3 6" xfId="16392" xr:uid="{00000000-0005-0000-0000-000009400000}"/>
    <cellStyle name="Header 1(middle) 5 3 7" xfId="16393" xr:uid="{00000000-0005-0000-0000-00000A400000}"/>
    <cellStyle name="Header 1(middle) 5 3 8" xfId="16394" xr:uid="{00000000-0005-0000-0000-00000B400000}"/>
    <cellStyle name="Header 1(middle) 5 3 9" xfId="16395" xr:uid="{00000000-0005-0000-0000-00000C400000}"/>
    <cellStyle name="Header 1(middle) 5 4" xfId="16396" xr:uid="{00000000-0005-0000-0000-00000D400000}"/>
    <cellStyle name="Header 1(middle) 5 4 2" xfId="16397" xr:uid="{00000000-0005-0000-0000-00000E400000}"/>
    <cellStyle name="Header 1(middle) 5 4 2 2" xfId="16398" xr:uid="{00000000-0005-0000-0000-00000F400000}"/>
    <cellStyle name="Header 1(middle) 5 4 2 3" xfId="16399" xr:uid="{00000000-0005-0000-0000-000010400000}"/>
    <cellStyle name="Header 1(middle) 5 4 2 4" xfId="16400" xr:uid="{00000000-0005-0000-0000-000011400000}"/>
    <cellStyle name="Header 1(middle) 5 4 3" xfId="16401" xr:uid="{00000000-0005-0000-0000-000012400000}"/>
    <cellStyle name="Header 1(middle) 5 4 4" xfId="16402" xr:uid="{00000000-0005-0000-0000-000013400000}"/>
    <cellStyle name="Header 1(middle) 5 4 5" xfId="16403" xr:uid="{00000000-0005-0000-0000-000014400000}"/>
    <cellStyle name="Header 1(middle) 5 5" xfId="16404" xr:uid="{00000000-0005-0000-0000-000015400000}"/>
    <cellStyle name="Header 1(middle) 5 5 2" xfId="16405" xr:uid="{00000000-0005-0000-0000-000016400000}"/>
    <cellStyle name="Header 1(middle) 5 5 2 2" xfId="16406" xr:uid="{00000000-0005-0000-0000-000017400000}"/>
    <cellStyle name="Header 1(middle) 5 5 2 3" xfId="16407" xr:uid="{00000000-0005-0000-0000-000018400000}"/>
    <cellStyle name="Header 1(middle) 5 5 2 4" xfId="16408" xr:uid="{00000000-0005-0000-0000-000019400000}"/>
    <cellStyle name="Header 1(middle) 5 5 3" xfId="16409" xr:uid="{00000000-0005-0000-0000-00001A400000}"/>
    <cellStyle name="Header 1(middle) 5 5 4" xfId="16410" xr:uid="{00000000-0005-0000-0000-00001B400000}"/>
    <cellStyle name="Header 1(middle) 5 5 5" xfId="16411" xr:uid="{00000000-0005-0000-0000-00001C400000}"/>
    <cellStyle name="Header 1(middle) 5 6" xfId="16412" xr:uid="{00000000-0005-0000-0000-00001D400000}"/>
    <cellStyle name="Header 1(middle) 5 6 2" xfId="16413" xr:uid="{00000000-0005-0000-0000-00001E400000}"/>
    <cellStyle name="Header 1(middle) 5 7" xfId="16414" xr:uid="{00000000-0005-0000-0000-00001F400000}"/>
    <cellStyle name="Header 1(middle) 5 7 2" xfId="16415" xr:uid="{00000000-0005-0000-0000-000020400000}"/>
    <cellStyle name="Header 1(middle) 5 8" xfId="16416" xr:uid="{00000000-0005-0000-0000-000021400000}"/>
    <cellStyle name="Header 1(middle) 5 8 2" xfId="16417" xr:uid="{00000000-0005-0000-0000-000022400000}"/>
    <cellStyle name="Header 1(middle) 5 9" xfId="16418" xr:uid="{00000000-0005-0000-0000-000023400000}"/>
    <cellStyle name="Header 1(middle) 5 9 2" xfId="16419" xr:uid="{00000000-0005-0000-0000-000024400000}"/>
    <cellStyle name="Header 1(middle) 6" xfId="16420" xr:uid="{00000000-0005-0000-0000-000025400000}"/>
    <cellStyle name="Header 1(middle) 6 10" xfId="16421" xr:uid="{00000000-0005-0000-0000-000026400000}"/>
    <cellStyle name="Header 1(middle) 6 10 2" xfId="16422" xr:uid="{00000000-0005-0000-0000-000027400000}"/>
    <cellStyle name="Header 1(middle) 6 11" xfId="16423" xr:uid="{00000000-0005-0000-0000-000028400000}"/>
    <cellStyle name="Header 1(middle) 6 11 2" xfId="16424" xr:uid="{00000000-0005-0000-0000-000029400000}"/>
    <cellStyle name="Header 1(middle) 6 12" xfId="16425" xr:uid="{00000000-0005-0000-0000-00002A400000}"/>
    <cellStyle name="Header 1(middle) 6 13" xfId="16426" xr:uid="{00000000-0005-0000-0000-00002B400000}"/>
    <cellStyle name="Header 1(middle) 6 14" xfId="16427" xr:uid="{00000000-0005-0000-0000-00002C400000}"/>
    <cellStyle name="Header 1(middle) 6 2" xfId="16428" xr:uid="{00000000-0005-0000-0000-00002D400000}"/>
    <cellStyle name="Header 1(middle) 6 2 10" xfId="16429" xr:uid="{00000000-0005-0000-0000-00002E400000}"/>
    <cellStyle name="Header 1(middle) 6 2 10 2" xfId="16430" xr:uid="{00000000-0005-0000-0000-00002F400000}"/>
    <cellStyle name="Header 1(middle) 6 2 11" xfId="16431" xr:uid="{00000000-0005-0000-0000-000030400000}"/>
    <cellStyle name="Header 1(middle) 6 2 12" xfId="16432" xr:uid="{00000000-0005-0000-0000-000031400000}"/>
    <cellStyle name="Header 1(middle) 6 2 13" xfId="16433" xr:uid="{00000000-0005-0000-0000-000032400000}"/>
    <cellStyle name="Header 1(middle) 6 2 2" xfId="16434" xr:uid="{00000000-0005-0000-0000-000033400000}"/>
    <cellStyle name="Header 1(middle) 6 2 2 10" xfId="16435" xr:uid="{00000000-0005-0000-0000-000034400000}"/>
    <cellStyle name="Header 1(middle) 6 2 2 11" xfId="16436" xr:uid="{00000000-0005-0000-0000-000035400000}"/>
    <cellStyle name="Header 1(middle) 6 2 2 12" xfId="16437" xr:uid="{00000000-0005-0000-0000-000036400000}"/>
    <cellStyle name="Header 1(middle) 6 2 2 13" xfId="16438" xr:uid="{00000000-0005-0000-0000-000037400000}"/>
    <cellStyle name="Header 1(middle) 6 2 2 14" xfId="16439" xr:uid="{00000000-0005-0000-0000-000038400000}"/>
    <cellStyle name="Header 1(middle) 6 2 2 15" xfId="16440" xr:uid="{00000000-0005-0000-0000-000039400000}"/>
    <cellStyle name="Header 1(middle) 6 2 2 16" xfId="16441" xr:uid="{00000000-0005-0000-0000-00003A400000}"/>
    <cellStyle name="Header 1(middle) 6 2 2 17" xfId="16442" xr:uid="{00000000-0005-0000-0000-00003B400000}"/>
    <cellStyle name="Header 1(middle) 6 2 2 18" xfId="16443" xr:uid="{00000000-0005-0000-0000-00003C400000}"/>
    <cellStyle name="Header 1(middle) 6 2 2 19" xfId="16444" xr:uid="{00000000-0005-0000-0000-00003D400000}"/>
    <cellStyle name="Header 1(middle) 6 2 2 2" xfId="16445" xr:uid="{00000000-0005-0000-0000-00003E400000}"/>
    <cellStyle name="Header 1(middle) 6 2 2 2 2" xfId="16446" xr:uid="{00000000-0005-0000-0000-00003F400000}"/>
    <cellStyle name="Header 1(middle) 6 2 2 2 2 2" xfId="16447" xr:uid="{00000000-0005-0000-0000-000040400000}"/>
    <cellStyle name="Header 1(middle) 6 2 2 2 2 3" xfId="16448" xr:uid="{00000000-0005-0000-0000-000041400000}"/>
    <cellStyle name="Header 1(middle) 6 2 2 2 2 4" xfId="16449" xr:uid="{00000000-0005-0000-0000-000042400000}"/>
    <cellStyle name="Header 1(middle) 6 2 2 2 3" xfId="16450" xr:uid="{00000000-0005-0000-0000-000043400000}"/>
    <cellStyle name="Header 1(middle) 6 2 2 2 3 2" xfId="16451" xr:uid="{00000000-0005-0000-0000-000044400000}"/>
    <cellStyle name="Header 1(middle) 6 2 2 2 3 3" xfId="16452" xr:uid="{00000000-0005-0000-0000-000045400000}"/>
    <cellStyle name="Header 1(middle) 6 2 2 2 3 4" xfId="16453" xr:uid="{00000000-0005-0000-0000-000046400000}"/>
    <cellStyle name="Header 1(middle) 6 2 2 2 4" xfId="16454" xr:uid="{00000000-0005-0000-0000-000047400000}"/>
    <cellStyle name="Header 1(middle) 6 2 2 2 5" xfId="16455" xr:uid="{00000000-0005-0000-0000-000048400000}"/>
    <cellStyle name="Header 1(middle) 6 2 2 2 6" xfId="16456" xr:uid="{00000000-0005-0000-0000-000049400000}"/>
    <cellStyle name="Header 1(middle) 6 2 2 20" xfId="16457" xr:uid="{00000000-0005-0000-0000-00004A400000}"/>
    <cellStyle name="Header 1(middle) 6 2 2 3" xfId="16458" xr:uid="{00000000-0005-0000-0000-00004B400000}"/>
    <cellStyle name="Header 1(middle) 6 2 2 3 2" xfId="16459" xr:uid="{00000000-0005-0000-0000-00004C400000}"/>
    <cellStyle name="Header 1(middle) 6 2 2 3 2 2" xfId="16460" xr:uid="{00000000-0005-0000-0000-00004D400000}"/>
    <cellStyle name="Header 1(middle) 6 2 2 3 2 3" xfId="16461" xr:uid="{00000000-0005-0000-0000-00004E400000}"/>
    <cellStyle name="Header 1(middle) 6 2 2 3 2 4" xfId="16462" xr:uid="{00000000-0005-0000-0000-00004F400000}"/>
    <cellStyle name="Header 1(middle) 6 2 2 3 3" xfId="16463" xr:uid="{00000000-0005-0000-0000-000050400000}"/>
    <cellStyle name="Header 1(middle) 6 2 2 3 4" xfId="16464" xr:uid="{00000000-0005-0000-0000-000051400000}"/>
    <cellStyle name="Header 1(middle) 6 2 2 3 5" xfId="16465" xr:uid="{00000000-0005-0000-0000-000052400000}"/>
    <cellStyle name="Header 1(middle) 6 2 2 4" xfId="16466" xr:uid="{00000000-0005-0000-0000-000053400000}"/>
    <cellStyle name="Header 1(middle) 6 2 2 4 2" xfId="16467" xr:uid="{00000000-0005-0000-0000-000054400000}"/>
    <cellStyle name="Header 1(middle) 6 2 2 4 3" xfId="16468" xr:uid="{00000000-0005-0000-0000-000055400000}"/>
    <cellStyle name="Header 1(middle) 6 2 2 4 4" xfId="16469" xr:uid="{00000000-0005-0000-0000-000056400000}"/>
    <cellStyle name="Header 1(middle) 6 2 2 5" xfId="16470" xr:uid="{00000000-0005-0000-0000-000057400000}"/>
    <cellStyle name="Header 1(middle) 6 2 2 6" xfId="16471" xr:uid="{00000000-0005-0000-0000-000058400000}"/>
    <cellStyle name="Header 1(middle) 6 2 2 7" xfId="16472" xr:uid="{00000000-0005-0000-0000-000059400000}"/>
    <cellStyle name="Header 1(middle) 6 2 2 8" xfId="16473" xr:uid="{00000000-0005-0000-0000-00005A400000}"/>
    <cellStyle name="Header 1(middle) 6 2 2 9" xfId="16474" xr:uid="{00000000-0005-0000-0000-00005B400000}"/>
    <cellStyle name="Header 1(middle) 6 2 3" xfId="16475" xr:uid="{00000000-0005-0000-0000-00005C400000}"/>
    <cellStyle name="Header 1(middle) 6 2 3 2" xfId="16476" xr:uid="{00000000-0005-0000-0000-00005D400000}"/>
    <cellStyle name="Header 1(middle) 6 2 3 2 2" xfId="16477" xr:uid="{00000000-0005-0000-0000-00005E400000}"/>
    <cellStyle name="Header 1(middle) 6 2 3 2 3" xfId="16478" xr:uid="{00000000-0005-0000-0000-00005F400000}"/>
    <cellStyle name="Header 1(middle) 6 2 3 2 4" xfId="16479" xr:uid="{00000000-0005-0000-0000-000060400000}"/>
    <cellStyle name="Header 1(middle) 6 2 3 3" xfId="16480" xr:uid="{00000000-0005-0000-0000-000061400000}"/>
    <cellStyle name="Header 1(middle) 6 2 3 4" xfId="16481" xr:uid="{00000000-0005-0000-0000-000062400000}"/>
    <cellStyle name="Header 1(middle) 6 2 3 5" xfId="16482" xr:uid="{00000000-0005-0000-0000-000063400000}"/>
    <cellStyle name="Header 1(middle) 6 2 4" xfId="16483" xr:uid="{00000000-0005-0000-0000-000064400000}"/>
    <cellStyle name="Header 1(middle) 6 2 4 2" xfId="16484" xr:uid="{00000000-0005-0000-0000-000065400000}"/>
    <cellStyle name="Header 1(middle) 6 2 4 2 2" xfId="16485" xr:uid="{00000000-0005-0000-0000-000066400000}"/>
    <cellStyle name="Header 1(middle) 6 2 4 2 3" xfId="16486" xr:uid="{00000000-0005-0000-0000-000067400000}"/>
    <cellStyle name="Header 1(middle) 6 2 4 2 4" xfId="16487" xr:uid="{00000000-0005-0000-0000-000068400000}"/>
    <cellStyle name="Header 1(middle) 6 2 4 3" xfId="16488" xr:uid="{00000000-0005-0000-0000-000069400000}"/>
    <cellStyle name="Header 1(middle) 6 2 4 4" xfId="16489" xr:uid="{00000000-0005-0000-0000-00006A400000}"/>
    <cellStyle name="Header 1(middle) 6 2 4 5" xfId="16490" xr:uid="{00000000-0005-0000-0000-00006B400000}"/>
    <cellStyle name="Header 1(middle) 6 2 5" xfId="16491" xr:uid="{00000000-0005-0000-0000-00006C400000}"/>
    <cellStyle name="Header 1(middle) 6 2 5 2" xfId="16492" xr:uid="{00000000-0005-0000-0000-00006D400000}"/>
    <cellStyle name="Header 1(middle) 6 2 6" xfId="16493" xr:uid="{00000000-0005-0000-0000-00006E400000}"/>
    <cellStyle name="Header 1(middle) 6 2 6 2" xfId="16494" xr:uid="{00000000-0005-0000-0000-00006F400000}"/>
    <cellStyle name="Header 1(middle) 6 2 7" xfId="16495" xr:uid="{00000000-0005-0000-0000-000070400000}"/>
    <cellStyle name="Header 1(middle) 6 2 7 2" xfId="16496" xr:uid="{00000000-0005-0000-0000-000071400000}"/>
    <cellStyle name="Header 1(middle) 6 2 8" xfId="16497" xr:uid="{00000000-0005-0000-0000-000072400000}"/>
    <cellStyle name="Header 1(middle) 6 2 8 2" xfId="16498" xr:uid="{00000000-0005-0000-0000-000073400000}"/>
    <cellStyle name="Header 1(middle) 6 2 9" xfId="16499" xr:uid="{00000000-0005-0000-0000-000074400000}"/>
    <cellStyle name="Header 1(middle) 6 2 9 2" xfId="16500" xr:uid="{00000000-0005-0000-0000-000075400000}"/>
    <cellStyle name="Header 1(middle) 6 3" xfId="16501" xr:uid="{00000000-0005-0000-0000-000076400000}"/>
    <cellStyle name="Header 1(middle) 6 3 10" xfId="16502" xr:uid="{00000000-0005-0000-0000-000077400000}"/>
    <cellStyle name="Header 1(middle) 6 3 11" xfId="16503" xr:uid="{00000000-0005-0000-0000-000078400000}"/>
    <cellStyle name="Header 1(middle) 6 3 12" xfId="16504" xr:uid="{00000000-0005-0000-0000-000079400000}"/>
    <cellStyle name="Header 1(middle) 6 3 13" xfId="16505" xr:uid="{00000000-0005-0000-0000-00007A400000}"/>
    <cellStyle name="Header 1(middle) 6 3 14" xfId="16506" xr:uid="{00000000-0005-0000-0000-00007B400000}"/>
    <cellStyle name="Header 1(middle) 6 3 15" xfId="16507" xr:uid="{00000000-0005-0000-0000-00007C400000}"/>
    <cellStyle name="Header 1(middle) 6 3 16" xfId="16508" xr:uid="{00000000-0005-0000-0000-00007D400000}"/>
    <cellStyle name="Header 1(middle) 6 3 17" xfId="16509" xr:uid="{00000000-0005-0000-0000-00007E400000}"/>
    <cellStyle name="Header 1(middle) 6 3 18" xfId="16510" xr:uid="{00000000-0005-0000-0000-00007F400000}"/>
    <cellStyle name="Header 1(middle) 6 3 19" xfId="16511" xr:uid="{00000000-0005-0000-0000-000080400000}"/>
    <cellStyle name="Header 1(middle) 6 3 2" xfId="16512" xr:uid="{00000000-0005-0000-0000-000081400000}"/>
    <cellStyle name="Header 1(middle) 6 3 2 2" xfId="16513" xr:uid="{00000000-0005-0000-0000-000082400000}"/>
    <cellStyle name="Header 1(middle) 6 3 2 2 2" xfId="16514" xr:uid="{00000000-0005-0000-0000-000083400000}"/>
    <cellStyle name="Header 1(middle) 6 3 2 2 3" xfId="16515" xr:uid="{00000000-0005-0000-0000-000084400000}"/>
    <cellStyle name="Header 1(middle) 6 3 2 2 4" xfId="16516" xr:uid="{00000000-0005-0000-0000-000085400000}"/>
    <cellStyle name="Header 1(middle) 6 3 2 3" xfId="16517" xr:uid="{00000000-0005-0000-0000-000086400000}"/>
    <cellStyle name="Header 1(middle) 6 3 2 3 2" xfId="16518" xr:uid="{00000000-0005-0000-0000-000087400000}"/>
    <cellStyle name="Header 1(middle) 6 3 2 3 3" xfId="16519" xr:uid="{00000000-0005-0000-0000-000088400000}"/>
    <cellStyle name="Header 1(middle) 6 3 2 3 4" xfId="16520" xr:uid="{00000000-0005-0000-0000-000089400000}"/>
    <cellStyle name="Header 1(middle) 6 3 2 4" xfId="16521" xr:uid="{00000000-0005-0000-0000-00008A400000}"/>
    <cellStyle name="Header 1(middle) 6 3 2 5" xfId="16522" xr:uid="{00000000-0005-0000-0000-00008B400000}"/>
    <cellStyle name="Header 1(middle) 6 3 2 6" xfId="16523" xr:uid="{00000000-0005-0000-0000-00008C400000}"/>
    <cellStyle name="Header 1(middle) 6 3 20" xfId="16524" xr:uid="{00000000-0005-0000-0000-00008D400000}"/>
    <cellStyle name="Header 1(middle) 6 3 3" xfId="16525" xr:uid="{00000000-0005-0000-0000-00008E400000}"/>
    <cellStyle name="Header 1(middle) 6 3 3 2" xfId="16526" xr:uid="{00000000-0005-0000-0000-00008F400000}"/>
    <cellStyle name="Header 1(middle) 6 3 3 2 2" xfId="16527" xr:uid="{00000000-0005-0000-0000-000090400000}"/>
    <cellStyle name="Header 1(middle) 6 3 3 2 3" xfId="16528" xr:uid="{00000000-0005-0000-0000-000091400000}"/>
    <cellStyle name="Header 1(middle) 6 3 3 2 4" xfId="16529" xr:uid="{00000000-0005-0000-0000-000092400000}"/>
    <cellStyle name="Header 1(middle) 6 3 3 3" xfId="16530" xr:uid="{00000000-0005-0000-0000-000093400000}"/>
    <cellStyle name="Header 1(middle) 6 3 3 4" xfId="16531" xr:uid="{00000000-0005-0000-0000-000094400000}"/>
    <cellStyle name="Header 1(middle) 6 3 3 5" xfId="16532" xr:uid="{00000000-0005-0000-0000-000095400000}"/>
    <cellStyle name="Header 1(middle) 6 3 4" xfId="16533" xr:uid="{00000000-0005-0000-0000-000096400000}"/>
    <cellStyle name="Header 1(middle) 6 3 4 2" xfId="16534" xr:uid="{00000000-0005-0000-0000-000097400000}"/>
    <cellStyle name="Header 1(middle) 6 3 4 3" xfId="16535" xr:uid="{00000000-0005-0000-0000-000098400000}"/>
    <cellStyle name="Header 1(middle) 6 3 4 4" xfId="16536" xr:uid="{00000000-0005-0000-0000-000099400000}"/>
    <cellStyle name="Header 1(middle) 6 3 5" xfId="16537" xr:uid="{00000000-0005-0000-0000-00009A400000}"/>
    <cellStyle name="Header 1(middle) 6 3 6" xfId="16538" xr:uid="{00000000-0005-0000-0000-00009B400000}"/>
    <cellStyle name="Header 1(middle) 6 3 7" xfId="16539" xr:uid="{00000000-0005-0000-0000-00009C400000}"/>
    <cellStyle name="Header 1(middle) 6 3 8" xfId="16540" xr:uid="{00000000-0005-0000-0000-00009D400000}"/>
    <cellStyle name="Header 1(middle) 6 3 9" xfId="16541" xr:uid="{00000000-0005-0000-0000-00009E400000}"/>
    <cellStyle name="Header 1(middle) 6 4" xfId="16542" xr:uid="{00000000-0005-0000-0000-00009F400000}"/>
    <cellStyle name="Header 1(middle) 6 4 2" xfId="16543" xr:uid="{00000000-0005-0000-0000-0000A0400000}"/>
    <cellStyle name="Header 1(middle) 6 4 2 2" xfId="16544" xr:uid="{00000000-0005-0000-0000-0000A1400000}"/>
    <cellStyle name="Header 1(middle) 6 4 2 3" xfId="16545" xr:uid="{00000000-0005-0000-0000-0000A2400000}"/>
    <cellStyle name="Header 1(middle) 6 4 2 4" xfId="16546" xr:uid="{00000000-0005-0000-0000-0000A3400000}"/>
    <cellStyle name="Header 1(middle) 6 4 3" xfId="16547" xr:uid="{00000000-0005-0000-0000-0000A4400000}"/>
    <cellStyle name="Header 1(middle) 6 4 4" xfId="16548" xr:uid="{00000000-0005-0000-0000-0000A5400000}"/>
    <cellStyle name="Header 1(middle) 6 4 5" xfId="16549" xr:uid="{00000000-0005-0000-0000-0000A6400000}"/>
    <cellStyle name="Header 1(middle) 6 5" xfId="16550" xr:uid="{00000000-0005-0000-0000-0000A7400000}"/>
    <cellStyle name="Header 1(middle) 6 5 2" xfId="16551" xr:uid="{00000000-0005-0000-0000-0000A8400000}"/>
    <cellStyle name="Header 1(middle) 6 5 2 2" xfId="16552" xr:uid="{00000000-0005-0000-0000-0000A9400000}"/>
    <cellStyle name="Header 1(middle) 6 5 2 3" xfId="16553" xr:uid="{00000000-0005-0000-0000-0000AA400000}"/>
    <cellStyle name="Header 1(middle) 6 5 2 4" xfId="16554" xr:uid="{00000000-0005-0000-0000-0000AB400000}"/>
    <cellStyle name="Header 1(middle) 6 5 3" xfId="16555" xr:uid="{00000000-0005-0000-0000-0000AC400000}"/>
    <cellStyle name="Header 1(middle) 6 5 4" xfId="16556" xr:uid="{00000000-0005-0000-0000-0000AD400000}"/>
    <cellStyle name="Header 1(middle) 6 5 5" xfId="16557" xr:uid="{00000000-0005-0000-0000-0000AE400000}"/>
    <cellStyle name="Header 1(middle) 6 6" xfId="16558" xr:uid="{00000000-0005-0000-0000-0000AF400000}"/>
    <cellStyle name="Header 1(middle) 6 6 2" xfId="16559" xr:uid="{00000000-0005-0000-0000-0000B0400000}"/>
    <cellStyle name="Header 1(middle) 6 7" xfId="16560" xr:uid="{00000000-0005-0000-0000-0000B1400000}"/>
    <cellStyle name="Header 1(middle) 6 7 2" xfId="16561" xr:uid="{00000000-0005-0000-0000-0000B2400000}"/>
    <cellStyle name="Header 1(middle) 6 8" xfId="16562" xr:uid="{00000000-0005-0000-0000-0000B3400000}"/>
    <cellStyle name="Header 1(middle) 6 8 2" xfId="16563" xr:uid="{00000000-0005-0000-0000-0000B4400000}"/>
    <cellStyle name="Header 1(middle) 6 9" xfId="16564" xr:uid="{00000000-0005-0000-0000-0000B5400000}"/>
    <cellStyle name="Header 1(middle) 6 9 2" xfId="16565" xr:uid="{00000000-0005-0000-0000-0000B6400000}"/>
    <cellStyle name="Header 1(middle) 7" xfId="16566" xr:uid="{00000000-0005-0000-0000-0000B7400000}"/>
    <cellStyle name="Header 1(middle) 7 10" xfId="16567" xr:uid="{00000000-0005-0000-0000-0000B8400000}"/>
    <cellStyle name="Header 1(middle) 7 10 2" xfId="16568" xr:uid="{00000000-0005-0000-0000-0000B9400000}"/>
    <cellStyle name="Header 1(middle) 7 11" xfId="16569" xr:uid="{00000000-0005-0000-0000-0000BA400000}"/>
    <cellStyle name="Header 1(middle) 7 11 2" xfId="16570" xr:uid="{00000000-0005-0000-0000-0000BB400000}"/>
    <cellStyle name="Header 1(middle) 7 12" xfId="16571" xr:uid="{00000000-0005-0000-0000-0000BC400000}"/>
    <cellStyle name="Header 1(middle) 7 13" xfId="16572" xr:uid="{00000000-0005-0000-0000-0000BD400000}"/>
    <cellStyle name="Header 1(middle) 7 14" xfId="16573" xr:uid="{00000000-0005-0000-0000-0000BE400000}"/>
    <cellStyle name="Header 1(middle) 7 2" xfId="16574" xr:uid="{00000000-0005-0000-0000-0000BF400000}"/>
    <cellStyle name="Header 1(middle) 7 2 10" xfId="16575" xr:uid="{00000000-0005-0000-0000-0000C0400000}"/>
    <cellStyle name="Header 1(middle) 7 2 10 2" xfId="16576" xr:uid="{00000000-0005-0000-0000-0000C1400000}"/>
    <cellStyle name="Header 1(middle) 7 2 11" xfId="16577" xr:uid="{00000000-0005-0000-0000-0000C2400000}"/>
    <cellStyle name="Header 1(middle) 7 2 12" xfId="16578" xr:uid="{00000000-0005-0000-0000-0000C3400000}"/>
    <cellStyle name="Header 1(middle) 7 2 13" xfId="16579" xr:uid="{00000000-0005-0000-0000-0000C4400000}"/>
    <cellStyle name="Header 1(middle) 7 2 2" xfId="16580" xr:uid="{00000000-0005-0000-0000-0000C5400000}"/>
    <cellStyle name="Header 1(middle) 7 2 2 10" xfId="16581" xr:uid="{00000000-0005-0000-0000-0000C6400000}"/>
    <cellStyle name="Header 1(middle) 7 2 2 11" xfId="16582" xr:uid="{00000000-0005-0000-0000-0000C7400000}"/>
    <cellStyle name="Header 1(middle) 7 2 2 12" xfId="16583" xr:uid="{00000000-0005-0000-0000-0000C8400000}"/>
    <cellStyle name="Header 1(middle) 7 2 2 13" xfId="16584" xr:uid="{00000000-0005-0000-0000-0000C9400000}"/>
    <cellStyle name="Header 1(middle) 7 2 2 14" xfId="16585" xr:uid="{00000000-0005-0000-0000-0000CA400000}"/>
    <cellStyle name="Header 1(middle) 7 2 2 15" xfId="16586" xr:uid="{00000000-0005-0000-0000-0000CB400000}"/>
    <cellStyle name="Header 1(middle) 7 2 2 16" xfId="16587" xr:uid="{00000000-0005-0000-0000-0000CC400000}"/>
    <cellStyle name="Header 1(middle) 7 2 2 17" xfId="16588" xr:uid="{00000000-0005-0000-0000-0000CD400000}"/>
    <cellStyle name="Header 1(middle) 7 2 2 18" xfId="16589" xr:uid="{00000000-0005-0000-0000-0000CE400000}"/>
    <cellStyle name="Header 1(middle) 7 2 2 19" xfId="16590" xr:uid="{00000000-0005-0000-0000-0000CF400000}"/>
    <cellStyle name="Header 1(middle) 7 2 2 2" xfId="16591" xr:uid="{00000000-0005-0000-0000-0000D0400000}"/>
    <cellStyle name="Header 1(middle) 7 2 2 2 2" xfId="16592" xr:uid="{00000000-0005-0000-0000-0000D1400000}"/>
    <cellStyle name="Header 1(middle) 7 2 2 2 2 2" xfId="16593" xr:uid="{00000000-0005-0000-0000-0000D2400000}"/>
    <cellStyle name="Header 1(middle) 7 2 2 2 2 3" xfId="16594" xr:uid="{00000000-0005-0000-0000-0000D3400000}"/>
    <cellStyle name="Header 1(middle) 7 2 2 2 2 4" xfId="16595" xr:uid="{00000000-0005-0000-0000-0000D4400000}"/>
    <cellStyle name="Header 1(middle) 7 2 2 2 3" xfId="16596" xr:uid="{00000000-0005-0000-0000-0000D5400000}"/>
    <cellStyle name="Header 1(middle) 7 2 2 2 3 2" xfId="16597" xr:uid="{00000000-0005-0000-0000-0000D6400000}"/>
    <cellStyle name="Header 1(middle) 7 2 2 2 3 3" xfId="16598" xr:uid="{00000000-0005-0000-0000-0000D7400000}"/>
    <cellStyle name="Header 1(middle) 7 2 2 2 3 4" xfId="16599" xr:uid="{00000000-0005-0000-0000-0000D8400000}"/>
    <cellStyle name="Header 1(middle) 7 2 2 2 4" xfId="16600" xr:uid="{00000000-0005-0000-0000-0000D9400000}"/>
    <cellStyle name="Header 1(middle) 7 2 2 2 5" xfId="16601" xr:uid="{00000000-0005-0000-0000-0000DA400000}"/>
    <cellStyle name="Header 1(middle) 7 2 2 2 6" xfId="16602" xr:uid="{00000000-0005-0000-0000-0000DB400000}"/>
    <cellStyle name="Header 1(middle) 7 2 2 20" xfId="16603" xr:uid="{00000000-0005-0000-0000-0000DC400000}"/>
    <cellStyle name="Header 1(middle) 7 2 2 3" xfId="16604" xr:uid="{00000000-0005-0000-0000-0000DD400000}"/>
    <cellStyle name="Header 1(middle) 7 2 2 3 2" xfId="16605" xr:uid="{00000000-0005-0000-0000-0000DE400000}"/>
    <cellStyle name="Header 1(middle) 7 2 2 3 2 2" xfId="16606" xr:uid="{00000000-0005-0000-0000-0000DF400000}"/>
    <cellStyle name="Header 1(middle) 7 2 2 3 2 3" xfId="16607" xr:uid="{00000000-0005-0000-0000-0000E0400000}"/>
    <cellStyle name="Header 1(middle) 7 2 2 3 2 4" xfId="16608" xr:uid="{00000000-0005-0000-0000-0000E1400000}"/>
    <cellStyle name="Header 1(middle) 7 2 2 3 3" xfId="16609" xr:uid="{00000000-0005-0000-0000-0000E2400000}"/>
    <cellStyle name="Header 1(middle) 7 2 2 3 4" xfId="16610" xr:uid="{00000000-0005-0000-0000-0000E3400000}"/>
    <cellStyle name="Header 1(middle) 7 2 2 3 5" xfId="16611" xr:uid="{00000000-0005-0000-0000-0000E4400000}"/>
    <cellStyle name="Header 1(middle) 7 2 2 4" xfId="16612" xr:uid="{00000000-0005-0000-0000-0000E5400000}"/>
    <cellStyle name="Header 1(middle) 7 2 2 4 2" xfId="16613" xr:uid="{00000000-0005-0000-0000-0000E6400000}"/>
    <cellStyle name="Header 1(middle) 7 2 2 4 3" xfId="16614" xr:uid="{00000000-0005-0000-0000-0000E7400000}"/>
    <cellStyle name="Header 1(middle) 7 2 2 4 4" xfId="16615" xr:uid="{00000000-0005-0000-0000-0000E8400000}"/>
    <cellStyle name="Header 1(middle) 7 2 2 5" xfId="16616" xr:uid="{00000000-0005-0000-0000-0000E9400000}"/>
    <cellStyle name="Header 1(middle) 7 2 2 6" xfId="16617" xr:uid="{00000000-0005-0000-0000-0000EA400000}"/>
    <cellStyle name="Header 1(middle) 7 2 2 7" xfId="16618" xr:uid="{00000000-0005-0000-0000-0000EB400000}"/>
    <cellStyle name="Header 1(middle) 7 2 2 8" xfId="16619" xr:uid="{00000000-0005-0000-0000-0000EC400000}"/>
    <cellStyle name="Header 1(middle) 7 2 2 9" xfId="16620" xr:uid="{00000000-0005-0000-0000-0000ED400000}"/>
    <cellStyle name="Header 1(middle) 7 2 3" xfId="16621" xr:uid="{00000000-0005-0000-0000-0000EE400000}"/>
    <cellStyle name="Header 1(middle) 7 2 3 2" xfId="16622" xr:uid="{00000000-0005-0000-0000-0000EF400000}"/>
    <cellStyle name="Header 1(middle) 7 2 3 2 2" xfId="16623" xr:uid="{00000000-0005-0000-0000-0000F0400000}"/>
    <cellStyle name="Header 1(middle) 7 2 3 2 3" xfId="16624" xr:uid="{00000000-0005-0000-0000-0000F1400000}"/>
    <cellStyle name="Header 1(middle) 7 2 3 2 4" xfId="16625" xr:uid="{00000000-0005-0000-0000-0000F2400000}"/>
    <cellStyle name="Header 1(middle) 7 2 3 3" xfId="16626" xr:uid="{00000000-0005-0000-0000-0000F3400000}"/>
    <cellStyle name="Header 1(middle) 7 2 3 4" xfId="16627" xr:uid="{00000000-0005-0000-0000-0000F4400000}"/>
    <cellStyle name="Header 1(middle) 7 2 3 5" xfId="16628" xr:uid="{00000000-0005-0000-0000-0000F5400000}"/>
    <cellStyle name="Header 1(middle) 7 2 4" xfId="16629" xr:uid="{00000000-0005-0000-0000-0000F6400000}"/>
    <cellStyle name="Header 1(middle) 7 2 4 2" xfId="16630" xr:uid="{00000000-0005-0000-0000-0000F7400000}"/>
    <cellStyle name="Header 1(middle) 7 2 4 2 2" xfId="16631" xr:uid="{00000000-0005-0000-0000-0000F8400000}"/>
    <cellStyle name="Header 1(middle) 7 2 4 2 3" xfId="16632" xr:uid="{00000000-0005-0000-0000-0000F9400000}"/>
    <cellStyle name="Header 1(middle) 7 2 4 2 4" xfId="16633" xr:uid="{00000000-0005-0000-0000-0000FA400000}"/>
    <cellStyle name="Header 1(middle) 7 2 4 3" xfId="16634" xr:uid="{00000000-0005-0000-0000-0000FB400000}"/>
    <cellStyle name="Header 1(middle) 7 2 4 4" xfId="16635" xr:uid="{00000000-0005-0000-0000-0000FC400000}"/>
    <cellStyle name="Header 1(middle) 7 2 4 5" xfId="16636" xr:uid="{00000000-0005-0000-0000-0000FD400000}"/>
    <cellStyle name="Header 1(middle) 7 2 5" xfId="16637" xr:uid="{00000000-0005-0000-0000-0000FE400000}"/>
    <cellStyle name="Header 1(middle) 7 2 5 2" xfId="16638" xr:uid="{00000000-0005-0000-0000-0000FF400000}"/>
    <cellStyle name="Header 1(middle) 7 2 6" xfId="16639" xr:uid="{00000000-0005-0000-0000-000000410000}"/>
    <cellStyle name="Header 1(middle) 7 2 6 2" xfId="16640" xr:uid="{00000000-0005-0000-0000-000001410000}"/>
    <cellStyle name="Header 1(middle) 7 2 7" xfId="16641" xr:uid="{00000000-0005-0000-0000-000002410000}"/>
    <cellStyle name="Header 1(middle) 7 2 7 2" xfId="16642" xr:uid="{00000000-0005-0000-0000-000003410000}"/>
    <cellStyle name="Header 1(middle) 7 2 8" xfId="16643" xr:uid="{00000000-0005-0000-0000-000004410000}"/>
    <cellStyle name="Header 1(middle) 7 2 8 2" xfId="16644" xr:uid="{00000000-0005-0000-0000-000005410000}"/>
    <cellStyle name="Header 1(middle) 7 2 9" xfId="16645" xr:uid="{00000000-0005-0000-0000-000006410000}"/>
    <cellStyle name="Header 1(middle) 7 2 9 2" xfId="16646" xr:uid="{00000000-0005-0000-0000-000007410000}"/>
    <cellStyle name="Header 1(middle) 7 3" xfId="16647" xr:uid="{00000000-0005-0000-0000-000008410000}"/>
    <cellStyle name="Header 1(middle) 7 3 10" xfId="16648" xr:uid="{00000000-0005-0000-0000-000009410000}"/>
    <cellStyle name="Header 1(middle) 7 3 11" xfId="16649" xr:uid="{00000000-0005-0000-0000-00000A410000}"/>
    <cellStyle name="Header 1(middle) 7 3 12" xfId="16650" xr:uid="{00000000-0005-0000-0000-00000B410000}"/>
    <cellStyle name="Header 1(middle) 7 3 13" xfId="16651" xr:uid="{00000000-0005-0000-0000-00000C410000}"/>
    <cellStyle name="Header 1(middle) 7 3 14" xfId="16652" xr:uid="{00000000-0005-0000-0000-00000D410000}"/>
    <cellStyle name="Header 1(middle) 7 3 15" xfId="16653" xr:uid="{00000000-0005-0000-0000-00000E410000}"/>
    <cellStyle name="Header 1(middle) 7 3 16" xfId="16654" xr:uid="{00000000-0005-0000-0000-00000F410000}"/>
    <cellStyle name="Header 1(middle) 7 3 17" xfId="16655" xr:uid="{00000000-0005-0000-0000-000010410000}"/>
    <cellStyle name="Header 1(middle) 7 3 18" xfId="16656" xr:uid="{00000000-0005-0000-0000-000011410000}"/>
    <cellStyle name="Header 1(middle) 7 3 19" xfId="16657" xr:uid="{00000000-0005-0000-0000-000012410000}"/>
    <cellStyle name="Header 1(middle) 7 3 2" xfId="16658" xr:uid="{00000000-0005-0000-0000-000013410000}"/>
    <cellStyle name="Header 1(middle) 7 3 2 2" xfId="16659" xr:uid="{00000000-0005-0000-0000-000014410000}"/>
    <cellStyle name="Header 1(middle) 7 3 2 2 2" xfId="16660" xr:uid="{00000000-0005-0000-0000-000015410000}"/>
    <cellStyle name="Header 1(middle) 7 3 2 2 3" xfId="16661" xr:uid="{00000000-0005-0000-0000-000016410000}"/>
    <cellStyle name="Header 1(middle) 7 3 2 2 4" xfId="16662" xr:uid="{00000000-0005-0000-0000-000017410000}"/>
    <cellStyle name="Header 1(middle) 7 3 2 3" xfId="16663" xr:uid="{00000000-0005-0000-0000-000018410000}"/>
    <cellStyle name="Header 1(middle) 7 3 2 3 2" xfId="16664" xr:uid="{00000000-0005-0000-0000-000019410000}"/>
    <cellStyle name="Header 1(middle) 7 3 2 3 3" xfId="16665" xr:uid="{00000000-0005-0000-0000-00001A410000}"/>
    <cellStyle name="Header 1(middle) 7 3 2 3 4" xfId="16666" xr:uid="{00000000-0005-0000-0000-00001B410000}"/>
    <cellStyle name="Header 1(middle) 7 3 2 4" xfId="16667" xr:uid="{00000000-0005-0000-0000-00001C410000}"/>
    <cellStyle name="Header 1(middle) 7 3 2 5" xfId="16668" xr:uid="{00000000-0005-0000-0000-00001D410000}"/>
    <cellStyle name="Header 1(middle) 7 3 2 6" xfId="16669" xr:uid="{00000000-0005-0000-0000-00001E410000}"/>
    <cellStyle name="Header 1(middle) 7 3 20" xfId="16670" xr:uid="{00000000-0005-0000-0000-00001F410000}"/>
    <cellStyle name="Header 1(middle) 7 3 3" xfId="16671" xr:uid="{00000000-0005-0000-0000-000020410000}"/>
    <cellStyle name="Header 1(middle) 7 3 3 2" xfId="16672" xr:uid="{00000000-0005-0000-0000-000021410000}"/>
    <cellStyle name="Header 1(middle) 7 3 3 2 2" xfId="16673" xr:uid="{00000000-0005-0000-0000-000022410000}"/>
    <cellStyle name="Header 1(middle) 7 3 3 2 3" xfId="16674" xr:uid="{00000000-0005-0000-0000-000023410000}"/>
    <cellStyle name="Header 1(middle) 7 3 3 2 4" xfId="16675" xr:uid="{00000000-0005-0000-0000-000024410000}"/>
    <cellStyle name="Header 1(middle) 7 3 3 3" xfId="16676" xr:uid="{00000000-0005-0000-0000-000025410000}"/>
    <cellStyle name="Header 1(middle) 7 3 3 4" xfId="16677" xr:uid="{00000000-0005-0000-0000-000026410000}"/>
    <cellStyle name="Header 1(middle) 7 3 3 5" xfId="16678" xr:uid="{00000000-0005-0000-0000-000027410000}"/>
    <cellStyle name="Header 1(middle) 7 3 4" xfId="16679" xr:uid="{00000000-0005-0000-0000-000028410000}"/>
    <cellStyle name="Header 1(middle) 7 3 4 2" xfId="16680" xr:uid="{00000000-0005-0000-0000-000029410000}"/>
    <cellStyle name="Header 1(middle) 7 3 4 3" xfId="16681" xr:uid="{00000000-0005-0000-0000-00002A410000}"/>
    <cellStyle name="Header 1(middle) 7 3 4 4" xfId="16682" xr:uid="{00000000-0005-0000-0000-00002B410000}"/>
    <cellStyle name="Header 1(middle) 7 3 5" xfId="16683" xr:uid="{00000000-0005-0000-0000-00002C410000}"/>
    <cellStyle name="Header 1(middle) 7 3 6" xfId="16684" xr:uid="{00000000-0005-0000-0000-00002D410000}"/>
    <cellStyle name="Header 1(middle) 7 3 7" xfId="16685" xr:uid="{00000000-0005-0000-0000-00002E410000}"/>
    <cellStyle name="Header 1(middle) 7 3 8" xfId="16686" xr:uid="{00000000-0005-0000-0000-00002F410000}"/>
    <cellStyle name="Header 1(middle) 7 3 9" xfId="16687" xr:uid="{00000000-0005-0000-0000-000030410000}"/>
    <cellStyle name="Header 1(middle) 7 4" xfId="16688" xr:uid="{00000000-0005-0000-0000-000031410000}"/>
    <cellStyle name="Header 1(middle) 7 4 2" xfId="16689" xr:uid="{00000000-0005-0000-0000-000032410000}"/>
    <cellStyle name="Header 1(middle) 7 4 2 2" xfId="16690" xr:uid="{00000000-0005-0000-0000-000033410000}"/>
    <cellStyle name="Header 1(middle) 7 4 2 3" xfId="16691" xr:uid="{00000000-0005-0000-0000-000034410000}"/>
    <cellStyle name="Header 1(middle) 7 4 2 4" xfId="16692" xr:uid="{00000000-0005-0000-0000-000035410000}"/>
    <cellStyle name="Header 1(middle) 7 4 3" xfId="16693" xr:uid="{00000000-0005-0000-0000-000036410000}"/>
    <cellStyle name="Header 1(middle) 7 4 4" xfId="16694" xr:uid="{00000000-0005-0000-0000-000037410000}"/>
    <cellStyle name="Header 1(middle) 7 4 5" xfId="16695" xr:uid="{00000000-0005-0000-0000-000038410000}"/>
    <cellStyle name="Header 1(middle) 7 5" xfId="16696" xr:uid="{00000000-0005-0000-0000-000039410000}"/>
    <cellStyle name="Header 1(middle) 7 5 2" xfId="16697" xr:uid="{00000000-0005-0000-0000-00003A410000}"/>
    <cellStyle name="Header 1(middle) 7 5 2 2" xfId="16698" xr:uid="{00000000-0005-0000-0000-00003B410000}"/>
    <cellStyle name="Header 1(middle) 7 5 2 3" xfId="16699" xr:uid="{00000000-0005-0000-0000-00003C410000}"/>
    <cellStyle name="Header 1(middle) 7 5 2 4" xfId="16700" xr:uid="{00000000-0005-0000-0000-00003D410000}"/>
    <cellStyle name="Header 1(middle) 7 5 3" xfId="16701" xr:uid="{00000000-0005-0000-0000-00003E410000}"/>
    <cellStyle name="Header 1(middle) 7 5 4" xfId="16702" xr:uid="{00000000-0005-0000-0000-00003F410000}"/>
    <cellStyle name="Header 1(middle) 7 5 5" xfId="16703" xr:uid="{00000000-0005-0000-0000-000040410000}"/>
    <cellStyle name="Header 1(middle) 7 6" xfId="16704" xr:uid="{00000000-0005-0000-0000-000041410000}"/>
    <cellStyle name="Header 1(middle) 7 6 2" xfId="16705" xr:uid="{00000000-0005-0000-0000-000042410000}"/>
    <cellStyle name="Header 1(middle) 7 7" xfId="16706" xr:uid="{00000000-0005-0000-0000-000043410000}"/>
    <cellStyle name="Header 1(middle) 7 7 2" xfId="16707" xr:uid="{00000000-0005-0000-0000-000044410000}"/>
    <cellStyle name="Header 1(middle) 7 8" xfId="16708" xr:uid="{00000000-0005-0000-0000-000045410000}"/>
    <cellStyle name="Header 1(middle) 7 8 2" xfId="16709" xr:uid="{00000000-0005-0000-0000-000046410000}"/>
    <cellStyle name="Header 1(middle) 7 9" xfId="16710" xr:uid="{00000000-0005-0000-0000-000047410000}"/>
    <cellStyle name="Header 1(middle) 7 9 2" xfId="16711" xr:uid="{00000000-0005-0000-0000-000048410000}"/>
    <cellStyle name="Header 1(middle) 8" xfId="16712" xr:uid="{00000000-0005-0000-0000-000049410000}"/>
    <cellStyle name="Header 1(middle) 8 10" xfId="16713" xr:uid="{00000000-0005-0000-0000-00004A410000}"/>
    <cellStyle name="Header 1(middle) 8 10 2" xfId="16714" xr:uid="{00000000-0005-0000-0000-00004B410000}"/>
    <cellStyle name="Header 1(middle) 8 11" xfId="16715" xr:uid="{00000000-0005-0000-0000-00004C410000}"/>
    <cellStyle name="Header 1(middle) 8 12" xfId="16716" xr:uid="{00000000-0005-0000-0000-00004D410000}"/>
    <cellStyle name="Header 1(middle) 8 13" xfId="16717" xr:uid="{00000000-0005-0000-0000-00004E410000}"/>
    <cellStyle name="Header 1(middle) 8 2" xfId="16718" xr:uid="{00000000-0005-0000-0000-00004F410000}"/>
    <cellStyle name="Header 1(middle) 8 2 10" xfId="16719" xr:uid="{00000000-0005-0000-0000-000050410000}"/>
    <cellStyle name="Header 1(middle) 8 2 11" xfId="16720" xr:uid="{00000000-0005-0000-0000-000051410000}"/>
    <cellStyle name="Header 1(middle) 8 2 12" xfId="16721" xr:uid="{00000000-0005-0000-0000-000052410000}"/>
    <cellStyle name="Header 1(middle) 8 2 13" xfId="16722" xr:uid="{00000000-0005-0000-0000-000053410000}"/>
    <cellStyle name="Header 1(middle) 8 2 14" xfId="16723" xr:uid="{00000000-0005-0000-0000-000054410000}"/>
    <cellStyle name="Header 1(middle) 8 2 15" xfId="16724" xr:uid="{00000000-0005-0000-0000-000055410000}"/>
    <cellStyle name="Header 1(middle) 8 2 16" xfId="16725" xr:uid="{00000000-0005-0000-0000-000056410000}"/>
    <cellStyle name="Header 1(middle) 8 2 17" xfId="16726" xr:uid="{00000000-0005-0000-0000-000057410000}"/>
    <cellStyle name="Header 1(middle) 8 2 18" xfId="16727" xr:uid="{00000000-0005-0000-0000-000058410000}"/>
    <cellStyle name="Header 1(middle) 8 2 19" xfId="16728" xr:uid="{00000000-0005-0000-0000-000059410000}"/>
    <cellStyle name="Header 1(middle) 8 2 2" xfId="16729" xr:uid="{00000000-0005-0000-0000-00005A410000}"/>
    <cellStyle name="Header 1(middle) 8 2 2 2" xfId="16730" xr:uid="{00000000-0005-0000-0000-00005B410000}"/>
    <cellStyle name="Header 1(middle) 8 2 2 2 2" xfId="16731" xr:uid="{00000000-0005-0000-0000-00005C410000}"/>
    <cellStyle name="Header 1(middle) 8 2 2 2 3" xfId="16732" xr:uid="{00000000-0005-0000-0000-00005D410000}"/>
    <cellStyle name="Header 1(middle) 8 2 2 2 4" xfId="16733" xr:uid="{00000000-0005-0000-0000-00005E410000}"/>
    <cellStyle name="Header 1(middle) 8 2 2 3" xfId="16734" xr:uid="{00000000-0005-0000-0000-00005F410000}"/>
    <cellStyle name="Header 1(middle) 8 2 2 3 2" xfId="16735" xr:uid="{00000000-0005-0000-0000-000060410000}"/>
    <cellStyle name="Header 1(middle) 8 2 2 3 3" xfId="16736" xr:uid="{00000000-0005-0000-0000-000061410000}"/>
    <cellStyle name="Header 1(middle) 8 2 2 3 4" xfId="16737" xr:uid="{00000000-0005-0000-0000-000062410000}"/>
    <cellStyle name="Header 1(middle) 8 2 2 4" xfId="16738" xr:uid="{00000000-0005-0000-0000-000063410000}"/>
    <cellStyle name="Header 1(middle) 8 2 2 5" xfId="16739" xr:uid="{00000000-0005-0000-0000-000064410000}"/>
    <cellStyle name="Header 1(middle) 8 2 2 6" xfId="16740" xr:uid="{00000000-0005-0000-0000-000065410000}"/>
    <cellStyle name="Header 1(middle) 8 2 20" xfId="16741" xr:uid="{00000000-0005-0000-0000-000066410000}"/>
    <cellStyle name="Header 1(middle) 8 2 3" xfId="16742" xr:uid="{00000000-0005-0000-0000-000067410000}"/>
    <cellStyle name="Header 1(middle) 8 2 3 2" xfId="16743" xr:uid="{00000000-0005-0000-0000-000068410000}"/>
    <cellStyle name="Header 1(middle) 8 2 3 2 2" xfId="16744" xr:uid="{00000000-0005-0000-0000-000069410000}"/>
    <cellStyle name="Header 1(middle) 8 2 3 2 3" xfId="16745" xr:uid="{00000000-0005-0000-0000-00006A410000}"/>
    <cellStyle name="Header 1(middle) 8 2 3 2 4" xfId="16746" xr:uid="{00000000-0005-0000-0000-00006B410000}"/>
    <cellStyle name="Header 1(middle) 8 2 3 3" xfId="16747" xr:uid="{00000000-0005-0000-0000-00006C410000}"/>
    <cellStyle name="Header 1(middle) 8 2 3 4" xfId="16748" xr:uid="{00000000-0005-0000-0000-00006D410000}"/>
    <cellStyle name="Header 1(middle) 8 2 3 5" xfId="16749" xr:uid="{00000000-0005-0000-0000-00006E410000}"/>
    <cellStyle name="Header 1(middle) 8 2 4" xfId="16750" xr:uid="{00000000-0005-0000-0000-00006F410000}"/>
    <cellStyle name="Header 1(middle) 8 2 4 2" xfId="16751" xr:uid="{00000000-0005-0000-0000-000070410000}"/>
    <cellStyle name="Header 1(middle) 8 2 4 3" xfId="16752" xr:uid="{00000000-0005-0000-0000-000071410000}"/>
    <cellStyle name="Header 1(middle) 8 2 4 4" xfId="16753" xr:uid="{00000000-0005-0000-0000-000072410000}"/>
    <cellStyle name="Header 1(middle) 8 2 5" xfId="16754" xr:uid="{00000000-0005-0000-0000-000073410000}"/>
    <cellStyle name="Header 1(middle) 8 2 6" xfId="16755" xr:uid="{00000000-0005-0000-0000-000074410000}"/>
    <cellStyle name="Header 1(middle) 8 2 7" xfId="16756" xr:uid="{00000000-0005-0000-0000-000075410000}"/>
    <cellStyle name="Header 1(middle) 8 2 8" xfId="16757" xr:uid="{00000000-0005-0000-0000-000076410000}"/>
    <cellStyle name="Header 1(middle) 8 2 9" xfId="16758" xr:uid="{00000000-0005-0000-0000-000077410000}"/>
    <cellStyle name="Header 1(middle) 8 3" xfId="16759" xr:uid="{00000000-0005-0000-0000-000078410000}"/>
    <cellStyle name="Header 1(middle) 8 3 2" xfId="16760" xr:uid="{00000000-0005-0000-0000-000079410000}"/>
    <cellStyle name="Header 1(middle) 8 3 2 2" xfId="16761" xr:uid="{00000000-0005-0000-0000-00007A410000}"/>
    <cellStyle name="Header 1(middle) 8 3 2 3" xfId="16762" xr:uid="{00000000-0005-0000-0000-00007B410000}"/>
    <cellStyle name="Header 1(middle) 8 3 2 4" xfId="16763" xr:uid="{00000000-0005-0000-0000-00007C410000}"/>
    <cellStyle name="Header 1(middle) 8 3 3" xfId="16764" xr:uid="{00000000-0005-0000-0000-00007D410000}"/>
    <cellStyle name="Header 1(middle) 8 3 4" xfId="16765" xr:uid="{00000000-0005-0000-0000-00007E410000}"/>
    <cellStyle name="Header 1(middle) 8 3 5" xfId="16766" xr:uid="{00000000-0005-0000-0000-00007F410000}"/>
    <cellStyle name="Header 1(middle) 8 4" xfId="16767" xr:uid="{00000000-0005-0000-0000-000080410000}"/>
    <cellStyle name="Header 1(middle) 8 4 2" xfId="16768" xr:uid="{00000000-0005-0000-0000-000081410000}"/>
    <cellStyle name="Header 1(middle) 8 4 2 2" xfId="16769" xr:uid="{00000000-0005-0000-0000-000082410000}"/>
    <cellStyle name="Header 1(middle) 8 4 2 3" xfId="16770" xr:uid="{00000000-0005-0000-0000-000083410000}"/>
    <cellStyle name="Header 1(middle) 8 4 2 4" xfId="16771" xr:uid="{00000000-0005-0000-0000-000084410000}"/>
    <cellStyle name="Header 1(middle) 8 4 3" xfId="16772" xr:uid="{00000000-0005-0000-0000-000085410000}"/>
    <cellStyle name="Header 1(middle) 8 4 4" xfId="16773" xr:uid="{00000000-0005-0000-0000-000086410000}"/>
    <cellStyle name="Header 1(middle) 8 4 5" xfId="16774" xr:uid="{00000000-0005-0000-0000-000087410000}"/>
    <cellStyle name="Header 1(middle) 8 5" xfId="16775" xr:uid="{00000000-0005-0000-0000-000088410000}"/>
    <cellStyle name="Header 1(middle) 8 5 2" xfId="16776" xr:uid="{00000000-0005-0000-0000-000089410000}"/>
    <cellStyle name="Header 1(middle) 8 6" xfId="16777" xr:uid="{00000000-0005-0000-0000-00008A410000}"/>
    <cellStyle name="Header 1(middle) 8 6 2" xfId="16778" xr:uid="{00000000-0005-0000-0000-00008B410000}"/>
    <cellStyle name="Header 1(middle) 8 7" xfId="16779" xr:uid="{00000000-0005-0000-0000-00008C410000}"/>
    <cellStyle name="Header 1(middle) 8 7 2" xfId="16780" xr:uid="{00000000-0005-0000-0000-00008D410000}"/>
    <cellStyle name="Header 1(middle) 8 8" xfId="16781" xr:uid="{00000000-0005-0000-0000-00008E410000}"/>
    <cellStyle name="Header 1(middle) 8 8 2" xfId="16782" xr:uid="{00000000-0005-0000-0000-00008F410000}"/>
    <cellStyle name="Header 1(middle) 8 9" xfId="16783" xr:uid="{00000000-0005-0000-0000-000090410000}"/>
    <cellStyle name="Header 1(middle) 8 9 2" xfId="16784" xr:uid="{00000000-0005-0000-0000-000091410000}"/>
    <cellStyle name="Header 1(middle) 9" xfId="16785" xr:uid="{00000000-0005-0000-0000-000092410000}"/>
    <cellStyle name="Header 1(middle) 9 10" xfId="16786" xr:uid="{00000000-0005-0000-0000-000093410000}"/>
    <cellStyle name="Header 1(middle) 9 11" xfId="16787" xr:uid="{00000000-0005-0000-0000-000094410000}"/>
    <cellStyle name="Header 1(middle) 9 12" xfId="16788" xr:uid="{00000000-0005-0000-0000-000095410000}"/>
    <cellStyle name="Header 1(middle) 9 13" xfId="16789" xr:uid="{00000000-0005-0000-0000-000096410000}"/>
    <cellStyle name="Header 1(middle) 9 14" xfId="16790" xr:uid="{00000000-0005-0000-0000-000097410000}"/>
    <cellStyle name="Header 1(middle) 9 15" xfId="16791" xr:uid="{00000000-0005-0000-0000-000098410000}"/>
    <cellStyle name="Header 1(middle) 9 16" xfId="16792" xr:uid="{00000000-0005-0000-0000-000099410000}"/>
    <cellStyle name="Header 1(middle) 9 17" xfId="16793" xr:uid="{00000000-0005-0000-0000-00009A410000}"/>
    <cellStyle name="Header 1(middle) 9 18" xfId="16794" xr:uid="{00000000-0005-0000-0000-00009B410000}"/>
    <cellStyle name="Header 1(middle) 9 19" xfId="16795" xr:uid="{00000000-0005-0000-0000-00009C410000}"/>
    <cellStyle name="Header 1(middle) 9 2" xfId="16796" xr:uid="{00000000-0005-0000-0000-00009D410000}"/>
    <cellStyle name="Header 1(middle) 9 2 2" xfId="16797" xr:uid="{00000000-0005-0000-0000-00009E410000}"/>
    <cellStyle name="Header 1(middle) 9 2 2 2" xfId="16798" xr:uid="{00000000-0005-0000-0000-00009F410000}"/>
    <cellStyle name="Header 1(middle) 9 2 2 3" xfId="16799" xr:uid="{00000000-0005-0000-0000-0000A0410000}"/>
    <cellStyle name="Header 1(middle) 9 2 2 4" xfId="16800" xr:uid="{00000000-0005-0000-0000-0000A1410000}"/>
    <cellStyle name="Header 1(middle) 9 2 3" xfId="16801" xr:uid="{00000000-0005-0000-0000-0000A2410000}"/>
    <cellStyle name="Header 1(middle) 9 2 3 2" xfId="16802" xr:uid="{00000000-0005-0000-0000-0000A3410000}"/>
    <cellStyle name="Header 1(middle) 9 2 3 3" xfId="16803" xr:uid="{00000000-0005-0000-0000-0000A4410000}"/>
    <cellStyle name="Header 1(middle) 9 2 3 4" xfId="16804" xr:uid="{00000000-0005-0000-0000-0000A5410000}"/>
    <cellStyle name="Header 1(middle) 9 2 4" xfId="16805" xr:uid="{00000000-0005-0000-0000-0000A6410000}"/>
    <cellStyle name="Header 1(middle) 9 2 5" xfId="16806" xr:uid="{00000000-0005-0000-0000-0000A7410000}"/>
    <cellStyle name="Header 1(middle) 9 2 6" xfId="16807" xr:uid="{00000000-0005-0000-0000-0000A8410000}"/>
    <cellStyle name="Header 1(middle) 9 20" xfId="16808" xr:uid="{00000000-0005-0000-0000-0000A9410000}"/>
    <cellStyle name="Header 1(middle) 9 3" xfId="16809" xr:uid="{00000000-0005-0000-0000-0000AA410000}"/>
    <cellStyle name="Header 1(middle) 9 3 2" xfId="16810" xr:uid="{00000000-0005-0000-0000-0000AB410000}"/>
    <cellStyle name="Header 1(middle) 9 3 2 2" xfId="16811" xr:uid="{00000000-0005-0000-0000-0000AC410000}"/>
    <cellStyle name="Header 1(middle) 9 3 2 3" xfId="16812" xr:uid="{00000000-0005-0000-0000-0000AD410000}"/>
    <cellStyle name="Header 1(middle) 9 3 2 4" xfId="16813" xr:uid="{00000000-0005-0000-0000-0000AE410000}"/>
    <cellStyle name="Header 1(middle) 9 3 3" xfId="16814" xr:uid="{00000000-0005-0000-0000-0000AF410000}"/>
    <cellStyle name="Header 1(middle) 9 3 4" xfId="16815" xr:uid="{00000000-0005-0000-0000-0000B0410000}"/>
    <cellStyle name="Header 1(middle) 9 3 5" xfId="16816" xr:uid="{00000000-0005-0000-0000-0000B1410000}"/>
    <cellStyle name="Header 1(middle) 9 4" xfId="16817" xr:uid="{00000000-0005-0000-0000-0000B2410000}"/>
    <cellStyle name="Header 1(middle) 9 4 2" xfId="16818" xr:uid="{00000000-0005-0000-0000-0000B3410000}"/>
    <cellStyle name="Header 1(middle) 9 4 3" xfId="16819" xr:uid="{00000000-0005-0000-0000-0000B4410000}"/>
    <cellStyle name="Header 1(middle) 9 4 4" xfId="16820" xr:uid="{00000000-0005-0000-0000-0000B5410000}"/>
    <cellStyle name="Header 1(middle) 9 5" xfId="16821" xr:uid="{00000000-0005-0000-0000-0000B6410000}"/>
    <cellStyle name="Header 1(middle) 9 6" xfId="16822" xr:uid="{00000000-0005-0000-0000-0000B7410000}"/>
    <cellStyle name="Header 1(middle) 9 7" xfId="16823" xr:uid="{00000000-0005-0000-0000-0000B8410000}"/>
    <cellStyle name="Header 1(middle) 9 8" xfId="16824" xr:uid="{00000000-0005-0000-0000-0000B9410000}"/>
    <cellStyle name="Header 1(middle) 9 9" xfId="16825" xr:uid="{00000000-0005-0000-0000-0000BA410000}"/>
    <cellStyle name="Header 1_Front Page" xfId="14729" xr:uid="{00000000-0005-0000-0000-0000BB410000}"/>
    <cellStyle name="Header 2" xfId="16826" xr:uid="{00000000-0005-0000-0000-0000BC410000}"/>
    <cellStyle name="Header 2 2" xfId="16827" xr:uid="{00000000-0005-0000-0000-0000BD410000}"/>
    <cellStyle name="Header 2 2 2" xfId="16828" xr:uid="{00000000-0005-0000-0000-0000BE410000}"/>
    <cellStyle name="Header 2 2 2 2" xfId="16829" xr:uid="{00000000-0005-0000-0000-0000BF410000}"/>
    <cellStyle name="Header 2 2 3" xfId="16830" xr:uid="{00000000-0005-0000-0000-0000C0410000}"/>
    <cellStyle name="Header 2 3" xfId="16831" xr:uid="{00000000-0005-0000-0000-0000C1410000}"/>
    <cellStyle name="Header 2 3 2" xfId="16832" xr:uid="{00000000-0005-0000-0000-0000C2410000}"/>
    <cellStyle name="Header 2 4" xfId="16833" xr:uid="{00000000-0005-0000-0000-0000C3410000}"/>
    <cellStyle name="Header 2 4 2" xfId="16834" xr:uid="{00000000-0005-0000-0000-0000C4410000}"/>
    <cellStyle name="Header 2 5" xfId="16835" xr:uid="{00000000-0005-0000-0000-0000C5410000}"/>
    <cellStyle name="Header 2 5 2" xfId="16836" xr:uid="{00000000-0005-0000-0000-0000C6410000}"/>
    <cellStyle name="Header 2 6" xfId="16837" xr:uid="{00000000-0005-0000-0000-0000C7410000}"/>
    <cellStyle name="Header 2 6 2" xfId="16838" xr:uid="{00000000-0005-0000-0000-0000C8410000}"/>
    <cellStyle name="Header 2 7" xfId="16839" xr:uid="{00000000-0005-0000-0000-0000C9410000}"/>
    <cellStyle name="Header 2 7 2" xfId="16840" xr:uid="{00000000-0005-0000-0000-0000CA410000}"/>
    <cellStyle name="Header 2 8" xfId="16841" xr:uid="{00000000-0005-0000-0000-0000CB410000}"/>
    <cellStyle name="HEADER 3" xfId="16842" xr:uid="{00000000-0005-0000-0000-0000CC410000}"/>
    <cellStyle name="HEADER 3 2" xfId="16843" xr:uid="{00000000-0005-0000-0000-0000CD410000}"/>
    <cellStyle name="HEADER 4" xfId="16844" xr:uid="{00000000-0005-0000-0000-0000CE410000}"/>
    <cellStyle name="Header Price 1" xfId="16845" xr:uid="{00000000-0005-0000-0000-0000CF410000}"/>
    <cellStyle name="Header Price 1 2" xfId="16846" xr:uid="{00000000-0005-0000-0000-0000D0410000}"/>
    <cellStyle name="Header Price 1 2 2" xfId="16847" xr:uid="{00000000-0005-0000-0000-0000D1410000}"/>
    <cellStyle name="Header Price 1 2 2 2" xfId="16848" xr:uid="{00000000-0005-0000-0000-0000D2410000}"/>
    <cellStyle name="Header Price 1 2 3" xfId="16849" xr:uid="{00000000-0005-0000-0000-0000D3410000}"/>
    <cellStyle name="Header Price 1 3" xfId="16850" xr:uid="{00000000-0005-0000-0000-0000D4410000}"/>
    <cellStyle name="Header Price 1 3 2" xfId="16851" xr:uid="{00000000-0005-0000-0000-0000D5410000}"/>
    <cellStyle name="Header Price 1 4" xfId="16852" xr:uid="{00000000-0005-0000-0000-0000D6410000}"/>
    <cellStyle name="Header Price 1 4 2" xfId="16853" xr:uid="{00000000-0005-0000-0000-0000D7410000}"/>
    <cellStyle name="Header Price 1 5" xfId="16854" xr:uid="{00000000-0005-0000-0000-0000D8410000}"/>
    <cellStyle name="Header Price 1 5 2" xfId="16855" xr:uid="{00000000-0005-0000-0000-0000D9410000}"/>
    <cellStyle name="Header Price 1 6" xfId="16856" xr:uid="{00000000-0005-0000-0000-0000DA410000}"/>
    <cellStyle name="Header Price 1 6 2" xfId="16857" xr:uid="{00000000-0005-0000-0000-0000DB410000}"/>
    <cellStyle name="Header Price 1 7" xfId="16858" xr:uid="{00000000-0005-0000-0000-0000DC410000}"/>
    <cellStyle name="Header Price 1 7 2" xfId="16859" xr:uid="{00000000-0005-0000-0000-0000DD410000}"/>
    <cellStyle name="Header Price 1 8" xfId="16860" xr:uid="{00000000-0005-0000-0000-0000DE410000}"/>
    <cellStyle name="Header Price 2" xfId="16861" xr:uid="{00000000-0005-0000-0000-0000DF410000}"/>
    <cellStyle name="Header Price 2 2" xfId="16862" xr:uid="{00000000-0005-0000-0000-0000E0410000}"/>
    <cellStyle name="Header Price 2 2 2" xfId="16863" xr:uid="{00000000-0005-0000-0000-0000E1410000}"/>
    <cellStyle name="Header Price 2 2 2 2" xfId="16864" xr:uid="{00000000-0005-0000-0000-0000E2410000}"/>
    <cellStyle name="Header Price 2 2 3" xfId="16865" xr:uid="{00000000-0005-0000-0000-0000E3410000}"/>
    <cellStyle name="Header Price 2 3" xfId="16866" xr:uid="{00000000-0005-0000-0000-0000E4410000}"/>
    <cellStyle name="Header Price 2 3 2" xfId="16867" xr:uid="{00000000-0005-0000-0000-0000E5410000}"/>
    <cellStyle name="Header Price 2 4" xfId="16868" xr:uid="{00000000-0005-0000-0000-0000E6410000}"/>
    <cellStyle name="Header Price 2 4 2" xfId="16869" xr:uid="{00000000-0005-0000-0000-0000E7410000}"/>
    <cellStyle name="Header Price 2 5" xfId="16870" xr:uid="{00000000-0005-0000-0000-0000E8410000}"/>
    <cellStyle name="Header Price 2 5 2" xfId="16871" xr:uid="{00000000-0005-0000-0000-0000E9410000}"/>
    <cellStyle name="Header Price 2 6" xfId="16872" xr:uid="{00000000-0005-0000-0000-0000EA410000}"/>
    <cellStyle name="Header Price 2 6 2" xfId="16873" xr:uid="{00000000-0005-0000-0000-0000EB410000}"/>
    <cellStyle name="Header Price 2 7" xfId="16874" xr:uid="{00000000-0005-0000-0000-0000EC410000}"/>
    <cellStyle name="Header Price 2 7 2" xfId="16875" xr:uid="{00000000-0005-0000-0000-0000ED410000}"/>
    <cellStyle name="Header Price 2 8" xfId="16876" xr:uid="{00000000-0005-0000-0000-0000EE410000}"/>
    <cellStyle name="HEADER_Belltel GNOC Requirements PA1" xfId="16877" xr:uid="{00000000-0005-0000-0000-0000EF410000}"/>
    <cellStyle name="Header1" xfId="16878" xr:uid="{00000000-0005-0000-0000-0000F0410000}"/>
    <cellStyle name="Header1 2" xfId="16879" xr:uid="{00000000-0005-0000-0000-0000F1410000}"/>
    <cellStyle name="Header1 2 2" xfId="16880" xr:uid="{00000000-0005-0000-0000-0000F2410000}"/>
    <cellStyle name="Header1 2 2 2" xfId="16881" xr:uid="{00000000-0005-0000-0000-0000F3410000}"/>
    <cellStyle name="Header1 2 2 2 2" xfId="16882" xr:uid="{00000000-0005-0000-0000-0000F4410000}"/>
    <cellStyle name="Header1 2 2 2 2 2" xfId="16883" xr:uid="{00000000-0005-0000-0000-0000F5410000}"/>
    <cellStyle name="Header1 2 2 2 2 2 2" xfId="16884" xr:uid="{00000000-0005-0000-0000-0000F6410000}"/>
    <cellStyle name="Header1 2 2 2 2 2 3" xfId="16885" xr:uid="{00000000-0005-0000-0000-0000F7410000}"/>
    <cellStyle name="Header1 2 2 2 2 3" xfId="16886" xr:uid="{00000000-0005-0000-0000-0000F8410000}"/>
    <cellStyle name="Header1 2 2 2 2 3 2" xfId="16887" xr:uid="{00000000-0005-0000-0000-0000F9410000}"/>
    <cellStyle name="Header1 2 2 2 2 3 3" xfId="16888" xr:uid="{00000000-0005-0000-0000-0000FA410000}"/>
    <cellStyle name="Header1 2 2 2 2 4" xfId="16889" xr:uid="{00000000-0005-0000-0000-0000FB410000}"/>
    <cellStyle name="Header1 2 2 2 2 5" xfId="16890" xr:uid="{00000000-0005-0000-0000-0000FC410000}"/>
    <cellStyle name="Header1 2 2 2 3" xfId="16891" xr:uid="{00000000-0005-0000-0000-0000FD410000}"/>
    <cellStyle name="Header1 2 2 2 3 2" xfId="16892" xr:uid="{00000000-0005-0000-0000-0000FE410000}"/>
    <cellStyle name="Header1 2 2 2 3 2 2" xfId="16893" xr:uid="{00000000-0005-0000-0000-0000FF410000}"/>
    <cellStyle name="Header1 2 2 2 3 2 3" xfId="16894" xr:uid="{00000000-0005-0000-0000-000000420000}"/>
    <cellStyle name="Header1 2 2 2 3 3" xfId="16895" xr:uid="{00000000-0005-0000-0000-000001420000}"/>
    <cellStyle name="Header1 2 2 2 3 3 2" xfId="16896" xr:uid="{00000000-0005-0000-0000-000002420000}"/>
    <cellStyle name="Header1 2 2 2 3 3 3" xfId="16897" xr:uid="{00000000-0005-0000-0000-000003420000}"/>
    <cellStyle name="Header1 2 2 2 3 4" xfId="16898" xr:uid="{00000000-0005-0000-0000-000004420000}"/>
    <cellStyle name="Header1 2 2 2 3 5" xfId="16899" xr:uid="{00000000-0005-0000-0000-000005420000}"/>
    <cellStyle name="Header1 2 2 2 4" xfId="16900" xr:uid="{00000000-0005-0000-0000-000006420000}"/>
    <cellStyle name="Header1 2 2 2 4 2" xfId="16901" xr:uid="{00000000-0005-0000-0000-000007420000}"/>
    <cellStyle name="Header1 2 2 2 4 3" xfId="16902" xr:uid="{00000000-0005-0000-0000-000008420000}"/>
    <cellStyle name="Header1 2 2 2 5" xfId="16903" xr:uid="{00000000-0005-0000-0000-000009420000}"/>
    <cellStyle name="Header1 2 2 2 5 2" xfId="16904" xr:uid="{00000000-0005-0000-0000-00000A420000}"/>
    <cellStyle name="Header1 2 2 2 5 3" xfId="16905" xr:uid="{00000000-0005-0000-0000-00000B420000}"/>
    <cellStyle name="Header1 2 2 2 6" xfId="16906" xr:uid="{00000000-0005-0000-0000-00000C420000}"/>
    <cellStyle name="Header1 2 2 2 7" xfId="16907" xr:uid="{00000000-0005-0000-0000-00000D420000}"/>
    <cellStyle name="Header1 2 2 3" xfId="16908" xr:uid="{00000000-0005-0000-0000-00000E420000}"/>
    <cellStyle name="Header1 2 2 3 2" xfId="16909" xr:uid="{00000000-0005-0000-0000-00000F420000}"/>
    <cellStyle name="Header1 2 2 3 3" xfId="16910" xr:uid="{00000000-0005-0000-0000-000010420000}"/>
    <cellStyle name="Header1 2 2 4" xfId="16911" xr:uid="{00000000-0005-0000-0000-000011420000}"/>
    <cellStyle name="Header1 2 2 4 2" xfId="16912" xr:uid="{00000000-0005-0000-0000-000012420000}"/>
    <cellStyle name="Header1 2 2 4 3" xfId="16913" xr:uid="{00000000-0005-0000-0000-000013420000}"/>
    <cellStyle name="Header1 2 2 5" xfId="16914" xr:uid="{00000000-0005-0000-0000-000014420000}"/>
    <cellStyle name="Header1 2 2 6" xfId="16915" xr:uid="{00000000-0005-0000-0000-000015420000}"/>
    <cellStyle name="Header1 2 3" xfId="16916" xr:uid="{00000000-0005-0000-0000-000016420000}"/>
    <cellStyle name="Header1 2 3 2" xfId="16917" xr:uid="{00000000-0005-0000-0000-000017420000}"/>
    <cellStyle name="Header1 2 3 2 2" xfId="16918" xr:uid="{00000000-0005-0000-0000-000018420000}"/>
    <cellStyle name="Header1 2 3 2 2 2" xfId="16919" xr:uid="{00000000-0005-0000-0000-000019420000}"/>
    <cellStyle name="Header1 2 3 2 2 3" xfId="16920" xr:uid="{00000000-0005-0000-0000-00001A420000}"/>
    <cellStyle name="Header1 2 3 2 3" xfId="16921" xr:uid="{00000000-0005-0000-0000-00001B420000}"/>
    <cellStyle name="Header1 2 3 2 3 2" xfId="16922" xr:uid="{00000000-0005-0000-0000-00001C420000}"/>
    <cellStyle name="Header1 2 3 2 3 3" xfId="16923" xr:uid="{00000000-0005-0000-0000-00001D420000}"/>
    <cellStyle name="Header1 2 3 2 4" xfId="16924" xr:uid="{00000000-0005-0000-0000-00001E420000}"/>
    <cellStyle name="Header1 2 3 2 5" xfId="16925" xr:uid="{00000000-0005-0000-0000-00001F420000}"/>
    <cellStyle name="Header1 2 3 3" xfId="16926" xr:uid="{00000000-0005-0000-0000-000020420000}"/>
    <cellStyle name="Header1 2 3 3 2" xfId="16927" xr:uid="{00000000-0005-0000-0000-000021420000}"/>
    <cellStyle name="Header1 2 3 3 2 2" xfId="16928" xr:uid="{00000000-0005-0000-0000-000022420000}"/>
    <cellStyle name="Header1 2 3 3 2 3" xfId="16929" xr:uid="{00000000-0005-0000-0000-000023420000}"/>
    <cellStyle name="Header1 2 3 3 3" xfId="16930" xr:uid="{00000000-0005-0000-0000-000024420000}"/>
    <cellStyle name="Header1 2 3 3 3 2" xfId="16931" xr:uid="{00000000-0005-0000-0000-000025420000}"/>
    <cellStyle name="Header1 2 3 3 3 3" xfId="16932" xr:uid="{00000000-0005-0000-0000-000026420000}"/>
    <cellStyle name="Header1 2 3 3 4" xfId="16933" xr:uid="{00000000-0005-0000-0000-000027420000}"/>
    <cellStyle name="Header1 2 3 3 5" xfId="16934" xr:uid="{00000000-0005-0000-0000-000028420000}"/>
    <cellStyle name="Header1 2 3 4" xfId="16935" xr:uid="{00000000-0005-0000-0000-000029420000}"/>
    <cellStyle name="Header1 2 3 4 2" xfId="16936" xr:uid="{00000000-0005-0000-0000-00002A420000}"/>
    <cellStyle name="Header1 2 3 4 3" xfId="16937" xr:uid="{00000000-0005-0000-0000-00002B420000}"/>
    <cellStyle name="Header1 2 3 5" xfId="16938" xr:uid="{00000000-0005-0000-0000-00002C420000}"/>
    <cellStyle name="Header1 2 3 5 2" xfId="16939" xr:uid="{00000000-0005-0000-0000-00002D420000}"/>
    <cellStyle name="Header1 2 3 5 3" xfId="16940" xr:uid="{00000000-0005-0000-0000-00002E420000}"/>
    <cellStyle name="Header1 2 3 6" xfId="16941" xr:uid="{00000000-0005-0000-0000-00002F420000}"/>
    <cellStyle name="Header1 2 3 7" xfId="16942" xr:uid="{00000000-0005-0000-0000-000030420000}"/>
    <cellStyle name="Header1 2 4" xfId="16943" xr:uid="{00000000-0005-0000-0000-000031420000}"/>
    <cellStyle name="Header1 2 4 2" xfId="16944" xr:uid="{00000000-0005-0000-0000-000032420000}"/>
    <cellStyle name="Header1 2 4 3" xfId="16945" xr:uid="{00000000-0005-0000-0000-000033420000}"/>
    <cellStyle name="Header1 2 5" xfId="16946" xr:uid="{00000000-0005-0000-0000-000034420000}"/>
    <cellStyle name="Header1 2 5 2" xfId="16947" xr:uid="{00000000-0005-0000-0000-000035420000}"/>
    <cellStyle name="Header1 2 5 3" xfId="16948" xr:uid="{00000000-0005-0000-0000-000036420000}"/>
    <cellStyle name="Header1 2 6" xfId="16949" xr:uid="{00000000-0005-0000-0000-000037420000}"/>
    <cellStyle name="Header1 2 7" xfId="16950" xr:uid="{00000000-0005-0000-0000-000038420000}"/>
    <cellStyle name="Header1 3" xfId="16951" xr:uid="{00000000-0005-0000-0000-000039420000}"/>
    <cellStyle name="Header1 3 2" xfId="16952" xr:uid="{00000000-0005-0000-0000-00003A420000}"/>
    <cellStyle name="Header1 3 2 2" xfId="16953" xr:uid="{00000000-0005-0000-0000-00003B420000}"/>
    <cellStyle name="Header1 3 2 2 2" xfId="16954" xr:uid="{00000000-0005-0000-0000-00003C420000}"/>
    <cellStyle name="Header1 3 2 2 2 2" xfId="16955" xr:uid="{00000000-0005-0000-0000-00003D420000}"/>
    <cellStyle name="Header1 3 2 2 2 3" xfId="16956" xr:uid="{00000000-0005-0000-0000-00003E420000}"/>
    <cellStyle name="Header1 3 2 2 3" xfId="16957" xr:uid="{00000000-0005-0000-0000-00003F420000}"/>
    <cellStyle name="Header1 3 2 2 3 2" xfId="16958" xr:uid="{00000000-0005-0000-0000-000040420000}"/>
    <cellStyle name="Header1 3 2 2 3 3" xfId="16959" xr:uid="{00000000-0005-0000-0000-000041420000}"/>
    <cellStyle name="Header1 3 2 2 4" xfId="16960" xr:uid="{00000000-0005-0000-0000-000042420000}"/>
    <cellStyle name="Header1 3 2 2 5" xfId="16961" xr:uid="{00000000-0005-0000-0000-000043420000}"/>
    <cellStyle name="Header1 3 2 3" xfId="16962" xr:uid="{00000000-0005-0000-0000-000044420000}"/>
    <cellStyle name="Header1 3 2 3 2" xfId="16963" xr:uid="{00000000-0005-0000-0000-000045420000}"/>
    <cellStyle name="Header1 3 2 3 2 2" xfId="16964" xr:uid="{00000000-0005-0000-0000-000046420000}"/>
    <cellStyle name="Header1 3 2 3 2 3" xfId="16965" xr:uid="{00000000-0005-0000-0000-000047420000}"/>
    <cellStyle name="Header1 3 2 3 3" xfId="16966" xr:uid="{00000000-0005-0000-0000-000048420000}"/>
    <cellStyle name="Header1 3 2 3 3 2" xfId="16967" xr:uid="{00000000-0005-0000-0000-000049420000}"/>
    <cellStyle name="Header1 3 2 3 3 3" xfId="16968" xr:uid="{00000000-0005-0000-0000-00004A420000}"/>
    <cellStyle name="Header1 3 2 3 4" xfId="16969" xr:uid="{00000000-0005-0000-0000-00004B420000}"/>
    <cellStyle name="Header1 3 2 3 5" xfId="16970" xr:uid="{00000000-0005-0000-0000-00004C420000}"/>
    <cellStyle name="Header1 3 2 4" xfId="16971" xr:uid="{00000000-0005-0000-0000-00004D420000}"/>
    <cellStyle name="Header1 3 2 4 2" xfId="16972" xr:uid="{00000000-0005-0000-0000-00004E420000}"/>
    <cellStyle name="Header1 3 2 4 3" xfId="16973" xr:uid="{00000000-0005-0000-0000-00004F420000}"/>
    <cellStyle name="Header1 3 2 5" xfId="16974" xr:uid="{00000000-0005-0000-0000-000050420000}"/>
    <cellStyle name="Header1 3 2 5 2" xfId="16975" xr:uid="{00000000-0005-0000-0000-000051420000}"/>
    <cellStyle name="Header1 3 2 5 3" xfId="16976" xr:uid="{00000000-0005-0000-0000-000052420000}"/>
    <cellStyle name="Header1 3 2 6" xfId="16977" xr:uid="{00000000-0005-0000-0000-000053420000}"/>
    <cellStyle name="Header1 3 2 7" xfId="16978" xr:uid="{00000000-0005-0000-0000-000054420000}"/>
    <cellStyle name="Header1 3 3" xfId="16979" xr:uid="{00000000-0005-0000-0000-000055420000}"/>
    <cellStyle name="Header1 3 3 2" xfId="16980" xr:uid="{00000000-0005-0000-0000-000056420000}"/>
    <cellStyle name="Header1 3 3 3" xfId="16981" xr:uid="{00000000-0005-0000-0000-000057420000}"/>
    <cellStyle name="Header1 3 4" xfId="16982" xr:uid="{00000000-0005-0000-0000-000058420000}"/>
    <cellStyle name="Header1 3 4 2" xfId="16983" xr:uid="{00000000-0005-0000-0000-000059420000}"/>
    <cellStyle name="Header1 3 4 3" xfId="16984" xr:uid="{00000000-0005-0000-0000-00005A420000}"/>
    <cellStyle name="Header1 3 5" xfId="16985" xr:uid="{00000000-0005-0000-0000-00005B420000}"/>
    <cellStyle name="Header1 3 6" xfId="16986" xr:uid="{00000000-0005-0000-0000-00005C420000}"/>
    <cellStyle name="Header1 4" xfId="16987" xr:uid="{00000000-0005-0000-0000-00005D420000}"/>
    <cellStyle name="Header1 4 2" xfId="16988" xr:uid="{00000000-0005-0000-0000-00005E420000}"/>
    <cellStyle name="Header1 4 2 2" xfId="16989" xr:uid="{00000000-0005-0000-0000-00005F420000}"/>
    <cellStyle name="Header1 4 2 2 2" xfId="16990" xr:uid="{00000000-0005-0000-0000-000060420000}"/>
    <cellStyle name="Header1 4 2 2 3" xfId="16991" xr:uid="{00000000-0005-0000-0000-000061420000}"/>
    <cellStyle name="Header1 4 2 3" xfId="16992" xr:uid="{00000000-0005-0000-0000-000062420000}"/>
    <cellStyle name="Header1 4 2 3 2" xfId="16993" xr:uid="{00000000-0005-0000-0000-000063420000}"/>
    <cellStyle name="Header1 4 2 3 3" xfId="16994" xr:uid="{00000000-0005-0000-0000-000064420000}"/>
    <cellStyle name="Header1 4 2 4" xfId="16995" xr:uid="{00000000-0005-0000-0000-000065420000}"/>
    <cellStyle name="Header1 4 2 5" xfId="16996" xr:uid="{00000000-0005-0000-0000-000066420000}"/>
    <cellStyle name="Header1 4 3" xfId="16997" xr:uid="{00000000-0005-0000-0000-000067420000}"/>
    <cellStyle name="Header1 4 3 2" xfId="16998" xr:uid="{00000000-0005-0000-0000-000068420000}"/>
    <cellStyle name="Header1 4 3 2 2" xfId="16999" xr:uid="{00000000-0005-0000-0000-000069420000}"/>
    <cellStyle name="Header1 4 3 2 3" xfId="17000" xr:uid="{00000000-0005-0000-0000-00006A420000}"/>
    <cellStyle name="Header1 4 3 3" xfId="17001" xr:uid="{00000000-0005-0000-0000-00006B420000}"/>
    <cellStyle name="Header1 4 3 3 2" xfId="17002" xr:uid="{00000000-0005-0000-0000-00006C420000}"/>
    <cellStyle name="Header1 4 3 3 3" xfId="17003" xr:uid="{00000000-0005-0000-0000-00006D420000}"/>
    <cellStyle name="Header1 4 3 4" xfId="17004" xr:uid="{00000000-0005-0000-0000-00006E420000}"/>
    <cellStyle name="Header1 4 3 5" xfId="17005" xr:uid="{00000000-0005-0000-0000-00006F420000}"/>
    <cellStyle name="Header1 4 4" xfId="17006" xr:uid="{00000000-0005-0000-0000-000070420000}"/>
    <cellStyle name="Header1 4 4 2" xfId="17007" xr:uid="{00000000-0005-0000-0000-000071420000}"/>
    <cellStyle name="Header1 4 4 3" xfId="17008" xr:uid="{00000000-0005-0000-0000-000072420000}"/>
    <cellStyle name="Header1 4 5" xfId="17009" xr:uid="{00000000-0005-0000-0000-000073420000}"/>
    <cellStyle name="Header1 4 5 2" xfId="17010" xr:uid="{00000000-0005-0000-0000-000074420000}"/>
    <cellStyle name="Header1 4 5 3" xfId="17011" xr:uid="{00000000-0005-0000-0000-000075420000}"/>
    <cellStyle name="Header1 4 6" xfId="17012" xr:uid="{00000000-0005-0000-0000-000076420000}"/>
    <cellStyle name="Header1 4 7" xfId="17013" xr:uid="{00000000-0005-0000-0000-000077420000}"/>
    <cellStyle name="Header1 5" xfId="17014" xr:uid="{00000000-0005-0000-0000-000078420000}"/>
    <cellStyle name="Header1 5 2" xfId="17015" xr:uid="{00000000-0005-0000-0000-000079420000}"/>
    <cellStyle name="Header1 5 3" xfId="17016" xr:uid="{00000000-0005-0000-0000-00007A420000}"/>
    <cellStyle name="Header1 6" xfId="17017" xr:uid="{00000000-0005-0000-0000-00007B420000}"/>
    <cellStyle name="Header1 6 2" xfId="17018" xr:uid="{00000000-0005-0000-0000-00007C420000}"/>
    <cellStyle name="Header1 6 3" xfId="17019" xr:uid="{00000000-0005-0000-0000-00007D420000}"/>
    <cellStyle name="Header1 7" xfId="17020" xr:uid="{00000000-0005-0000-0000-00007E420000}"/>
    <cellStyle name="Header1 8" xfId="17021" xr:uid="{00000000-0005-0000-0000-00007F420000}"/>
    <cellStyle name="Header2" xfId="17022" xr:uid="{00000000-0005-0000-0000-000080420000}"/>
    <cellStyle name="Header2 10" xfId="17023" xr:uid="{00000000-0005-0000-0000-000081420000}"/>
    <cellStyle name="Header2 11" xfId="17024" xr:uid="{00000000-0005-0000-0000-000082420000}"/>
    <cellStyle name="Header2 12" xfId="17025" xr:uid="{00000000-0005-0000-0000-000083420000}"/>
    <cellStyle name="Header2 13" xfId="17026" xr:uid="{00000000-0005-0000-0000-000084420000}"/>
    <cellStyle name="Header2 14" xfId="17027" xr:uid="{00000000-0005-0000-0000-000085420000}"/>
    <cellStyle name="Header2 15" xfId="17028" xr:uid="{00000000-0005-0000-0000-000086420000}"/>
    <cellStyle name="Header2 16" xfId="17029" xr:uid="{00000000-0005-0000-0000-000087420000}"/>
    <cellStyle name="Header2 17" xfId="17030" xr:uid="{00000000-0005-0000-0000-000088420000}"/>
    <cellStyle name="Header2 18" xfId="17031" xr:uid="{00000000-0005-0000-0000-000089420000}"/>
    <cellStyle name="Header2 19" xfId="17032" xr:uid="{00000000-0005-0000-0000-00008A420000}"/>
    <cellStyle name="Header2 2" xfId="17033" xr:uid="{00000000-0005-0000-0000-00008B420000}"/>
    <cellStyle name="Header2 2 10" xfId="17034" xr:uid="{00000000-0005-0000-0000-00008C420000}"/>
    <cellStyle name="Header2 2 11" xfId="17035" xr:uid="{00000000-0005-0000-0000-00008D420000}"/>
    <cellStyle name="Header2 2 12" xfId="17036" xr:uid="{00000000-0005-0000-0000-00008E420000}"/>
    <cellStyle name="Header2 2 13" xfId="17037" xr:uid="{00000000-0005-0000-0000-00008F420000}"/>
    <cellStyle name="Header2 2 14" xfId="17038" xr:uid="{00000000-0005-0000-0000-000090420000}"/>
    <cellStyle name="Header2 2 15" xfId="17039" xr:uid="{00000000-0005-0000-0000-000091420000}"/>
    <cellStyle name="Header2 2 16" xfId="17040" xr:uid="{00000000-0005-0000-0000-000092420000}"/>
    <cellStyle name="Header2 2 17" xfId="17041" xr:uid="{00000000-0005-0000-0000-000093420000}"/>
    <cellStyle name="Header2 2 18" xfId="17042" xr:uid="{00000000-0005-0000-0000-000094420000}"/>
    <cellStyle name="Header2 2 19" xfId="17043" xr:uid="{00000000-0005-0000-0000-000095420000}"/>
    <cellStyle name="Header2 2 2" xfId="17044" xr:uid="{00000000-0005-0000-0000-000096420000}"/>
    <cellStyle name="Header2 2 2 10" xfId="17045" xr:uid="{00000000-0005-0000-0000-000097420000}"/>
    <cellStyle name="Header2 2 2 11" xfId="17046" xr:uid="{00000000-0005-0000-0000-000098420000}"/>
    <cellStyle name="Header2 2 2 12" xfId="17047" xr:uid="{00000000-0005-0000-0000-000099420000}"/>
    <cellStyle name="Header2 2 2 13" xfId="17048" xr:uid="{00000000-0005-0000-0000-00009A420000}"/>
    <cellStyle name="Header2 2 2 14" xfId="17049" xr:uid="{00000000-0005-0000-0000-00009B420000}"/>
    <cellStyle name="Header2 2 2 15" xfId="17050" xr:uid="{00000000-0005-0000-0000-00009C420000}"/>
    <cellStyle name="Header2 2 2 16" xfId="17051" xr:uid="{00000000-0005-0000-0000-00009D420000}"/>
    <cellStyle name="Header2 2 2 17" xfId="17052" xr:uid="{00000000-0005-0000-0000-00009E420000}"/>
    <cellStyle name="Header2 2 2 18" xfId="17053" xr:uid="{00000000-0005-0000-0000-00009F420000}"/>
    <cellStyle name="Header2 2 2 19" xfId="17054" xr:uid="{00000000-0005-0000-0000-0000A0420000}"/>
    <cellStyle name="Header2 2 2 2" xfId="17055" xr:uid="{00000000-0005-0000-0000-0000A1420000}"/>
    <cellStyle name="Header2 2 2 2 10" xfId="17056" xr:uid="{00000000-0005-0000-0000-0000A2420000}"/>
    <cellStyle name="Header2 2 2 2 11" xfId="17057" xr:uid="{00000000-0005-0000-0000-0000A3420000}"/>
    <cellStyle name="Header2 2 2 2 12" xfId="17058" xr:uid="{00000000-0005-0000-0000-0000A4420000}"/>
    <cellStyle name="Header2 2 2 2 13" xfId="17059" xr:uid="{00000000-0005-0000-0000-0000A5420000}"/>
    <cellStyle name="Header2 2 2 2 14" xfId="17060" xr:uid="{00000000-0005-0000-0000-0000A6420000}"/>
    <cellStyle name="Header2 2 2 2 15" xfId="17061" xr:uid="{00000000-0005-0000-0000-0000A7420000}"/>
    <cellStyle name="Header2 2 2 2 16" xfId="17062" xr:uid="{00000000-0005-0000-0000-0000A8420000}"/>
    <cellStyle name="Header2 2 2 2 17" xfId="17063" xr:uid="{00000000-0005-0000-0000-0000A9420000}"/>
    <cellStyle name="Header2 2 2 2 18" xfId="17064" xr:uid="{00000000-0005-0000-0000-0000AA420000}"/>
    <cellStyle name="Header2 2 2 2 19" xfId="17065" xr:uid="{00000000-0005-0000-0000-0000AB420000}"/>
    <cellStyle name="Header2 2 2 2 2" xfId="17066" xr:uid="{00000000-0005-0000-0000-0000AC420000}"/>
    <cellStyle name="Header2 2 2 2 2 2" xfId="17067" xr:uid="{00000000-0005-0000-0000-0000AD420000}"/>
    <cellStyle name="Header2 2 2 2 2 2 2" xfId="17068" xr:uid="{00000000-0005-0000-0000-0000AE420000}"/>
    <cellStyle name="Header2 2 2 2 2 2 3" xfId="17069" xr:uid="{00000000-0005-0000-0000-0000AF420000}"/>
    <cellStyle name="Header2 2 2 2 2 2 4" xfId="17070" xr:uid="{00000000-0005-0000-0000-0000B0420000}"/>
    <cellStyle name="Header2 2 2 2 2 3" xfId="17071" xr:uid="{00000000-0005-0000-0000-0000B1420000}"/>
    <cellStyle name="Header2 2 2 2 2 3 2" xfId="17072" xr:uid="{00000000-0005-0000-0000-0000B2420000}"/>
    <cellStyle name="Header2 2 2 2 2 3 3" xfId="17073" xr:uid="{00000000-0005-0000-0000-0000B3420000}"/>
    <cellStyle name="Header2 2 2 2 2 3 4" xfId="17074" xr:uid="{00000000-0005-0000-0000-0000B4420000}"/>
    <cellStyle name="Header2 2 2 2 2 4" xfId="17075" xr:uid="{00000000-0005-0000-0000-0000B5420000}"/>
    <cellStyle name="Header2 2 2 2 2 5" xfId="17076" xr:uid="{00000000-0005-0000-0000-0000B6420000}"/>
    <cellStyle name="Header2 2 2 2 2 6" xfId="17077" xr:uid="{00000000-0005-0000-0000-0000B7420000}"/>
    <cellStyle name="Header2 2 2 2 20" xfId="17078" xr:uid="{00000000-0005-0000-0000-0000B8420000}"/>
    <cellStyle name="Header2 2 2 2 21" xfId="17079" xr:uid="{00000000-0005-0000-0000-0000B9420000}"/>
    <cellStyle name="Header2 2 2 2 22" xfId="17080" xr:uid="{00000000-0005-0000-0000-0000BA420000}"/>
    <cellStyle name="Header2 2 2 2 23" xfId="17081" xr:uid="{00000000-0005-0000-0000-0000BB420000}"/>
    <cellStyle name="Header2 2 2 2 24" xfId="17082" xr:uid="{00000000-0005-0000-0000-0000BC420000}"/>
    <cellStyle name="Header2 2 2 2 25" xfId="17083" xr:uid="{00000000-0005-0000-0000-0000BD420000}"/>
    <cellStyle name="Header2 2 2 2 26" xfId="17084" xr:uid="{00000000-0005-0000-0000-0000BE420000}"/>
    <cellStyle name="Header2 2 2 2 27" xfId="17085" xr:uid="{00000000-0005-0000-0000-0000BF420000}"/>
    <cellStyle name="Header2 2 2 2 28" xfId="17086" xr:uid="{00000000-0005-0000-0000-0000C0420000}"/>
    <cellStyle name="Header2 2 2 2 29" xfId="17087" xr:uid="{00000000-0005-0000-0000-0000C1420000}"/>
    <cellStyle name="Header2 2 2 2 3" xfId="17088" xr:uid="{00000000-0005-0000-0000-0000C2420000}"/>
    <cellStyle name="Header2 2 2 2 3 2" xfId="17089" xr:uid="{00000000-0005-0000-0000-0000C3420000}"/>
    <cellStyle name="Header2 2 2 2 3 3" xfId="17090" xr:uid="{00000000-0005-0000-0000-0000C4420000}"/>
    <cellStyle name="Header2 2 2 2 3 4" xfId="17091" xr:uid="{00000000-0005-0000-0000-0000C5420000}"/>
    <cellStyle name="Header2 2 2 2 30" xfId="17092" xr:uid="{00000000-0005-0000-0000-0000C6420000}"/>
    <cellStyle name="Header2 2 2 2 31" xfId="17093" xr:uid="{00000000-0005-0000-0000-0000C7420000}"/>
    <cellStyle name="Header2 2 2 2 32" xfId="17094" xr:uid="{00000000-0005-0000-0000-0000C8420000}"/>
    <cellStyle name="Header2 2 2 2 33" xfId="17095" xr:uid="{00000000-0005-0000-0000-0000C9420000}"/>
    <cellStyle name="Header2 2 2 2 34" xfId="17096" xr:uid="{00000000-0005-0000-0000-0000CA420000}"/>
    <cellStyle name="Header2 2 2 2 35" xfId="17097" xr:uid="{00000000-0005-0000-0000-0000CB420000}"/>
    <cellStyle name="Header2 2 2 2 4" xfId="17098" xr:uid="{00000000-0005-0000-0000-0000CC420000}"/>
    <cellStyle name="Header2 2 2 2 5" xfId="17099" xr:uid="{00000000-0005-0000-0000-0000CD420000}"/>
    <cellStyle name="Header2 2 2 2 6" xfId="17100" xr:uid="{00000000-0005-0000-0000-0000CE420000}"/>
    <cellStyle name="Header2 2 2 2 7" xfId="17101" xr:uid="{00000000-0005-0000-0000-0000CF420000}"/>
    <cellStyle name="Header2 2 2 2 8" xfId="17102" xr:uid="{00000000-0005-0000-0000-0000D0420000}"/>
    <cellStyle name="Header2 2 2 2 9" xfId="17103" xr:uid="{00000000-0005-0000-0000-0000D1420000}"/>
    <cellStyle name="Header2 2 2 20" xfId="17104" xr:uid="{00000000-0005-0000-0000-0000D2420000}"/>
    <cellStyle name="Header2 2 2 21" xfId="17105" xr:uid="{00000000-0005-0000-0000-0000D3420000}"/>
    <cellStyle name="Header2 2 2 22" xfId="17106" xr:uid="{00000000-0005-0000-0000-0000D4420000}"/>
    <cellStyle name="Header2 2 2 23" xfId="17107" xr:uid="{00000000-0005-0000-0000-0000D5420000}"/>
    <cellStyle name="Header2 2 2 24" xfId="17108" xr:uid="{00000000-0005-0000-0000-0000D6420000}"/>
    <cellStyle name="Header2 2 2 25" xfId="17109" xr:uid="{00000000-0005-0000-0000-0000D7420000}"/>
    <cellStyle name="Header2 2 2 26" xfId="17110" xr:uid="{00000000-0005-0000-0000-0000D8420000}"/>
    <cellStyle name="Header2 2 2 3" xfId="17111" xr:uid="{00000000-0005-0000-0000-0000D9420000}"/>
    <cellStyle name="Header2 2 2 3 2" xfId="17112" xr:uid="{00000000-0005-0000-0000-0000DA420000}"/>
    <cellStyle name="Header2 2 2 3 2 2" xfId="17113" xr:uid="{00000000-0005-0000-0000-0000DB420000}"/>
    <cellStyle name="Header2 2 2 3 2 3" xfId="17114" xr:uid="{00000000-0005-0000-0000-0000DC420000}"/>
    <cellStyle name="Header2 2 2 3 2 4" xfId="17115" xr:uid="{00000000-0005-0000-0000-0000DD420000}"/>
    <cellStyle name="Header2 2 2 3 3" xfId="17116" xr:uid="{00000000-0005-0000-0000-0000DE420000}"/>
    <cellStyle name="Header2 2 2 3 3 2" xfId="17117" xr:uid="{00000000-0005-0000-0000-0000DF420000}"/>
    <cellStyle name="Header2 2 2 3 3 3" xfId="17118" xr:uid="{00000000-0005-0000-0000-0000E0420000}"/>
    <cellStyle name="Header2 2 2 3 3 4" xfId="17119" xr:uid="{00000000-0005-0000-0000-0000E1420000}"/>
    <cellStyle name="Header2 2 2 3 4" xfId="17120" xr:uid="{00000000-0005-0000-0000-0000E2420000}"/>
    <cellStyle name="Header2 2 2 3 5" xfId="17121" xr:uid="{00000000-0005-0000-0000-0000E3420000}"/>
    <cellStyle name="Header2 2 2 3 6" xfId="17122" xr:uid="{00000000-0005-0000-0000-0000E4420000}"/>
    <cellStyle name="Header2 2 2 4" xfId="17123" xr:uid="{00000000-0005-0000-0000-0000E5420000}"/>
    <cellStyle name="Header2 2 2 4 2" xfId="17124" xr:uid="{00000000-0005-0000-0000-0000E6420000}"/>
    <cellStyle name="Header2 2 2 4 3" xfId="17125" xr:uid="{00000000-0005-0000-0000-0000E7420000}"/>
    <cellStyle name="Header2 2 2 4 4" xfId="17126" xr:uid="{00000000-0005-0000-0000-0000E8420000}"/>
    <cellStyle name="Header2 2 2 5" xfId="17127" xr:uid="{00000000-0005-0000-0000-0000E9420000}"/>
    <cellStyle name="Header2 2 2 6" xfId="17128" xr:uid="{00000000-0005-0000-0000-0000EA420000}"/>
    <cellStyle name="Header2 2 2 7" xfId="17129" xr:uid="{00000000-0005-0000-0000-0000EB420000}"/>
    <cellStyle name="Header2 2 2 8" xfId="17130" xr:uid="{00000000-0005-0000-0000-0000EC420000}"/>
    <cellStyle name="Header2 2 2 9" xfId="17131" xr:uid="{00000000-0005-0000-0000-0000ED420000}"/>
    <cellStyle name="Header2 2 20" xfId="17132" xr:uid="{00000000-0005-0000-0000-0000EE420000}"/>
    <cellStyle name="Header2 2 21" xfId="17133" xr:uid="{00000000-0005-0000-0000-0000EF420000}"/>
    <cellStyle name="Header2 2 22" xfId="17134" xr:uid="{00000000-0005-0000-0000-0000F0420000}"/>
    <cellStyle name="Header2 2 23" xfId="17135" xr:uid="{00000000-0005-0000-0000-0000F1420000}"/>
    <cellStyle name="Header2 2 24" xfId="17136" xr:uid="{00000000-0005-0000-0000-0000F2420000}"/>
    <cellStyle name="Header2 2 25" xfId="17137" xr:uid="{00000000-0005-0000-0000-0000F3420000}"/>
    <cellStyle name="Header2 2 26" xfId="17138" xr:uid="{00000000-0005-0000-0000-0000F4420000}"/>
    <cellStyle name="Header2 2 27" xfId="17139" xr:uid="{00000000-0005-0000-0000-0000F5420000}"/>
    <cellStyle name="Header2 2 3" xfId="17140" xr:uid="{00000000-0005-0000-0000-0000F6420000}"/>
    <cellStyle name="Header2 2 3 10" xfId="17141" xr:uid="{00000000-0005-0000-0000-0000F7420000}"/>
    <cellStyle name="Header2 2 3 11" xfId="17142" xr:uid="{00000000-0005-0000-0000-0000F8420000}"/>
    <cellStyle name="Header2 2 3 12" xfId="17143" xr:uid="{00000000-0005-0000-0000-0000F9420000}"/>
    <cellStyle name="Header2 2 3 13" xfId="17144" xr:uid="{00000000-0005-0000-0000-0000FA420000}"/>
    <cellStyle name="Header2 2 3 14" xfId="17145" xr:uid="{00000000-0005-0000-0000-0000FB420000}"/>
    <cellStyle name="Header2 2 3 15" xfId="17146" xr:uid="{00000000-0005-0000-0000-0000FC420000}"/>
    <cellStyle name="Header2 2 3 16" xfId="17147" xr:uid="{00000000-0005-0000-0000-0000FD420000}"/>
    <cellStyle name="Header2 2 3 17" xfId="17148" xr:uid="{00000000-0005-0000-0000-0000FE420000}"/>
    <cellStyle name="Header2 2 3 18" xfId="17149" xr:uid="{00000000-0005-0000-0000-0000FF420000}"/>
    <cellStyle name="Header2 2 3 19" xfId="17150" xr:uid="{00000000-0005-0000-0000-000000430000}"/>
    <cellStyle name="Header2 2 3 2" xfId="17151" xr:uid="{00000000-0005-0000-0000-000001430000}"/>
    <cellStyle name="Header2 2 3 2 2" xfId="17152" xr:uid="{00000000-0005-0000-0000-000002430000}"/>
    <cellStyle name="Header2 2 3 2 2 2" xfId="17153" xr:uid="{00000000-0005-0000-0000-000003430000}"/>
    <cellStyle name="Header2 2 3 2 2 3" xfId="17154" xr:uid="{00000000-0005-0000-0000-000004430000}"/>
    <cellStyle name="Header2 2 3 2 2 4" xfId="17155" xr:uid="{00000000-0005-0000-0000-000005430000}"/>
    <cellStyle name="Header2 2 3 2 3" xfId="17156" xr:uid="{00000000-0005-0000-0000-000006430000}"/>
    <cellStyle name="Header2 2 3 2 3 2" xfId="17157" xr:uid="{00000000-0005-0000-0000-000007430000}"/>
    <cellStyle name="Header2 2 3 2 3 3" xfId="17158" xr:uid="{00000000-0005-0000-0000-000008430000}"/>
    <cellStyle name="Header2 2 3 2 3 4" xfId="17159" xr:uid="{00000000-0005-0000-0000-000009430000}"/>
    <cellStyle name="Header2 2 3 2 4" xfId="17160" xr:uid="{00000000-0005-0000-0000-00000A430000}"/>
    <cellStyle name="Header2 2 3 2 5" xfId="17161" xr:uid="{00000000-0005-0000-0000-00000B430000}"/>
    <cellStyle name="Header2 2 3 2 6" xfId="17162" xr:uid="{00000000-0005-0000-0000-00000C430000}"/>
    <cellStyle name="Header2 2 3 20" xfId="17163" xr:uid="{00000000-0005-0000-0000-00000D430000}"/>
    <cellStyle name="Header2 2 3 21" xfId="17164" xr:uid="{00000000-0005-0000-0000-00000E430000}"/>
    <cellStyle name="Header2 2 3 22" xfId="17165" xr:uid="{00000000-0005-0000-0000-00000F430000}"/>
    <cellStyle name="Header2 2 3 23" xfId="17166" xr:uid="{00000000-0005-0000-0000-000010430000}"/>
    <cellStyle name="Header2 2 3 24" xfId="17167" xr:uid="{00000000-0005-0000-0000-000011430000}"/>
    <cellStyle name="Header2 2 3 25" xfId="17168" xr:uid="{00000000-0005-0000-0000-000012430000}"/>
    <cellStyle name="Header2 2 3 26" xfId="17169" xr:uid="{00000000-0005-0000-0000-000013430000}"/>
    <cellStyle name="Header2 2 3 27" xfId="17170" xr:uid="{00000000-0005-0000-0000-000014430000}"/>
    <cellStyle name="Header2 2 3 28" xfId="17171" xr:uid="{00000000-0005-0000-0000-000015430000}"/>
    <cellStyle name="Header2 2 3 29" xfId="17172" xr:uid="{00000000-0005-0000-0000-000016430000}"/>
    <cellStyle name="Header2 2 3 3" xfId="17173" xr:uid="{00000000-0005-0000-0000-000017430000}"/>
    <cellStyle name="Header2 2 3 3 2" xfId="17174" xr:uid="{00000000-0005-0000-0000-000018430000}"/>
    <cellStyle name="Header2 2 3 3 3" xfId="17175" xr:uid="{00000000-0005-0000-0000-000019430000}"/>
    <cellStyle name="Header2 2 3 3 4" xfId="17176" xr:uid="{00000000-0005-0000-0000-00001A430000}"/>
    <cellStyle name="Header2 2 3 30" xfId="17177" xr:uid="{00000000-0005-0000-0000-00001B430000}"/>
    <cellStyle name="Header2 2 3 31" xfId="17178" xr:uid="{00000000-0005-0000-0000-00001C430000}"/>
    <cellStyle name="Header2 2 3 32" xfId="17179" xr:uid="{00000000-0005-0000-0000-00001D430000}"/>
    <cellStyle name="Header2 2 3 33" xfId="17180" xr:uid="{00000000-0005-0000-0000-00001E430000}"/>
    <cellStyle name="Header2 2 3 34" xfId="17181" xr:uid="{00000000-0005-0000-0000-00001F430000}"/>
    <cellStyle name="Header2 2 3 35" xfId="17182" xr:uid="{00000000-0005-0000-0000-000020430000}"/>
    <cellStyle name="Header2 2 3 4" xfId="17183" xr:uid="{00000000-0005-0000-0000-000021430000}"/>
    <cellStyle name="Header2 2 3 5" xfId="17184" xr:uid="{00000000-0005-0000-0000-000022430000}"/>
    <cellStyle name="Header2 2 3 6" xfId="17185" xr:uid="{00000000-0005-0000-0000-000023430000}"/>
    <cellStyle name="Header2 2 3 7" xfId="17186" xr:uid="{00000000-0005-0000-0000-000024430000}"/>
    <cellStyle name="Header2 2 3 8" xfId="17187" xr:uid="{00000000-0005-0000-0000-000025430000}"/>
    <cellStyle name="Header2 2 3 9" xfId="17188" xr:uid="{00000000-0005-0000-0000-000026430000}"/>
    <cellStyle name="Header2 2 4" xfId="17189" xr:uid="{00000000-0005-0000-0000-000027430000}"/>
    <cellStyle name="Header2 2 4 2" xfId="17190" xr:uid="{00000000-0005-0000-0000-000028430000}"/>
    <cellStyle name="Header2 2 4 2 2" xfId="17191" xr:uid="{00000000-0005-0000-0000-000029430000}"/>
    <cellStyle name="Header2 2 4 2 3" xfId="17192" xr:uid="{00000000-0005-0000-0000-00002A430000}"/>
    <cellStyle name="Header2 2 4 2 4" xfId="17193" xr:uid="{00000000-0005-0000-0000-00002B430000}"/>
    <cellStyle name="Header2 2 4 3" xfId="17194" xr:uid="{00000000-0005-0000-0000-00002C430000}"/>
    <cellStyle name="Header2 2 4 3 2" xfId="17195" xr:uid="{00000000-0005-0000-0000-00002D430000}"/>
    <cellStyle name="Header2 2 4 3 3" xfId="17196" xr:uid="{00000000-0005-0000-0000-00002E430000}"/>
    <cellStyle name="Header2 2 4 3 4" xfId="17197" xr:uid="{00000000-0005-0000-0000-00002F430000}"/>
    <cellStyle name="Header2 2 4 4" xfId="17198" xr:uid="{00000000-0005-0000-0000-000030430000}"/>
    <cellStyle name="Header2 2 4 5" xfId="17199" xr:uid="{00000000-0005-0000-0000-000031430000}"/>
    <cellStyle name="Header2 2 4 6" xfId="17200" xr:uid="{00000000-0005-0000-0000-000032430000}"/>
    <cellStyle name="Header2 2 5" xfId="17201" xr:uid="{00000000-0005-0000-0000-000033430000}"/>
    <cellStyle name="Header2 2 5 2" xfId="17202" xr:uid="{00000000-0005-0000-0000-000034430000}"/>
    <cellStyle name="Header2 2 5 3" xfId="17203" xr:uid="{00000000-0005-0000-0000-000035430000}"/>
    <cellStyle name="Header2 2 5 4" xfId="17204" xr:uid="{00000000-0005-0000-0000-000036430000}"/>
    <cellStyle name="Header2 2 6" xfId="17205" xr:uid="{00000000-0005-0000-0000-000037430000}"/>
    <cellStyle name="Header2 2 7" xfId="17206" xr:uid="{00000000-0005-0000-0000-000038430000}"/>
    <cellStyle name="Header2 2 8" xfId="17207" xr:uid="{00000000-0005-0000-0000-000039430000}"/>
    <cellStyle name="Header2 2 9" xfId="17208" xr:uid="{00000000-0005-0000-0000-00003A430000}"/>
    <cellStyle name="Header2 20" xfId="17209" xr:uid="{00000000-0005-0000-0000-00003B430000}"/>
    <cellStyle name="Header2 21" xfId="17210" xr:uid="{00000000-0005-0000-0000-00003C430000}"/>
    <cellStyle name="Header2 22" xfId="17211" xr:uid="{00000000-0005-0000-0000-00003D430000}"/>
    <cellStyle name="Header2 23" xfId="17212" xr:uid="{00000000-0005-0000-0000-00003E430000}"/>
    <cellStyle name="Header2 24" xfId="17213" xr:uid="{00000000-0005-0000-0000-00003F430000}"/>
    <cellStyle name="Header2 25" xfId="17214" xr:uid="{00000000-0005-0000-0000-000040430000}"/>
    <cellStyle name="Header2 26" xfId="17215" xr:uid="{00000000-0005-0000-0000-000041430000}"/>
    <cellStyle name="Header2 27" xfId="17216" xr:uid="{00000000-0005-0000-0000-000042430000}"/>
    <cellStyle name="Header2 28" xfId="17217" xr:uid="{00000000-0005-0000-0000-000043430000}"/>
    <cellStyle name="Header2 3" xfId="17218" xr:uid="{00000000-0005-0000-0000-000044430000}"/>
    <cellStyle name="Header2 3 10" xfId="17219" xr:uid="{00000000-0005-0000-0000-000045430000}"/>
    <cellStyle name="Header2 3 11" xfId="17220" xr:uid="{00000000-0005-0000-0000-000046430000}"/>
    <cellStyle name="Header2 3 12" xfId="17221" xr:uid="{00000000-0005-0000-0000-000047430000}"/>
    <cellStyle name="Header2 3 13" xfId="17222" xr:uid="{00000000-0005-0000-0000-000048430000}"/>
    <cellStyle name="Header2 3 14" xfId="17223" xr:uid="{00000000-0005-0000-0000-000049430000}"/>
    <cellStyle name="Header2 3 15" xfId="17224" xr:uid="{00000000-0005-0000-0000-00004A430000}"/>
    <cellStyle name="Header2 3 16" xfId="17225" xr:uid="{00000000-0005-0000-0000-00004B430000}"/>
    <cellStyle name="Header2 3 17" xfId="17226" xr:uid="{00000000-0005-0000-0000-00004C430000}"/>
    <cellStyle name="Header2 3 18" xfId="17227" xr:uid="{00000000-0005-0000-0000-00004D430000}"/>
    <cellStyle name="Header2 3 19" xfId="17228" xr:uid="{00000000-0005-0000-0000-00004E430000}"/>
    <cellStyle name="Header2 3 2" xfId="17229" xr:uid="{00000000-0005-0000-0000-00004F430000}"/>
    <cellStyle name="Header2 3 2 10" xfId="17230" xr:uid="{00000000-0005-0000-0000-000050430000}"/>
    <cellStyle name="Header2 3 2 11" xfId="17231" xr:uid="{00000000-0005-0000-0000-000051430000}"/>
    <cellStyle name="Header2 3 2 12" xfId="17232" xr:uid="{00000000-0005-0000-0000-000052430000}"/>
    <cellStyle name="Header2 3 2 13" xfId="17233" xr:uid="{00000000-0005-0000-0000-000053430000}"/>
    <cellStyle name="Header2 3 2 14" xfId="17234" xr:uid="{00000000-0005-0000-0000-000054430000}"/>
    <cellStyle name="Header2 3 2 15" xfId="17235" xr:uid="{00000000-0005-0000-0000-000055430000}"/>
    <cellStyle name="Header2 3 2 16" xfId="17236" xr:uid="{00000000-0005-0000-0000-000056430000}"/>
    <cellStyle name="Header2 3 2 17" xfId="17237" xr:uid="{00000000-0005-0000-0000-000057430000}"/>
    <cellStyle name="Header2 3 2 18" xfId="17238" xr:uid="{00000000-0005-0000-0000-000058430000}"/>
    <cellStyle name="Header2 3 2 19" xfId="17239" xr:uid="{00000000-0005-0000-0000-000059430000}"/>
    <cellStyle name="Header2 3 2 2" xfId="17240" xr:uid="{00000000-0005-0000-0000-00005A430000}"/>
    <cellStyle name="Header2 3 2 2 2" xfId="17241" xr:uid="{00000000-0005-0000-0000-00005B430000}"/>
    <cellStyle name="Header2 3 2 2 2 2" xfId="17242" xr:uid="{00000000-0005-0000-0000-00005C430000}"/>
    <cellStyle name="Header2 3 2 2 2 3" xfId="17243" xr:uid="{00000000-0005-0000-0000-00005D430000}"/>
    <cellStyle name="Header2 3 2 2 2 4" xfId="17244" xr:uid="{00000000-0005-0000-0000-00005E430000}"/>
    <cellStyle name="Header2 3 2 2 3" xfId="17245" xr:uid="{00000000-0005-0000-0000-00005F430000}"/>
    <cellStyle name="Header2 3 2 2 3 2" xfId="17246" xr:uid="{00000000-0005-0000-0000-000060430000}"/>
    <cellStyle name="Header2 3 2 2 3 3" xfId="17247" xr:uid="{00000000-0005-0000-0000-000061430000}"/>
    <cellStyle name="Header2 3 2 2 3 4" xfId="17248" xr:uid="{00000000-0005-0000-0000-000062430000}"/>
    <cellStyle name="Header2 3 2 2 4" xfId="17249" xr:uid="{00000000-0005-0000-0000-000063430000}"/>
    <cellStyle name="Header2 3 2 2 5" xfId="17250" xr:uid="{00000000-0005-0000-0000-000064430000}"/>
    <cellStyle name="Header2 3 2 2 6" xfId="17251" xr:uid="{00000000-0005-0000-0000-000065430000}"/>
    <cellStyle name="Header2 3 2 20" xfId="17252" xr:uid="{00000000-0005-0000-0000-000066430000}"/>
    <cellStyle name="Header2 3 2 21" xfId="17253" xr:uid="{00000000-0005-0000-0000-000067430000}"/>
    <cellStyle name="Header2 3 2 22" xfId="17254" xr:uid="{00000000-0005-0000-0000-000068430000}"/>
    <cellStyle name="Header2 3 2 23" xfId="17255" xr:uid="{00000000-0005-0000-0000-000069430000}"/>
    <cellStyle name="Header2 3 2 24" xfId="17256" xr:uid="{00000000-0005-0000-0000-00006A430000}"/>
    <cellStyle name="Header2 3 2 25" xfId="17257" xr:uid="{00000000-0005-0000-0000-00006B430000}"/>
    <cellStyle name="Header2 3 2 26" xfId="17258" xr:uid="{00000000-0005-0000-0000-00006C430000}"/>
    <cellStyle name="Header2 3 2 27" xfId="17259" xr:uid="{00000000-0005-0000-0000-00006D430000}"/>
    <cellStyle name="Header2 3 2 28" xfId="17260" xr:uid="{00000000-0005-0000-0000-00006E430000}"/>
    <cellStyle name="Header2 3 2 29" xfId="17261" xr:uid="{00000000-0005-0000-0000-00006F430000}"/>
    <cellStyle name="Header2 3 2 3" xfId="17262" xr:uid="{00000000-0005-0000-0000-000070430000}"/>
    <cellStyle name="Header2 3 2 3 2" xfId="17263" xr:uid="{00000000-0005-0000-0000-000071430000}"/>
    <cellStyle name="Header2 3 2 3 3" xfId="17264" xr:uid="{00000000-0005-0000-0000-000072430000}"/>
    <cellStyle name="Header2 3 2 3 4" xfId="17265" xr:uid="{00000000-0005-0000-0000-000073430000}"/>
    <cellStyle name="Header2 3 2 30" xfId="17266" xr:uid="{00000000-0005-0000-0000-000074430000}"/>
    <cellStyle name="Header2 3 2 31" xfId="17267" xr:uid="{00000000-0005-0000-0000-000075430000}"/>
    <cellStyle name="Header2 3 2 32" xfId="17268" xr:uid="{00000000-0005-0000-0000-000076430000}"/>
    <cellStyle name="Header2 3 2 33" xfId="17269" xr:uid="{00000000-0005-0000-0000-000077430000}"/>
    <cellStyle name="Header2 3 2 34" xfId="17270" xr:uid="{00000000-0005-0000-0000-000078430000}"/>
    <cellStyle name="Header2 3 2 35" xfId="17271" xr:uid="{00000000-0005-0000-0000-000079430000}"/>
    <cellStyle name="Header2 3 2 4" xfId="17272" xr:uid="{00000000-0005-0000-0000-00007A430000}"/>
    <cellStyle name="Header2 3 2 5" xfId="17273" xr:uid="{00000000-0005-0000-0000-00007B430000}"/>
    <cellStyle name="Header2 3 2 6" xfId="17274" xr:uid="{00000000-0005-0000-0000-00007C430000}"/>
    <cellStyle name="Header2 3 2 7" xfId="17275" xr:uid="{00000000-0005-0000-0000-00007D430000}"/>
    <cellStyle name="Header2 3 2 8" xfId="17276" xr:uid="{00000000-0005-0000-0000-00007E430000}"/>
    <cellStyle name="Header2 3 2 9" xfId="17277" xr:uid="{00000000-0005-0000-0000-00007F430000}"/>
    <cellStyle name="Header2 3 20" xfId="17278" xr:uid="{00000000-0005-0000-0000-000080430000}"/>
    <cellStyle name="Header2 3 21" xfId="17279" xr:uid="{00000000-0005-0000-0000-000081430000}"/>
    <cellStyle name="Header2 3 22" xfId="17280" xr:uid="{00000000-0005-0000-0000-000082430000}"/>
    <cellStyle name="Header2 3 23" xfId="17281" xr:uid="{00000000-0005-0000-0000-000083430000}"/>
    <cellStyle name="Header2 3 24" xfId="17282" xr:uid="{00000000-0005-0000-0000-000084430000}"/>
    <cellStyle name="Header2 3 25" xfId="17283" xr:uid="{00000000-0005-0000-0000-000085430000}"/>
    <cellStyle name="Header2 3 26" xfId="17284" xr:uid="{00000000-0005-0000-0000-000086430000}"/>
    <cellStyle name="Header2 3 3" xfId="17285" xr:uid="{00000000-0005-0000-0000-000087430000}"/>
    <cellStyle name="Header2 3 3 2" xfId="17286" xr:uid="{00000000-0005-0000-0000-000088430000}"/>
    <cellStyle name="Header2 3 3 2 2" xfId="17287" xr:uid="{00000000-0005-0000-0000-000089430000}"/>
    <cellStyle name="Header2 3 3 2 3" xfId="17288" xr:uid="{00000000-0005-0000-0000-00008A430000}"/>
    <cellStyle name="Header2 3 3 2 4" xfId="17289" xr:uid="{00000000-0005-0000-0000-00008B430000}"/>
    <cellStyle name="Header2 3 3 3" xfId="17290" xr:uid="{00000000-0005-0000-0000-00008C430000}"/>
    <cellStyle name="Header2 3 3 3 2" xfId="17291" xr:uid="{00000000-0005-0000-0000-00008D430000}"/>
    <cellStyle name="Header2 3 3 3 3" xfId="17292" xr:uid="{00000000-0005-0000-0000-00008E430000}"/>
    <cellStyle name="Header2 3 3 3 4" xfId="17293" xr:uid="{00000000-0005-0000-0000-00008F430000}"/>
    <cellStyle name="Header2 3 3 4" xfId="17294" xr:uid="{00000000-0005-0000-0000-000090430000}"/>
    <cellStyle name="Header2 3 3 5" xfId="17295" xr:uid="{00000000-0005-0000-0000-000091430000}"/>
    <cellStyle name="Header2 3 3 6" xfId="17296" xr:uid="{00000000-0005-0000-0000-000092430000}"/>
    <cellStyle name="Header2 3 4" xfId="17297" xr:uid="{00000000-0005-0000-0000-000093430000}"/>
    <cellStyle name="Header2 3 4 2" xfId="17298" xr:uid="{00000000-0005-0000-0000-000094430000}"/>
    <cellStyle name="Header2 3 4 3" xfId="17299" xr:uid="{00000000-0005-0000-0000-000095430000}"/>
    <cellStyle name="Header2 3 4 4" xfId="17300" xr:uid="{00000000-0005-0000-0000-000096430000}"/>
    <cellStyle name="Header2 3 5" xfId="17301" xr:uid="{00000000-0005-0000-0000-000097430000}"/>
    <cellStyle name="Header2 3 6" xfId="17302" xr:uid="{00000000-0005-0000-0000-000098430000}"/>
    <cellStyle name="Header2 3 7" xfId="17303" xr:uid="{00000000-0005-0000-0000-000099430000}"/>
    <cellStyle name="Header2 3 8" xfId="17304" xr:uid="{00000000-0005-0000-0000-00009A430000}"/>
    <cellStyle name="Header2 3 9" xfId="17305" xr:uid="{00000000-0005-0000-0000-00009B430000}"/>
    <cellStyle name="Header2 4" xfId="17306" xr:uid="{00000000-0005-0000-0000-00009C430000}"/>
    <cellStyle name="Header2 4 10" xfId="17307" xr:uid="{00000000-0005-0000-0000-00009D430000}"/>
    <cellStyle name="Header2 4 11" xfId="17308" xr:uid="{00000000-0005-0000-0000-00009E430000}"/>
    <cellStyle name="Header2 4 12" xfId="17309" xr:uid="{00000000-0005-0000-0000-00009F430000}"/>
    <cellStyle name="Header2 4 13" xfId="17310" xr:uid="{00000000-0005-0000-0000-0000A0430000}"/>
    <cellStyle name="Header2 4 14" xfId="17311" xr:uid="{00000000-0005-0000-0000-0000A1430000}"/>
    <cellStyle name="Header2 4 15" xfId="17312" xr:uid="{00000000-0005-0000-0000-0000A2430000}"/>
    <cellStyle name="Header2 4 16" xfId="17313" xr:uid="{00000000-0005-0000-0000-0000A3430000}"/>
    <cellStyle name="Header2 4 17" xfId="17314" xr:uid="{00000000-0005-0000-0000-0000A4430000}"/>
    <cellStyle name="Header2 4 18" xfId="17315" xr:uid="{00000000-0005-0000-0000-0000A5430000}"/>
    <cellStyle name="Header2 4 19" xfId="17316" xr:uid="{00000000-0005-0000-0000-0000A6430000}"/>
    <cellStyle name="Header2 4 2" xfId="17317" xr:uid="{00000000-0005-0000-0000-0000A7430000}"/>
    <cellStyle name="Header2 4 2 2" xfId="17318" xr:uid="{00000000-0005-0000-0000-0000A8430000}"/>
    <cellStyle name="Header2 4 2 2 2" xfId="17319" xr:uid="{00000000-0005-0000-0000-0000A9430000}"/>
    <cellStyle name="Header2 4 2 2 3" xfId="17320" xr:uid="{00000000-0005-0000-0000-0000AA430000}"/>
    <cellStyle name="Header2 4 2 2 4" xfId="17321" xr:uid="{00000000-0005-0000-0000-0000AB430000}"/>
    <cellStyle name="Header2 4 2 3" xfId="17322" xr:uid="{00000000-0005-0000-0000-0000AC430000}"/>
    <cellStyle name="Header2 4 2 3 2" xfId="17323" xr:uid="{00000000-0005-0000-0000-0000AD430000}"/>
    <cellStyle name="Header2 4 2 3 3" xfId="17324" xr:uid="{00000000-0005-0000-0000-0000AE430000}"/>
    <cellStyle name="Header2 4 2 3 4" xfId="17325" xr:uid="{00000000-0005-0000-0000-0000AF430000}"/>
    <cellStyle name="Header2 4 2 4" xfId="17326" xr:uid="{00000000-0005-0000-0000-0000B0430000}"/>
    <cellStyle name="Header2 4 2 5" xfId="17327" xr:uid="{00000000-0005-0000-0000-0000B1430000}"/>
    <cellStyle name="Header2 4 2 6" xfId="17328" xr:uid="{00000000-0005-0000-0000-0000B2430000}"/>
    <cellStyle name="Header2 4 20" xfId="17329" xr:uid="{00000000-0005-0000-0000-0000B3430000}"/>
    <cellStyle name="Header2 4 21" xfId="17330" xr:uid="{00000000-0005-0000-0000-0000B4430000}"/>
    <cellStyle name="Header2 4 22" xfId="17331" xr:uid="{00000000-0005-0000-0000-0000B5430000}"/>
    <cellStyle name="Header2 4 23" xfId="17332" xr:uid="{00000000-0005-0000-0000-0000B6430000}"/>
    <cellStyle name="Header2 4 24" xfId="17333" xr:uid="{00000000-0005-0000-0000-0000B7430000}"/>
    <cellStyle name="Header2 4 25" xfId="17334" xr:uid="{00000000-0005-0000-0000-0000B8430000}"/>
    <cellStyle name="Header2 4 26" xfId="17335" xr:uid="{00000000-0005-0000-0000-0000B9430000}"/>
    <cellStyle name="Header2 4 27" xfId="17336" xr:uid="{00000000-0005-0000-0000-0000BA430000}"/>
    <cellStyle name="Header2 4 28" xfId="17337" xr:uid="{00000000-0005-0000-0000-0000BB430000}"/>
    <cellStyle name="Header2 4 29" xfId="17338" xr:uid="{00000000-0005-0000-0000-0000BC430000}"/>
    <cellStyle name="Header2 4 3" xfId="17339" xr:uid="{00000000-0005-0000-0000-0000BD430000}"/>
    <cellStyle name="Header2 4 3 2" xfId="17340" xr:uid="{00000000-0005-0000-0000-0000BE430000}"/>
    <cellStyle name="Header2 4 3 3" xfId="17341" xr:uid="{00000000-0005-0000-0000-0000BF430000}"/>
    <cellStyle name="Header2 4 3 4" xfId="17342" xr:uid="{00000000-0005-0000-0000-0000C0430000}"/>
    <cellStyle name="Header2 4 30" xfId="17343" xr:uid="{00000000-0005-0000-0000-0000C1430000}"/>
    <cellStyle name="Header2 4 31" xfId="17344" xr:uid="{00000000-0005-0000-0000-0000C2430000}"/>
    <cellStyle name="Header2 4 32" xfId="17345" xr:uid="{00000000-0005-0000-0000-0000C3430000}"/>
    <cellStyle name="Header2 4 33" xfId="17346" xr:uid="{00000000-0005-0000-0000-0000C4430000}"/>
    <cellStyle name="Header2 4 34" xfId="17347" xr:uid="{00000000-0005-0000-0000-0000C5430000}"/>
    <cellStyle name="Header2 4 35" xfId="17348" xr:uid="{00000000-0005-0000-0000-0000C6430000}"/>
    <cellStyle name="Header2 4 4" xfId="17349" xr:uid="{00000000-0005-0000-0000-0000C7430000}"/>
    <cellStyle name="Header2 4 5" xfId="17350" xr:uid="{00000000-0005-0000-0000-0000C8430000}"/>
    <cellStyle name="Header2 4 6" xfId="17351" xr:uid="{00000000-0005-0000-0000-0000C9430000}"/>
    <cellStyle name="Header2 4 7" xfId="17352" xr:uid="{00000000-0005-0000-0000-0000CA430000}"/>
    <cellStyle name="Header2 4 8" xfId="17353" xr:uid="{00000000-0005-0000-0000-0000CB430000}"/>
    <cellStyle name="Header2 4 9" xfId="17354" xr:uid="{00000000-0005-0000-0000-0000CC430000}"/>
    <cellStyle name="Header2 5" xfId="17355" xr:uid="{00000000-0005-0000-0000-0000CD430000}"/>
    <cellStyle name="Header2 5 2" xfId="17356" xr:uid="{00000000-0005-0000-0000-0000CE430000}"/>
    <cellStyle name="Header2 5 2 2" xfId="17357" xr:uid="{00000000-0005-0000-0000-0000CF430000}"/>
    <cellStyle name="Header2 5 2 3" xfId="17358" xr:uid="{00000000-0005-0000-0000-0000D0430000}"/>
    <cellStyle name="Header2 5 2 4" xfId="17359" xr:uid="{00000000-0005-0000-0000-0000D1430000}"/>
    <cellStyle name="Header2 5 3" xfId="17360" xr:uid="{00000000-0005-0000-0000-0000D2430000}"/>
    <cellStyle name="Header2 5 3 2" xfId="17361" xr:uid="{00000000-0005-0000-0000-0000D3430000}"/>
    <cellStyle name="Header2 5 3 3" xfId="17362" xr:uid="{00000000-0005-0000-0000-0000D4430000}"/>
    <cellStyle name="Header2 5 3 4" xfId="17363" xr:uid="{00000000-0005-0000-0000-0000D5430000}"/>
    <cellStyle name="Header2 5 4" xfId="17364" xr:uid="{00000000-0005-0000-0000-0000D6430000}"/>
    <cellStyle name="Header2 5 5" xfId="17365" xr:uid="{00000000-0005-0000-0000-0000D7430000}"/>
    <cellStyle name="Header2 5 6" xfId="17366" xr:uid="{00000000-0005-0000-0000-0000D8430000}"/>
    <cellStyle name="Header2 6" xfId="17367" xr:uid="{00000000-0005-0000-0000-0000D9430000}"/>
    <cellStyle name="Header2 6 2" xfId="17368" xr:uid="{00000000-0005-0000-0000-0000DA430000}"/>
    <cellStyle name="Header2 6 3" xfId="17369" xr:uid="{00000000-0005-0000-0000-0000DB430000}"/>
    <cellStyle name="Header2 6 4" xfId="17370" xr:uid="{00000000-0005-0000-0000-0000DC430000}"/>
    <cellStyle name="Header2 7" xfId="17371" xr:uid="{00000000-0005-0000-0000-0000DD430000}"/>
    <cellStyle name="Header2 8" xfId="17372" xr:uid="{00000000-0005-0000-0000-0000DE430000}"/>
    <cellStyle name="Header2 9" xfId="17373" xr:uid="{00000000-0005-0000-0000-0000DF430000}"/>
    <cellStyle name="Heading" xfId="17374" xr:uid="{00000000-0005-0000-0000-0000E0430000}"/>
    <cellStyle name="Heading 1 10" xfId="17375" xr:uid="{00000000-0005-0000-0000-0000E1430000}"/>
    <cellStyle name="Heading 1 10 2" xfId="17376" xr:uid="{00000000-0005-0000-0000-0000E2430000}"/>
    <cellStyle name="Heading 1 11" xfId="17377" xr:uid="{00000000-0005-0000-0000-0000E3430000}"/>
    <cellStyle name="Heading 1 11 2" xfId="17378" xr:uid="{00000000-0005-0000-0000-0000E4430000}"/>
    <cellStyle name="Heading 1 12" xfId="17379" xr:uid="{00000000-0005-0000-0000-0000E5430000}"/>
    <cellStyle name="Heading 1 12 2" xfId="17380" xr:uid="{00000000-0005-0000-0000-0000E6430000}"/>
    <cellStyle name="Heading 1 13" xfId="17381" xr:uid="{00000000-0005-0000-0000-0000E7430000}"/>
    <cellStyle name="Heading 1 13 2" xfId="17382" xr:uid="{00000000-0005-0000-0000-0000E8430000}"/>
    <cellStyle name="Heading 1 14" xfId="17383" xr:uid="{00000000-0005-0000-0000-0000E9430000}"/>
    <cellStyle name="Heading 1 14 2" xfId="17384" xr:uid="{00000000-0005-0000-0000-0000EA430000}"/>
    <cellStyle name="Heading 1 15" xfId="17385" xr:uid="{00000000-0005-0000-0000-0000EB430000}"/>
    <cellStyle name="Heading 1 15 2" xfId="17386" xr:uid="{00000000-0005-0000-0000-0000EC430000}"/>
    <cellStyle name="Heading 1 16" xfId="17387" xr:uid="{00000000-0005-0000-0000-0000ED430000}"/>
    <cellStyle name="Heading 1 16 2" xfId="17388" xr:uid="{00000000-0005-0000-0000-0000EE430000}"/>
    <cellStyle name="Heading 1 17" xfId="17389" xr:uid="{00000000-0005-0000-0000-0000EF430000}"/>
    <cellStyle name="Heading 1 17 2" xfId="17390" xr:uid="{00000000-0005-0000-0000-0000F0430000}"/>
    <cellStyle name="Heading 1 18" xfId="17391" xr:uid="{00000000-0005-0000-0000-0000F1430000}"/>
    <cellStyle name="Heading 1 18 2" xfId="17392" xr:uid="{00000000-0005-0000-0000-0000F2430000}"/>
    <cellStyle name="Heading 1 19" xfId="17393" xr:uid="{00000000-0005-0000-0000-0000F3430000}"/>
    <cellStyle name="Heading 1 19 2" xfId="17394" xr:uid="{00000000-0005-0000-0000-0000F4430000}"/>
    <cellStyle name="Heading 1 2" xfId="17395" xr:uid="{00000000-0005-0000-0000-0000F5430000}"/>
    <cellStyle name="Heading 1 2 10" xfId="17396" xr:uid="{00000000-0005-0000-0000-0000F6430000}"/>
    <cellStyle name="Heading 1 2 10 2" xfId="17397" xr:uid="{00000000-0005-0000-0000-0000F7430000}"/>
    <cellStyle name="Heading 1 2 11" xfId="17398" xr:uid="{00000000-0005-0000-0000-0000F8430000}"/>
    <cellStyle name="Heading 1 2 11 2" xfId="17399" xr:uid="{00000000-0005-0000-0000-0000F9430000}"/>
    <cellStyle name="Heading 1 2 12" xfId="17400" xr:uid="{00000000-0005-0000-0000-0000FA430000}"/>
    <cellStyle name="Heading 1 2 12 2" xfId="17401" xr:uid="{00000000-0005-0000-0000-0000FB430000}"/>
    <cellStyle name="Heading 1 2 13" xfId="17402" xr:uid="{00000000-0005-0000-0000-0000FC430000}"/>
    <cellStyle name="Heading 1 2 13 2" xfId="17403" xr:uid="{00000000-0005-0000-0000-0000FD430000}"/>
    <cellStyle name="Heading 1 2 14" xfId="17404" xr:uid="{00000000-0005-0000-0000-0000FE430000}"/>
    <cellStyle name="Heading 1 2 14 2" xfId="17405" xr:uid="{00000000-0005-0000-0000-0000FF430000}"/>
    <cellStyle name="Heading 1 2 15" xfId="17406" xr:uid="{00000000-0005-0000-0000-000000440000}"/>
    <cellStyle name="Heading 1 2 15 2" xfId="17407" xr:uid="{00000000-0005-0000-0000-000001440000}"/>
    <cellStyle name="Heading 1 2 16" xfId="17408" xr:uid="{00000000-0005-0000-0000-000002440000}"/>
    <cellStyle name="Heading 1 2 16 2" xfId="17409" xr:uid="{00000000-0005-0000-0000-000003440000}"/>
    <cellStyle name="Heading 1 2 17" xfId="17410" xr:uid="{00000000-0005-0000-0000-000004440000}"/>
    <cellStyle name="Heading 1 2 17 2" xfId="17411" xr:uid="{00000000-0005-0000-0000-000005440000}"/>
    <cellStyle name="Heading 1 2 18" xfId="17412" xr:uid="{00000000-0005-0000-0000-000006440000}"/>
    <cellStyle name="Heading 1 2 18 2" xfId="17413" xr:uid="{00000000-0005-0000-0000-000007440000}"/>
    <cellStyle name="Heading 1 2 19" xfId="17414" xr:uid="{00000000-0005-0000-0000-000008440000}"/>
    <cellStyle name="Heading 1 2 19 2" xfId="17415" xr:uid="{00000000-0005-0000-0000-000009440000}"/>
    <cellStyle name="Heading 1 2 2" xfId="17416" xr:uid="{00000000-0005-0000-0000-00000A440000}"/>
    <cellStyle name="Heading 1 2 2 2" xfId="17417" xr:uid="{00000000-0005-0000-0000-00000B440000}"/>
    <cellStyle name="Heading 1 2 2 2 2" xfId="17418" xr:uid="{00000000-0005-0000-0000-00000C440000}"/>
    <cellStyle name="Heading 1 2 2 3" xfId="17419" xr:uid="{00000000-0005-0000-0000-00000D440000}"/>
    <cellStyle name="Heading 1 2 20" xfId="17420" xr:uid="{00000000-0005-0000-0000-00000E440000}"/>
    <cellStyle name="Heading 1 2 3" xfId="17421" xr:uid="{00000000-0005-0000-0000-00000F440000}"/>
    <cellStyle name="Heading 1 2 3 2" xfId="17422" xr:uid="{00000000-0005-0000-0000-000010440000}"/>
    <cellStyle name="Heading 1 2 4" xfId="17423" xr:uid="{00000000-0005-0000-0000-000011440000}"/>
    <cellStyle name="Heading 1 2 4 2" xfId="17424" xr:uid="{00000000-0005-0000-0000-000012440000}"/>
    <cellStyle name="Heading 1 2 5" xfId="17425" xr:uid="{00000000-0005-0000-0000-000013440000}"/>
    <cellStyle name="Heading 1 2 5 2" xfId="17426" xr:uid="{00000000-0005-0000-0000-000014440000}"/>
    <cellStyle name="Heading 1 2 6" xfId="17427" xr:uid="{00000000-0005-0000-0000-000015440000}"/>
    <cellStyle name="Heading 1 2 6 2" xfId="17428" xr:uid="{00000000-0005-0000-0000-000016440000}"/>
    <cellStyle name="Heading 1 2 7" xfId="17429" xr:uid="{00000000-0005-0000-0000-000017440000}"/>
    <cellStyle name="Heading 1 2 7 2" xfId="17430" xr:uid="{00000000-0005-0000-0000-000018440000}"/>
    <cellStyle name="Heading 1 2 8" xfId="17431" xr:uid="{00000000-0005-0000-0000-000019440000}"/>
    <cellStyle name="Heading 1 2 8 2" xfId="17432" xr:uid="{00000000-0005-0000-0000-00001A440000}"/>
    <cellStyle name="Heading 1 2 9" xfId="17433" xr:uid="{00000000-0005-0000-0000-00001B440000}"/>
    <cellStyle name="Heading 1 2 9 2" xfId="17434" xr:uid="{00000000-0005-0000-0000-00001C440000}"/>
    <cellStyle name="Heading 1 20" xfId="17435" xr:uid="{00000000-0005-0000-0000-00001D440000}"/>
    <cellStyle name="Heading 1 20 2" xfId="17436" xr:uid="{00000000-0005-0000-0000-00001E440000}"/>
    <cellStyle name="Heading 1 21" xfId="17437" xr:uid="{00000000-0005-0000-0000-00001F440000}"/>
    <cellStyle name="Heading 1 21 2" xfId="17438" xr:uid="{00000000-0005-0000-0000-000020440000}"/>
    <cellStyle name="Heading 1 22" xfId="17439" xr:uid="{00000000-0005-0000-0000-000021440000}"/>
    <cellStyle name="Heading 1 22 2" xfId="17440" xr:uid="{00000000-0005-0000-0000-000022440000}"/>
    <cellStyle name="Heading 1 23" xfId="17441" xr:uid="{00000000-0005-0000-0000-000023440000}"/>
    <cellStyle name="Heading 1 23 2" xfId="17442" xr:uid="{00000000-0005-0000-0000-000024440000}"/>
    <cellStyle name="Heading 1 24" xfId="17443" xr:uid="{00000000-0005-0000-0000-000025440000}"/>
    <cellStyle name="Heading 1 24 2" xfId="17444" xr:uid="{00000000-0005-0000-0000-000026440000}"/>
    <cellStyle name="Heading 1 25" xfId="17445" xr:uid="{00000000-0005-0000-0000-000027440000}"/>
    <cellStyle name="Heading 1 25 2" xfId="17446" xr:uid="{00000000-0005-0000-0000-000028440000}"/>
    <cellStyle name="Heading 1 26" xfId="17447" xr:uid="{00000000-0005-0000-0000-000029440000}"/>
    <cellStyle name="Heading 1 26 2" xfId="17448" xr:uid="{00000000-0005-0000-0000-00002A440000}"/>
    <cellStyle name="Heading 1 27" xfId="17449" xr:uid="{00000000-0005-0000-0000-00002B440000}"/>
    <cellStyle name="Heading 1 27 2" xfId="17450" xr:uid="{00000000-0005-0000-0000-00002C440000}"/>
    <cellStyle name="Heading 1 3" xfId="17451" xr:uid="{00000000-0005-0000-0000-00002D440000}"/>
    <cellStyle name="Heading 1 3 2" xfId="17452" xr:uid="{00000000-0005-0000-0000-00002E440000}"/>
    <cellStyle name="Heading 1 3 2 2" xfId="17453" xr:uid="{00000000-0005-0000-0000-00002F440000}"/>
    <cellStyle name="Heading 1 3 3" xfId="17454" xr:uid="{00000000-0005-0000-0000-000030440000}"/>
    <cellStyle name="Heading 1 4" xfId="17455" xr:uid="{00000000-0005-0000-0000-000031440000}"/>
    <cellStyle name="Heading 1 4 2" xfId="17456" xr:uid="{00000000-0005-0000-0000-000032440000}"/>
    <cellStyle name="Heading 1 4 2 2" xfId="17457" xr:uid="{00000000-0005-0000-0000-000033440000}"/>
    <cellStyle name="Heading 1 4 3" xfId="17458" xr:uid="{00000000-0005-0000-0000-000034440000}"/>
    <cellStyle name="Heading 1 5" xfId="17459" xr:uid="{00000000-0005-0000-0000-000035440000}"/>
    <cellStyle name="Heading 1 5 2" xfId="17460" xr:uid="{00000000-0005-0000-0000-000036440000}"/>
    <cellStyle name="Heading 1 6" xfId="17461" xr:uid="{00000000-0005-0000-0000-000037440000}"/>
    <cellStyle name="Heading 1 6 2" xfId="17462" xr:uid="{00000000-0005-0000-0000-000038440000}"/>
    <cellStyle name="Heading 1 7" xfId="17463" xr:uid="{00000000-0005-0000-0000-000039440000}"/>
    <cellStyle name="Heading 1 7 2" xfId="17464" xr:uid="{00000000-0005-0000-0000-00003A440000}"/>
    <cellStyle name="Heading 1 8" xfId="17465" xr:uid="{00000000-0005-0000-0000-00003B440000}"/>
    <cellStyle name="Heading 1 8 2" xfId="17466" xr:uid="{00000000-0005-0000-0000-00003C440000}"/>
    <cellStyle name="Heading 1 9" xfId="17467" xr:uid="{00000000-0005-0000-0000-00003D440000}"/>
    <cellStyle name="Heading 1 9 2" xfId="17468" xr:uid="{00000000-0005-0000-0000-00003E440000}"/>
    <cellStyle name="Heading 2 10" xfId="17469" xr:uid="{00000000-0005-0000-0000-00003F440000}"/>
    <cellStyle name="Heading 2 10 2" xfId="17470" xr:uid="{00000000-0005-0000-0000-000040440000}"/>
    <cellStyle name="Heading 2 11" xfId="17471" xr:uid="{00000000-0005-0000-0000-000041440000}"/>
    <cellStyle name="Heading 2 11 2" xfId="17472" xr:uid="{00000000-0005-0000-0000-000042440000}"/>
    <cellStyle name="Heading 2 12" xfId="17473" xr:uid="{00000000-0005-0000-0000-000043440000}"/>
    <cellStyle name="Heading 2 12 2" xfId="17474" xr:uid="{00000000-0005-0000-0000-000044440000}"/>
    <cellStyle name="Heading 2 13" xfId="17475" xr:uid="{00000000-0005-0000-0000-000045440000}"/>
    <cellStyle name="Heading 2 13 2" xfId="17476" xr:uid="{00000000-0005-0000-0000-000046440000}"/>
    <cellStyle name="Heading 2 14" xfId="17477" xr:uid="{00000000-0005-0000-0000-000047440000}"/>
    <cellStyle name="Heading 2 14 2" xfId="17478" xr:uid="{00000000-0005-0000-0000-000048440000}"/>
    <cellStyle name="Heading 2 15" xfId="17479" xr:uid="{00000000-0005-0000-0000-000049440000}"/>
    <cellStyle name="Heading 2 15 2" xfId="17480" xr:uid="{00000000-0005-0000-0000-00004A440000}"/>
    <cellStyle name="Heading 2 16" xfId="17481" xr:uid="{00000000-0005-0000-0000-00004B440000}"/>
    <cellStyle name="Heading 2 16 2" xfId="17482" xr:uid="{00000000-0005-0000-0000-00004C440000}"/>
    <cellStyle name="Heading 2 17" xfId="17483" xr:uid="{00000000-0005-0000-0000-00004D440000}"/>
    <cellStyle name="Heading 2 17 2" xfId="17484" xr:uid="{00000000-0005-0000-0000-00004E440000}"/>
    <cellStyle name="Heading 2 18" xfId="17485" xr:uid="{00000000-0005-0000-0000-00004F440000}"/>
    <cellStyle name="Heading 2 18 2" xfId="17486" xr:uid="{00000000-0005-0000-0000-000050440000}"/>
    <cellStyle name="Heading 2 19" xfId="17487" xr:uid="{00000000-0005-0000-0000-000051440000}"/>
    <cellStyle name="Heading 2 19 2" xfId="17488" xr:uid="{00000000-0005-0000-0000-000052440000}"/>
    <cellStyle name="Heading 2 2" xfId="17489" xr:uid="{00000000-0005-0000-0000-000053440000}"/>
    <cellStyle name="Heading 2 2 10" xfId="17490" xr:uid="{00000000-0005-0000-0000-000054440000}"/>
    <cellStyle name="Heading 2 2 10 2" xfId="17491" xr:uid="{00000000-0005-0000-0000-000055440000}"/>
    <cellStyle name="Heading 2 2 11" xfId="17492" xr:uid="{00000000-0005-0000-0000-000056440000}"/>
    <cellStyle name="Heading 2 2 11 2" xfId="17493" xr:uid="{00000000-0005-0000-0000-000057440000}"/>
    <cellStyle name="Heading 2 2 12" xfId="17494" xr:uid="{00000000-0005-0000-0000-000058440000}"/>
    <cellStyle name="Heading 2 2 12 2" xfId="17495" xr:uid="{00000000-0005-0000-0000-000059440000}"/>
    <cellStyle name="Heading 2 2 13" xfId="17496" xr:uid="{00000000-0005-0000-0000-00005A440000}"/>
    <cellStyle name="Heading 2 2 13 2" xfId="17497" xr:uid="{00000000-0005-0000-0000-00005B440000}"/>
    <cellStyle name="Heading 2 2 14" xfId="17498" xr:uid="{00000000-0005-0000-0000-00005C440000}"/>
    <cellStyle name="Heading 2 2 14 2" xfId="17499" xr:uid="{00000000-0005-0000-0000-00005D440000}"/>
    <cellStyle name="Heading 2 2 15" xfId="17500" xr:uid="{00000000-0005-0000-0000-00005E440000}"/>
    <cellStyle name="Heading 2 2 15 2" xfId="17501" xr:uid="{00000000-0005-0000-0000-00005F440000}"/>
    <cellStyle name="Heading 2 2 16" xfId="17502" xr:uid="{00000000-0005-0000-0000-000060440000}"/>
    <cellStyle name="Heading 2 2 16 2" xfId="17503" xr:uid="{00000000-0005-0000-0000-000061440000}"/>
    <cellStyle name="Heading 2 2 17" xfId="17504" xr:uid="{00000000-0005-0000-0000-000062440000}"/>
    <cellStyle name="Heading 2 2 17 2" xfId="17505" xr:uid="{00000000-0005-0000-0000-000063440000}"/>
    <cellStyle name="Heading 2 2 18" xfId="17506" xr:uid="{00000000-0005-0000-0000-000064440000}"/>
    <cellStyle name="Heading 2 2 18 2" xfId="17507" xr:uid="{00000000-0005-0000-0000-000065440000}"/>
    <cellStyle name="Heading 2 2 19" xfId="17508" xr:uid="{00000000-0005-0000-0000-000066440000}"/>
    <cellStyle name="Heading 2 2 19 2" xfId="17509" xr:uid="{00000000-0005-0000-0000-000067440000}"/>
    <cellStyle name="Heading 2 2 2" xfId="17510" xr:uid="{00000000-0005-0000-0000-000068440000}"/>
    <cellStyle name="Heading 2 2 2 2" xfId="17511" xr:uid="{00000000-0005-0000-0000-000069440000}"/>
    <cellStyle name="Heading 2 2 2 2 2" xfId="17512" xr:uid="{00000000-0005-0000-0000-00006A440000}"/>
    <cellStyle name="Heading 2 2 2 2 3" xfId="17513" xr:uid="{00000000-0005-0000-0000-00006B440000}"/>
    <cellStyle name="Heading 2 2 2 2 4" xfId="17514" xr:uid="{00000000-0005-0000-0000-00006C440000}"/>
    <cellStyle name="Heading 2 2 2 2 5" xfId="17515" xr:uid="{00000000-0005-0000-0000-00006D440000}"/>
    <cellStyle name="Heading 2 2 2 2 6" xfId="17516" xr:uid="{00000000-0005-0000-0000-00006E440000}"/>
    <cellStyle name="Heading 2 2 2 2 7" xfId="17517" xr:uid="{00000000-0005-0000-0000-00006F440000}"/>
    <cellStyle name="Heading 2 2 2 3" xfId="17518" xr:uid="{00000000-0005-0000-0000-000070440000}"/>
    <cellStyle name="Heading 2 2 2 4" xfId="17519" xr:uid="{00000000-0005-0000-0000-000071440000}"/>
    <cellStyle name="Heading 2 2 2 5" xfId="17520" xr:uid="{00000000-0005-0000-0000-000072440000}"/>
    <cellStyle name="Heading 2 2 2 6" xfId="17521" xr:uid="{00000000-0005-0000-0000-000073440000}"/>
    <cellStyle name="Heading 2 2 2 7" xfId="17522" xr:uid="{00000000-0005-0000-0000-000074440000}"/>
    <cellStyle name="Heading 2 2 2 8" xfId="17523" xr:uid="{00000000-0005-0000-0000-000075440000}"/>
    <cellStyle name="Heading 2 2 20" xfId="17524" xr:uid="{00000000-0005-0000-0000-000076440000}"/>
    <cellStyle name="Heading 2 2 21" xfId="17525" xr:uid="{00000000-0005-0000-0000-000077440000}"/>
    <cellStyle name="Heading 2 2 22" xfId="17526" xr:uid="{00000000-0005-0000-0000-000078440000}"/>
    <cellStyle name="Heading 2 2 23" xfId="17527" xr:uid="{00000000-0005-0000-0000-000079440000}"/>
    <cellStyle name="Heading 2 2 24" xfId="17528" xr:uid="{00000000-0005-0000-0000-00007A440000}"/>
    <cellStyle name="Heading 2 2 25" xfId="17529" xr:uid="{00000000-0005-0000-0000-00007B440000}"/>
    <cellStyle name="Heading 2 2 3" xfId="17530" xr:uid="{00000000-0005-0000-0000-00007C440000}"/>
    <cellStyle name="Heading 2 2 3 2" xfId="17531" xr:uid="{00000000-0005-0000-0000-00007D440000}"/>
    <cellStyle name="Heading 2 2 3 2 2" xfId="17532" xr:uid="{00000000-0005-0000-0000-00007E440000}"/>
    <cellStyle name="Heading 2 2 3 2 3" xfId="17533" xr:uid="{00000000-0005-0000-0000-00007F440000}"/>
    <cellStyle name="Heading 2 2 3 2 4" xfId="17534" xr:uid="{00000000-0005-0000-0000-000080440000}"/>
    <cellStyle name="Heading 2 2 3 2 5" xfId="17535" xr:uid="{00000000-0005-0000-0000-000081440000}"/>
    <cellStyle name="Heading 2 2 3 2 6" xfId="17536" xr:uid="{00000000-0005-0000-0000-000082440000}"/>
    <cellStyle name="Heading 2 2 3 3" xfId="17537" xr:uid="{00000000-0005-0000-0000-000083440000}"/>
    <cellStyle name="Heading 2 2 3 4" xfId="17538" xr:uid="{00000000-0005-0000-0000-000084440000}"/>
    <cellStyle name="Heading 2 2 3 5" xfId="17539" xr:uid="{00000000-0005-0000-0000-000085440000}"/>
    <cellStyle name="Heading 2 2 3 6" xfId="17540" xr:uid="{00000000-0005-0000-0000-000086440000}"/>
    <cellStyle name="Heading 2 2 3 7" xfId="17541" xr:uid="{00000000-0005-0000-0000-000087440000}"/>
    <cellStyle name="Heading 2 2 4" xfId="17542" xr:uid="{00000000-0005-0000-0000-000088440000}"/>
    <cellStyle name="Heading 2 2 4 2" xfId="17543" xr:uid="{00000000-0005-0000-0000-000089440000}"/>
    <cellStyle name="Heading 2 2 5" xfId="17544" xr:uid="{00000000-0005-0000-0000-00008A440000}"/>
    <cellStyle name="Heading 2 2 5 2" xfId="17545" xr:uid="{00000000-0005-0000-0000-00008B440000}"/>
    <cellStyle name="Heading 2 2 6" xfId="17546" xr:uid="{00000000-0005-0000-0000-00008C440000}"/>
    <cellStyle name="Heading 2 2 6 2" xfId="17547" xr:uid="{00000000-0005-0000-0000-00008D440000}"/>
    <cellStyle name="Heading 2 2 7" xfId="17548" xr:uid="{00000000-0005-0000-0000-00008E440000}"/>
    <cellStyle name="Heading 2 2 7 2" xfId="17549" xr:uid="{00000000-0005-0000-0000-00008F440000}"/>
    <cellStyle name="Heading 2 2 8" xfId="17550" xr:uid="{00000000-0005-0000-0000-000090440000}"/>
    <cellStyle name="Heading 2 2 8 2" xfId="17551" xr:uid="{00000000-0005-0000-0000-000091440000}"/>
    <cellStyle name="Heading 2 2 9" xfId="17552" xr:uid="{00000000-0005-0000-0000-000092440000}"/>
    <cellStyle name="Heading 2 2 9 2" xfId="17553" xr:uid="{00000000-0005-0000-0000-000093440000}"/>
    <cellStyle name="Heading 2 20" xfId="17554" xr:uid="{00000000-0005-0000-0000-000094440000}"/>
    <cellStyle name="Heading 2 20 2" xfId="17555" xr:uid="{00000000-0005-0000-0000-000095440000}"/>
    <cellStyle name="Heading 2 21" xfId="17556" xr:uid="{00000000-0005-0000-0000-000096440000}"/>
    <cellStyle name="Heading 2 21 2" xfId="17557" xr:uid="{00000000-0005-0000-0000-000097440000}"/>
    <cellStyle name="Heading 2 22" xfId="17558" xr:uid="{00000000-0005-0000-0000-000098440000}"/>
    <cellStyle name="Heading 2 22 2" xfId="17559" xr:uid="{00000000-0005-0000-0000-000099440000}"/>
    <cellStyle name="Heading 2 23" xfId="17560" xr:uid="{00000000-0005-0000-0000-00009A440000}"/>
    <cellStyle name="Heading 2 23 2" xfId="17561" xr:uid="{00000000-0005-0000-0000-00009B440000}"/>
    <cellStyle name="Heading 2 24" xfId="17562" xr:uid="{00000000-0005-0000-0000-00009C440000}"/>
    <cellStyle name="Heading 2 24 2" xfId="17563" xr:uid="{00000000-0005-0000-0000-00009D440000}"/>
    <cellStyle name="Heading 2 25" xfId="17564" xr:uid="{00000000-0005-0000-0000-00009E440000}"/>
    <cellStyle name="Heading 2 25 2" xfId="17565" xr:uid="{00000000-0005-0000-0000-00009F440000}"/>
    <cellStyle name="Heading 2 26" xfId="17566" xr:uid="{00000000-0005-0000-0000-0000A0440000}"/>
    <cellStyle name="Heading 2 26 2" xfId="17567" xr:uid="{00000000-0005-0000-0000-0000A1440000}"/>
    <cellStyle name="Heading 2 27" xfId="17568" xr:uid="{00000000-0005-0000-0000-0000A2440000}"/>
    <cellStyle name="Heading 2 27 2" xfId="17569" xr:uid="{00000000-0005-0000-0000-0000A3440000}"/>
    <cellStyle name="Heading 2 3" xfId="17570" xr:uid="{00000000-0005-0000-0000-0000A4440000}"/>
    <cellStyle name="Heading 2 3 2" xfId="17571" xr:uid="{00000000-0005-0000-0000-0000A5440000}"/>
    <cellStyle name="Heading 2 3 2 2" xfId="17572" xr:uid="{00000000-0005-0000-0000-0000A6440000}"/>
    <cellStyle name="Heading 2 3 3" xfId="17573" xr:uid="{00000000-0005-0000-0000-0000A7440000}"/>
    <cellStyle name="Heading 2 3 4" xfId="17574" xr:uid="{00000000-0005-0000-0000-0000A8440000}"/>
    <cellStyle name="Heading 2 3 5" xfId="17575" xr:uid="{00000000-0005-0000-0000-0000A9440000}"/>
    <cellStyle name="Heading 2 3 6" xfId="17576" xr:uid="{00000000-0005-0000-0000-0000AA440000}"/>
    <cellStyle name="Heading 2 3 7" xfId="17577" xr:uid="{00000000-0005-0000-0000-0000AB440000}"/>
    <cellStyle name="Heading 2 3 8" xfId="17578" xr:uid="{00000000-0005-0000-0000-0000AC440000}"/>
    <cellStyle name="Heading 2 4" xfId="17579" xr:uid="{00000000-0005-0000-0000-0000AD440000}"/>
    <cellStyle name="Heading 2 4 2" xfId="17580" xr:uid="{00000000-0005-0000-0000-0000AE440000}"/>
    <cellStyle name="Heading 2 4 2 2" xfId="17581" xr:uid="{00000000-0005-0000-0000-0000AF440000}"/>
    <cellStyle name="Heading 2 4 3" xfId="17582" xr:uid="{00000000-0005-0000-0000-0000B0440000}"/>
    <cellStyle name="Heading 2 5" xfId="17583" xr:uid="{00000000-0005-0000-0000-0000B1440000}"/>
    <cellStyle name="Heading 2 5 2" xfId="17584" xr:uid="{00000000-0005-0000-0000-0000B2440000}"/>
    <cellStyle name="Heading 2 6" xfId="17585" xr:uid="{00000000-0005-0000-0000-0000B3440000}"/>
    <cellStyle name="Heading 2 6 2" xfId="17586" xr:uid="{00000000-0005-0000-0000-0000B4440000}"/>
    <cellStyle name="Heading 2 7" xfId="17587" xr:uid="{00000000-0005-0000-0000-0000B5440000}"/>
    <cellStyle name="Heading 2 7 2" xfId="17588" xr:uid="{00000000-0005-0000-0000-0000B6440000}"/>
    <cellStyle name="Heading 2 8" xfId="17589" xr:uid="{00000000-0005-0000-0000-0000B7440000}"/>
    <cellStyle name="Heading 2 8 2" xfId="17590" xr:uid="{00000000-0005-0000-0000-0000B8440000}"/>
    <cellStyle name="Heading 2 9" xfId="17591" xr:uid="{00000000-0005-0000-0000-0000B9440000}"/>
    <cellStyle name="Heading 2 9 2" xfId="17592" xr:uid="{00000000-0005-0000-0000-0000BA440000}"/>
    <cellStyle name="Heading 3 10" xfId="17593" xr:uid="{00000000-0005-0000-0000-0000BB440000}"/>
    <cellStyle name="Heading 3 10 2" xfId="17594" xr:uid="{00000000-0005-0000-0000-0000BC440000}"/>
    <cellStyle name="Heading 3 11" xfId="17595" xr:uid="{00000000-0005-0000-0000-0000BD440000}"/>
    <cellStyle name="Heading 3 11 2" xfId="17596" xr:uid="{00000000-0005-0000-0000-0000BE440000}"/>
    <cellStyle name="Heading 3 12" xfId="17597" xr:uid="{00000000-0005-0000-0000-0000BF440000}"/>
    <cellStyle name="Heading 3 12 2" xfId="17598" xr:uid="{00000000-0005-0000-0000-0000C0440000}"/>
    <cellStyle name="Heading 3 13" xfId="17599" xr:uid="{00000000-0005-0000-0000-0000C1440000}"/>
    <cellStyle name="Heading 3 13 2" xfId="17600" xr:uid="{00000000-0005-0000-0000-0000C2440000}"/>
    <cellStyle name="Heading 3 14" xfId="17601" xr:uid="{00000000-0005-0000-0000-0000C3440000}"/>
    <cellStyle name="Heading 3 14 2" xfId="17602" xr:uid="{00000000-0005-0000-0000-0000C4440000}"/>
    <cellStyle name="Heading 3 15" xfId="17603" xr:uid="{00000000-0005-0000-0000-0000C5440000}"/>
    <cellStyle name="Heading 3 15 2" xfId="17604" xr:uid="{00000000-0005-0000-0000-0000C6440000}"/>
    <cellStyle name="Heading 3 16" xfId="17605" xr:uid="{00000000-0005-0000-0000-0000C7440000}"/>
    <cellStyle name="Heading 3 16 2" xfId="17606" xr:uid="{00000000-0005-0000-0000-0000C8440000}"/>
    <cellStyle name="Heading 3 17" xfId="17607" xr:uid="{00000000-0005-0000-0000-0000C9440000}"/>
    <cellStyle name="Heading 3 17 2" xfId="17608" xr:uid="{00000000-0005-0000-0000-0000CA440000}"/>
    <cellStyle name="Heading 3 18" xfId="17609" xr:uid="{00000000-0005-0000-0000-0000CB440000}"/>
    <cellStyle name="Heading 3 18 2" xfId="17610" xr:uid="{00000000-0005-0000-0000-0000CC440000}"/>
    <cellStyle name="Heading 3 19" xfId="17611" xr:uid="{00000000-0005-0000-0000-0000CD440000}"/>
    <cellStyle name="Heading 3 19 2" xfId="17612" xr:uid="{00000000-0005-0000-0000-0000CE440000}"/>
    <cellStyle name="Heading 3 2" xfId="17613" xr:uid="{00000000-0005-0000-0000-0000CF440000}"/>
    <cellStyle name="Heading 3 2 10" xfId="17614" xr:uid="{00000000-0005-0000-0000-0000D0440000}"/>
    <cellStyle name="Heading 3 2 10 2" xfId="17615" xr:uid="{00000000-0005-0000-0000-0000D1440000}"/>
    <cellStyle name="Heading 3 2 11" xfId="17616" xr:uid="{00000000-0005-0000-0000-0000D2440000}"/>
    <cellStyle name="Heading 3 2 11 2" xfId="17617" xr:uid="{00000000-0005-0000-0000-0000D3440000}"/>
    <cellStyle name="Heading 3 2 12" xfId="17618" xr:uid="{00000000-0005-0000-0000-0000D4440000}"/>
    <cellStyle name="Heading 3 2 12 2" xfId="17619" xr:uid="{00000000-0005-0000-0000-0000D5440000}"/>
    <cellStyle name="Heading 3 2 13" xfId="17620" xr:uid="{00000000-0005-0000-0000-0000D6440000}"/>
    <cellStyle name="Heading 3 2 13 2" xfId="17621" xr:uid="{00000000-0005-0000-0000-0000D7440000}"/>
    <cellStyle name="Heading 3 2 14" xfId="17622" xr:uid="{00000000-0005-0000-0000-0000D8440000}"/>
    <cellStyle name="Heading 3 2 14 2" xfId="17623" xr:uid="{00000000-0005-0000-0000-0000D9440000}"/>
    <cellStyle name="Heading 3 2 15" xfId="17624" xr:uid="{00000000-0005-0000-0000-0000DA440000}"/>
    <cellStyle name="Heading 3 2 15 2" xfId="17625" xr:uid="{00000000-0005-0000-0000-0000DB440000}"/>
    <cellStyle name="Heading 3 2 16" xfId="17626" xr:uid="{00000000-0005-0000-0000-0000DC440000}"/>
    <cellStyle name="Heading 3 2 16 2" xfId="17627" xr:uid="{00000000-0005-0000-0000-0000DD440000}"/>
    <cellStyle name="Heading 3 2 17" xfId="17628" xr:uid="{00000000-0005-0000-0000-0000DE440000}"/>
    <cellStyle name="Heading 3 2 17 2" xfId="17629" xr:uid="{00000000-0005-0000-0000-0000DF440000}"/>
    <cellStyle name="Heading 3 2 18" xfId="17630" xr:uid="{00000000-0005-0000-0000-0000E0440000}"/>
    <cellStyle name="Heading 3 2 18 2" xfId="17631" xr:uid="{00000000-0005-0000-0000-0000E1440000}"/>
    <cellStyle name="Heading 3 2 19" xfId="17632" xr:uid="{00000000-0005-0000-0000-0000E2440000}"/>
    <cellStyle name="Heading 3 2 19 2" xfId="17633" xr:uid="{00000000-0005-0000-0000-0000E3440000}"/>
    <cellStyle name="Heading 3 2 2" xfId="17634" xr:uid="{00000000-0005-0000-0000-0000E4440000}"/>
    <cellStyle name="Heading 3 2 2 2" xfId="17635" xr:uid="{00000000-0005-0000-0000-0000E5440000}"/>
    <cellStyle name="Heading 3 2 2 2 2" xfId="17636" xr:uid="{00000000-0005-0000-0000-0000E6440000}"/>
    <cellStyle name="Heading 3 2 2 3" xfId="17637" xr:uid="{00000000-0005-0000-0000-0000E7440000}"/>
    <cellStyle name="Heading 3 2 20" xfId="17638" xr:uid="{00000000-0005-0000-0000-0000E8440000}"/>
    <cellStyle name="Heading 3 2 3" xfId="17639" xr:uid="{00000000-0005-0000-0000-0000E9440000}"/>
    <cellStyle name="Heading 3 2 3 2" xfId="17640" xr:uid="{00000000-0005-0000-0000-0000EA440000}"/>
    <cellStyle name="Heading 3 2 4" xfId="17641" xr:uid="{00000000-0005-0000-0000-0000EB440000}"/>
    <cellStyle name="Heading 3 2 4 2" xfId="17642" xr:uid="{00000000-0005-0000-0000-0000EC440000}"/>
    <cellStyle name="Heading 3 2 5" xfId="17643" xr:uid="{00000000-0005-0000-0000-0000ED440000}"/>
    <cellStyle name="Heading 3 2 5 2" xfId="17644" xr:uid="{00000000-0005-0000-0000-0000EE440000}"/>
    <cellStyle name="Heading 3 2 6" xfId="17645" xr:uid="{00000000-0005-0000-0000-0000EF440000}"/>
    <cellStyle name="Heading 3 2 6 2" xfId="17646" xr:uid="{00000000-0005-0000-0000-0000F0440000}"/>
    <cellStyle name="Heading 3 2 7" xfId="17647" xr:uid="{00000000-0005-0000-0000-0000F1440000}"/>
    <cellStyle name="Heading 3 2 7 2" xfId="17648" xr:uid="{00000000-0005-0000-0000-0000F2440000}"/>
    <cellStyle name="Heading 3 2 8" xfId="17649" xr:uid="{00000000-0005-0000-0000-0000F3440000}"/>
    <cellStyle name="Heading 3 2 8 2" xfId="17650" xr:uid="{00000000-0005-0000-0000-0000F4440000}"/>
    <cellStyle name="Heading 3 2 9" xfId="17651" xr:uid="{00000000-0005-0000-0000-0000F5440000}"/>
    <cellStyle name="Heading 3 2 9 2" xfId="17652" xr:uid="{00000000-0005-0000-0000-0000F6440000}"/>
    <cellStyle name="Heading 3 20" xfId="17653" xr:uid="{00000000-0005-0000-0000-0000F7440000}"/>
    <cellStyle name="Heading 3 20 2" xfId="17654" xr:uid="{00000000-0005-0000-0000-0000F8440000}"/>
    <cellStyle name="Heading 3 21" xfId="17655" xr:uid="{00000000-0005-0000-0000-0000F9440000}"/>
    <cellStyle name="Heading 3 21 2" xfId="17656" xr:uid="{00000000-0005-0000-0000-0000FA440000}"/>
    <cellStyle name="Heading 3 22" xfId="17657" xr:uid="{00000000-0005-0000-0000-0000FB440000}"/>
    <cellStyle name="Heading 3 22 2" xfId="17658" xr:uid="{00000000-0005-0000-0000-0000FC440000}"/>
    <cellStyle name="Heading 3 23" xfId="17659" xr:uid="{00000000-0005-0000-0000-0000FD440000}"/>
    <cellStyle name="Heading 3 23 2" xfId="17660" xr:uid="{00000000-0005-0000-0000-0000FE440000}"/>
    <cellStyle name="Heading 3 24" xfId="17661" xr:uid="{00000000-0005-0000-0000-0000FF440000}"/>
    <cellStyle name="Heading 3 24 2" xfId="17662" xr:uid="{00000000-0005-0000-0000-000000450000}"/>
    <cellStyle name="Heading 3 25" xfId="17663" xr:uid="{00000000-0005-0000-0000-000001450000}"/>
    <cellStyle name="Heading 3 25 2" xfId="17664" xr:uid="{00000000-0005-0000-0000-000002450000}"/>
    <cellStyle name="Heading 3 26" xfId="17665" xr:uid="{00000000-0005-0000-0000-000003450000}"/>
    <cellStyle name="Heading 3 26 2" xfId="17666" xr:uid="{00000000-0005-0000-0000-000004450000}"/>
    <cellStyle name="Heading 3 27" xfId="17667" xr:uid="{00000000-0005-0000-0000-000005450000}"/>
    <cellStyle name="Heading 3 27 2" xfId="17668" xr:uid="{00000000-0005-0000-0000-000006450000}"/>
    <cellStyle name="Heading 3 3" xfId="17669" xr:uid="{00000000-0005-0000-0000-000007450000}"/>
    <cellStyle name="Heading 3 3 2" xfId="17670" xr:uid="{00000000-0005-0000-0000-000008450000}"/>
    <cellStyle name="Heading 3 3 2 2" xfId="17671" xr:uid="{00000000-0005-0000-0000-000009450000}"/>
    <cellStyle name="Heading 3 3 3" xfId="17672" xr:uid="{00000000-0005-0000-0000-00000A450000}"/>
    <cellStyle name="Heading 3 4" xfId="17673" xr:uid="{00000000-0005-0000-0000-00000B450000}"/>
    <cellStyle name="Heading 3 4 2" xfId="17674" xr:uid="{00000000-0005-0000-0000-00000C450000}"/>
    <cellStyle name="Heading 3 4 2 2" xfId="17675" xr:uid="{00000000-0005-0000-0000-00000D450000}"/>
    <cellStyle name="Heading 3 4 3" xfId="17676" xr:uid="{00000000-0005-0000-0000-00000E450000}"/>
    <cellStyle name="Heading 3 5" xfId="17677" xr:uid="{00000000-0005-0000-0000-00000F450000}"/>
    <cellStyle name="Heading 3 5 2" xfId="17678" xr:uid="{00000000-0005-0000-0000-000010450000}"/>
    <cellStyle name="Heading 3 6" xfId="17679" xr:uid="{00000000-0005-0000-0000-000011450000}"/>
    <cellStyle name="Heading 3 6 2" xfId="17680" xr:uid="{00000000-0005-0000-0000-000012450000}"/>
    <cellStyle name="Heading 3 7" xfId="17681" xr:uid="{00000000-0005-0000-0000-000013450000}"/>
    <cellStyle name="Heading 3 7 2" xfId="17682" xr:uid="{00000000-0005-0000-0000-000014450000}"/>
    <cellStyle name="Heading 3 8" xfId="17683" xr:uid="{00000000-0005-0000-0000-000015450000}"/>
    <cellStyle name="Heading 3 8 2" xfId="17684" xr:uid="{00000000-0005-0000-0000-000016450000}"/>
    <cellStyle name="Heading 3 9" xfId="17685" xr:uid="{00000000-0005-0000-0000-000017450000}"/>
    <cellStyle name="Heading 3 9 2" xfId="17686" xr:uid="{00000000-0005-0000-0000-000018450000}"/>
    <cellStyle name="Heading 4 10" xfId="17687" xr:uid="{00000000-0005-0000-0000-000019450000}"/>
    <cellStyle name="Heading 4 10 2" xfId="17688" xr:uid="{00000000-0005-0000-0000-00001A450000}"/>
    <cellStyle name="Heading 4 11" xfId="17689" xr:uid="{00000000-0005-0000-0000-00001B450000}"/>
    <cellStyle name="Heading 4 11 2" xfId="17690" xr:uid="{00000000-0005-0000-0000-00001C450000}"/>
    <cellStyle name="Heading 4 12" xfId="17691" xr:uid="{00000000-0005-0000-0000-00001D450000}"/>
    <cellStyle name="Heading 4 12 2" xfId="17692" xr:uid="{00000000-0005-0000-0000-00001E450000}"/>
    <cellStyle name="Heading 4 13" xfId="17693" xr:uid="{00000000-0005-0000-0000-00001F450000}"/>
    <cellStyle name="Heading 4 13 2" xfId="17694" xr:uid="{00000000-0005-0000-0000-000020450000}"/>
    <cellStyle name="Heading 4 14" xfId="17695" xr:uid="{00000000-0005-0000-0000-000021450000}"/>
    <cellStyle name="Heading 4 14 2" xfId="17696" xr:uid="{00000000-0005-0000-0000-000022450000}"/>
    <cellStyle name="Heading 4 15" xfId="17697" xr:uid="{00000000-0005-0000-0000-000023450000}"/>
    <cellStyle name="Heading 4 15 2" xfId="17698" xr:uid="{00000000-0005-0000-0000-000024450000}"/>
    <cellStyle name="Heading 4 16" xfId="17699" xr:uid="{00000000-0005-0000-0000-000025450000}"/>
    <cellStyle name="Heading 4 16 2" xfId="17700" xr:uid="{00000000-0005-0000-0000-000026450000}"/>
    <cellStyle name="Heading 4 17" xfId="17701" xr:uid="{00000000-0005-0000-0000-000027450000}"/>
    <cellStyle name="Heading 4 17 2" xfId="17702" xr:uid="{00000000-0005-0000-0000-000028450000}"/>
    <cellStyle name="Heading 4 18" xfId="17703" xr:uid="{00000000-0005-0000-0000-000029450000}"/>
    <cellStyle name="Heading 4 18 2" xfId="17704" xr:uid="{00000000-0005-0000-0000-00002A450000}"/>
    <cellStyle name="Heading 4 19" xfId="17705" xr:uid="{00000000-0005-0000-0000-00002B450000}"/>
    <cellStyle name="Heading 4 19 2" xfId="17706" xr:uid="{00000000-0005-0000-0000-00002C450000}"/>
    <cellStyle name="Heading 4 2" xfId="17707" xr:uid="{00000000-0005-0000-0000-00002D450000}"/>
    <cellStyle name="Heading 4 2 10" xfId="17708" xr:uid="{00000000-0005-0000-0000-00002E450000}"/>
    <cellStyle name="Heading 4 2 10 2" xfId="17709" xr:uid="{00000000-0005-0000-0000-00002F450000}"/>
    <cellStyle name="Heading 4 2 11" xfId="17710" xr:uid="{00000000-0005-0000-0000-000030450000}"/>
    <cellStyle name="Heading 4 2 11 2" xfId="17711" xr:uid="{00000000-0005-0000-0000-000031450000}"/>
    <cellStyle name="Heading 4 2 12" xfId="17712" xr:uid="{00000000-0005-0000-0000-000032450000}"/>
    <cellStyle name="Heading 4 2 12 2" xfId="17713" xr:uid="{00000000-0005-0000-0000-000033450000}"/>
    <cellStyle name="Heading 4 2 13" xfId="17714" xr:uid="{00000000-0005-0000-0000-000034450000}"/>
    <cellStyle name="Heading 4 2 13 2" xfId="17715" xr:uid="{00000000-0005-0000-0000-000035450000}"/>
    <cellStyle name="Heading 4 2 14" xfId="17716" xr:uid="{00000000-0005-0000-0000-000036450000}"/>
    <cellStyle name="Heading 4 2 14 2" xfId="17717" xr:uid="{00000000-0005-0000-0000-000037450000}"/>
    <cellStyle name="Heading 4 2 15" xfId="17718" xr:uid="{00000000-0005-0000-0000-000038450000}"/>
    <cellStyle name="Heading 4 2 15 2" xfId="17719" xr:uid="{00000000-0005-0000-0000-000039450000}"/>
    <cellStyle name="Heading 4 2 16" xfId="17720" xr:uid="{00000000-0005-0000-0000-00003A450000}"/>
    <cellStyle name="Heading 4 2 16 2" xfId="17721" xr:uid="{00000000-0005-0000-0000-00003B450000}"/>
    <cellStyle name="Heading 4 2 17" xfId="17722" xr:uid="{00000000-0005-0000-0000-00003C450000}"/>
    <cellStyle name="Heading 4 2 17 2" xfId="17723" xr:uid="{00000000-0005-0000-0000-00003D450000}"/>
    <cellStyle name="Heading 4 2 18" xfId="17724" xr:uid="{00000000-0005-0000-0000-00003E450000}"/>
    <cellStyle name="Heading 4 2 18 2" xfId="17725" xr:uid="{00000000-0005-0000-0000-00003F450000}"/>
    <cellStyle name="Heading 4 2 19" xfId="17726" xr:uid="{00000000-0005-0000-0000-000040450000}"/>
    <cellStyle name="Heading 4 2 19 2" xfId="17727" xr:uid="{00000000-0005-0000-0000-000041450000}"/>
    <cellStyle name="Heading 4 2 2" xfId="17728" xr:uid="{00000000-0005-0000-0000-000042450000}"/>
    <cellStyle name="Heading 4 2 2 2" xfId="17729" xr:uid="{00000000-0005-0000-0000-000043450000}"/>
    <cellStyle name="Heading 4 2 2 2 2" xfId="17730" xr:uid="{00000000-0005-0000-0000-000044450000}"/>
    <cellStyle name="Heading 4 2 2 3" xfId="17731" xr:uid="{00000000-0005-0000-0000-000045450000}"/>
    <cellStyle name="Heading 4 2 20" xfId="17732" xr:uid="{00000000-0005-0000-0000-000046450000}"/>
    <cellStyle name="Heading 4 2 3" xfId="17733" xr:uid="{00000000-0005-0000-0000-000047450000}"/>
    <cellStyle name="Heading 4 2 3 2" xfId="17734" xr:uid="{00000000-0005-0000-0000-000048450000}"/>
    <cellStyle name="Heading 4 2 4" xfId="17735" xr:uid="{00000000-0005-0000-0000-000049450000}"/>
    <cellStyle name="Heading 4 2 4 2" xfId="17736" xr:uid="{00000000-0005-0000-0000-00004A450000}"/>
    <cellStyle name="Heading 4 2 5" xfId="17737" xr:uid="{00000000-0005-0000-0000-00004B450000}"/>
    <cellStyle name="Heading 4 2 5 2" xfId="17738" xr:uid="{00000000-0005-0000-0000-00004C450000}"/>
    <cellStyle name="Heading 4 2 6" xfId="17739" xr:uid="{00000000-0005-0000-0000-00004D450000}"/>
    <cellStyle name="Heading 4 2 6 2" xfId="17740" xr:uid="{00000000-0005-0000-0000-00004E450000}"/>
    <cellStyle name="Heading 4 2 7" xfId="17741" xr:uid="{00000000-0005-0000-0000-00004F450000}"/>
    <cellStyle name="Heading 4 2 7 2" xfId="17742" xr:uid="{00000000-0005-0000-0000-000050450000}"/>
    <cellStyle name="Heading 4 2 8" xfId="17743" xr:uid="{00000000-0005-0000-0000-000051450000}"/>
    <cellStyle name="Heading 4 2 8 2" xfId="17744" xr:uid="{00000000-0005-0000-0000-000052450000}"/>
    <cellStyle name="Heading 4 2 9" xfId="17745" xr:uid="{00000000-0005-0000-0000-000053450000}"/>
    <cellStyle name="Heading 4 2 9 2" xfId="17746" xr:uid="{00000000-0005-0000-0000-000054450000}"/>
    <cellStyle name="Heading 4 20" xfId="17747" xr:uid="{00000000-0005-0000-0000-000055450000}"/>
    <cellStyle name="Heading 4 20 2" xfId="17748" xr:uid="{00000000-0005-0000-0000-000056450000}"/>
    <cellStyle name="Heading 4 21" xfId="17749" xr:uid="{00000000-0005-0000-0000-000057450000}"/>
    <cellStyle name="Heading 4 21 2" xfId="17750" xr:uid="{00000000-0005-0000-0000-000058450000}"/>
    <cellStyle name="Heading 4 22" xfId="17751" xr:uid="{00000000-0005-0000-0000-000059450000}"/>
    <cellStyle name="Heading 4 22 2" xfId="17752" xr:uid="{00000000-0005-0000-0000-00005A450000}"/>
    <cellStyle name="Heading 4 23" xfId="17753" xr:uid="{00000000-0005-0000-0000-00005B450000}"/>
    <cellStyle name="Heading 4 23 2" xfId="17754" xr:uid="{00000000-0005-0000-0000-00005C450000}"/>
    <cellStyle name="Heading 4 24" xfId="17755" xr:uid="{00000000-0005-0000-0000-00005D450000}"/>
    <cellStyle name="Heading 4 24 2" xfId="17756" xr:uid="{00000000-0005-0000-0000-00005E450000}"/>
    <cellStyle name="Heading 4 25" xfId="17757" xr:uid="{00000000-0005-0000-0000-00005F450000}"/>
    <cellStyle name="Heading 4 25 2" xfId="17758" xr:uid="{00000000-0005-0000-0000-000060450000}"/>
    <cellStyle name="Heading 4 26" xfId="17759" xr:uid="{00000000-0005-0000-0000-000061450000}"/>
    <cellStyle name="Heading 4 26 2" xfId="17760" xr:uid="{00000000-0005-0000-0000-000062450000}"/>
    <cellStyle name="Heading 4 27" xfId="17761" xr:uid="{00000000-0005-0000-0000-000063450000}"/>
    <cellStyle name="Heading 4 27 2" xfId="17762" xr:uid="{00000000-0005-0000-0000-000064450000}"/>
    <cellStyle name="Heading 4 3" xfId="17763" xr:uid="{00000000-0005-0000-0000-000065450000}"/>
    <cellStyle name="Heading 4 3 2" xfId="17764" xr:uid="{00000000-0005-0000-0000-000066450000}"/>
    <cellStyle name="Heading 4 3 2 2" xfId="17765" xr:uid="{00000000-0005-0000-0000-000067450000}"/>
    <cellStyle name="Heading 4 3 3" xfId="17766" xr:uid="{00000000-0005-0000-0000-000068450000}"/>
    <cellStyle name="Heading 4 4" xfId="17767" xr:uid="{00000000-0005-0000-0000-000069450000}"/>
    <cellStyle name="Heading 4 4 2" xfId="17768" xr:uid="{00000000-0005-0000-0000-00006A450000}"/>
    <cellStyle name="Heading 4 4 2 2" xfId="17769" xr:uid="{00000000-0005-0000-0000-00006B450000}"/>
    <cellStyle name="Heading 4 4 3" xfId="17770" xr:uid="{00000000-0005-0000-0000-00006C450000}"/>
    <cellStyle name="Heading 4 5" xfId="17771" xr:uid="{00000000-0005-0000-0000-00006D450000}"/>
    <cellStyle name="Heading 4 5 2" xfId="17772" xr:uid="{00000000-0005-0000-0000-00006E450000}"/>
    <cellStyle name="Heading 4 6" xfId="17773" xr:uid="{00000000-0005-0000-0000-00006F450000}"/>
    <cellStyle name="Heading 4 6 2" xfId="17774" xr:uid="{00000000-0005-0000-0000-000070450000}"/>
    <cellStyle name="Heading 4 7" xfId="17775" xr:uid="{00000000-0005-0000-0000-000071450000}"/>
    <cellStyle name="Heading 4 7 2" xfId="17776" xr:uid="{00000000-0005-0000-0000-000072450000}"/>
    <cellStyle name="Heading 4 8" xfId="17777" xr:uid="{00000000-0005-0000-0000-000073450000}"/>
    <cellStyle name="Heading 4 8 2" xfId="17778" xr:uid="{00000000-0005-0000-0000-000074450000}"/>
    <cellStyle name="Heading 4 9" xfId="17779" xr:uid="{00000000-0005-0000-0000-000075450000}"/>
    <cellStyle name="Heading 4 9 2" xfId="17780" xr:uid="{00000000-0005-0000-0000-000076450000}"/>
    <cellStyle name="Heading 5" xfId="17781" xr:uid="{00000000-0005-0000-0000-000077450000}"/>
    <cellStyle name="Heading 5 2" xfId="17782" xr:uid="{00000000-0005-0000-0000-000078450000}"/>
    <cellStyle name="Heading 6" xfId="17783" xr:uid="{00000000-0005-0000-0000-000079450000}"/>
    <cellStyle name="heading1" xfId="17784" xr:uid="{00000000-0005-0000-0000-00007A450000}"/>
    <cellStyle name="heading1 2" xfId="17785" xr:uid="{00000000-0005-0000-0000-00007B450000}"/>
    <cellStyle name="heading1 2 2" xfId="17786" xr:uid="{00000000-0005-0000-0000-00007C450000}"/>
    <cellStyle name="heading1 2 2 2" xfId="17787" xr:uid="{00000000-0005-0000-0000-00007D450000}"/>
    <cellStyle name="heading1 2 3" xfId="17788" xr:uid="{00000000-0005-0000-0000-00007E450000}"/>
    <cellStyle name="heading1 3" xfId="17789" xr:uid="{00000000-0005-0000-0000-00007F450000}"/>
    <cellStyle name="heading1 3 2" xfId="17790" xr:uid="{00000000-0005-0000-0000-000080450000}"/>
    <cellStyle name="heading1 4" xfId="17791" xr:uid="{00000000-0005-0000-0000-000081450000}"/>
    <cellStyle name="heading1 4 2" xfId="17792" xr:uid="{00000000-0005-0000-0000-000082450000}"/>
    <cellStyle name="heading1 5" xfId="17793" xr:uid="{00000000-0005-0000-0000-000083450000}"/>
    <cellStyle name="heading1 5 2" xfId="17794" xr:uid="{00000000-0005-0000-0000-000084450000}"/>
    <cellStyle name="heading1 6" xfId="17795" xr:uid="{00000000-0005-0000-0000-000085450000}"/>
    <cellStyle name="heading1 6 2" xfId="17796" xr:uid="{00000000-0005-0000-0000-000086450000}"/>
    <cellStyle name="heading1 7" xfId="17797" xr:uid="{00000000-0005-0000-0000-000087450000}"/>
    <cellStyle name="heading1 7 2" xfId="17798" xr:uid="{00000000-0005-0000-0000-000088450000}"/>
    <cellStyle name="heading1 8" xfId="17799" xr:uid="{00000000-0005-0000-0000-000089450000}"/>
    <cellStyle name="heading2" xfId="17800" xr:uid="{00000000-0005-0000-0000-00008A450000}"/>
    <cellStyle name="heading2 2" xfId="17801" xr:uid="{00000000-0005-0000-0000-00008B450000}"/>
    <cellStyle name="heading2 2 2" xfId="17802" xr:uid="{00000000-0005-0000-0000-00008C450000}"/>
    <cellStyle name="heading2 2 2 2" xfId="17803" xr:uid="{00000000-0005-0000-0000-00008D450000}"/>
    <cellStyle name="heading2 2 3" xfId="17804" xr:uid="{00000000-0005-0000-0000-00008E450000}"/>
    <cellStyle name="heading2 3" xfId="17805" xr:uid="{00000000-0005-0000-0000-00008F450000}"/>
    <cellStyle name="heading2 3 2" xfId="17806" xr:uid="{00000000-0005-0000-0000-000090450000}"/>
    <cellStyle name="heading2 4" xfId="17807" xr:uid="{00000000-0005-0000-0000-000091450000}"/>
    <cellStyle name="heading2 4 2" xfId="17808" xr:uid="{00000000-0005-0000-0000-000092450000}"/>
    <cellStyle name="heading2 5" xfId="17809" xr:uid="{00000000-0005-0000-0000-000093450000}"/>
    <cellStyle name="heading2 5 2" xfId="17810" xr:uid="{00000000-0005-0000-0000-000094450000}"/>
    <cellStyle name="heading2 6" xfId="17811" xr:uid="{00000000-0005-0000-0000-000095450000}"/>
    <cellStyle name="heading2 6 2" xfId="17812" xr:uid="{00000000-0005-0000-0000-000096450000}"/>
    <cellStyle name="heading2 7" xfId="17813" xr:uid="{00000000-0005-0000-0000-000097450000}"/>
    <cellStyle name="heading2 7 2" xfId="17814" xr:uid="{00000000-0005-0000-0000-000098450000}"/>
    <cellStyle name="heading2 8" xfId="17815" xr:uid="{00000000-0005-0000-0000-000099450000}"/>
    <cellStyle name="heading3" xfId="17816" xr:uid="{00000000-0005-0000-0000-00009A450000}"/>
    <cellStyle name="heading3 10" xfId="17817" xr:uid="{00000000-0005-0000-0000-00009B450000}"/>
    <cellStyle name="heading3 11" xfId="17818" xr:uid="{00000000-0005-0000-0000-00009C450000}"/>
    <cellStyle name="heading3 12" xfId="17819" xr:uid="{00000000-0005-0000-0000-00009D450000}"/>
    <cellStyle name="heading3 13" xfId="17820" xr:uid="{00000000-0005-0000-0000-00009E450000}"/>
    <cellStyle name="heading3 14" xfId="17821" xr:uid="{00000000-0005-0000-0000-00009F450000}"/>
    <cellStyle name="heading3 15" xfId="17822" xr:uid="{00000000-0005-0000-0000-0000A0450000}"/>
    <cellStyle name="heading3 16" xfId="17823" xr:uid="{00000000-0005-0000-0000-0000A1450000}"/>
    <cellStyle name="heading3 17" xfId="17824" xr:uid="{00000000-0005-0000-0000-0000A2450000}"/>
    <cellStyle name="heading3 18" xfId="17825" xr:uid="{00000000-0005-0000-0000-0000A3450000}"/>
    <cellStyle name="heading3 19" xfId="17826" xr:uid="{00000000-0005-0000-0000-0000A4450000}"/>
    <cellStyle name="heading3 2" xfId="17827" xr:uid="{00000000-0005-0000-0000-0000A5450000}"/>
    <cellStyle name="heading3 2 10" xfId="17828" xr:uid="{00000000-0005-0000-0000-0000A6450000}"/>
    <cellStyle name="heading3 2 11" xfId="17829" xr:uid="{00000000-0005-0000-0000-0000A7450000}"/>
    <cellStyle name="heading3 2 12" xfId="17830" xr:uid="{00000000-0005-0000-0000-0000A8450000}"/>
    <cellStyle name="heading3 2 13" xfId="17831" xr:uid="{00000000-0005-0000-0000-0000A9450000}"/>
    <cellStyle name="heading3 2 14" xfId="17832" xr:uid="{00000000-0005-0000-0000-0000AA450000}"/>
    <cellStyle name="heading3 2 15" xfId="17833" xr:uid="{00000000-0005-0000-0000-0000AB450000}"/>
    <cellStyle name="heading3 2 16" xfId="17834" xr:uid="{00000000-0005-0000-0000-0000AC450000}"/>
    <cellStyle name="heading3 2 17" xfId="17835" xr:uid="{00000000-0005-0000-0000-0000AD450000}"/>
    <cellStyle name="heading3 2 18" xfId="17836" xr:uid="{00000000-0005-0000-0000-0000AE450000}"/>
    <cellStyle name="heading3 2 19" xfId="17837" xr:uid="{00000000-0005-0000-0000-0000AF450000}"/>
    <cellStyle name="heading3 2 2" xfId="17838" xr:uid="{00000000-0005-0000-0000-0000B0450000}"/>
    <cellStyle name="heading3 2 2 10" xfId="17839" xr:uid="{00000000-0005-0000-0000-0000B1450000}"/>
    <cellStyle name="heading3 2 2 11" xfId="17840" xr:uid="{00000000-0005-0000-0000-0000B2450000}"/>
    <cellStyle name="heading3 2 2 12" xfId="17841" xr:uid="{00000000-0005-0000-0000-0000B3450000}"/>
    <cellStyle name="heading3 2 2 13" xfId="17842" xr:uid="{00000000-0005-0000-0000-0000B4450000}"/>
    <cellStyle name="heading3 2 2 14" xfId="17843" xr:uid="{00000000-0005-0000-0000-0000B5450000}"/>
    <cellStyle name="heading3 2 2 15" xfId="17844" xr:uid="{00000000-0005-0000-0000-0000B6450000}"/>
    <cellStyle name="heading3 2 2 16" xfId="17845" xr:uid="{00000000-0005-0000-0000-0000B7450000}"/>
    <cellStyle name="heading3 2 2 17" xfId="17846" xr:uid="{00000000-0005-0000-0000-0000B8450000}"/>
    <cellStyle name="heading3 2 2 18" xfId="17847" xr:uid="{00000000-0005-0000-0000-0000B9450000}"/>
    <cellStyle name="heading3 2 2 19" xfId="17848" xr:uid="{00000000-0005-0000-0000-0000BA450000}"/>
    <cellStyle name="heading3 2 2 2" xfId="17849" xr:uid="{00000000-0005-0000-0000-0000BB450000}"/>
    <cellStyle name="heading3 2 2 2 10" xfId="17850" xr:uid="{00000000-0005-0000-0000-0000BC450000}"/>
    <cellStyle name="heading3 2 2 2 11" xfId="17851" xr:uid="{00000000-0005-0000-0000-0000BD450000}"/>
    <cellStyle name="heading3 2 2 2 12" xfId="17852" xr:uid="{00000000-0005-0000-0000-0000BE450000}"/>
    <cellStyle name="heading3 2 2 2 13" xfId="17853" xr:uid="{00000000-0005-0000-0000-0000BF450000}"/>
    <cellStyle name="heading3 2 2 2 14" xfId="17854" xr:uid="{00000000-0005-0000-0000-0000C0450000}"/>
    <cellStyle name="heading3 2 2 2 15" xfId="17855" xr:uid="{00000000-0005-0000-0000-0000C1450000}"/>
    <cellStyle name="heading3 2 2 2 16" xfId="17856" xr:uid="{00000000-0005-0000-0000-0000C2450000}"/>
    <cellStyle name="heading3 2 2 2 17" xfId="17857" xr:uid="{00000000-0005-0000-0000-0000C3450000}"/>
    <cellStyle name="heading3 2 2 2 18" xfId="17858" xr:uid="{00000000-0005-0000-0000-0000C4450000}"/>
    <cellStyle name="heading3 2 2 2 19" xfId="17859" xr:uid="{00000000-0005-0000-0000-0000C5450000}"/>
    <cellStyle name="heading3 2 2 2 2" xfId="17860" xr:uid="{00000000-0005-0000-0000-0000C6450000}"/>
    <cellStyle name="heading3 2 2 2 2 10" xfId="17861" xr:uid="{00000000-0005-0000-0000-0000C7450000}"/>
    <cellStyle name="heading3 2 2 2 2 11" xfId="17862" xr:uid="{00000000-0005-0000-0000-0000C8450000}"/>
    <cellStyle name="heading3 2 2 2 2 12" xfId="17863" xr:uid="{00000000-0005-0000-0000-0000C9450000}"/>
    <cellStyle name="heading3 2 2 2 2 13" xfId="17864" xr:uid="{00000000-0005-0000-0000-0000CA450000}"/>
    <cellStyle name="heading3 2 2 2 2 14" xfId="17865" xr:uid="{00000000-0005-0000-0000-0000CB450000}"/>
    <cellStyle name="heading3 2 2 2 2 15" xfId="17866" xr:uid="{00000000-0005-0000-0000-0000CC450000}"/>
    <cellStyle name="heading3 2 2 2 2 16" xfId="17867" xr:uid="{00000000-0005-0000-0000-0000CD450000}"/>
    <cellStyle name="heading3 2 2 2 2 17" xfId="17868" xr:uid="{00000000-0005-0000-0000-0000CE450000}"/>
    <cellStyle name="heading3 2 2 2 2 18" xfId="17869" xr:uid="{00000000-0005-0000-0000-0000CF450000}"/>
    <cellStyle name="heading3 2 2 2 2 19" xfId="17870" xr:uid="{00000000-0005-0000-0000-0000D0450000}"/>
    <cellStyle name="heading3 2 2 2 2 2" xfId="17871" xr:uid="{00000000-0005-0000-0000-0000D1450000}"/>
    <cellStyle name="heading3 2 2 2 2 20" xfId="17872" xr:uid="{00000000-0005-0000-0000-0000D2450000}"/>
    <cellStyle name="heading3 2 2 2 2 21" xfId="17873" xr:uid="{00000000-0005-0000-0000-0000D3450000}"/>
    <cellStyle name="heading3 2 2 2 2 22" xfId="17874" xr:uid="{00000000-0005-0000-0000-0000D4450000}"/>
    <cellStyle name="heading3 2 2 2 2 23" xfId="17875" xr:uid="{00000000-0005-0000-0000-0000D5450000}"/>
    <cellStyle name="heading3 2 2 2 2 24" xfId="17876" xr:uid="{00000000-0005-0000-0000-0000D6450000}"/>
    <cellStyle name="heading3 2 2 2 2 25" xfId="17877" xr:uid="{00000000-0005-0000-0000-0000D7450000}"/>
    <cellStyle name="heading3 2 2 2 2 26" xfId="17878" xr:uid="{00000000-0005-0000-0000-0000D8450000}"/>
    <cellStyle name="heading3 2 2 2 2 27" xfId="17879" xr:uid="{00000000-0005-0000-0000-0000D9450000}"/>
    <cellStyle name="heading3 2 2 2 2 28" xfId="17880" xr:uid="{00000000-0005-0000-0000-0000DA450000}"/>
    <cellStyle name="heading3 2 2 2 2 29" xfId="17881" xr:uid="{00000000-0005-0000-0000-0000DB450000}"/>
    <cellStyle name="heading3 2 2 2 2 3" xfId="17882" xr:uid="{00000000-0005-0000-0000-0000DC450000}"/>
    <cellStyle name="heading3 2 2 2 2 30" xfId="17883" xr:uid="{00000000-0005-0000-0000-0000DD450000}"/>
    <cellStyle name="heading3 2 2 2 2 31" xfId="17884" xr:uid="{00000000-0005-0000-0000-0000DE450000}"/>
    <cellStyle name="heading3 2 2 2 2 32" xfId="17885" xr:uid="{00000000-0005-0000-0000-0000DF450000}"/>
    <cellStyle name="heading3 2 2 2 2 33" xfId="17886" xr:uid="{00000000-0005-0000-0000-0000E0450000}"/>
    <cellStyle name="heading3 2 2 2 2 34" xfId="17887" xr:uid="{00000000-0005-0000-0000-0000E1450000}"/>
    <cellStyle name="heading3 2 2 2 2 35" xfId="17888" xr:uid="{00000000-0005-0000-0000-0000E2450000}"/>
    <cellStyle name="heading3 2 2 2 2 4" xfId="17889" xr:uid="{00000000-0005-0000-0000-0000E3450000}"/>
    <cellStyle name="heading3 2 2 2 2 5" xfId="17890" xr:uid="{00000000-0005-0000-0000-0000E4450000}"/>
    <cellStyle name="heading3 2 2 2 2 6" xfId="17891" xr:uid="{00000000-0005-0000-0000-0000E5450000}"/>
    <cellStyle name="heading3 2 2 2 2 7" xfId="17892" xr:uid="{00000000-0005-0000-0000-0000E6450000}"/>
    <cellStyle name="heading3 2 2 2 2 8" xfId="17893" xr:uid="{00000000-0005-0000-0000-0000E7450000}"/>
    <cellStyle name="heading3 2 2 2 2 9" xfId="17894" xr:uid="{00000000-0005-0000-0000-0000E8450000}"/>
    <cellStyle name="heading3 2 2 2 20" xfId="17895" xr:uid="{00000000-0005-0000-0000-0000E9450000}"/>
    <cellStyle name="heading3 2 2 2 21" xfId="17896" xr:uid="{00000000-0005-0000-0000-0000EA450000}"/>
    <cellStyle name="heading3 2 2 2 22" xfId="17897" xr:uid="{00000000-0005-0000-0000-0000EB450000}"/>
    <cellStyle name="heading3 2 2 2 23" xfId="17898" xr:uid="{00000000-0005-0000-0000-0000EC450000}"/>
    <cellStyle name="heading3 2 2 2 24" xfId="17899" xr:uid="{00000000-0005-0000-0000-0000ED450000}"/>
    <cellStyle name="heading3 2 2 2 25" xfId="17900" xr:uid="{00000000-0005-0000-0000-0000EE450000}"/>
    <cellStyle name="heading3 2 2 2 26" xfId="17901" xr:uid="{00000000-0005-0000-0000-0000EF450000}"/>
    <cellStyle name="heading3 2 2 2 27" xfId="17902" xr:uid="{00000000-0005-0000-0000-0000F0450000}"/>
    <cellStyle name="heading3 2 2 2 28" xfId="17903" xr:uid="{00000000-0005-0000-0000-0000F1450000}"/>
    <cellStyle name="heading3 2 2 2 29" xfId="17904" xr:uid="{00000000-0005-0000-0000-0000F2450000}"/>
    <cellStyle name="heading3 2 2 2 3" xfId="17905" xr:uid="{00000000-0005-0000-0000-0000F3450000}"/>
    <cellStyle name="heading3 2 2 2 30" xfId="17906" xr:uid="{00000000-0005-0000-0000-0000F4450000}"/>
    <cellStyle name="heading3 2 2 2 31" xfId="17907" xr:uid="{00000000-0005-0000-0000-0000F5450000}"/>
    <cellStyle name="heading3 2 2 2 32" xfId="17908" xr:uid="{00000000-0005-0000-0000-0000F6450000}"/>
    <cellStyle name="heading3 2 2 2 33" xfId="17909" xr:uid="{00000000-0005-0000-0000-0000F7450000}"/>
    <cellStyle name="heading3 2 2 2 34" xfId="17910" xr:uid="{00000000-0005-0000-0000-0000F8450000}"/>
    <cellStyle name="heading3 2 2 2 4" xfId="17911" xr:uid="{00000000-0005-0000-0000-0000F9450000}"/>
    <cellStyle name="heading3 2 2 2 5" xfId="17912" xr:uid="{00000000-0005-0000-0000-0000FA450000}"/>
    <cellStyle name="heading3 2 2 2 6" xfId="17913" xr:uid="{00000000-0005-0000-0000-0000FB450000}"/>
    <cellStyle name="heading3 2 2 2 7" xfId="17914" xr:uid="{00000000-0005-0000-0000-0000FC450000}"/>
    <cellStyle name="heading3 2 2 2 8" xfId="17915" xr:uid="{00000000-0005-0000-0000-0000FD450000}"/>
    <cellStyle name="heading3 2 2 2 9" xfId="17916" xr:uid="{00000000-0005-0000-0000-0000FE450000}"/>
    <cellStyle name="heading3 2 2 20" xfId="17917" xr:uid="{00000000-0005-0000-0000-0000FF450000}"/>
    <cellStyle name="heading3 2 2 21" xfId="17918" xr:uid="{00000000-0005-0000-0000-000000460000}"/>
    <cellStyle name="heading3 2 2 22" xfId="17919" xr:uid="{00000000-0005-0000-0000-000001460000}"/>
    <cellStyle name="heading3 2 2 23" xfId="17920" xr:uid="{00000000-0005-0000-0000-000002460000}"/>
    <cellStyle name="heading3 2 2 24" xfId="17921" xr:uid="{00000000-0005-0000-0000-000003460000}"/>
    <cellStyle name="heading3 2 2 25" xfId="17922" xr:uid="{00000000-0005-0000-0000-000004460000}"/>
    <cellStyle name="heading3 2 2 26" xfId="17923" xr:uid="{00000000-0005-0000-0000-000005460000}"/>
    <cellStyle name="heading3 2 2 27" xfId="17924" xr:uid="{00000000-0005-0000-0000-000006460000}"/>
    <cellStyle name="heading3 2 2 28" xfId="17925" xr:uid="{00000000-0005-0000-0000-000007460000}"/>
    <cellStyle name="heading3 2 2 29" xfId="17926" xr:uid="{00000000-0005-0000-0000-000008460000}"/>
    <cellStyle name="heading3 2 2 3" xfId="17927" xr:uid="{00000000-0005-0000-0000-000009460000}"/>
    <cellStyle name="heading3 2 2 3 10" xfId="17928" xr:uid="{00000000-0005-0000-0000-00000A460000}"/>
    <cellStyle name="heading3 2 2 3 11" xfId="17929" xr:uid="{00000000-0005-0000-0000-00000B460000}"/>
    <cellStyle name="heading3 2 2 3 12" xfId="17930" xr:uid="{00000000-0005-0000-0000-00000C460000}"/>
    <cellStyle name="heading3 2 2 3 13" xfId="17931" xr:uid="{00000000-0005-0000-0000-00000D460000}"/>
    <cellStyle name="heading3 2 2 3 14" xfId="17932" xr:uid="{00000000-0005-0000-0000-00000E460000}"/>
    <cellStyle name="heading3 2 2 3 15" xfId="17933" xr:uid="{00000000-0005-0000-0000-00000F460000}"/>
    <cellStyle name="heading3 2 2 3 16" xfId="17934" xr:uid="{00000000-0005-0000-0000-000010460000}"/>
    <cellStyle name="heading3 2 2 3 17" xfId="17935" xr:uid="{00000000-0005-0000-0000-000011460000}"/>
    <cellStyle name="heading3 2 2 3 18" xfId="17936" xr:uid="{00000000-0005-0000-0000-000012460000}"/>
    <cellStyle name="heading3 2 2 3 19" xfId="17937" xr:uid="{00000000-0005-0000-0000-000013460000}"/>
    <cellStyle name="heading3 2 2 3 2" xfId="17938" xr:uid="{00000000-0005-0000-0000-000014460000}"/>
    <cellStyle name="heading3 2 2 3 20" xfId="17939" xr:uid="{00000000-0005-0000-0000-000015460000}"/>
    <cellStyle name="heading3 2 2 3 21" xfId="17940" xr:uid="{00000000-0005-0000-0000-000016460000}"/>
    <cellStyle name="heading3 2 2 3 22" xfId="17941" xr:uid="{00000000-0005-0000-0000-000017460000}"/>
    <cellStyle name="heading3 2 2 3 23" xfId="17942" xr:uid="{00000000-0005-0000-0000-000018460000}"/>
    <cellStyle name="heading3 2 2 3 24" xfId="17943" xr:uid="{00000000-0005-0000-0000-000019460000}"/>
    <cellStyle name="heading3 2 2 3 25" xfId="17944" xr:uid="{00000000-0005-0000-0000-00001A460000}"/>
    <cellStyle name="heading3 2 2 3 26" xfId="17945" xr:uid="{00000000-0005-0000-0000-00001B460000}"/>
    <cellStyle name="heading3 2 2 3 27" xfId="17946" xr:uid="{00000000-0005-0000-0000-00001C460000}"/>
    <cellStyle name="heading3 2 2 3 28" xfId="17947" xr:uid="{00000000-0005-0000-0000-00001D460000}"/>
    <cellStyle name="heading3 2 2 3 29" xfId="17948" xr:uid="{00000000-0005-0000-0000-00001E460000}"/>
    <cellStyle name="heading3 2 2 3 3" xfId="17949" xr:uid="{00000000-0005-0000-0000-00001F460000}"/>
    <cellStyle name="heading3 2 2 3 30" xfId="17950" xr:uid="{00000000-0005-0000-0000-000020460000}"/>
    <cellStyle name="heading3 2 2 3 31" xfId="17951" xr:uid="{00000000-0005-0000-0000-000021460000}"/>
    <cellStyle name="heading3 2 2 3 32" xfId="17952" xr:uid="{00000000-0005-0000-0000-000022460000}"/>
    <cellStyle name="heading3 2 2 3 33" xfId="17953" xr:uid="{00000000-0005-0000-0000-000023460000}"/>
    <cellStyle name="heading3 2 2 3 34" xfId="17954" xr:uid="{00000000-0005-0000-0000-000024460000}"/>
    <cellStyle name="heading3 2 2 3 35" xfId="17955" xr:uid="{00000000-0005-0000-0000-000025460000}"/>
    <cellStyle name="heading3 2 2 3 4" xfId="17956" xr:uid="{00000000-0005-0000-0000-000026460000}"/>
    <cellStyle name="heading3 2 2 3 5" xfId="17957" xr:uid="{00000000-0005-0000-0000-000027460000}"/>
    <cellStyle name="heading3 2 2 3 6" xfId="17958" xr:uid="{00000000-0005-0000-0000-000028460000}"/>
    <cellStyle name="heading3 2 2 3 7" xfId="17959" xr:uid="{00000000-0005-0000-0000-000029460000}"/>
    <cellStyle name="heading3 2 2 3 8" xfId="17960" xr:uid="{00000000-0005-0000-0000-00002A460000}"/>
    <cellStyle name="heading3 2 2 3 9" xfId="17961" xr:uid="{00000000-0005-0000-0000-00002B460000}"/>
    <cellStyle name="heading3 2 2 30" xfId="17962" xr:uid="{00000000-0005-0000-0000-00002C460000}"/>
    <cellStyle name="heading3 2 2 31" xfId="17963" xr:uid="{00000000-0005-0000-0000-00002D460000}"/>
    <cellStyle name="heading3 2 2 32" xfId="17964" xr:uid="{00000000-0005-0000-0000-00002E460000}"/>
    <cellStyle name="heading3 2 2 33" xfId="17965" xr:uid="{00000000-0005-0000-0000-00002F460000}"/>
    <cellStyle name="heading3 2 2 34" xfId="17966" xr:uid="{00000000-0005-0000-0000-000030460000}"/>
    <cellStyle name="heading3 2 2 35" xfId="17967" xr:uid="{00000000-0005-0000-0000-000031460000}"/>
    <cellStyle name="heading3 2 2 4" xfId="17968" xr:uid="{00000000-0005-0000-0000-000032460000}"/>
    <cellStyle name="heading3 2 2 5" xfId="17969" xr:uid="{00000000-0005-0000-0000-000033460000}"/>
    <cellStyle name="heading3 2 2 6" xfId="17970" xr:uid="{00000000-0005-0000-0000-000034460000}"/>
    <cellStyle name="heading3 2 2 7" xfId="17971" xr:uid="{00000000-0005-0000-0000-000035460000}"/>
    <cellStyle name="heading3 2 2 8" xfId="17972" xr:uid="{00000000-0005-0000-0000-000036460000}"/>
    <cellStyle name="heading3 2 2 9" xfId="17973" xr:uid="{00000000-0005-0000-0000-000037460000}"/>
    <cellStyle name="heading3 2 20" xfId="17974" xr:uid="{00000000-0005-0000-0000-000038460000}"/>
    <cellStyle name="heading3 2 21" xfId="17975" xr:uid="{00000000-0005-0000-0000-000039460000}"/>
    <cellStyle name="heading3 2 22" xfId="17976" xr:uid="{00000000-0005-0000-0000-00003A460000}"/>
    <cellStyle name="heading3 2 23" xfId="17977" xr:uid="{00000000-0005-0000-0000-00003B460000}"/>
    <cellStyle name="heading3 2 24" xfId="17978" xr:uid="{00000000-0005-0000-0000-00003C460000}"/>
    <cellStyle name="heading3 2 25" xfId="17979" xr:uid="{00000000-0005-0000-0000-00003D460000}"/>
    <cellStyle name="heading3 2 26" xfId="17980" xr:uid="{00000000-0005-0000-0000-00003E460000}"/>
    <cellStyle name="heading3 2 27" xfId="17981" xr:uid="{00000000-0005-0000-0000-00003F460000}"/>
    <cellStyle name="heading3 2 28" xfId="17982" xr:uid="{00000000-0005-0000-0000-000040460000}"/>
    <cellStyle name="heading3 2 29" xfId="17983" xr:uid="{00000000-0005-0000-0000-000041460000}"/>
    <cellStyle name="heading3 2 3" xfId="17984" xr:uid="{00000000-0005-0000-0000-000042460000}"/>
    <cellStyle name="heading3 2 3 10" xfId="17985" xr:uid="{00000000-0005-0000-0000-000043460000}"/>
    <cellStyle name="heading3 2 3 11" xfId="17986" xr:uid="{00000000-0005-0000-0000-000044460000}"/>
    <cellStyle name="heading3 2 3 12" xfId="17987" xr:uid="{00000000-0005-0000-0000-000045460000}"/>
    <cellStyle name="heading3 2 3 13" xfId="17988" xr:uid="{00000000-0005-0000-0000-000046460000}"/>
    <cellStyle name="heading3 2 3 14" xfId="17989" xr:uid="{00000000-0005-0000-0000-000047460000}"/>
    <cellStyle name="heading3 2 3 15" xfId="17990" xr:uid="{00000000-0005-0000-0000-000048460000}"/>
    <cellStyle name="heading3 2 3 16" xfId="17991" xr:uid="{00000000-0005-0000-0000-000049460000}"/>
    <cellStyle name="heading3 2 3 17" xfId="17992" xr:uid="{00000000-0005-0000-0000-00004A460000}"/>
    <cellStyle name="heading3 2 3 18" xfId="17993" xr:uid="{00000000-0005-0000-0000-00004B460000}"/>
    <cellStyle name="heading3 2 3 19" xfId="17994" xr:uid="{00000000-0005-0000-0000-00004C460000}"/>
    <cellStyle name="heading3 2 3 2" xfId="17995" xr:uid="{00000000-0005-0000-0000-00004D460000}"/>
    <cellStyle name="heading3 2 3 2 10" xfId="17996" xr:uid="{00000000-0005-0000-0000-00004E460000}"/>
    <cellStyle name="heading3 2 3 2 11" xfId="17997" xr:uid="{00000000-0005-0000-0000-00004F460000}"/>
    <cellStyle name="heading3 2 3 2 12" xfId="17998" xr:uid="{00000000-0005-0000-0000-000050460000}"/>
    <cellStyle name="heading3 2 3 2 13" xfId="17999" xr:uid="{00000000-0005-0000-0000-000051460000}"/>
    <cellStyle name="heading3 2 3 2 14" xfId="18000" xr:uid="{00000000-0005-0000-0000-000052460000}"/>
    <cellStyle name="heading3 2 3 2 15" xfId="18001" xr:uid="{00000000-0005-0000-0000-000053460000}"/>
    <cellStyle name="heading3 2 3 2 16" xfId="18002" xr:uid="{00000000-0005-0000-0000-000054460000}"/>
    <cellStyle name="heading3 2 3 2 17" xfId="18003" xr:uid="{00000000-0005-0000-0000-000055460000}"/>
    <cellStyle name="heading3 2 3 2 18" xfId="18004" xr:uid="{00000000-0005-0000-0000-000056460000}"/>
    <cellStyle name="heading3 2 3 2 19" xfId="18005" xr:uid="{00000000-0005-0000-0000-000057460000}"/>
    <cellStyle name="heading3 2 3 2 2" xfId="18006" xr:uid="{00000000-0005-0000-0000-000058460000}"/>
    <cellStyle name="heading3 2 3 2 20" xfId="18007" xr:uid="{00000000-0005-0000-0000-000059460000}"/>
    <cellStyle name="heading3 2 3 2 21" xfId="18008" xr:uid="{00000000-0005-0000-0000-00005A460000}"/>
    <cellStyle name="heading3 2 3 2 22" xfId="18009" xr:uid="{00000000-0005-0000-0000-00005B460000}"/>
    <cellStyle name="heading3 2 3 2 23" xfId="18010" xr:uid="{00000000-0005-0000-0000-00005C460000}"/>
    <cellStyle name="heading3 2 3 2 24" xfId="18011" xr:uid="{00000000-0005-0000-0000-00005D460000}"/>
    <cellStyle name="heading3 2 3 2 25" xfId="18012" xr:uid="{00000000-0005-0000-0000-00005E460000}"/>
    <cellStyle name="heading3 2 3 2 26" xfId="18013" xr:uid="{00000000-0005-0000-0000-00005F460000}"/>
    <cellStyle name="heading3 2 3 2 27" xfId="18014" xr:uid="{00000000-0005-0000-0000-000060460000}"/>
    <cellStyle name="heading3 2 3 2 28" xfId="18015" xr:uid="{00000000-0005-0000-0000-000061460000}"/>
    <cellStyle name="heading3 2 3 2 29" xfId="18016" xr:uid="{00000000-0005-0000-0000-000062460000}"/>
    <cellStyle name="heading3 2 3 2 3" xfId="18017" xr:uid="{00000000-0005-0000-0000-000063460000}"/>
    <cellStyle name="heading3 2 3 2 30" xfId="18018" xr:uid="{00000000-0005-0000-0000-000064460000}"/>
    <cellStyle name="heading3 2 3 2 31" xfId="18019" xr:uid="{00000000-0005-0000-0000-000065460000}"/>
    <cellStyle name="heading3 2 3 2 32" xfId="18020" xr:uid="{00000000-0005-0000-0000-000066460000}"/>
    <cellStyle name="heading3 2 3 2 33" xfId="18021" xr:uid="{00000000-0005-0000-0000-000067460000}"/>
    <cellStyle name="heading3 2 3 2 34" xfId="18022" xr:uid="{00000000-0005-0000-0000-000068460000}"/>
    <cellStyle name="heading3 2 3 2 35" xfId="18023" xr:uid="{00000000-0005-0000-0000-000069460000}"/>
    <cellStyle name="heading3 2 3 2 4" xfId="18024" xr:uid="{00000000-0005-0000-0000-00006A460000}"/>
    <cellStyle name="heading3 2 3 2 5" xfId="18025" xr:uid="{00000000-0005-0000-0000-00006B460000}"/>
    <cellStyle name="heading3 2 3 2 6" xfId="18026" xr:uid="{00000000-0005-0000-0000-00006C460000}"/>
    <cellStyle name="heading3 2 3 2 7" xfId="18027" xr:uid="{00000000-0005-0000-0000-00006D460000}"/>
    <cellStyle name="heading3 2 3 2 8" xfId="18028" xr:uid="{00000000-0005-0000-0000-00006E460000}"/>
    <cellStyle name="heading3 2 3 2 9" xfId="18029" xr:uid="{00000000-0005-0000-0000-00006F460000}"/>
    <cellStyle name="heading3 2 3 20" xfId="18030" xr:uid="{00000000-0005-0000-0000-000070460000}"/>
    <cellStyle name="heading3 2 3 21" xfId="18031" xr:uid="{00000000-0005-0000-0000-000071460000}"/>
    <cellStyle name="heading3 2 3 22" xfId="18032" xr:uid="{00000000-0005-0000-0000-000072460000}"/>
    <cellStyle name="heading3 2 3 23" xfId="18033" xr:uid="{00000000-0005-0000-0000-000073460000}"/>
    <cellStyle name="heading3 2 3 24" xfId="18034" xr:uid="{00000000-0005-0000-0000-000074460000}"/>
    <cellStyle name="heading3 2 3 25" xfId="18035" xr:uid="{00000000-0005-0000-0000-000075460000}"/>
    <cellStyle name="heading3 2 3 26" xfId="18036" xr:uid="{00000000-0005-0000-0000-000076460000}"/>
    <cellStyle name="heading3 2 3 27" xfId="18037" xr:uid="{00000000-0005-0000-0000-000077460000}"/>
    <cellStyle name="heading3 2 3 28" xfId="18038" xr:uid="{00000000-0005-0000-0000-000078460000}"/>
    <cellStyle name="heading3 2 3 29" xfId="18039" xr:uid="{00000000-0005-0000-0000-000079460000}"/>
    <cellStyle name="heading3 2 3 3" xfId="18040" xr:uid="{00000000-0005-0000-0000-00007A460000}"/>
    <cellStyle name="heading3 2 3 30" xfId="18041" xr:uid="{00000000-0005-0000-0000-00007B460000}"/>
    <cellStyle name="heading3 2 3 31" xfId="18042" xr:uid="{00000000-0005-0000-0000-00007C460000}"/>
    <cellStyle name="heading3 2 3 32" xfId="18043" xr:uid="{00000000-0005-0000-0000-00007D460000}"/>
    <cellStyle name="heading3 2 3 33" xfId="18044" xr:uid="{00000000-0005-0000-0000-00007E460000}"/>
    <cellStyle name="heading3 2 3 34" xfId="18045" xr:uid="{00000000-0005-0000-0000-00007F460000}"/>
    <cellStyle name="heading3 2 3 4" xfId="18046" xr:uid="{00000000-0005-0000-0000-000080460000}"/>
    <cellStyle name="heading3 2 3 5" xfId="18047" xr:uid="{00000000-0005-0000-0000-000081460000}"/>
    <cellStyle name="heading3 2 3 6" xfId="18048" xr:uid="{00000000-0005-0000-0000-000082460000}"/>
    <cellStyle name="heading3 2 3 7" xfId="18049" xr:uid="{00000000-0005-0000-0000-000083460000}"/>
    <cellStyle name="heading3 2 3 8" xfId="18050" xr:uid="{00000000-0005-0000-0000-000084460000}"/>
    <cellStyle name="heading3 2 3 9" xfId="18051" xr:uid="{00000000-0005-0000-0000-000085460000}"/>
    <cellStyle name="heading3 2 30" xfId="18052" xr:uid="{00000000-0005-0000-0000-000086460000}"/>
    <cellStyle name="heading3 2 31" xfId="18053" xr:uid="{00000000-0005-0000-0000-000087460000}"/>
    <cellStyle name="heading3 2 32" xfId="18054" xr:uid="{00000000-0005-0000-0000-000088460000}"/>
    <cellStyle name="heading3 2 33" xfId="18055" xr:uid="{00000000-0005-0000-0000-000089460000}"/>
    <cellStyle name="heading3 2 34" xfId="18056" xr:uid="{00000000-0005-0000-0000-00008A460000}"/>
    <cellStyle name="heading3 2 35" xfId="18057" xr:uid="{00000000-0005-0000-0000-00008B460000}"/>
    <cellStyle name="heading3 2 36" xfId="18058" xr:uid="{00000000-0005-0000-0000-00008C460000}"/>
    <cellStyle name="heading3 2 4" xfId="18059" xr:uid="{00000000-0005-0000-0000-00008D460000}"/>
    <cellStyle name="heading3 2 4 10" xfId="18060" xr:uid="{00000000-0005-0000-0000-00008E460000}"/>
    <cellStyle name="heading3 2 4 11" xfId="18061" xr:uid="{00000000-0005-0000-0000-00008F460000}"/>
    <cellStyle name="heading3 2 4 12" xfId="18062" xr:uid="{00000000-0005-0000-0000-000090460000}"/>
    <cellStyle name="heading3 2 4 13" xfId="18063" xr:uid="{00000000-0005-0000-0000-000091460000}"/>
    <cellStyle name="heading3 2 4 14" xfId="18064" xr:uid="{00000000-0005-0000-0000-000092460000}"/>
    <cellStyle name="heading3 2 4 15" xfId="18065" xr:uid="{00000000-0005-0000-0000-000093460000}"/>
    <cellStyle name="heading3 2 4 16" xfId="18066" xr:uid="{00000000-0005-0000-0000-000094460000}"/>
    <cellStyle name="heading3 2 4 17" xfId="18067" xr:uid="{00000000-0005-0000-0000-000095460000}"/>
    <cellStyle name="heading3 2 4 18" xfId="18068" xr:uid="{00000000-0005-0000-0000-000096460000}"/>
    <cellStyle name="heading3 2 4 19" xfId="18069" xr:uid="{00000000-0005-0000-0000-000097460000}"/>
    <cellStyle name="heading3 2 4 2" xfId="18070" xr:uid="{00000000-0005-0000-0000-000098460000}"/>
    <cellStyle name="heading3 2 4 20" xfId="18071" xr:uid="{00000000-0005-0000-0000-000099460000}"/>
    <cellStyle name="heading3 2 4 21" xfId="18072" xr:uid="{00000000-0005-0000-0000-00009A460000}"/>
    <cellStyle name="heading3 2 4 22" xfId="18073" xr:uid="{00000000-0005-0000-0000-00009B460000}"/>
    <cellStyle name="heading3 2 4 23" xfId="18074" xr:uid="{00000000-0005-0000-0000-00009C460000}"/>
    <cellStyle name="heading3 2 4 24" xfId="18075" xr:uid="{00000000-0005-0000-0000-00009D460000}"/>
    <cellStyle name="heading3 2 4 25" xfId="18076" xr:uid="{00000000-0005-0000-0000-00009E460000}"/>
    <cellStyle name="heading3 2 4 26" xfId="18077" xr:uid="{00000000-0005-0000-0000-00009F460000}"/>
    <cellStyle name="heading3 2 4 27" xfId="18078" xr:uid="{00000000-0005-0000-0000-0000A0460000}"/>
    <cellStyle name="heading3 2 4 28" xfId="18079" xr:uid="{00000000-0005-0000-0000-0000A1460000}"/>
    <cellStyle name="heading3 2 4 29" xfId="18080" xr:uid="{00000000-0005-0000-0000-0000A2460000}"/>
    <cellStyle name="heading3 2 4 3" xfId="18081" xr:uid="{00000000-0005-0000-0000-0000A3460000}"/>
    <cellStyle name="heading3 2 4 30" xfId="18082" xr:uid="{00000000-0005-0000-0000-0000A4460000}"/>
    <cellStyle name="heading3 2 4 31" xfId="18083" xr:uid="{00000000-0005-0000-0000-0000A5460000}"/>
    <cellStyle name="heading3 2 4 32" xfId="18084" xr:uid="{00000000-0005-0000-0000-0000A6460000}"/>
    <cellStyle name="heading3 2 4 33" xfId="18085" xr:uid="{00000000-0005-0000-0000-0000A7460000}"/>
    <cellStyle name="heading3 2 4 34" xfId="18086" xr:uid="{00000000-0005-0000-0000-0000A8460000}"/>
    <cellStyle name="heading3 2 4 35" xfId="18087" xr:uid="{00000000-0005-0000-0000-0000A9460000}"/>
    <cellStyle name="heading3 2 4 4" xfId="18088" xr:uid="{00000000-0005-0000-0000-0000AA460000}"/>
    <cellStyle name="heading3 2 4 5" xfId="18089" xr:uid="{00000000-0005-0000-0000-0000AB460000}"/>
    <cellStyle name="heading3 2 4 6" xfId="18090" xr:uid="{00000000-0005-0000-0000-0000AC460000}"/>
    <cellStyle name="heading3 2 4 7" xfId="18091" xr:uid="{00000000-0005-0000-0000-0000AD460000}"/>
    <cellStyle name="heading3 2 4 8" xfId="18092" xr:uid="{00000000-0005-0000-0000-0000AE460000}"/>
    <cellStyle name="heading3 2 4 9" xfId="18093" xr:uid="{00000000-0005-0000-0000-0000AF460000}"/>
    <cellStyle name="heading3 2 5" xfId="18094" xr:uid="{00000000-0005-0000-0000-0000B0460000}"/>
    <cellStyle name="heading3 2 6" xfId="18095" xr:uid="{00000000-0005-0000-0000-0000B1460000}"/>
    <cellStyle name="heading3 2 7" xfId="18096" xr:uid="{00000000-0005-0000-0000-0000B2460000}"/>
    <cellStyle name="heading3 2 8" xfId="18097" xr:uid="{00000000-0005-0000-0000-0000B3460000}"/>
    <cellStyle name="heading3 2 9" xfId="18098" xr:uid="{00000000-0005-0000-0000-0000B4460000}"/>
    <cellStyle name="heading3 20" xfId="18099" xr:uid="{00000000-0005-0000-0000-0000B5460000}"/>
    <cellStyle name="heading3 21" xfId="18100" xr:uid="{00000000-0005-0000-0000-0000B6460000}"/>
    <cellStyle name="heading3 22" xfId="18101" xr:uid="{00000000-0005-0000-0000-0000B7460000}"/>
    <cellStyle name="heading3 23" xfId="18102" xr:uid="{00000000-0005-0000-0000-0000B8460000}"/>
    <cellStyle name="heading3 24" xfId="18103" xr:uid="{00000000-0005-0000-0000-0000B9460000}"/>
    <cellStyle name="heading3 25" xfId="18104" xr:uid="{00000000-0005-0000-0000-0000BA460000}"/>
    <cellStyle name="heading3 26" xfId="18105" xr:uid="{00000000-0005-0000-0000-0000BB460000}"/>
    <cellStyle name="heading3 27" xfId="18106" xr:uid="{00000000-0005-0000-0000-0000BC460000}"/>
    <cellStyle name="heading3 28" xfId="18107" xr:uid="{00000000-0005-0000-0000-0000BD460000}"/>
    <cellStyle name="heading3 29" xfId="18108" xr:uid="{00000000-0005-0000-0000-0000BE460000}"/>
    <cellStyle name="heading3 3" xfId="18109" xr:uid="{00000000-0005-0000-0000-0000BF460000}"/>
    <cellStyle name="heading3 3 10" xfId="18110" xr:uid="{00000000-0005-0000-0000-0000C0460000}"/>
    <cellStyle name="heading3 3 11" xfId="18111" xr:uid="{00000000-0005-0000-0000-0000C1460000}"/>
    <cellStyle name="heading3 3 12" xfId="18112" xr:uid="{00000000-0005-0000-0000-0000C2460000}"/>
    <cellStyle name="heading3 3 13" xfId="18113" xr:uid="{00000000-0005-0000-0000-0000C3460000}"/>
    <cellStyle name="heading3 3 14" xfId="18114" xr:uid="{00000000-0005-0000-0000-0000C4460000}"/>
    <cellStyle name="heading3 3 15" xfId="18115" xr:uid="{00000000-0005-0000-0000-0000C5460000}"/>
    <cellStyle name="heading3 3 16" xfId="18116" xr:uid="{00000000-0005-0000-0000-0000C6460000}"/>
    <cellStyle name="heading3 3 17" xfId="18117" xr:uid="{00000000-0005-0000-0000-0000C7460000}"/>
    <cellStyle name="heading3 3 18" xfId="18118" xr:uid="{00000000-0005-0000-0000-0000C8460000}"/>
    <cellStyle name="heading3 3 19" xfId="18119" xr:uid="{00000000-0005-0000-0000-0000C9460000}"/>
    <cellStyle name="heading3 3 2" xfId="18120" xr:uid="{00000000-0005-0000-0000-0000CA460000}"/>
    <cellStyle name="heading3 3 2 10" xfId="18121" xr:uid="{00000000-0005-0000-0000-0000CB460000}"/>
    <cellStyle name="heading3 3 2 11" xfId="18122" xr:uid="{00000000-0005-0000-0000-0000CC460000}"/>
    <cellStyle name="heading3 3 2 12" xfId="18123" xr:uid="{00000000-0005-0000-0000-0000CD460000}"/>
    <cellStyle name="heading3 3 2 13" xfId="18124" xr:uid="{00000000-0005-0000-0000-0000CE460000}"/>
    <cellStyle name="heading3 3 2 14" xfId="18125" xr:uid="{00000000-0005-0000-0000-0000CF460000}"/>
    <cellStyle name="heading3 3 2 15" xfId="18126" xr:uid="{00000000-0005-0000-0000-0000D0460000}"/>
    <cellStyle name="heading3 3 2 16" xfId="18127" xr:uid="{00000000-0005-0000-0000-0000D1460000}"/>
    <cellStyle name="heading3 3 2 17" xfId="18128" xr:uid="{00000000-0005-0000-0000-0000D2460000}"/>
    <cellStyle name="heading3 3 2 18" xfId="18129" xr:uid="{00000000-0005-0000-0000-0000D3460000}"/>
    <cellStyle name="heading3 3 2 19" xfId="18130" xr:uid="{00000000-0005-0000-0000-0000D4460000}"/>
    <cellStyle name="heading3 3 2 2" xfId="18131" xr:uid="{00000000-0005-0000-0000-0000D5460000}"/>
    <cellStyle name="heading3 3 2 2 10" xfId="18132" xr:uid="{00000000-0005-0000-0000-0000D6460000}"/>
    <cellStyle name="heading3 3 2 2 11" xfId="18133" xr:uid="{00000000-0005-0000-0000-0000D7460000}"/>
    <cellStyle name="heading3 3 2 2 12" xfId="18134" xr:uid="{00000000-0005-0000-0000-0000D8460000}"/>
    <cellStyle name="heading3 3 2 2 13" xfId="18135" xr:uid="{00000000-0005-0000-0000-0000D9460000}"/>
    <cellStyle name="heading3 3 2 2 14" xfId="18136" xr:uid="{00000000-0005-0000-0000-0000DA460000}"/>
    <cellStyle name="heading3 3 2 2 15" xfId="18137" xr:uid="{00000000-0005-0000-0000-0000DB460000}"/>
    <cellStyle name="heading3 3 2 2 16" xfId="18138" xr:uid="{00000000-0005-0000-0000-0000DC460000}"/>
    <cellStyle name="heading3 3 2 2 17" xfId="18139" xr:uid="{00000000-0005-0000-0000-0000DD460000}"/>
    <cellStyle name="heading3 3 2 2 18" xfId="18140" xr:uid="{00000000-0005-0000-0000-0000DE460000}"/>
    <cellStyle name="heading3 3 2 2 19" xfId="18141" xr:uid="{00000000-0005-0000-0000-0000DF460000}"/>
    <cellStyle name="heading3 3 2 2 2" xfId="18142" xr:uid="{00000000-0005-0000-0000-0000E0460000}"/>
    <cellStyle name="heading3 3 2 2 20" xfId="18143" xr:uid="{00000000-0005-0000-0000-0000E1460000}"/>
    <cellStyle name="heading3 3 2 2 21" xfId="18144" xr:uid="{00000000-0005-0000-0000-0000E2460000}"/>
    <cellStyle name="heading3 3 2 2 22" xfId="18145" xr:uid="{00000000-0005-0000-0000-0000E3460000}"/>
    <cellStyle name="heading3 3 2 2 23" xfId="18146" xr:uid="{00000000-0005-0000-0000-0000E4460000}"/>
    <cellStyle name="heading3 3 2 2 24" xfId="18147" xr:uid="{00000000-0005-0000-0000-0000E5460000}"/>
    <cellStyle name="heading3 3 2 2 25" xfId="18148" xr:uid="{00000000-0005-0000-0000-0000E6460000}"/>
    <cellStyle name="heading3 3 2 2 26" xfId="18149" xr:uid="{00000000-0005-0000-0000-0000E7460000}"/>
    <cellStyle name="heading3 3 2 2 27" xfId="18150" xr:uid="{00000000-0005-0000-0000-0000E8460000}"/>
    <cellStyle name="heading3 3 2 2 28" xfId="18151" xr:uid="{00000000-0005-0000-0000-0000E9460000}"/>
    <cellStyle name="heading3 3 2 2 29" xfId="18152" xr:uid="{00000000-0005-0000-0000-0000EA460000}"/>
    <cellStyle name="heading3 3 2 2 3" xfId="18153" xr:uid="{00000000-0005-0000-0000-0000EB460000}"/>
    <cellStyle name="heading3 3 2 2 30" xfId="18154" xr:uid="{00000000-0005-0000-0000-0000EC460000}"/>
    <cellStyle name="heading3 3 2 2 31" xfId="18155" xr:uid="{00000000-0005-0000-0000-0000ED460000}"/>
    <cellStyle name="heading3 3 2 2 32" xfId="18156" xr:uid="{00000000-0005-0000-0000-0000EE460000}"/>
    <cellStyle name="heading3 3 2 2 33" xfId="18157" xr:uid="{00000000-0005-0000-0000-0000EF460000}"/>
    <cellStyle name="heading3 3 2 2 34" xfId="18158" xr:uid="{00000000-0005-0000-0000-0000F0460000}"/>
    <cellStyle name="heading3 3 2 2 35" xfId="18159" xr:uid="{00000000-0005-0000-0000-0000F1460000}"/>
    <cellStyle name="heading3 3 2 2 4" xfId="18160" xr:uid="{00000000-0005-0000-0000-0000F2460000}"/>
    <cellStyle name="heading3 3 2 2 5" xfId="18161" xr:uid="{00000000-0005-0000-0000-0000F3460000}"/>
    <cellStyle name="heading3 3 2 2 6" xfId="18162" xr:uid="{00000000-0005-0000-0000-0000F4460000}"/>
    <cellStyle name="heading3 3 2 2 7" xfId="18163" xr:uid="{00000000-0005-0000-0000-0000F5460000}"/>
    <cellStyle name="heading3 3 2 2 8" xfId="18164" xr:uid="{00000000-0005-0000-0000-0000F6460000}"/>
    <cellStyle name="heading3 3 2 2 9" xfId="18165" xr:uid="{00000000-0005-0000-0000-0000F7460000}"/>
    <cellStyle name="heading3 3 2 20" xfId="18166" xr:uid="{00000000-0005-0000-0000-0000F8460000}"/>
    <cellStyle name="heading3 3 2 21" xfId="18167" xr:uid="{00000000-0005-0000-0000-0000F9460000}"/>
    <cellStyle name="heading3 3 2 22" xfId="18168" xr:uid="{00000000-0005-0000-0000-0000FA460000}"/>
    <cellStyle name="heading3 3 2 23" xfId="18169" xr:uid="{00000000-0005-0000-0000-0000FB460000}"/>
    <cellStyle name="heading3 3 2 24" xfId="18170" xr:uid="{00000000-0005-0000-0000-0000FC460000}"/>
    <cellStyle name="heading3 3 2 25" xfId="18171" xr:uid="{00000000-0005-0000-0000-0000FD460000}"/>
    <cellStyle name="heading3 3 2 26" xfId="18172" xr:uid="{00000000-0005-0000-0000-0000FE460000}"/>
    <cellStyle name="heading3 3 2 27" xfId="18173" xr:uid="{00000000-0005-0000-0000-0000FF460000}"/>
    <cellStyle name="heading3 3 2 28" xfId="18174" xr:uid="{00000000-0005-0000-0000-000000470000}"/>
    <cellStyle name="heading3 3 2 29" xfId="18175" xr:uid="{00000000-0005-0000-0000-000001470000}"/>
    <cellStyle name="heading3 3 2 3" xfId="18176" xr:uid="{00000000-0005-0000-0000-000002470000}"/>
    <cellStyle name="heading3 3 2 30" xfId="18177" xr:uid="{00000000-0005-0000-0000-000003470000}"/>
    <cellStyle name="heading3 3 2 31" xfId="18178" xr:uid="{00000000-0005-0000-0000-000004470000}"/>
    <cellStyle name="heading3 3 2 32" xfId="18179" xr:uid="{00000000-0005-0000-0000-000005470000}"/>
    <cellStyle name="heading3 3 2 33" xfId="18180" xr:uid="{00000000-0005-0000-0000-000006470000}"/>
    <cellStyle name="heading3 3 2 34" xfId="18181" xr:uid="{00000000-0005-0000-0000-000007470000}"/>
    <cellStyle name="heading3 3 2 4" xfId="18182" xr:uid="{00000000-0005-0000-0000-000008470000}"/>
    <cellStyle name="heading3 3 2 5" xfId="18183" xr:uid="{00000000-0005-0000-0000-000009470000}"/>
    <cellStyle name="heading3 3 2 6" xfId="18184" xr:uid="{00000000-0005-0000-0000-00000A470000}"/>
    <cellStyle name="heading3 3 2 7" xfId="18185" xr:uid="{00000000-0005-0000-0000-00000B470000}"/>
    <cellStyle name="heading3 3 2 8" xfId="18186" xr:uid="{00000000-0005-0000-0000-00000C470000}"/>
    <cellStyle name="heading3 3 2 9" xfId="18187" xr:uid="{00000000-0005-0000-0000-00000D470000}"/>
    <cellStyle name="heading3 3 20" xfId="18188" xr:uid="{00000000-0005-0000-0000-00000E470000}"/>
    <cellStyle name="heading3 3 21" xfId="18189" xr:uid="{00000000-0005-0000-0000-00000F470000}"/>
    <cellStyle name="heading3 3 22" xfId="18190" xr:uid="{00000000-0005-0000-0000-000010470000}"/>
    <cellStyle name="heading3 3 23" xfId="18191" xr:uid="{00000000-0005-0000-0000-000011470000}"/>
    <cellStyle name="heading3 3 24" xfId="18192" xr:uid="{00000000-0005-0000-0000-000012470000}"/>
    <cellStyle name="heading3 3 25" xfId="18193" xr:uid="{00000000-0005-0000-0000-000013470000}"/>
    <cellStyle name="heading3 3 26" xfId="18194" xr:uid="{00000000-0005-0000-0000-000014470000}"/>
    <cellStyle name="heading3 3 27" xfId="18195" xr:uid="{00000000-0005-0000-0000-000015470000}"/>
    <cellStyle name="heading3 3 28" xfId="18196" xr:uid="{00000000-0005-0000-0000-000016470000}"/>
    <cellStyle name="heading3 3 29" xfId="18197" xr:uid="{00000000-0005-0000-0000-000017470000}"/>
    <cellStyle name="heading3 3 3" xfId="18198" xr:uid="{00000000-0005-0000-0000-000018470000}"/>
    <cellStyle name="heading3 3 3 10" xfId="18199" xr:uid="{00000000-0005-0000-0000-000019470000}"/>
    <cellStyle name="heading3 3 3 11" xfId="18200" xr:uid="{00000000-0005-0000-0000-00001A470000}"/>
    <cellStyle name="heading3 3 3 12" xfId="18201" xr:uid="{00000000-0005-0000-0000-00001B470000}"/>
    <cellStyle name="heading3 3 3 13" xfId="18202" xr:uid="{00000000-0005-0000-0000-00001C470000}"/>
    <cellStyle name="heading3 3 3 14" xfId="18203" xr:uid="{00000000-0005-0000-0000-00001D470000}"/>
    <cellStyle name="heading3 3 3 15" xfId="18204" xr:uid="{00000000-0005-0000-0000-00001E470000}"/>
    <cellStyle name="heading3 3 3 16" xfId="18205" xr:uid="{00000000-0005-0000-0000-00001F470000}"/>
    <cellStyle name="heading3 3 3 17" xfId="18206" xr:uid="{00000000-0005-0000-0000-000020470000}"/>
    <cellStyle name="heading3 3 3 18" xfId="18207" xr:uid="{00000000-0005-0000-0000-000021470000}"/>
    <cellStyle name="heading3 3 3 19" xfId="18208" xr:uid="{00000000-0005-0000-0000-000022470000}"/>
    <cellStyle name="heading3 3 3 2" xfId="18209" xr:uid="{00000000-0005-0000-0000-000023470000}"/>
    <cellStyle name="heading3 3 3 20" xfId="18210" xr:uid="{00000000-0005-0000-0000-000024470000}"/>
    <cellStyle name="heading3 3 3 21" xfId="18211" xr:uid="{00000000-0005-0000-0000-000025470000}"/>
    <cellStyle name="heading3 3 3 22" xfId="18212" xr:uid="{00000000-0005-0000-0000-000026470000}"/>
    <cellStyle name="heading3 3 3 23" xfId="18213" xr:uid="{00000000-0005-0000-0000-000027470000}"/>
    <cellStyle name="heading3 3 3 24" xfId="18214" xr:uid="{00000000-0005-0000-0000-000028470000}"/>
    <cellStyle name="heading3 3 3 25" xfId="18215" xr:uid="{00000000-0005-0000-0000-000029470000}"/>
    <cellStyle name="heading3 3 3 26" xfId="18216" xr:uid="{00000000-0005-0000-0000-00002A470000}"/>
    <cellStyle name="heading3 3 3 27" xfId="18217" xr:uid="{00000000-0005-0000-0000-00002B470000}"/>
    <cellStyle name="heading3 3 3 28" xfId="18218" xr:uid="{00000000-0005-0000-0000-00002C470000}"/>
    <cellStyle name="heading3 3 3 29" xfId="18219" xr:uid="{00000000-0005-0000-0000-00002D470000}"/>
    <cellStyle name="heading3 3 3 3" xfId="18220" xr:uid="{00000000-0005-0000-0000-00002E470000}"/>
    <cellStyle name="heading3 3 3 30" xfId="18221" xr:uid="{00000000-0005-0000-0000-00002F470000}"/>
    <cellStyle name="heading3 3 3 31" xfId="18222" xr:uid="{00000000-0005-0000-0000-000030470000}"/>
    <cellStyle name="heading3 3 3 32" xfId="18223" xr:uid="{00000000-0005-0000-0000-000031470000}"/>
    <cellStyle name="heading3 3 3 33" xfId="18224" xr:uid="{00000000-0005-0000-0000-000032470000}"/>
    <cellStyle name="heading3 3 3 34" xfId="18225" xr:uid="{00000000-0005-0000-0000-000033470000}"/>
    <cellStyle name="heading3 3 3 35" xfId="18226" xr:uid="{00000000-0005-0000-0000-000034470000}"/>
    <cellStyle name="heading3 3 3 4" xfId="18227" xr:uid="{00000000-0005-0000-0000-000035470000}"/>
    <cellStyle name="heading3 3 3 5" xfId="18228" xr:uid="{00000000-0005-0000-0000-000036470000}"/>
    <cellStyle name="heading3 3 3 6" xfId="18229" xr:uid="{00000000-0005-0000-0000-000037470000}"/>
    <cellStyle name="heading3 3 3 7" xfId="18230" xr:uid="{00000000-0005-0000-0000-000038470000}"/>
    <cellStyle name="heading3 3 3 8" xfId="18231" xr:uid="{00000000-0005-0000-0000-000039470000}"/>
    <cellStyle name="heading3 3 3 9" xfId="18232" xr:uid="{00000000-0005-0000-0000-00003A470000}"/>
    <cellStyle name="heading3 3 30" xfId="18233" xr:uid="{00000000-0005-0000-0000-00003B470000}"/>
    <cellStyle name="heading3 3 31" xfId="18234" xr:uid="{00000000-0005-0000-0000-00003C470000}"/>
    <cellStyle name="heading3 3 32" xfId="18235" xr:uid="{00000000-0005-0000-0000-00003D470000}"/>
    <cellStyle name="heading3 3 33" xfId="18236" xr:uid="{00000000-0005-0000-0000-00003E470000}"/>
    <cellStyle name="heading3 3 34" xfId="18237" xr:uid="{00000000-0005-0000-0000-00003F470000}"/>
    <cellStyle name="heading3 3 35" xfId="18238" xr:uid="{00000000-0005-0000-0000-000040470000}"/>
    <cellStyle name="heading3 3 4" xfId="18239" xr:uid="{00000000-0005-0000-0000-000041470000}"/>
    <cellStyle name="heading3 3 5" xfId="18240" xr:uid="{00000000-0005-0000-0000-000042470000}"/>
    <cellStyle name="heading3 3 6" xfId="18241" xr:uid="{00000000-0005-0000-0000-000043470000}"/>
    <cellStyle name="heading3 3 7" xfId="18242" xr:uid="{00000000-0005-0000-0000-000044470000}"/>
    <cellStyle name="heading3 3 8" xfId="18243" xr:uid="{00000000-0005-0000-0000-000045470000}"/>
    <cellStyle name="heading3 3 9" xfId="18244" xr:uid="{00000000-0005-0000-0000-000046470000}"/>
    <cellStyle name="heading3 30" xfId="18245" xr:uid="{00000000-0005-0000-0000-000047470000}"/>
    <cellStyle name="heading3 31" xfId="18246" xr:uid="{00000000-0005-0000-0000-000048470000}"/>
    <cellStyle name="heading3 32" xfId="18247" xr:uid="{00000000-0005-0000-0000-000049470000}"/>
    <cellStyle name="heading3 33" xfId="18248" xr:uid="{00000000-0005-0000-0000-00004A470000}"/>
    <cellStyle name="heading3 34" xfId="18249" xr:uid="{00000000-0005-0000-0000-00004B470000}"/>
    <cellStyle name="heading3 35" xfId="18250" xr:uid="{00000000-0005-0000-0000-00004C470000}"/>
    <cellStyle name="heading3 36" xfId="18251" xr:uid="{00000000-0005-0000-0000-00004D470000}"/>
    <cellStyle name="heading3 37" xfId="18252" xr:uid="{00000000-0005-0000-0000-00004E470000}"/>
    <cellStyle name="heading3 38" xfId="18253" xr:uid="{00000000-0005-0000-0000-00004F470000}"/>
    <cellStyle name="heading3 39" xfId="18254" xr:uid="{00000000-0005-0000-0000-000050470000}"/>
    <cellStyle name="heading3 4" xfId="18255" xr:uid="{00000000-0005-0000-0000-000051470000}"/>
    <cellStyle name="heading3 4 10" xfId="18256" xr:uid="{00000000-0005-0000-0000-000052470000}"/>
    <cellStyle name="heading3 4 11" xfId="18257" xr:uid="{00000000-0005-0000-0000-000053470000}"/>
    <cellStyle name="heading3 4 12" xfId="18258" xr:uid="{00000000-0005-0000-0000-000054470000}"/>
    <cellStyle name="heading3 4 13" xfId="18259" xr:uid="{00000000-0005-0000-0000-000055470000}"/>
    <cellStyle name="heading3 4 14" xfId="18260" xr:uid="{00000000-0005-0000-0000-000056470000}"/>
    <cellStyle name="heading3 4 15" xfId="18261" xr:uid="{00000000-0005-0000-0000-000057470000}"/>
    <cellStyle name="heading3 4 16" xfId="18262" xr:uid="{00000000-0005-0000-0000-000058470000}"/>
    <cellStyle name="heading3 4 17" xfId="18263" xr:uid="{00000000-0005-0000-0000-000059470000}"/>
    <cellStyle name="heading3 4 18" xfId="18264" xr:uid="{00000000-0005-0000-0000-00005A470000}"/>
    <cellStyle name="heading3 4 19" xfId="18265" xr:uid="{00000000-0005-0000-0000-00005B470000}"/>
    <cellStyle name="heading3 4 2" xfId="18266" xr:uid="{00000000-0005-0000-0000-00005C470000}"/>
    <cellStyle name="heading3 4 2 10" xfId="18267" xr:uid="{00000000-0005-0000-0000-00005D470000}"/>
    <cellStyle name="heading3 4 2 11" xfId="18268" xr:uid="{00000000-0005-0000-0000-00005E470000}"/>
    <cellStyle name="heading3 4 2 12" xfId="18269" xr:uid="{00000000-0005-0000-0000-00005F470000}"/>
    <cellStyle name="heading3 4 2 13" xfId="18270" xr:uid="{00000000-0005-0000-0000-000060470000}"/>
    <cellStyle name="heading3 4 2 14" xfId="18271" xr:uid="{00000000-0005-0000-0000-000061470000}"/>
    <cellStyle name="heading3 4 2 15" xfId="18272" xr:uid="{00000000-0005-0000-0000-000062470000}"/>
    <cellStyle name="heading3 4 2 16" xfId="18273" xr:uid="{00000000-0005-0000-0000-000063470000}"/>
    <cellStyle name="heading3 4 2 17" xfId="18274" xr:uid="{00000000-0005-0000-0000-000064470000}"/>
    <cellStyle name="heading3 4 2 18" xfId="18275" xr:uid="{00000000-0005-0000-0000-000065470000}"/>
    <cellStyle name="heading3 4 2 19" xfId="18276" xr:uid="{00000000-0005-0000-0000-000066470000}"/>
    <cellStyle name="heading3 4 2 2" xfId="18277" xr:uid="{00000000-0005-0000-0000-000067470000}"/>
    <cellStyle name="heading3 4 2 2 10" xfId="18278" xr:uid="{00000000-0005-0000-0000-000068470000}"/>
    <cellStyle name="heading3 4 2 2 11" xfId="18279" xr:uid="{00000000-0005-0000-0000-000069470000}"/>
    <cellStyle name="heading3 4 2 2 12" xfId="18280" xr:uid="{00000000-0005-0000-0000-00006A470000}"/>
    <cellStyle name="heading3 4 2 2 13" xfId="18281" xr:uid="{00000000-0005-0000-0000-00006B470000}"/>
    <cellStyle name="heading3 4 2 2 14" xfId="18282" xr:uid="{00000000-0005-0000-0000-00006C470000}"/>
    <cellStyle name="heading3 4 2 2 15" xfId="18283" xr:uid="{00000000-0005-0000-0000-00006D470000}"/>
    <cellStyle name="heading3 4 2 2 16" xfId="18284" xr:uid="{00000000-0005-0000-0000-00006E470000}"/>
    <cellStyle name="heading3 4 2 2 17" xfId="18285" xr:uid="{00000000-0005-0000-0000-00006F470000}"/>
    <cellStyle name="heading3 4 2 2 18" xfId="18286" xr:uid="{00000000-0005-0000-0000-000070470000}"/>
    <cellStyle name="heading3 4 2 2 19" xfId="18287" xr:uid="{00000000-0005-0000-0000-000071470000}"/>
    <cellStyle name="heading3 4 2 2 2" xfId="18288" xr:uid="{00000000-0005-0000-0000-000072470000}"/>
    <cellStyle name="heading3 4 2 2 20" xfId="18289" xr:uid="{00000000-0005-0000-0000-000073470000}"/>
    <cellStyle name="heading3 4 2 2 21" xfId="18290" xr:uid="{00000000-0005-0000-0000-000074470000}"/>
    <cellStyle name="heading3 4 2 2 22" xfId="18291" xr:uid="{00000000-0005-0000-0000-000075470000}"/>
    <cellStyle name="heading3 4 2 2 23" xfId="18292" xr:uid="{00000000-0005-0000-0000-000076470000}"/>
    <cellStyle name="heading3 4 2 2 24" xfId="18293" xr:uid="{00000000-0005-0000-0000-000077470000}"/>
    <cellStyle name="heading3 4 2 2 25" xfId="18294" xr:uid="{00000000-0005-0000-0000-000078470000}"/>
    <cellStyle name="heading3 4 2 2 26" xfId="18295" xr:uid="{00000000-0005-0000-0000-000079470000}"/>
    <cellStyle name="heading3 4 2 2 27" xfId="18296" xr:uid="{00000000-0005-0000-0000-00007A470000}"/>
    <cellStyle name="heading3 4 2 2 28" xfId="18297" xr:uid="{00000000-0005-0000-0000-00007B470000}"/>
    <cellStyle name="heading3 4 2 2 29" xfId="18298" xr:uid="{00000000-0005-0000-0000-00007C470000}"/>
    <cellStyle name="heading3 4 2 2 3" xfId="18299" xr:uid="{00000000-0005-0000-0000-00007D470000}"/>
    <cellStyle name="heading3 4 2 2 30" xfId="18300" xr:uid="{00000000-0005-0000-0000-00007E470000}"/>
    <cellStyle name="heading3 4 2 2 31" xfId="18301" xr:uid="{00000000-0005-0000-0000-00007F470000}"/>
    <cellStyle name="heading3 4 2 2 32" xfId="18302" xr:uid="{00000000-0005-0000-0000-000080470000}"/>
    <cellStyle name="heading3 4 2 2 33" xfId="18303" xr:uid="{00000000-0005-0000-0000-000081470000}"/>
    <cellStyle name="heading3 4 2 2 34" xfId="18304" xr:uid="{00000000-0005-0000-0000-000082470000}"/>
    <cellStyle name="heading3 4 2 2 35" xfId="18305" xr:uid="{00000000-0005-0000-0000-000083470000}"/>
    <cellStyle name="heading3 4 2 2 4" xfId="18306" xr:uid="{00000000-0005-0000-0000-000084470000}"/>
    <cellStyle name="heading3 4 2 2 5" xfId="18307" xr:uid="{00000000-0005-0000-0000-000085470000}"/>
    <cellStyle name="heading3 4 2 2 6" xfId="18308" xr:uid="{00000000-0005-0000-0000-000086470000}"/>
    <cellStyle name="heading3 4 2 2 7" xfId="18309" xr:uid="{00000000-0005-0000-0000-000087470000}"/>
    <cellStyle name="heading3 4 2 2 8" xfId="18310" xr:uid="{00000000-0005-0000-0000-000088470000}"/>
    <cellStyle name="heading3 4 2 2 9" xfId="18311" xr:uid="{00000000-0005-0000-0000-000089470000}"/>
    <cellStyle name="heading3 4 2 20" xfId="18312" xr:uid="{00000000-0005-0000-0000-00008A470000}"/>
    <cellStyle name="heading3 4 2 21" xfId="18313" xr:uid="{00000000-0005-0000-0000-00008B470000}"/>
    <cellStyle name="heading3 4 2 22" xfId="18314" xr:uid="{00000000-0005-0000-0000-00008C470000}"/>
    <cellStyle name="heading3 4 2 23" xfId="18315" xr:uid="{00000000-0005-0000-0000-00008D470000}"/>
    <cellStyle name="heading3 4 2 24" xfId="18316" xr:uid="{00000000-0005-0000-0000-00008E470000}"/>
    <cellStyle name="heading3 4 2 25" xfId="18317" xr:uid="{00000000-0005-0000-0000-00008F470000}"/>
    <cellStyle name="heading3 4 2 26" xfId="18318" xr:uid="{00000000-0005-0000-0000-000090470000}"/>
    <cellStyle name="heading3 4 2 27" xfId="18319" xr:uid="{00000000-0005-0000-0000-000091470000}"/>
    <cellStyle name="heading3 4 2 28" xfId="18320" xr:uid="{00000000-0005-0000-0000-000092470000}"/>
    <cellStyle name="heading3 4 2 29" xfId="18321" xr:uid="{00000000-0005-0000-0000-000093470000}"/>
    <cellStyle name="heading3 4 2 3" xfId="18322" xr:uid="{00000000-0005-0000-0000-000094470000}"/>
    <cellStyle name="heading3 4 2 30" xfId="18323" xr:uid="{00000000-0005-0000-0000-000095470000}"/>
    <cellStyle name="heading3 4 2 31" xfId="18324" xr:uid="{00000000-0005-0000-0000-000096470000}"/>
    <cellStyle name="heading3 4 2 32" xfId="18325" xr:uid="{00000000-0005-0000-0000-000097470000}"/>
    <cellStyle name="heading3 4 2 33" xfId="18326" xr:uid="{00000000-0005-0000-0000-000098470000}"/>
    <cellStyle name="heading3 4 2 34" xfId="18327" xr:uid="{00000000-0005-0000-0000-000099470000}"/>
    <cellStyle name="heading3 4 2 4" xfId="18328" xr:uid="{00000000-0005-0000-0000-00009A470000}"/>
    <cellStyle name="heading3 4 2 5" xfId="18329" xr:uid="{00000000-0005-0000-0000-00009B470000}"/>
    <cellStyle name="heading3 4 2 6" xfId="18330" xr:uid="{00000000-0005-0000-0000-00009C470000}"/>
    <cellStyle name="heading3 4 2 7" xfId="18331" xr:uid="{00000000-0005-0000-0000-00009D470000}"/>
    <cellStyle name="heading3 4 2 8" xfId="18332" xr:uid="{00000000-0005-0000-0000-00009E470000}"/>
    <cellStyle name="heading3 4 2 9" xfId="18333" xr:uid="{00000000-0005-0000-0000-00009F470000}"/>
    <cellStyle name="heading3 4 20" xfId="18334" xr:uid="{00000000-0005-0000-0000-0000A0470000}"/>
    <cellStyle name="heading3 4 21" xfId="18335" xr:uid="{00000000-0005-0000-0000-0000A1470000}"/>
    <cellStyle name="heading3 4 22" xfId="18336" xr:uid="{00000000-0005-0000-0000-0000A2470000}"/>
    <cellStyle name="heading3 4 23" xfId="18337" xr:uid="{00000000-0005-0000-0000-0000A3470000}"/>
    <cellStyle name="heading3 4 24" xfId="18338" xr:uid="{00000000-0005-0000-0000-0000A4470000}"/>
    <cellStyle name="heading3 4 25" xfId="18339" xr:uid="{00000000-0005-0000-0000-0000A5470000}"/>
    <cellStyle name="heading3 4 26" xfId="18340" xr:uid="{00000000-0005-0000-0000-0000A6470000}"/>
    <cellStyle name="heading3 4 27" xfId="18341" xr:uid="{00000000-0005-0000-0000-0000A7470000}"/>
    <cellStyle name="heading3 4 28" xfId="18342" xr:uid="{00000000-0005-0000-0000-0000A8470000}"/>
    <cellStyle name="heading3 4 29" xfId="18343" xr:uid="{00000000-0005-0000-0000-0000A9470000}"/>
    <cellStyle name="heading3 4 3" xfId="18344" xr:uid="{00000000-0005-0000-0000-0000AA470000}"/>
    <cellStyle name="heading3 4 3 10" xfId="18345" xr:uid="{00000000-0005-0000-0000-0000AB470000}"/>
    <cellStyle name="heading3 4 3 11" xfId="18346" xr:uid="{00000000-0005-0000-0000-0000AC470000}"/>
    <cellStyle name="heading3 4 3 12" xfId="18347" xr:uid="{00000000-0005-0000-0000-0000AD470000}"/>
    <cellStyle name="heading3 4 3 13" xfId="18348" xr:uid="{00000000-0005-0000-0000-0000AE470000}"/>
    <cellStyle name="heading3 4 3 14" xfId="18349" xr:uid="{00000000-0005-0000-0000-0000AF470000}"/>
    <cellStyle name="heading3 4 3 15" xfId="18350" xr:uid="{00000000-0005-0000-0000-0000B0470000}"/>
    <cellStyle name="heading3 4 3 16" xfId="18351" xr:uid="{00000000-0005-0000-0000-0000B1470000}"/>
    <cellStyle name="heading3 4 3 17" xfId="18352" xr:uid="{00000000-0005-0000-0000-0000B2470000}"/>
    <cellStyle name="heading3 4 3 18" xfId="18353" xr:uid="{00000000-0005-0000-0000-0000B3470000}"/>
    <cellStyle name="heading3 4 3 19" xfId="18354" xr:uid="{00000000-0005-0000-0000-0000B4470000}"/>
    <cellStyle name="heading3 4 3 2" xfId="18355" xr:uid="{00000000-0005-0000-0000-0000B5470000}"/>
    <cellStyle name="heading3 4 3 20" xfId="18356" xr:uid="{00000000-0005-0000-0000-0000B6470000}"/>
    <cellStyle name="heading3 4 3 21" xfId="18357" xr:uid="{00000000-0005-0000-0000-0000B7470000}"/>
    <cellStyle name="heading3 4 3 22" xfId="18358" xr:uid="{00000000-0005-0000-0000-0000B8470000}"/>
    <cellStyle name="heading3 4 3 23" xfId="18359" xr:uid="{00000000-0005-0000-0000-0000B9470000}"/>
    <cellStyle name="heading3 4 3 24" xfId="18360" xr:uid="{00000000-0005-0000-0000-0000BA470000}"/>
    <cellStyle name="heading3 4 3 25" xfId="18361" xr:uid="{00000000-0005-0000-0000-0000BB470000}"/>
    <cellStyle name="heading3 4 3 26" xfId="18362" xr:uid="{00000000-0005-0000-0000-0000BC470000}"/>
    <cellStyle name="heading3 4 3 27" xfId="18363" xr:uid="{00000000-0005-0000-0000-0000BD470000}"/>
    <cellStyle name="heading3 4 3 28" xfId="18364" xr:uid="{00000000-0005-0000-0000-0000BE470000}"/>
    <cellStyle name="heading3 4 3 29" xfId="18365" xr:uid="{00000000-0005-0000-0000-0000BF470000}"/>
    <cellStyle name="heading3 4 3 3" xfId="18366" xr:uid="{00000000-0005-0000-0000-0000C0470000}"/>
    <cellStyle name="heading3 4 3 30" xfId="18367" xr:uid="{00000000-0005-0000-0000-0000C1470000}"/>
    <cellStyle name="heading3 4 3 31" xfId="18368" xr:uid="{00000000-0005-0000-0000-0000C2470000}"/>
    <cellStyle name="heading3 4 3 32" xfId="18369" xr:uid="{00000000-0005-0000-0000-0000C3470000}"/>
    <cellStyle name="heading3 4 3 33" xfId="18370" xr:uid="{00000000-0005-0000-0000-0000C4470000}"/>
    <cellStyle name="heading3 4 3 34" xfId="18371" xr:uid="{00000000-0005-0000-0000-0000C5470000}"/>
    <cellStyle name="heading3 4 3 35" xfId="18372" xr:uid="{00000000-0005-0000-0000-0000C6470000}"/>
    <cellStyle name="heading3 4 3 4" xfId="18373" xr:uid="{00000000-0005-0000-0000-0000C7470000}"/>
    <cellStyle name="heading3 4 3 5" xfId="18374" xr:uid="{00000000-0005-0000-0000-0000C8470000}"/>
    <cellStyle name="heading3 4 3 6" xfId="18375" xr:uid="{00000000-0005-0000-0000-0000C9470000}"/>
    <cellStyle name="heading3 4 3 7" xfId="18376" xr:uid="{00000000-0005-0000-0000-0000CA470000}"/>
    <cellStyle name="heading3 4 3 8" xfId="18377" xr:uid="{00000000-0005-0000-0000-0000CB470000}"/>
    <cellStyle name="heading3 4 3 9" xfId="18378" xr:uid="{00000000-0005-0000-0000-0000CC470000}"/>
    <cellStyle name="heading3 4 30" xfId="18379" xr:uid="{00000000-0005-0000-0000-0000CD470000}"/>
    <cellStyle name="heading3 4 31" xfId="18380" xr:uid="{00000000-0005-0000-0000-0000CE470000}"/>
    <cellStyle name="heading3 4 32" xfId="18381" xr:uid="{00000000-0005-0000-0000-0000CF470000}"/>
    <cellStyle name="heading3 4 33" xfId="18382" xr:uid="{00000000-0005-0000-0000-0000D0470000}"/>
    <cellStyle name="heading3 4 34" xfId="18383" xr:uid="{00000000-0005-0000-0000-0000D1470000}"/>
    <cellStyle name="heading3 4 35" xfId="18384" xr:uid="{00000000-0005-0000-0000-0000D2470000}"/>
    <cellStyle name="heading3 4 4" xfId="18385" xr:uid="{00000000-0005-0000-0000-0000D3470000}"/>
    <cellStyle name="heading3 4 5" xfId="18386" xr:uid="{00000000-0005-0000-0000-0000D4470000}"/>
    <cellStyle name="heading3 4 6" xfId="18387" xr:uid="{00000000-0005-0000-0000-0000D5470000}"/>
    <cellStyle name="heading3 4 7" xfId="18388" xr:uid="{00000000-0005-0000-0000-0000D6470000}"/>
    <cellStyle name="heading3 4 8" xfId="18389" xr:uid="{00000000-0005-0000-0000-0000D7470000}"/>
    <cellStyle name="heading3 4 9" xfId="18390" xr:uid="{00000000-0005-0000-0000-0000D8470000}"/>
    <cellStyle name="heading3 40" xfId="18391" xr:uid="{00000000-0005-0000-0000-0000D9470000}"/>
    <cellStyle name="heading3 41" xfId="18392" xr:uid="{00000000-0005-0000-0000-0000DA470000}"/>
    <cellStyle name="heading3 5" xfId="18393" xr:uid="{00000000-0005-0000-0000-0000DB470000}"/>
    <cellStyle name="heading3 5 10" xfId="18394" xr:uid="{00000000-0005-0000-0000-0000DC470000}"/>
    <cellStyle name="heading3 5 11" xfId="18395" xr:uid="{00000000-0005-0000-0000-0000DD470000}"/>
    <cellStyle name="heading3 5 12" xfId="18396" xr:uid="{00000000-0005-0000-0000-0000DE470000}"/>
    <cellStyle name="heading3 5 13" xfId="18397" xr:uid="{00000000-0005-0000-0000-0000DF470000}"/>
    <cellStyle name="heading3 5 14" xfId="18398" xr:uid="{00000000-0005-0000-0000-0000E0470000}"/>
    <cellStyle name="heading3 5 15" xfId="18399" xr:uid="{00000000-0005-0000-0000-0000E1470000}"/>
    <cellStyle name="heading3 5 16" xfId="18400" xr:uid="{00000000-0005-0000-0000-0000E2470000}"/>
    <cellStyle name="heading3 5 17" xfId="18401" xr:uid="{00000000-0005-0000-0000-0000E3470000}"/>
    <cellStyle name="heading3 5 18" xfId="18402" xr:uid="{00000000-0005-0000-0000-0000E4470000}"/>
    <cellStyle name="heading3 5 19" xfId="18403" xr:uid="{00000000-0005-0000-0000-0000E5470000}"/>
    <cellStyle name="heading3 5 2" xfId="18404" xr:uid="{00000000-0005-0000-0000-0000E6470000}"/>
    <cellStyle name="heading3 5 2 10" xfId="18405" xr:uid="{00000000-0005-0000-0000-0000E7470000}"/>
    <cellStyle name="heading3 5 2 11" xfId="18406" xr:uid="{00000000-0005-0000-0000-0000E8470000}"/>
    <cellStyle name="heading3 5 2 12" xfId="18407" xr:uid="{00000000-0005-0000-0000-0000E9470000}"/>
    <cellStyle name="heading3 5 2 13" xfId="18408" xr:uid="{00000000-0005-0000-0000-0000EA470000}"/>
    <cellStyle name="heading3 5 2 14" xfId="18409" xr:uid="{00000000-0005-0000-0000-0000EB470000}"/>
    <cellStyle name="heading3 5 2 15" xfId="18410" xr:uid="{00000000-0005-0000-0000-0000EC470000}"/>
    <cellStyle name="heading3 5 2 16" xfId="18411" xr:uid="{00000000-0005-0000-0000-0000ED470000}"/>
    <cellStyle name="heading3 5 2 17" xfId="18412" xr:uid="{00000000-0005-0000-0000-0000EE470000}"/>
    <cellStyle name="heading3 5 2 18" xfId="18413" xr:uid="{00000000-0005-0000-0000-0000EF470000}"/>
    <cellStyle name="heading3 5 2 19" xfId="18414" xr:uid="{00000000-0005-0000-0000-0000F0470000}"/>
    <cellStyle name="heading3 5 2 2" xfId="18415" xr:uid="{00000000-0005-0000-0000-0000F1470000}"/>
    <cellStyle name="heading3 5 2 2 10" xfId="18416" xr:uid="{00000000-0005-0000-0000-0000F2470000}"/>
    <cellStyle name="heading3 5 2 2 11" xfId="18417" xr:uid="{00000000-0005-0000-0000-0000F3470000}"/>
    <cellStyle name="heading3 5 2 2 12" xfId="18418" xr:uid="{00000000-0005-0000-0000-0000F4470000}"/>
    <cellStyle name="heading3 5 2 2 13" xfId="18419" xr:uid="{00000000-0005-0000-0000-0000F5470000}"/>
    <cellStyle name="heading3 5 2 2 14" xfId="18420" xr:uid="{00000000-0005-0000-0000-0000F6470000}"/>
    <cellStyle name="heading3 5 2 2 15" xfId="18421" xr:uid="{00000000-0005-0000-0000-0000F7470000}"/>
    <cellStyle name="heading3 5 2 2 16" xfId="18422" xr:uid="{00000000-0005-0000-0000-0000F8470000}"/>
    <cellStyle name="heading3 5 2 2 17" xfId="18423" xr:uid="{00000000-0005-0000-0000-0000F9470000}"/>
    <cellStyle name="heading3 5 2 2 18" xfId="18424" xr:uid="{00000000-0005-0000-0000-0000FA470000}"/>
    <cellStyle name="heading3 5 2 2 19" xfId="18425" xr:uid="{00000000-0005-0000-0000-0000FB470000}"/>
    <cellStyle name="heading3 5 2 2 2" xfId="18426" xr:uid="{00000000-0005-0000-0000-0000FC470000}"/>
    <cellStyle name="heading3 5 2 2 20" xfId="18427" xr:uid="{00000000-0005-0000-0000-0000FD470000}"/>
    <cellStyle name="heading3 5 2 2 21" xfId="18428" xr:uid="{00000000-0005-0000-0000-0000FE470000}"/>
    <cellStyle name="heading3 5 2 2 22" xfId="18429" xr:uid="{00000000-0005-0000-0000-0000FF470000}"/>
    <cellStyle name="heading3 5 2 2 23" xfId="18430" xr:uid="{00000000-0005-0000-0000-000000480000}"/>
    <cellStyle name="heading3 5 2 2 24" xfId="18431" xr:uid="{00000000-0005-0000-0000-000001480000}"/>
    <cellStyle name="heading3 5 2 2 25" xfId="18432" xr:uid="{00000000-0005-0000-0000-000002480000}"/>
    <cellStyle name="heading3 5 2 2 26" xfId="18433" xr:uid="{00000000-0005-0000-0000-000003480000}"/>
    <cellStyle name="heading3 5 2 2 27" xfId="18434" xr:uid="{00000000-0005-0000-0000-000004480000}"/>
    <cellStyle name="heading3 5 2 2 28" xfId="18435" xr:uid="{00000000-0005-0000-0000-000005480000}"/>
    <cellStyle name="heading3 5 2 2 29" xfId="18436" xr:uid="{00000000-0005-0000-0000-000006480000}"/>
    <cellStyle name="heading3 5 2 2 3" xfId="18437" xr:uid="{00000000-0005-0000-0000-000007480000}"/>
    <cellStyle name="heading3 5 2 2 30" xfId="18438" xr:uid="{00000000-0005-0000-0000-000008480000}"/>
    <cellStyle name="heading3 5 2 2 31" xfId="18439" xr:uid="{00000000-0005-0000-0000-000009480000}"/>
    <cellStyle name="heading3 5 2 2 32" xfId="18440" xr:uid="{00000000-0005-0000-0000-00000A480000}"/>
    <cellStyle name="heading3 5 2 2 33" xfId="18441" xr:uid="{00000000-0005-0000-0000-00000B480000}"/>
    <cellStyle name="heading3 5 2 2 34" xfId="18442" xr:uid="{00000000-0005-0000-0000-00000C480000}"/>
    <cellStyle name="heading3 5 2 2 35" xfId="18443" xr:uid="{00000000-0005-0000-0000-00000D480000}"/>
    <cellStyle name="heading3 5 2 2 4" xfId="18444" xr:uid="{00000000-0005-0000-0000-00000E480000}"/>
    <cellStyle name="heading3 5 2 2 5" xfId="18445" xr:uid="{00000000-0005-0000-0000-00000F480000}"/>
    <cellStyle name="heading3 5 2 2 6" xfId="18446" xr:uid="{00000000-0005-0000-0000-000010480000}"/>
    <cellStyle name="heading3 5 2 2 7" xfId="18447" xr:uid="{00000000-0005-0000-0000-000011480000}"/>
    <cellStyle name="heading3 5 2 2 8" xfId="18448" xr:uid="{00000000-0005-0000-0000-000012480000}"/>
    <cellStyle name="heading3 5 2 2 9" xfId="18449" xr:uid="{00000000-0005-0000-0000-000013480000}"/>
    <cellStyle name="heading3 5 2 20" xfId="18450" xr:uid="{00000000-0005-0000-0000-000014480000}"/>
    <cellStyle name="heading3 5 2 21" xfId="18451" xr:uid="{00000000-0005-0000-0000-000015480000}"/>
    <cellStyle name="heading3 5 2 22" xfId="18452" xr:uid="{00000000-0005-0000-0000-000016480000}"/>
    <cellStyle name="heading3 5 2 23" xfId="18453" xr:uid="{00000000-0005-0000-0000-000017480000}"/>
    <cellStyle name="heading3 5 2 24" xfId="18454" xr:uid="{00000000-0005-0000-0000-000018480000}"/>
    <cellStyle name="heading3 5 2 25" xfId="18455" xr:uid="{00000000-0005-0000-0000-000019480000}"/>
    <cellStyle name="heading3 5 2 26" xfId="18456" xr:uid="{00000000-0005-0000-0000-00001A480000}"/>
    <cellStyle name="heading3 5 2 27" xfId="18457" xr:uid="{00000000-0005-0000-0000-00001B480000}"/>
    <cellStyle name="heading3 5 2 28" xfId="18458" xr:uid="{00000000-0005-0000-0000-00001C480000}"/>
    <cellStyle name="heading3 5 2 29" xfId="18459" xr:uid="{00000000-0005-0000-0000-00001D480000}"/>
    <cellStyle name="heading3 5 2 3" xfId="18460" xr:uid="{00000000-0005-0000-0000-00001E480000}"/>
    <cellStyle name="heading3 5 2 30" xfId="18461" xr:uid="{00000000-0005-0000-0000-00001F480000}"/>
    <cellStyle name="heading3 5 2 31" xfId="18462" xr:uid="{00000000-0005-0000-0000-000020480000}"/>
    <cellStyle name="heading3 5 2 32" xfId="18463" xr:uid="{00000000-0005-0000-0000-000021480000}"/>
    <cellStyle name="heading3 5 2 33" xfId="18464" xr:uid="{00000000-0005-0000-0000-000022480000}"/>
    <cellStyle name="heading3 5 2 34" xfId="18465" xr:uid="{00000000-0005-0000-0000-000023480000}"/>
    <cellStyle name="heading3 5 2 4" xfId="18466" xr:uid="{00000000-0005-0000-0000-000024480000}"/>
    <cellStyle name="heading3 5 2 5" xfId="18467" xr:uid="{00000000-0005-0000-0000-000025480000}"/>
    <cellStyle name="heading3 5 2 6" xfId="18468" xr:uid="{00000000-0005-0000-0000-000026480000}"/>
    <cellStyle name="heading3 5 2 7" xfId="18469" xr:uid="{00000000-0005-0000-0000-000027480000}"/>
    <cellStyle name="heading3 5 2 8" xfId="18470" xr:uid="{00000000-0005-0000-0000-000028480000}"/>
    <cellStyle name="heading3 5 2 9" xfId="18471" xr:uid="{00000000-0005-0000-0000-000029480000}"/>
    <cellStyle name="heading3 5 20" xfId="18472" xr:uid="{00000000-0005-0000-0000-00002A480000}"/>
    <cellStyle name="heading3 5 21" xfId="18473" xr:uid="{00000000-0005-0000-0000-00002B480000}"/>
    <cellStyle name="heading3 5 22" xfId="18474" xr:uid="{00000000-0005-0000-0000-00002C480000}"/>
    <cellStyle name="heading3 5 23" xfId="18475" xr:uid="{00000000-0005-0000-0000-00002D480000}"/>
    <cellStyle name="heading3 5 24" xfId="18476" xr:uid="{00000000-0005-0000-0000-00002E480000}"/>
    <cellStyle name="heading3 5 25" xfId="18477" xr:uid="{00000000-0005-0000-0000-00002F480000}"/>
    <cellStyle name="heading3 5 26" xfId="18478" xr:uid="{00000000-0005-0000-0000-000030480000}"/>
    <cellStyle name="heading3 5 27" xfId="18479" xr:uid="{00000000-0005-0000-0000-000031480000}"/>
    <cellStyle name="heading3 5 28" xfId="18480" xr:uid="{00000000-0005-0000-0000-000032480000}"/>
    <cellStyle name="heading3 5 29" xfId="18481" xr:uid="{00000000-0005-0000-0000-000033480000}"/>
    <cellStyle name="heading3 5 3" xfId="18482" xr:uid="{00000000-0005-0000-0000-000034480000}"/>
    <cellStyle name="heading3 5 3 10" xfId="18483" xr:uid="{00000000-0005-0000-0000-000035480000}"/>
    <cellStyle name="heading3 5 3 11" xfId="18484" xr:uid="{00000000-0005-0000-0000-000036480000}"/>
    <cellStyle name="heading3 5 3 12" xfId="18485" xr:uid="{00000000-0005-0000-0000-000037480000}"/>
    <cellStyle name="heading3 5 3 13" xfId="18486" xr:uid="{00000000-0005-0000-0000-000038480000}"/>
    <cellStyle name="heading3 5 3 14" xfId="18487" xr:uid="{00000000-0005-0000-0000-000039480000}"/>
    <cellStyle name="heading3 5 3 15" xfId="18488" xr:uid="{00000000-0005-0000-0000-00003A480000}"/>
    <cellStyle name="heading3 5 3 16" xfId="18489" xr:uid="{00000000-0005-0000-0000-00003B480000}"/>
    <cellStyle name="heading3 5 3 17" xfId="18490" xr:uid="{00000000-0005-0000-0000-00003C480000}"/>
    <cellStyle name="heading3 5 3 18" xfId="18491" xr:uid="{00000000-0005-0000-0000-00003D480000}"/>
    <cellStyle name="heading3 5 3 19" xfId="18492" xr:uid="{00000000-0005-0000-0000-00003E480000}"/>
    <cellStyle name="heading3 5 3 2" xfId="18493" xr:uid="{00000000-0005-0000-0000-00003F480000}"/>
    <cellStyle name="heading3 5 3 20" xfId="18494" xr:uid="{00000000-0005-0000-0000-000040480000}"/>
    <cellStyle name="heading3 5 3 21" xfId="18495" xr:uid="{00000000-0005-0000-0000-000041480000}"/>
    <cellStyle name="heading3 5 3 22" xfId="18496" xr:uid="{00000000-0005-0000-0000-000042480000}"/>
    <cellStyle name="heading3 5 3 23" xfId="18497" xr:uid="{00000000-0005-0000-0000-000043480000}"/>
    <cellStyle name="heading3 5 3 24" xfId="18498" xr:uid="{00000000-0005-0000-0000-000044480000}"/>
    <cellStyle name="heading3 5 3 25" xfId="18499" xr:uid="{00000000-0005-0000-0000-000045480000}"/>
    <cellStyle name="heading3 5 3 26" xfId="18500" xr:uid="{00000000-0005-0000-0000-000046480000}"/>
    <cellStyle name="heading3 5 3 27" xfId="18501" xr:uid="{00000000-0005-0000-0000-000047480000}"/>
    <cellStyle name="heading3 5 3 28" xfId="18502" xr:uid="{00000000-0005-0000-0000-000048480000}"/>
    <cellStyle name="heading3 5 3 29" xfId="18503" xr:uid="{00000000-0005-0000-0000-000049480000}"/>
    <cellStyle name="heading3 5 3 3" xfId="18504" xr:uid="{00000000-0005-0000-0000-00004A480000}"/>
    <cellStyle name="heading3 5 3 30" xfId="18505" xr:uid="{00000000-0005-0000-0000-00004B480000}"/>
    <cellStyle name="heading3 5 3 31" xfId="18506" xr:uid="{00000000-0005-0000-0000-00004C480000}"/>
    <cellStyle name="heading3 5 3 32" xfId="18507" xr:uid="{00000000-0005-0000-0000-00004D480000}"/>
    <cellStyle name="heading3 5 3 33" xfId="18508" xr:uid="{00000000-0005-0000-0000-00004E480000}"/>
    <cellStyle name="heading3 5 3 34" xfId="18509" xr:uid="{00000000-0005-0000-0000-00004F480000}"/>
    <cellStyle name="heading3 5 3 35" xfId="18510" xr:uid="{00000000-0005-0000-0000-000050480000}"/>
    <cellStyle name="heading3 5 3 4" xfId="18511" xr:uid="{00000000-0005-0000-0000-000051480000}"/>
    <cellStyle name="heading3 5 3 5" xfId="18512" xr:uid="{00000000-0005-0000-0000-000052480000}"/>
    <cellStyle name="heading3 5 3 6" xfId="18513" xr:uid="{00000000-0005-0000-0000-000053480000}"/>
    <cellStyle name="heading3 5 3 7" xfId="18514" xr:uid="{00000000-0005-0000-0000-000054480000}"/>
    <cellStyle name="heading3 5 3 8" xfId="18515" xr:uid="{00000000-0005-0000-0000-000055480000}"/>
    <cellStyle name="heading3 5 3 9" xfId="18516" xr:uid="{00000000-0005-0000-0000-000056480000}"/>
    <cellStyle name="heading3 5 30" xfId="18517" xr:uid="{00000000-0005-0000-0000-000057480000}"/>
    <cellStyle name="heading3 5 31" xfId="18518" xr:uid="{00000000-0005-0000-0000-000058480000}"/>
    <cellStyle name="heading3 5 32" xfId="18519" xr:uid="{00000000-0005-0000-0000-000059480000}"/>
    <cellStyle name="heading3 5 33" xfId="18520" xr:uid="{00000000-0005-0000-0000-00005A480000}"/>
    <cellStyle name="heading3 5 34" xfId="18521" xr:uid="{00000000-0005-0000-0000-00005B480000}"/>
    <cellStyle name="heading3 5 35" xfId="18522" xr:uid="{00000000-0005-0000-0000-00005C480000}"/>
    <cellStyle name="heading3 5 4" xfId="18523" xr:uid="{00000000-0005-0000-0000-00005D480000}"/>
    <cellStyle name="heading3 5 5" xfId="18524" xr:uid="{00000000-0005-0000-0000-00005E480000}"/>
    <cellStyle name="heading3 5 6" xfId="18525" xr:uid="{00000000-0005-0000-0000-00005F480000}"/>
    <cellStyle name="heading3 5 7" xfId="18526" xr:uid="{00000000-0005-0000-0000-000060480000}"/>
    <cellStyle name="heading3 5 8" xfId="18527" xr:uid="{00000000-0005-0000-0000-000061480000}"/>
    <cellStyle name="heading3 5 9" xfId="18528" xr:uid="{00000000-0005-0000-0000-000062480000}"/>
    <cellStyle name="heading3 6" xfId="18529" xr:uid="{00000000-0005-0000-0000-000063480000}"/>
    <cellStyle name="heading3 6 10" xfId="18530" xr:uid="{00000000-0005-0000-0000-000064480000}"/>
    <cellStyle name="heading3 6 11" xfId="18531" xr:uid="{00000000-0005-0000-0000-000065480000}"/>
    <cellStyle name="heading3 6 12" xfId="18532" xr:uid="{00000000-0005-0000-0000-000066480000}"/>
    <cellStyle name="heading3 6 13" xfId="18533" xr:uid="{00000000-0005-0000-0000-000067480000}"/>
    <cellStyle name="heading3 6 14" xfId="18534" xr:uid="{00000000-0005-0000-0000-000068480000}"/>
    <cellStyle name="heading3 6 15" xfId="18535" xr:uid="{00000000-0005-0000-0000-000069480000}"/>
    <cellStyle name="heading3 6 16" xfId="18536" xr:uid="{00000000-0005-0000-0000-00006A480000}"/>
    <cellStyle name="heading3 6 17" xfId="18537" xr:uid="{00000000-0005-0000-0000-00006B480000}"/>
    <cellStyle name="heading3 6 18" xfId="18538" xr:uid="{00000000-0005-0000-0000-00006C480000}"/>
    <cellStyle name="heading3 6 19" xfId="18539" xr:uid="{00000000-0005-0000-0000-00006D480000}"/>
    <cellStyle name="heading3 6 2" xfId="18540" xr:uid="{00000000-0005-0000-0000-00006E480000}"/>
    <cellStyle name="heading3 6 2 10" xfId="18541" xr:uid="{00000000-0005-0000-0000-00006F480000}"/>
    <cellStyle name="heading3 6 2 11" xfId="18542" xr:uid="{00000000-0005-0000-0000-000070480000}"/>
    <cellStyle name="heading3 6 2 12" xfId="18543" xr:uid="{00000000-0005-0000-0000-000071480000}"/>
    <cellStyle name="heading3 6 2 13" xfId="18544" xr:uid="{00000000-0005-0000-0000-000072480000}"/>
    <cellStyle name="heading3 6 2 14" xfId="18545" xr:uid="{00000000-0005-0000-0000-000073480000}"/>
    <cellStyle name="heading3 6 2 15" xfId="18546" xr:uid="{00000000-0005-0000-0000-000074480000}"/>
    <cellStyle name="heading3 6 2 16" xfId="18547" xr:uid="{00000000-0005-0000-0000-000075480000}"/>
    <cellStyle name="heading3 6 2 17" xfId="18548" xr:uid="{00000000-0005-0000-0000-000076480000}"/>
    <cellStyle name="heading3 6 2 18" xfId="18549" xr:uid="{00000000-0005-0000-0000-000077480000}"/>
    <cellStyle name="heading3 6 2 19" xfId="18550" xr:uid="{00000000-0005-0000-0000-000078480000}"/>
    <cellStyle name="heading3 6 2 2" xfId="18551" xr:uid="{00000000-0005-0000-0000-000079480000}"/>
    <cellStyle name="heading3 6 2 2 10" xfId="18552" xr:uid="{00000000-0005-0000-0000-00007A480000}"/>
    <cellStyle name="heading3 6 2 2 11" xfId="18553" xr:uid="{00000000-0005-0000-0000-00007B480000}"/>
    <cellStyle name="heading3 6 2 2 12" xfId="18554" xr:uid="{00000000-0005-0000-0000-00007C480000}"/>
    <cellStyle name="heading3 6 2 2 13" xfId="18555" xr:uid="{00000000-0005-0000-0000-00007D480000}"/>
    <cellStyle name="heading3 6 2 2 14" xfId="18556" xr:uid="{00000000-0005-0000-0000-00007E480000}"/>
    <cellStyle name="heading3 6 2 2 15" xfId="18557" xr:uid="{00000000-0005-0000-0000-00007F480000}"/>
    <cellStyle name="heading3 6 2 2 16" xfId="18558" xr:uid="{00000000-0005-0000-0000-000080480000}"/>
    <cellStyle name="heading3 6 2 2 17" xfId="18559" xr:uid="{00000000-0005-0000-0000-000081480000}"/>
    <cellStyle name="heading3 6 2 2 18" xfId="18560" xr:uid="{00000000-0005-0000-0000-000082480000}"/>
    <cellStyle name="heading3 6 2 2 19" xfId="18561" xr:uid="{00000000-0005-0000-0000-000083480000}"/>
    <cellStyle name="heading3 6 2 2 2" xfId="18562" xr:uid="{00000000-0005-0000-0000-000084480000}"/>
    <cellStyle name="heading3 6 2 2 20" xfId="18563" xr:uid="{00000000-0005-0000-0000-000085480000}"/>
    <cellStyle name="heading3 6 2 2 21" xfId="18564" xr:uid="{00000000-0005-0000-0000-000086480000}"/>
    <cellStyle name="heading3 6 2 2 22" xfId="18565" xr:uid="{00000000-0005-0000-0000-000087480000}"/>
    <cellStyle name="heading3 6 2 2 23" xfId="18566" xr:uid="{00000000-0005-0000-0000-000088480000}"/>
    <cellStyle name="heading3 6 2 2 24" xfId="18567" xr:uid="{00000000-0005-0000-0000-000089480000}"/>
    <cellStyle name="heading3 6 2 2 25" xfId="18568" xr:uid="{00000000-0005-0000-0000-00008A480000}"/>
    <cellStyle name="heading3 6 2 2 26" xfId="18569" xr:uid="{00000000-0005-0000-0000-00008B480000}"/>
    <cellStyle name="heading3 6 2 2 27" xfId="18570" xr:uid="{00000000-0005-0000-0000-00008C480000}"/>
    <cellStyle name="heading3 6 2 2 28" xfId="18571" xr:uid="{00000000-0005-0000-0000-00008D480000}"/>
    <cellStyle name="heading3 6 2 2 29" xfId="18572" xr:uid="{00000000-0005-0000-0000-00008E480000}"/>
    <cellStyle name="heading3 6 2 2 3" xfId="18573" xr:uid="{00000000-0005-0000-0000-00008F480000}"/>
    <cellStyle name="heading3 6 2 2 30" xfId="18574" xr:uid="{00000000-0005-0000-0000-000090480000}"/>
    <cellStyle name="heading3 6 2 2 31" xfId="18575" xr:uid="{00000000-0005-0000-0000-000091480000}"/>
    <cellStyle name="heading3 6 2 2 32" xfId="18576" xr:uid="{00000000-0005-0000-0000-000092480000}"/>
    <cellStyle name="heading3 6 2 2 33" xfId="18577" xr:uid="{00000000-0005-0000-0000-000093480000}"/>
    <cellStyle name="heading3 6 2 2 34" xfId="18578" xr:uid="{00000000-0005-0000-0000-000094480000}"/>
    <cellStyle name="heading3 6 2 2 35" xfId="18579" xr:uid="{00000000-0005-0000-0000-000095480000}"/>
    <cellStyle name="heading3 6 2 2 4" xfId="18580" xr:uid="{00000000-0005-0000-0000-000096480000}"/>
    <cellStyle name="heading3 6 2 2 5" xfId="18581" xr:uid="{00000000-0005-0000-0000-000097480000}"/>
    <cellStyle name="heading3 6 2 2 6" xfId="18582" xr:uid="{00000000-0005-0000-0000-000098480000}"/>
    <cellStyle name="heading3 6 2 2 7" xfId="18583" xr:uid="{00000000-0005-0000-0000-000099480000}"/>
    <cellStyle name="heading3 6 2 2 8" xfId="18584" xr:uid="{00000000-0005-0000-0000-00009A480000}"/>
    <cellStyle name="heading3 6 2 2 9" xfId="18585" xr:uid="{00000000-0005-0000-0000-00009B480000}"/>
    <cellStyle name="heading3 6 2 20" xfId="18586" xr:uid="{00000000-0005-0000-0000-00009C480000}"/>
    <cellStyle name="heading3 6 2 21" xfId="18587" xr:uid="{00000000-0005-0000-0000-00009D480000}"/>
    <cellStyle name="heading3 6 2 22" xfId="18588" xr:uid="{00000000-0005-0000-0000-00009E480000}"/>
    <cellStyle name="heading3 6 2 23" xfId="18589" xr:uid="{00000000-0005-0000-0000-00009F480000}"/>
    <cellStyle name="heading3 6 2 24" xfId="18590" xr:uid="{00000000-0005-0000-0000-0000A0480000}"/>
    <cellStyle name="heading3 6 2 25" xfId="18591" xr:uid="{00000000-0005-0000-0000-0000A1480000}"/>
    <cellStyle name="heading3 6 2 26" xfId="18592" xr:uid="{00000000-0005-0000-0000-0000A2480000}"/>
    <cellStyle name="heading3 6 2 27" xfId="18593" xr:uid="{00000000-0005-0000-0000-0000A3480000}"/>
    <cellStyle name="heading3 6 2 28" xfId="18594" xr:uid="{00000000-0005-0000-0000-0000A4480000}"/>
    <cellStyle name="heading3 6 2 29" xfId="18595" xr:uid="{00000000-0005-0000-0000-0000A5480000}"/>
    <cellStyle name="heading3 6 2 3" xfId="18596" xr:uid="{00000000-0005-0000-0000-0000A6480000}"/>
    <cellStyle name="heading3 6 2 30" xfId="18597" xr:uid="{00000000-0005-0000-0000-0000A7480000}"/>
    <cellStyle name="heading3 6 2 31" xfId="18598" xr:uid="{00000000-0005-0000-0000-0000A8480000}"/>
    <cellStyle name="heading3 6 2 32" xfId="18599" xr:uid="{00000000-0005-0000-0000-0000A9480000}"/>
    <cellStyle name="heading3 6 2 33" xfId="18600" xr:uid="{00000000-0005-0000-0000-0000AA480000}"/>
    <cellStyle name="heading3 6 2 34" xfId="18601" xr:uid="{00000000-0005-0000-0000-0000AB480000}"/>
    <cellStyle name="heading3 6 2 4" xfId="18602" xr:uid="{00000000-0005-0000-0000-0000AC480000}"/>
    <cellStyle name="heading3 6 2 5" xfId="18603" xr:uid="{00000000-0005-0000-0000-0000AD480000}"/>
    <cellStyle name="heading3 6 2 6" xfId="18604" xr:uid="{00000000-0005-0000-0000-0000AE480000}"/>
    <cellStyle name="heading3 6 2 7" xfId="18605" xr:uid="{00000000-0005-0000-0000-0000AF480000}"/>
    <cellStyle name="heading3 6 2 8" xfId="18606" xr:uid="{00000000-0005-0000-0000-0000B0480000}"/>
    <cellStyle name="heading3 6 2 9" xfId="18607" xr:uid="{00000000-0005-0000-0000-0000B1480000}"/>
    <cellStyle name="heading3 6 20" xfId="18608" xr:uid="{00000000-0005-0000-0000-0000B2480000}"/>
    <cellStyle name="heading3 6 21" xfId="18609" xr:uid="{00000000-0005-0000-0000-0000B3480000}"/>
    <cellStyle name="heading3 6 22" xfId="18610" xr:uid="{00000000-0005-0000-0000-0000B4480000}"/>
    <cellStyle name="heading3 6 23" xfId="18611" xr:uid="{00000000-0005-0000-0000-0000B5480000}"/>
    <cellStyle name="heading3 6 24" xfId="18612" xr:uid="{00000000-0005-0000-0000-0000B6480000}"/>
    <cellStyle name="heading3 6 25" xfId="18613" xr:uid="{00000000-0005-0000-0000-0000B7480000}"/>
    <cellStyle name="heading3 6 26" xfId="18614" xr:uid="{00000000-0005-0000-0000-0000B8480000}"/>
    <cellStyle name="heading3 6 27" xfId="18615" xr:uid="{00000000-0005-0000-0000-0000B9480000}"/>
    <cellStyle name="heading3 6 28" xfId="18616" xr:uid="{00000000-0005-0000-0000-0000BA480000}"/>
    <cellStyle name="heading3 6 29" xfId="18617" xr:uid="{00000000-0005-0000-0000-0000BB480000}"/>
    <cellStyle name="heading3 6 3" xfId="18618" xr:uid="{00000000-0005-0000-0000-0000BC480000}"/>
    <cellStyle name="heading3 6 3 10" xfId="18619" xr:uid="{00000000-0005-0000-0000-0000BD480000}"/>
    <cellStyle name="heading3 6 3 11" xfId="18620" xr:uid="{00000000-0005-0000-0000-0000BE480000}"/>
    <cellStyle name="heading3 6 3 12" xfId="18621" xr:uid="{00000000-0005-0000-0000-0000BF480000}"/>
    <cellStyle name="heading3 6 3 13" xfId="18622" xr:uid="{00000000-0005-0000-0000-0000C0480000}"/>
    <cellStyle name="heading3 6 3 14" xfId="18623" xr:uid="{00000000-0005-0000-0000-0000C1480000}"/>
    <cellStyle name="heading3 6 3 15" xfId="18624" xr:uid="{00000000-0005-0000-0000-0000C2480000}"/>
    <cellStyle name="heading3 6 3 16" xfId="18625" xr:uid="{00000000-0005-0000-0000-0000C3480000}"/>
    <cellStyle name="heading3 6 3 17" xfId="18626" xr:uid="{00000000-0005-0000-0000-0000C4480000}"/>
    <cellStyle name="heading3 6 3 18" xfId="18627" xr:uid="{00000000-0005-0000-0000-0000C5480000}"/>
    <cellStyle name="heading3 6 3 19" xfId="18628" xr:uid="{00000000-0005-0000-0000-0000C6480000}"/>
    <cellStyle name="heading3 6 3 2" xfId="18629" xr:uid="{00000000-0005-0000-0000-0000C7480000}"/>
    <cellStyle name="heading3 6 3 20" xfId="18630" xr:uid="{00000000-0005-0000-0000-0000C8480000}"/>
    <cellStyle name="heading3 6 3 21" xfId="18631" xr:uid="{00000000-0005-0000-0000-0000C9480000}"/>
    <cellStyle name="heading3 6 3 22" xfId="18632" xr:uid="{00000000-0005-0000-0000-0000CA480000}"/>
    <cellStyle name="heading3 6 3 23" xfId="18633" xr:uid="{00000000-0005-0000-0000-0000CB480000}"/>
    <cellStyle name="heading3 6 3 24" xfId="18634" xr:uid="{00000000-0005-0000-0000-0000CC480000}"/>
    <cellStyle name="heading3 6 3 25" xfId="18635" xr:uid="{00000000-0005-0000-0000-0000CD480000}"/>
    <cellStyle name="heading3 6 3 26" xfId="18636" xr:uid="{00000000-0005-0000-0000-0000CE480000}"/>
    <cellStyle name="heading3 6 3 27" xfId="18637" xr:uid="{00000000-0005-0000-0000-0000CF480000}"/>
    <cellStyle name="heading3 6 3 28" xfId="18638" xr:uid="{00000000-0005-0000-0000-0000D0480000}"/>
    <cellStyle name="heading3 6 3 29" xfId="18639" xr:uid="{00000000-0005-0000-0000-0000D1480000}"/>
    <cellStyle name="heading3 6 3 3" xfId="18640" xr:uid="{00000000-0005-0000-0000-0000D2480000}"/>
    <cellStyle name="heading3 6 3 30" xfId="18641" xr:uid="{00000000-0005-0000-0000-0000D3480000}"/>
    <cellStyle name="heading3 6 3 31" xfId="18642" xr:uid="{00000000-0005-0000-0000-0000D4480000}"/>
    <cellStyle name="heading3 6 3 32" xfId="18643" xr:uid="{00000000-0005-0000-0000-0000D5480000}"/>
    <cellStyle name="heading3 6 3 33" xfId="18644" xr:uid="{00000000-0005-0000-0000-0000D6480000}"/>
    <cellStyle name="heading3 6 3 34" xfId="18645" xr:uid="{00000000-0005-0000-0000-0000D7480000}"/>
    <cellStyle name="heading3 6 3 35" xfId="18646" xr:uid="{00000000-0005-0000-0000-0000D8480000}"/>
    <cellStyle name="heading3 6 3 4" xfId="18647" xr:uid="{00000000-0005-0000-0000-0000D9480000}"/>
    <cellStyle name="heading3 6 3 5" xfId="18648" xr:uid="{00000000-0005-0000-0000-0000DA480000}"/>
    <cellStyle name="heading3 6 3 6" xfId="18649" xr:uid="{00000000-0005-0000-0000-0000DB480000}"/>
    <cellStyle name="heading3 6 3 7" xfId="18650" xr:uid="{00000000-0005-0000-0000-0000DC480000}"/>
    <cellStyle name="heading3 6 3 8" xfId="18651" xr:uid="{00000000-0005-0000-0000-0000DD480000}"/>
    <cellStyle name="heading3 6 3 9" xfId="18652" xr:uid="{00000000-0005-0000-0000-0000DE480000}"/>
    <cellStyle name="heading3 6 30" xfId="18653" xr:uid="{00000000-0005-0000-0000-0000DF480000}"/>
    <cellStyle name="heading3 6 31" xfId="18654" xr:uid="{00000000-0005-0000-0000-0000E0480000}"/>
    <cellStyle name="heading3 6 32" xfId="18655" xr:uid="{00000000-0005-0000-0000-0000E1480000}"/>
    <cellStyle name="heading3 6 33" xfId="18656" xr:uid="{00000000-0005-0000-0000-0000E2480000}"/>
    <cellStyle name="heading3 6 34" xfId="18657" xr:uid="{00000000-0005-0000-0000-0000E3480000}"/>
    <cellStyle name="heading3 6 35" xfId="18658" xr:uid="{00000000-0005-0000-0000-0000E4480000}"/>
    <cellStyle name="heading3 6 4" xfId="18659" xr:uid="{00000000-0005-0000-0000-0000E5480000}"/>
    <cellStyle name="heading3 6 5" xfId="18660" xr:uid="{00000000-0005-0000-0000-0000E6480000}"/>
    <cellStyle name="heading3 6 6" xfId="18661" xr:uid="{00000000-0005-0000-0000-0000E7480000}"/>
    <cellStyle name="heading3 6 7" xfId="18662" xr:uid="{00000000-0005-0000-0000-0000E8480000}"/>
    <cellStyle name="heading3 6 8" xfId="18663" xr:uid="{00000000-0005-0000-0000-0000E9480000}"/>
    <cellStyle name="heading3 6 9" xfId="18664" xr:uid="{00000000-0005-0000-0000-0000EA480000}"/>
    <cellStyle name="heading3 7" xfId="18665" xr:uid="{00000000-0005-0000-0000-0000EB480000}"/>
    <cellStyle name="heading3 7 10" xfId="18666" xr:uid="{00000000-0005-0000-0000-0000EC480000}"/>
    <cellStyle name="heading3 7 11" xfId="18667" xr:uid="{00000000-0005-0000-0000-0000ED480000}"/>
    <cellStyle name="heading3 7 12" xfId="18668" xr:uid="{00000000-0005-0000-0000-0000EE480000}"/>
    <cellStyle name="heading3 7 13" xfId="18669" xr:uid="{00000000-0005-0000-0000-0000EF480000}"/>
    <cellStyle name="heading3 7 14" xfId="18670" xr:uid="{00000000-0005-0000-0000-0000F0480000}"/>
    <cellStyle name="heading3 7 15" xfId="18671" xr:uid="{00000000-0005-0000-0000-0000F1480000}"/>
    <cellStyle name="heading3 7 16" xfId="18672" xr:uid="{00000000-0005-0000-0000-0000F2480000}"/>
    <cellStyle name="heading3 7 17" xfId="18673" xr:uid="{00000000-0005-0000-0000-0000F3480000}"/>
    <cellStyle name="heading3 7 18" xfId="18674" xr:uid="{00000000-0005-0000-0000-0000F4480000}"/>
    <cellStyle name="heading3 7 19" xfId="18675" xr:uid="{00000000-0005-0000-0000-0000F5480000}"/>
    <cellStyle name="heading3 7 2" xfId="18676" xr:uid="{00000000-0005-0000-0000-0000F6480000}"/>
    <cellStyle name="heading3 7 2 10" xfId="18677" xr:uid="{00000000-0005-0000-0000-0000F7480000}"/>
    <cellStyle name="heading3 7 2 11" xfId="18678" xr:uid="{00000000-0005-0000-0000-0000F8480000}"/>
    <cellStyle name="heading3 7 2 12" xfId="18679" xr:uid="{00000000-0005-0000-0000-0000F9480000}"/>
    <cellStyle name="heading3 7 2 13" xfId="18680" xr:uid="{00000000-0005-0000-0000-0000FA480000}"/>
    <cellStyle name="heading3 7 2 14" xfId="18681" xr:uid="{00000000-0005-0000-0000-0000FB480000}"/>
    <cellStyle name="heading3 7 2 15" xfId="18682" xr:uid="{00000000-0005-0000-0000-0000FC480000}"/>
    <cellStyle name="heading3 7 2 16" xfId="18683" xr:uid="{00000000-0005-0000-0000-0000FD480000}"/>
    <cellStyle name="heading3 7 2 17" xfId="18684" xr:uid="{00000000-0005-0000-0000-0000FE480000}"/>
    <cellStyle name="heading3 7 2 18" xfId="18685" xr:uid="{00000000-0005-0000-0000-0000FF480000}"/>
    <cellStyle name="heading3 7 2 19" xfId="18686" xr:uid="{00000000-0005-0000-0000-000000490000}"/>
    <cellStyle name="heading3 7 2 2" xfId="18687" xr:uid="{00000000-0005-0000-0000-000001490000}"/>
    <cellStyle name="heading3 7 2 2 10" xfId="18688" xr:uid="{00000000-0005-0000-0000-000002490000}"/>
    <cellStyle name="heading3 7 2 2 11" xfId="18689" xr:uid="{00000000-0005-0000-0000-000003490000}"/>
    <cellStyle name="heading3 7 2 2 12" xfId="18690" xr:uid="{00000000-0005-0000-0000-000004490000}"/>
    <cellStyle name="heading3 7 2 2 13" xfId="18691" xr:uid="{00000000-0005-0000-0000-000005490000}"/>
    <cellStyle name="heading3 7 2 2 14" xfId="18692" xr:uid="{00000000-0005-0000-0000-000006490000}"/>
    <cellStyle name="heading3 7 2 2 15" xfId="18693" xr:uid="{00000000-0005-0000-0000-000007490000}"/>
    <cellStyle name="heading3 7 2 2 16" xfId="18694" xr:uid="{00000000-0005-0000-0000-000008490000}"/>
    <cellStyle name="heading3 7 2 2 17" xfId="18695" xr:uid="{00000000-0005-0000-0000-000009490000}"/>
    <cellStyle name="heading3 7 2 2 18" xfId="18696" xr:uid="{00000000-0005-0000-0000-00000A490000}"/>
    <cellStyle name="heading3 7 2 2 19" xfId="18697" xr:uid="{00000000-0005-0000-0000-00000B490000}"/>
    <cellStyle name="heading3 7 2 2 2" xfId="18698" xr:uid="{00000000-0005-0000-0000-00000C490000}"/>
    <cellStyle name="heading3 7 2 2 20" xfId="18699" xr:uid="{00000000-0005-0000-0000-00000D490000}"/>
    <cellStyle name="heading3 7 2 2 21" xfId="18700" xr:uid="{00000000-0005-0000-0000-00000E490000}"/>
    <cellStyle name="heading3 7 2 2 22" xfId="18701" xr:uid="{00000000-0005-0000-0000-00000F490000}"/>
    <cellStyle name="heading3 7 2 2 23" xfId="18702" xr:uid="{00000000-0005-0000-0000-000010490000}"/>
    <cellStyle name="heading3 7 2 2 24" xfId="18703" xr:uid="{00000000-0005-0000-0000-000011490000}"/>
    <cellStyle name="heading3 7 2 2 25" xfId="18704" xr:uid="{00000000-0005-0000-0000-000012490000}"/>
    <cellStyle name="heading3 7 2 2 26" xfId="18705" xr:uid="{00000000-0005-0000-0000-000013490000}"/>
    <cellStyle name="heading3 7 2 2 27" xfId="18706" xr:uid="{00000000-0005-0000-0000-000014490000}"/>
    <cellStyle name="heading3 7 2 2 28" xfId="18707" xr:uid="{00000000-0005-0000-0000-000015490000}"/>
    <cellStyle name="heading3 7 2 2 29" xfId="18708" xr:uid="{00000000-0005-0000-0000-000016490000}"/>
    <cellStyle name="heading3 7 2 2 3" xfId="18709" xr:uid="{00000000-0005-0000-0000-000017490000}"/>
    <cellStyle name="heading3 7 2 2 30" xfId="18710" xr:uid="{00000000-0005-0000-0000-000018490000}"/>
    <cellStyle name="heading3 7 2 2 31" xfId="18711" xr:uid="{00000000-0005-0000-0000-000019490000}"/>
    <cellStyle name="heading3 7 2 2 32" xfId="18712" xr:uid="{00000000-0005-0000-0000-00001A490000}"/>
    <cellStyle name="heading3 7 2 2 33" xfId="18713" xr:uid="{00000000-0005-0000-0000-00001B490000}"/>
    <cellStyle name="heading3 7 2 2 34" xfId="18714" xr:uid="{00000000-0005-0000-0000-00001C490000}"/>
    <cellStyle name="heading3 7 2 2 35" xfId="18715" xr:uid="{00000000-0005-0000-0000-00001D490000}"/>
    <cellStyle name="heading3 7 2 2 4" xfId="18716" xr:uid="{00000000-0005-0000-0000-00001E490000}"/>
    <cellStyle name="heading3 7 2 2 5" xfId="18717" xr:uid="{00000000-0005-0000-0000-00001F490000}"/>
    <cellStyle name="heading3 7 2 2 6" xfId="18718" xr:uid="{00000000-0005-0000-0000-000020490000}"/>
    <cellStyle name="heading3 7 2 2 7" xfId="18719" xr:uid="{00000000-0005-0000-0000-000021490000}"/>
    <cellStyle name="heading3 7 2 2 8" xfId="18720" xr:uid="{00000000-0005-0000-0000-000022490000}"/>
    <cellStyle name="heading3 7 2 2 9" xfId="18721" xr:uid="{00000000-0005-0000-0000-000023490000}"/>
    <cellStyle name="heading3 7 2 20" xfId="18722" xr:uid="{00000000-0005-0000-0000-000024490000}"/>
    <cellStyle name="heading3 7 2 21" xfId="18723" xr:uid="{00000000-0005-0000-0000-000025490000}"/>
    <cellStyle name="heading3 7 2 22" xfId="18724" xr:uid="{00000000-0005-0000-0000-000026490000}"/>
    <cellStyle name="heading3 7 2 23" xfId="18725" xr:uid="{00000000-0005-0000-0000-000027490000}"/>
    <cellStyle name="heading3 7 2 24" xfId="18726" xr:uid="{00000000-0005-0000-0000-000028490000}"/>
    <cellStyle name="heading3 7 2 25" xfId="18727" xr:uid="{00000000-0005-0000-0000-000029490000}"/>
    <cellStyle name="heading3 7 2 26" xfId="18728" xr:uid="{00000000-0005-0000-0000-00002A490000}"/>
    <cellStyle name="heading3 7 2 27" xfId="18729" xr:uid="{00000000-0005-0000-0000-00002B490000}"/>
    <cellStyle name="heading3 7 2 28" xfId="18730" xr:uid="{00000000-0005-0000-0000-00002C490000}"/>
    <cellStyle name="heading3 7 2 29" xfId="18731" xr:uid="{00000000-0005-0000-0000-00002D490000}"/>
    <cellStyle name="heading3 7 2 3" xfId="18732" xr:uid="{00000000-0005-0000-0000-00002E490000}"/>
    <cellStyle name="heading3 7 2 30" xfId="18733" xr:uid="{00000000-0005-0000-0000-00002F490000}"/>
    <cellStyle name="heading3 7 2 31" xfId="18734" xr:uid="{00000000-0005-0000-0000-000030490000}"/>
    <cellStyle name="heading3 7 2 32" xfId="18735" xr:uid="{00000000-0005-0000-0000-000031490000}"/>
    <cellStyle name="heading3 7 2 33" xfId="18736" xr:uid="{00000000-0005-0000-0000-000032490000}"/>
    <cellStyle name="heading3 7 2 34" xfId="18737" xr:uid="{00000000-0005-0000-0000-000033490000}"/>
    <cellStyle name="heading3 7 2 4" xfId="18738" xr:uid="{00000000-0005-0000-0000-000034490000}"/>
    <cellStyle name="heading3 7 2 5" xfId="18739" xr:uid="{00000000-0005-0000-0000-000035490000}"/>
    <cellStyle name="heading3 7 2 6" xfId="18740" xr:uid="{00000000-0005-0000-0000-000036490000}"/>
    <cellStyle name="heading3 7 2 7" xfId="18741" xr:uid="{00000000-0005-0000-0000-000037490000}"/>
    <cellStyle name="heading3 7 2 8" xfId="18742" xr:uid="{00000000-0005-0000-0000-000038490000}"/>
    <cellStyle name="heading3 7 2 9" xfId="18743" xr:uid="{00000000-0005-0000-0000-000039490000}"/>
    <cellStyle name="heading3 7 20" xfId="18744" xr:uid="{00000000-0005-0000-0000-00003A490000}"/>
    <cellStyle name="heading3 7 21" xfId="18745" xr:uid="{00000000-0005-0000-0000-00003B490000}"/>
    <cellStyle name="heading3 7 22" xfId="18746" xr:uid="{00000000-0005-0000-0000-00003C490000}"/>
    <cellStyle name="heading3 7 23" xfId="18747" xr:uid="{00000000-0005-0000-0000-00003D490000}"/>
    <cellStyle name="heading3 7 24" xfId="18748" xr:uid="{00000000-0005-0000-0000-00003E490000}"/>
    <cellStyle name="heading3 7 25" xfId="18749" xr:uid="{00000000-0005-0000-0000-00003F490000}"/>
    <cellStyle name="heading3 7 26" xfId="18750" xr:uid="{00000000-0005-0000-0000-000040490000}"/>
    <cellStyle name="heading3 7 27" xfId="18751" xr:uid="{00000000-0005-0000-0000-000041490000}"/>
    <cellStyle name="heading3 7 28" xfId="18752" xr:uid="{00000000-0005-0000-0000-000042490000}"/>
    <cellStyle name="heading3 7 29" xfId="18753" xr:uid="{00000000-0005-0000-0000-000043490000}"/>
    <cellStyle name="heading3 7 3" xfId="18754" xr:uid="{00000000-0005-0000-0000-000044490000}"/>
    <cellStyle name="heading3 7 3 10" xfId="18755" xr:uid="{00000000-0005-0000-0000-000045490000}"/>
    <cellStyle name="heading3 7 3 11" xfId="18756" xr:uid="{00000000-0005-0000-0000-000046490000}"/>
    <cellStyle name="heading3 7 3 12" xfId="18757" xr:uid="{00000000-0005-0000-0000-000047490000}"/>
    <cellStyle name="heading3 7 3 13" xfId="18758" xr:uid="{00000000-0005-0000-0000-000048490000}"/>
    <cellStyle name="heading3 7 3 14" xfId="18759" xr:uid="{00000000-0005-0000-0000-000049490000}"/>
    <cellStyle name="heading3 7 3 15" xfId="18760" xr:uid="{00000000-0005-0000-0000-00004A490000}"/>
    <cellStyle name="heading3 7 3 16" xfId="18761" xr:uid="{00000000-0005-0000-0000-00004B490000}"/>
    <cellStyle name="heading3 7 3 17" xfId="18762" xr:uid="{00000000-0005-0000-0000-00004C490000}"/>
    <cellStyle name="heading3 7 3 18" xfId="18763" xr:uid="{00000000-0005-0000-0000-00004D490000}"/>
    <cellStyle name="heading3 7 3 19" xfId="18764" xr:uid="{00000000-0005-0000-0000-00004E490000}"/>
    <cellStyle name="heading3 7 3 2" xfId="18765" xr:uid="{00000000-0005-0000-0000-00004F490000}"/>
    <cellStyle name="heading3 7 3 20" xfId="18766" xr:uid="{00000000-0005-0000-0000-000050490000}"/>
    <cellStyle name="heading3 7 3 21" xfId="18767" xr:uid="{00000000-0005-0000-0000-000051490000}"/>
    <cellStyle name="heading3 7 3 22" xfId="18768" xr:uid="{00000000-0005-0000-0000-000052490000}"/>
    <cellStyle name="heading3 7 3 23" xfId="18769" xr:uid="{00000000-0005-0000-0000-000053490000}"/>
    <cellStyle name="heading3 7 3 24" xfId="18770" xr:uid="{00000000-0005-0000-0000-000054490000}"/>
    <cellStyle name="heading3 7 3 25" xfId="18771" xr:uid="{00000000-0005-0000-0000-000055490000}"/>
    <cellStyle name="heading3 7 3 26" xfId="18772" xr:uid="{00000000-0005-0000-0000-000056490000}"/>
    <cellStyle name="heading3 7 3 27" xfId="18773" xr:uid="{00000000-0005-0000-0000-000057490000}"/>
    <cellStyle name="heading3 7 3 28" xfId="18774" xr:uid="{00000000-0005-0000-0000-000058490000}"/>
    <cellStyle name="heading3 7 3 29" xfId="18775" xr:uid="{00000000-0005-0000-0000-000059490000}"/>
    <cellStyle name="heading3 7 3 3" xfId="18776" xr:uid="{00000000-0005-0000-0000-00005A490000}"/>
    <cellStyle name="heading3 7 3 30" xfId="18777" xr:uid="{00000000-0005-0000-0000-00005B490000}"/>
    <cellStyle name="heading3 7 3 31" xfId="18778" xr:uid="{00000000-0005-0000-0000-00005C490000}"/>
    <cellStyle name="heading3 7 3 32" xfId="18779" xr:uid="{00000000-0005-0000-0000-00005D490000}"/>
    <cellStyle name="heading3 7 3 33" xfId="18780" xr:uid="{00000000-0005-0000-0000-00005E490000}"/>
    <cellStyle name="heading3 7 3 34" xfId="18781" xr:uid="{00000000-0005-0000-0000-00005F490000}"/>
    <cellStyle name="heading3 7 3 35" xfId="18782" xr:uid="{00000000-0005-0000-0000-000060490000}"/>
    <cellStyle name="heading3 7 3 4" xfId="18783" xr:uid="{00000000-0005-0000-0000-000061490000}"/>
    <cellStyle name="heading3 7 3 5" xfId="18784" xr:uid="{00000000-0005-0000-0000-000062490000}"/>
    <cellStyle name="heading3 7 3 6" xfId="18785" xr:uid="{00000000-0005-0000-0000-000063490000}"/>
    <cellStyle name="heading3 7 3 7" xfId="18786" xr:uid="{00000000-0005-0000-0000-000064490000}"/>
    <cellStyle name="heading3 7 3 8" xfId="18787" xr:uid="{00000000-0005-0000-0000-000065490000}"/>
    <cellStyle name="heading3 7 3 9" xfId="18788" xr:uid="{00000000-0005-0000-0000-000066490000}"/>
    <cellStyle name="heading3 7 30" xfId="18789" xr:uid="{00000000-0005-0000-0000-000067490000}"/>
    <cellStyle name="heading3 7 31" xfId="18790" xr:uid="{00000000-0005-0000-0000-000068490000}"/>
    <cellStyle name="heading3 7 32" xfId="18791" xr:uid="{00000000-0005-0000-0000-000069490000}"/>
    <cellStyle name="heading3 7 33" xfId="18792" xr:uid="{00000000-0005-0000-0000-00006A490000}"/>
    <cellStyle name="heading3 7 34" xfId="18793" xr:uid="{00000000-0005-0000-0000-00006B490000}"/>
    <cellStyle name="heading3 7 35" xfId="18794" xr:uid="{00000000-0005-0000-0000-00006C490000}"/>
    <cellStyle name="heading3 7 4" xfId="18795" xr:uid="{00000000-0005-0000-0000-00006D490000}"/>
    <cellStyle name="heading3 7 5" xfId="18796" xr:uid="{00000000-0005-0000-0000-00006E490000}"/>
    <cellStyle name="heading3 7 6" xfId="18797" xr:uid="{00000000-0005-0000-0000-00006F490000}"/>
    <cellStyle name="heading3 7 7" xfId="18798" xr:uid="{00000000-0005-0000-0000-000070490000}"/>
    <cellStyle name="heading3 7 8" xfId="18799" xr:uid="{00000000-0005-0000-0000-000071490000}"/>
    <cellStyle name="heading3 7 9" xfId="18800" xr:uid="{00000000-0005-0000-0000-000072490000}"/>
    <cellStyle name="heading3 8" xfId="18801" xr:uid="{00000000-0005-0000-0000-000073490000}"/>
    <cellStyle name="heading3 8 10" xfId="18802" xr:uid="{00000000-0005-0000-0000-000074490000}"/>
    <cellStyle name="heading3 8 11" xfId="18803" xr:uid="{00000000-0005-0000-0000-000075490000}"/>
    <cellStyle name="heading3 8 12" xfId="18804" xr:uid="{00000000-0005-0000-0000-000076490000}"/>
    <cellStyle name="heading3 8 13" xfId="18805" xr:uid="{00000000-0005-0000-0000-000077490000}"/>
    <cellStyle name="heading3 8 14" xfId="18806" xr:uid="{00000000-0005-0000-0000-000078490000}"/>
    <cellStyle name="heading3 8 15" xfId="18807" xr:uid="{00000000-0005-0000-0000-000079490000}"/>
    <cellStyle name="heading3 8 16" xfId="18808" xr:uid="{00000000-0005-0000-0000-00007A490000}"/>
    <cellStyle name="heading3 8 17" xfId="18809" xr:uid="{00000000-0005-0000-0000-00007B490000}"/>
    <cellStyle name="heading3 8 18" xfId="18810" xr:uid="{00000000-0005-0000-0000-00007C490000}"/>
    <cellStyle name="heading3 8 19" xfId="18811" xr:uid="{00000000-0005-0000-0000-00007D490000}"/>
    <cellStyle name="heading3 8 2" xfId="18812" xr:uid="{00000000-0005-0000-0000-00007E490000}"/>
    <cellStyle name="heading3 8 2 10" xfId="18813" xr:uid="{00000000-0005-0000-0000-00007F490000}"/>
    <cellStyle name="heading3 8 2 11" xfId="18814" xr:uid="{00000000-0005-0000-0000-000080490000}"/>
    <cellStyle name="heading3 8 2 12" xfId="18815" xr:uid="{00000000-0005-0000-0000-000081490000}"/>
    <cellStyle name="heading3 8 2 13" xfId="18816" xr:uid="{00000000-0005-0000-0000-000082490000}"/>
    <cellStyle name="heading3 8 2 14" xfId="18817" xr:uid="{00000000-0005-0000-0000-000083490000}"/>
    <cellStyle name="heading3 8 2 15" xfId="18818" xr:uid="{00000000-0005-0000-0000-000084490000}"/>
    <cellStyle name="heading3 8 2 16" xfId="18819" xr:uid="{00000000-0005-0000-0000-000085490000}"/>
    <cellStyle name="heading3 8 2 17" xfId="18820" xr:uid="{00000000-0005-0000-0000-000086490000}"/>
    <cellStyle name="heading3 8 2 18" xfId="18821" xr:uid="{00000000-0005-0000-0000-000087490000}"/>
    <cellStyle name="heading3 8 2 19" xfId="18822" xr:uid="{00000000-0005-0000-0000-000088490000}"/>
    <cellStyle name="heading3 8 2 2" xfId="18823" xr:uid="{00000000-0005-0000-0000-000089490000}"/>
    <cellStyle name="heading3 8 2 20" xfId="18824" xr:uid="{00000000-0005-0000-0000-00008A490000}"/>
    <cellStyle name="heading3 8 2 21" xfId="18825" xr:uid="{00000000-0005-0000-0000-00008B490000}"/>
    <cellStyle name="heading3 8 2 22" xfId="18826" xr:uid="{00000000-0005-0000-0000-00008C490000}"/>
    <cellStyle name="heading3 8 2 23" xfId="18827" xr:uid="{00000000-0005-0000-0000-00008D490000}"/>
    <cellStyle name="heading3 8 2 24" xfId="18828" xr:uid="{00000000-0005-0000-0000-00008E490000}"/>
    <cellStyle name="heading3 8 2 25" xfId="18829" xr:uid="{00000000-0005-0000-0000-00008F490000}"/>
    <cellStyle name="heading3 8 2 26" xfId="18830" xr:uid="{00000000-0005-0000-0000-000090490000}"/>
    <cellStyle name="heading3 8 2 27" xfId="18831" xr:uid="{00000000-0005-0000-0000-000091490000}"/>
    <cellStyle name="heading3 8 2 28" xfId="18832" xr:uid="{00000000-0005-0000-0000-000092490000}"/>
    <cellStyle name="heading3 8 2 29" xfId="18833" xr:uid="{00000000-0005-0000-0000-000093490000}"/>
    <cellStyle name="heading3 8 2 3" xfId="18834" xr:uid="{00000000-0005-0000-0000-000094490000}"/>
    <cellStyle name="heading3 8 2 30" xfId="18835" xr:uid="{00000000-0005-0000-0000-000095490000}"/>
    <cellStyle name="heading3 8 2 31" xfId="18836" xr:uid="{00000000-0005-0000-0000-000096490000}"/>
    <cellStyle name="heading3 8 2 32" xfId="18837" xr:uid="{00000000-0005-0000-0000-000097490000}"/>
    <cellStyle name="heading3 8 2 33" xfId="18838" xr:uid="{00000000-0005-0000-0000-000098490000}"/>
    <cellStyle name="heading3 8 2 34" xfId="18839" xr:uid="{00000000-0005-0000-0000-000099490000}"/>
    <cellStyle name="heading3 8 2 35" xfId="18840" xr:uid="{00000000-0005-0000-0000-00009A490000}"/>
    <cellStyle name="heading3 8 2 4" xfId="18841" xr:uid="{00000000-0005-0000-0000-00009B490000}"/>
    <cellStyle name="heading3 8 2 5" xfId="18842" xr:uid="{00000000-0005-0000-0000-00009C490000}"/>
    <cellStyle name="heading3 8 2 6" xfId="18843" xr:uid="{00000000-0005-0000-0000-00009D490000}"/>
    <cellStyle name="heading3 8 2 7" xfId="18844" xr:uid="{00000000-0005-0000-0000-00009E490000}"/>
    <cellStyle name="heading3 8 2 8" xfId="18845" xr:uid="{00000000-0005-0000-0000-00009F490000}"/>
    <cellStyle name="heading3 8 2 9" xfId="18846" xr:uid="{00000000-0005-0000-0000-0000A0490000}"/>
    <cellStyle name="heading3 8 20" xfId="18847" xr:uid="{00000000-0005-0000-0000-0000A1490000}"/>
    <cellStyle name="heading3 8 21" xfId="18848" xr:uid="{00000000-0005-0000-0000-0000A2490000}"/>
    <cellStyle name="heading3 8 22" xfId="18849" xr:uid="{00000000-0005-0000-0000-0000A3490000}"/>
    <cellStyle name="heading3 8 23" xfId="18850" xr:uid="{00000000-0005-0000-0000-0000A4490000}"/>
    <cellStyle name="heading3 8 24" xfId="18851" xr:uid="{00000000-0005-0000-0000-0000A5490000}"/>
    <cellStyle name="heading3 8 25" xfId="18852" xr:uid="{00000000-0005-0000-0000-0000A6490000}"/>
    <cellStyle name="heading3 8 26" xfId="18853" xr:uid="{00000000-0005-0000-0000-0000A7490000}"/>
    <cellStyle name="heading3 8 27" xfId="18854" xr:uid="{00000000-0005-0000-0000-0000A8490000}"/>
    <cellStyle name="heading3 8 28" xfId="18855" xr:uid="{00000000-0005-0000-0000-0000A9490000}"/>
    <cellStyle name="heading3 8 29" xfId="18856" xr:uid="{00000000-0005-0000-0000-0000AA490000}"/>
    <cellStyle name="heading3 8 3" xfId="18857" xr:uid="{00000000-0005-0000-0000-0000AB490000}"/>
    <cellStyle name="heading3 8 30" xfId="18858" xr:uid="{00000000-0005-0000-0000-0000AC490000}"/>
    <cellStyle name="heading3 8 31" xfId="18859" xr:uid="{00000000-0005-0000-0000-0000AD490000}"/>
    <cellStyle name="heading3 8 32" xfId="18860" xr:uid="{00000000-0005-0000-0000-0000AE490000}"/>
    <cellStyle name="heading3 8 33" xfId="18861" xr:uid="{00000000-0005-0000-0000-0000AF490000}"/>
    <cellStyle name="heading3 8 34" xfId="18862" xr:uid="{00000000-0005-0000-0000-0000B0490000}"/>
    <cellStyle name="heading3 8 4" xfId="18863" xr:uid="{00000000-0005-0000-0000-0000B1490000}"/>
    <cellStyle name="heading3 8 5" xfId="18864" xr:uid="{00000000-0005-0000-0000-0000B2490000}"/>
    <cellStyle name="heading3 8 6" xfId="18865" xr:uid="{00000000-0005-0000-0000-0000B3490000}"/>
    <cellStyle name="heading3 8 7" xfId="18866" xr:uid="{00000000-0005-0000-0000-0000B4490000}"/>
    <cellStyle name="heading3 8 8" xfId="18867" xr:uid="{00000000-0005-0000-0000-0000B5490000}"/>
    <cellStyle name="heading3 8 9" xfId="18868" xr:uid="{00000000-0005-0000-0000-0000B6490000}"/>
    <cellStyle name="heading3 9" xfId="18869" xr:uid="{00000000-0005-0000-0000-0000B7490000}"/>
    <cellStyle name="heading3 9 10" xfId="18870" xr:uid="{00000000-0005-0000-0000-0000B8490000}"/>
    <cellStyle name="heading3 9 11" xfId="18871" xr:uid="{00000000-0005-0000-0000-0000B9490000}"/>
    <cellStyle name="heading3 9 12" xfId="18872" xr:uid="{00000000-0005-0000-0000-0000BA490000}"/>
    <cellStyle name="heading3 9 13" xfId="18873" xr:uid="{00000000-0005-0000-0000-0000BB490000}"/>
    <cellStyle name="heading3 9 14" xfId="18874" xr:uid="{00000000-0005-0000-0000-0000BC490000}"/>
    <cellStyle name="heading3 9 15" xfId="18875" xr:uid="{00000000-0005-0000-0000-0000BD490000}"/>
    <cellStyle name="heading3 9 16" xfId="18876" xr:uid="{00000000-0005-0000-0000-0000BE490000}"/>
    <cellStyle name="heading3 9 17" xfId="18877" xr:uid="{00000000-0005-0000-0000-0000BF490000}"/>
    <cellStyle name="heading3 9 18" xfId="18878" xr:uid="{00000000-0005-0000-0000-0000C0490000}"/>
    <cellStyle name="heading3 9 19" xfId="18879" xr:uid="{00000000-0005-0000-0000-0000C1490000}"/>
    <cellStyle name="heading3 9 2" xfId="18880" xr:uid="{00000000-0005-0000-0000-0000C2490000}"/>
    <cellStyle name="heading3 9 20" xfId="18881" xr:uid="{00000000-0005-0000-0000-0000C3490000}"/>
    <cellStyle name="heading3 9 21" xfId="18882" xr:uid="{00000000-0005-0000-0000-0000C4490000}"/>
    <cellStyle name="heading3 9 22" xfId="18883" xr:uid="{00000000-0005-0000-0000-0000C5490000}"/>
    <cellStyle name="heading3 9 23" xfId="18884" xr:uid="{00000000-0005-0000-0000-0000C6490000}"/>
    <cellStyle name="heading3 9 24" xfId="18885" xr:uid="{00000000-0005-0000-0000-0000C7490000}"/>
    <cellStyle name="heading3 9 25" xfId="18886" xr:uid="{00000000-0005-0000-0000-0000C8490000}"/>
    <cellStyle name="heading3 9 26" xfId="18887" xr:uid="{00000000-0005-0000-0000-0000C9490000}"/>
    <cellStyle name="heading3 9 27" xfId="18888" xr:uid="{00000000-0005-0000-0000-0000CA490000}"/>
    <cellStyle name="heading3 9 28" xfId="18889" xr:uid="{00000000-0005-0000-0000-0000CB490000}"/>
    <cellStyle name="heading3 9 29" xfId="18890" xr:uid="{00000000-0005-0000-0000-0000CC490000}"/>
    <cellStyle name="heading3 9 3" xfId="18891" xr:uid="{00000000-0005-0000-0000-0000CD490000}"/>
    <cellStyle name="heading3 9 30" xfId="18892" xr:uid="{00000000-0005-0000-0000-0000CE490000}"/>
    <cellStyle name="heading3 9 31" xfId="18893" xr:uid="{00000000-0005-0000-0000-0000CF490000}"/>
    <cellStyle name="heading3 9 32" xfId="18894" xr:uid="{00000000-0005-0000-0000-0000D0490000}"/>
    <cellStyle name="heading3 9 33" xfId="18895" xr:uid="{00000000-0005-0000-0000-0000D1490000}"/>
    <cellStyle name="heading3 9 34" xfId="18896" xr:uid="{00000000-0005-0000-0000-0000D2490000}"/>
    <cellStyle name="heading3 9 35" xfId="18897" xr:uid="{00000000-0005-0000-0000-0000D3490000}"/>
    <cellStyle name="heading3 9 4" xfId="18898" xr:uid="{00000000-0005-0000-0000-0000D4490000}"/>
    <cellStyle name="heading3 9 5" xfId="18899" xr:uid="{00000000-0005-0000-0000-0000D5490000}"/>
    <cellStyle name="heading3 9 6" xfId="18900" xr:uid="{00000000-0005-0000-0000-0000D6490000}"/>
    <cellStyle name="heading3 9 7" xfId="18901" xr:uid="{00000000-0005-0000-0000-0000D7490000}"/>
    <cellStyle name="heading3 9 8" xfId="18902" xr:uid="{00000000-0005-0000-0000-0000D8490000}"/>
    <cellStyle name="heading3 9 9" xfId="18903" xr:uid="{00000000-0005-0000-0000-0000D9490000}"/>
    <cellStyle name="heading4" xfId="18904" xr:uid="{00000000-0005-0000-0000-0000DA490000}"/>
    <cellStyle name="heading4 2" xfId="18905" xr:uid="{00000000-0005-0000-0000-0000DB490000}"/>
    <cellStyle name="heading4 2 2" xfId="18906" xr:uid="{00000000-0005-0000-0000-0000DC490000}"/>
    <cellStyle name="heading4 2 2 2" xfId="18907" xr:uid="{00000000-0005-0000-0000-0000DD490000}"/>
    <cellStyle name="heading4 2 3" xfId="18908" xr:uid="{00000000-0005-0000-0000-0000DE490000}"/>
    <cellStyle name="heading4 3" xfId="18909" xr:uid="{00000000-0005-0000-0000-0000DF490000}"/>
    <cellStyle name="heading4 3 2" xfId="18910" xr:uid="{00000000-0005-0000-0000-0000E0490000}"/>
    <cellStyle name="heading4 4" xfId="18911" xr:uid="{00000000-0005-0000-0000-0000E1490000}"/>
    <cellStyle name="heading4 4 2" xfId="18912" xr:uid="{00000000-0005-0000-0000-0000E2490000}"/>
    <cellStyle name="heading4 5" xfId="18913" xr:uid="{00000000-0005-0000-0000-0000E3490000}"/>
    <cellStyle name="heading4 5 2" xfId="18914" xr:uid="{00000000-0005-0000-0000-0000E4490000}"/>
    <cellStyle name="heading4 6" xfId="18915" xr:uid="{00000000-0005-0000-0000-0000E5490000}"/>
    <cellStyle name="heading4 6 2" xfId="18916" xr:uid="{00000000-0005-0000-0000-0000E6490000}"/>
    <cellStyle name="heading4 7" xfId="18917" xr:uid="{00000000-0005-0000-0000-0000E7490000}"/>
    <cellStyle name="heading4 7 2" xfId="18918" xr:uid="{00000000-0005-0000-0000-0000E8490000}"/>
    <cellStyle name="heading4 8" xfId="18919" xr:uid="{00000000-0005-0000-0000-0000E9490000}"/>
    <cellStyle name="heading5" xfId="18920" xr:uid="{00000000-0005-0000-0000-0000EA490000}"/>
    <cellStyle name="heading5 2" xfId="18921" xr:uid="{00000000-0005-0000-0000-0000EB490000}"/>
    <cellStyle name="heading5 2 2" xfId="18922" xr:uid="{00000000-0005-0000-0000-0000EC490000}"/>
    <cellStyle name="heading5 2 2 2" xfId="18923" xr:uid="{00000000-0005-0000-0000-0000ED490000}"/>
    <cellStyle name="heading5 2 3" xfId="18924" xr:uid="{00000000-0005-0000-0000-0000EE490000}"/>
    <cellStyle name="heading5 3" xfId="18925" xr:uid="{00000000-0005-0000-0000-0000EF490000}"/>
    <cellStyle name="heading5 3 2" xfId="18926" xr:uid="{00000000-0005-0000-0000-0000F0490000}"/>
    <cellStyle name="heading5 4" xfId="18927" xr:uid="{00000000-0005-0000-0000-0000F1490000}"/>
    <cellStyle name="heading5 4 2" xfId="18928" xr:uid="{00000000-0005-0000-0000-0000F2490000}"/>
    <cellStyle name="heading5 5" xfId="18929" xr:uid="{00000000-0005-0000-0000-0000F3490000}"/>
    <cellStyle name="heading5 5 2" xfId="18930" xr:uid="{00000000-0005-0000-0000-0000F4490000}"/>
    <cellStyle name="heading5 6" xfId="18931" xr:uid="{00000000-0005-0000-0000-0000F5490000}"/>
    <cellStyle name="heading5 6 2" xfId="18932" xr:uid="{00000000-0005-0000-0000-0000F6490000}"/>
    <cellStyle name="heading5 7" xfId="18933" xr:uid="{00000000-0005-0000-0000-0000F7490000}"/>
    <cellStyle name="heading5 7 2" xfId="18934" xr:uid="{00000000-0005-0000-0000-0000F8490000}"/>
    <cellStyle name="heading5 8" xfId="18935" xr:uid="{00000000-0005-0000-0000-0000F9490000}"/>
    <cellStyle name="Helv 8" xfId="18936" xr:uid="{00000000-0005-0000-0000-0000FA490000}"/>
    <cellStyle name="Helv 8 2" xfId="18937" xr:uid="{00000000-0005-0000-0000-0000FB490000}"/>
    <cellStyle name="Helv 8 2 2" xfId="18938" xr:uid="{00000000-0005-0000-0000-0000FC490000}"/>
    <cellStyle name="Helv 8 2 2 2" xfId="18939" xr:uid="{00000000-0005-0000-0000-0000FD490000}"/>
    <cellStyle name="Helv 8 2 3" xfId="18940" xr:uid="{00000000-0005-0000-0000-0000FE490000}"/>
    <cellStyle name="Helv 8 3" xfId="18941" xr:uid="{00000000-0005-0000-0000-0000FF490000}"/>
    <cellStyle name="Helv 8 3 2" xfId="18942" xr:uid="{00000000-0005-0000-0000-0000004A0000}"/>
    <cellStyle name="Helv 8 4" xfId="18943" xr:uid="{00000000-0005-0000-0000-0000014A0000}"/>
    <cellStyle name="Helv 8 4 2" xfId="18944" xr:uid="{00000000-0005-0000-0000-0000024A0000}"/>
    <cellStyle name="Helv 8 5" xfId="18945" xr:uid="{00000000-0005-0000-0000-0000034A0000}"/>
    <cellStyle name="Helv 8 5 2" xfId="18946" xr:uid="{00000000-0005-0000-0000-0000044A0000}"/>
    <cellStyle name="Helv 8 6" xfId="18947" xr:uid="{00000000-0005-0000-0000-0000054A0000}"/>
    <cellStyle name="Helv 8 6 2" xfId="18948" xr:uid="{00000000-0005-0000-0000-0000064A0000}"/>
    <cellStyle name="Helv 8 7" xfId="18949" xr:uid="{00000000-0005-0000-0000-0000074A0000}"/>
    <cellStyle name="Helv 8 7 2" xfId="18950" xr:uid="{00000000-0005-0000-0000-0000084A0000}"/>
    <cellStyle name="Helv 8 8" xfId="18951" xr:uid="{00000000-0005-0000-0000-0000094A0000}"/>
    <cellStyle name="Highlight" xfId="18952" xr:uid="{00000000-0005-0000-0000-00000A4A0000}"/>
    <cellStyle name="HUF" xfId="18953" xr:uid="{00000000-0005-0000-0000-00000B4A0000}"/>
    <cellStyle name="Hyperlink" xfId="33834" builtinId="8"/>
    <cellStyle name="Hyperlink 2" xfId="18954" xr:uid="{00000000-0005-0000-0000-00000C4A0000}"/>
    <cellStyle name="Hyperlink 3" xfId="18955" xr:uid="{00000000-0005-0000-0000-00000D4A0000}"/>
    <cellStyle name="Incorreto" xfId="18956" xr:uid="{00000000-0005-0000-0000-00000E4A0000}"/>
    <cellStyle name="INPUT %" xfId="19867" xr:uid="{00000000-0005-0000-0000-00000F4A0000}"/>
    <cellStyle name="Input [yellow]" xfId="18957" xr:uid="{00000000-0005-0000-0000-0000104A0000}"/>
    <cellStyle name="Input [yellow] 10" xfId="18958" xr:uid="{00000000-0005-0000-0000-0000114A0000}"/>
    <cellStyle name="Input [yellow] 10 10" xfId="18959" xr:uid="{00000000-0005-0000-0000-0000124A0000}"/>
    <cellStyle name="Input [yellow] 10 11" xfId="18960" xr:uid="{00000000-0005-0000-0000-0000134A0000}"/>
    <cellStyle name="Input [yellow] 10 12" xfId="18961" xr:uid="{00000000-0005-0000-0000-0000144A0000}"/>
    <cellStyle name="Input [yellow] 10 13" xfId="18962" xr:uid="{00000000-0005-0000-0000-0000154A0000}"/>
    <cellStyle name="Input [yellow] 10 14" xfId="18963" xr:uid="{00000000-0005-0000-0000-0000164A0000}"/>
    <cellStyle name="Input [yellow] 10 15" xfId="18964" xr:uid="{00000000-0005-0000-0000-0000174A0000}"/>
    <cellStyle name="Input [yellow] 10 16" xfId="18965" xr:uid="{00000000-0005-0000-0000-0000184A0000}"/>
    <cellStyle name="Input [yellow] 10 17" xfId="18966" xr:uid="{00000000-0005-0000-0000-0000194A0000}"/>
    <cellStyle name="Input [yellow] 10 18" xfId="18967" xr:uid="{00000000-0005-0000-0000-00001A4A0000}"/>
    <cellStyle name="Input [yellow] 10 19" xfId="18968" xr:uid="{00000000-0005-0000-0000-00001B4A0000}"/>
    <cellStyle name="Input [yellow] 10 2" xfId="18969" xr:uid="{00000000-0005-0000-0000-00001C4A0000}"/>
    <cellStyle name="Input [yellow] 10 2 10" xfId="18970" xr:uid="{00000000-0005-0000-0000-00001D4A0000}"/>
    <cellStyle name="Input [yellow] 10 2 11" xfId="18971" xr:uid="{00000000-0005-0000-0000-00001E4A0000}"/>
    <cellStyle name="Input [yellow] 10 2 12" xfId="18972" xr:uid="{00000000-0005-0000-0000-00001F4A0000}"/>
    <cellStyle name="Input [yellow] 10 2 13" xfId="18973" xr:uid="{00000000-0005-0000-0000-0000204A0000}"/>
    <cellStyle name="Input [yellow] 10 2 14" xfId="18974" xr:uid="{00000000-0005-0000-0000-0000214A0000}"/>
    <cellStyle name="Input [yellow] 10 2 15" xfId="18975" xr:uid="{00000000-0005-0000-0000-0000224A0000}"/>
    <cellStyle name="Input [yellow] 10 2 16" xfId="18976" xr:uid="{00000000-0005-0000-0000-0000234A0000}"/>
    <cellStyle name="Input [yellow] 10 2 17" xfId="18977" xr:uid="{00000000-0005-0000-0000-0000244A0000}"/>
    <cellStyle name="Input [yellow] 10 2 18" xfId="18978" xr:uid="{00000000-0005-0000-0000-0000254A0000}"/>
    <cellStyle name="Input [yellow] 10 2 19" xfId="18979" xr:uid="{00000000-0005-0000-0000-0000264A0000}"/>
    <cellStyle name="Input [yellow] 10 2 2" xfId="18980" xr:uid="{00000000-0005-0000-0000-0000274A0000}"/>
    <cellStyle name="Input [yellow] 10 2 2 2" xfId="18981" xr:uid="{00000000-0005-0000-0000-0000284A0000}"/>
    <cellStyle name="Input [yellow] 10 2 2 3" xfId="18982" xr:uid="{00000000-0005-0000-0000-0000294A0000}"/>
    <cellStyle name="Input [yellow] 10 2 20" xfId="18983" xr:uid="{00000000-0005-0000-0000-00002A4A0000}"/>
    <cellStyle name="Input [yellow] 10 2 21" xfId="18984" xr:uid="{00000000-0005-0000-0000-00002B4A0000}"/>
    <cellStyle name="Input [yellow] 10 2 22" xfId="18985" xr:uid="{00000000-0005-0000-0000-00002C4A0000}"/>
    <cellStyle name="Input [yellow] 10 2 23" xfId="18986" xr:uid="{00000000-0005-0000-0000-00002D4A0000}"/>
    <cellStyle name="Input [yellow] 10 2 24" xfId="18987" xr:uid="{00000000-0005-0000-0000-00002E4A0000}"/>
    <cellStyle name="Input [yellow] 10 2 25" xfId="18988" xr:uid="{00000000-0005-0000-0000-00002F4A0000}"/>
    <cellStyle name="Input [yellow] 10 2 26" xfId="18989" xr:uid="{00000000-0005-0000-0000-0000304A0000}"/>
    <cellStyle name="Input [yellow] 10 2 27" xfId="18990" xr:uid="{00000000-0005-0000-0000-0000314A0000}"/>
    <cellStyle name="Input [yellow] 10 2 28" xfId="18991" xr:uid="{00000000-0005-0000-0000-0000324A0000}"/>
    <cellStyle name="Input [yellow] 10 2 29" xfId="18992" xr:uid="{00000000-0005-0000-0000-0000334A0000}"/>
    <cellStyle name="Input [yellow] 10 2 3" xfId="18993" xr:uid="{00000000-0005-0000-0000-0000344A0000}"/>
    <cellStyle name="Input [yellow] 10 2 30" xfId="18994" xr:uid="{00000000-0005-0000-0000-0000354A0000}"/>
    <cellStyle name="Input [yellow] 10 2 31" xfId="18995" xr:uid="{00000000-0005-0000-0000-0000364A0000}"/>
    <cellStyle name="Input [yellow] 10 2 32" xfId="18996" xr:uid="{00000000-0005-0000-0000-0000374A0000}"/>
    <cellStyle name="Input [yellow] 10 2 33" xfId="18997" xr:uid="{00000000-0005-0000-0000-0000384A0000}"/>
    <cellStyle name="Input [yellow] 10 2 34" xfId="18998" xr:uid="{00000000-0005-0000-0000-0000394A0000}"/>
    <cellStyle name="Input [yellow] 10 2 35" xfId="18999" xr:uid="{00000000-0005-0000-0000-00003A4A0000}"/>
    <cellStyle name="Input [yellow] 10 2 36" xfId="19000" xr:uid="{00000000-0005-0000-0000-00003B4A0000}"/>
    <cellStyle name="Input [yellow] 10 2 4" xfId="19001" xr:uid="{00000000-0005-0000-0000-00003C4A0000}"/>
    <cellStyle name="Input [yellow] 10 2 5" xfId="19002" xr:uid="{00000000-0005-0000-0000-00003D4A0000}"/>
    <cellStyle name="Input [yellow] 10 2 6" xfId="19003" xr:uid="{00000000-0005-0000-0000-00003E4A0000}"/>
    <cellStyle name="Input [yellow] 10 2 7" xfId="19004" xr:uid="{00000000-0005-0000-0000-00003F4A0000}"/>
    <cellStyle name="Input [yellow] 10 2 8" xfId="19005" xr:uid="{00000000-0005-0000-0000-0000404A0000}"/>
    <cellStyle name="Input [yellow] 10 2 9" xfId="19006" xr:uid="{00000000-0005-0000-0000-0000414A0000}"/>
    <cellStyle name="Input [yellow] 10 20" xfId="19007" xr:uid="{00000000-0005-0000-0000-0000424A0000}"/>
    <cellStyle name="Input [yellow] 10 21" xfId="19008" xr:uid="{00000000-0005-0000-0000-0000434A0000}"/>
    <cellStyle name="Input [yellow] 10 22" xfId="19009" xr:uid="{00000000-0005-0000-0000-0000444A0000}"/>
    <cellStyle name="Input [yellow] 10 23" xfId="19010" xr:uid="{00000000-0005-0000-0000-0000454A0000}"/>
    <cellStyle name="Input [yellow] 10 24" xfId="19011" xr:uid="{00000000-0005-0000-0000-0000464A0000}"/>
    <cellStyle name="Input [yellow] 10 25" xfId="19012" xr:uid="{00000000-0005-0000-0000-0000474A0000}"/>
    <cellStyle name="Input [yellow] 10 26" xfId="19013" xr:uid="{00000000-0005-0000-0000-0000484A0000}"/>
    <cellStyle name="Input [yellow] 10 27" xfId="19014" xr:uid="{00000000-0005-0000-0000-0000494A0000}"/>
    <cellStyle name="Input [yellow] 10 28" xfId="19015" xr:uid="{00000000-0005-0000-0000-00004A4A0000}"/>
    <cellStyle name="Input [yellow] 10 29" xfId="19016" xr:uid="{00000000-0005-0000-0000-00004B4A0000}"/>
    <cellStyle name="Input [yellow] 10 3" xfId="19017" xr:uid="{00000000-0005-0000-0000-00004C4A0000}"/>
    <cellStyle name="Input [yellow] 10 3 2" xfId="19018" xr:uid="{00000000-0005-0000-0000-00004D4A0000}"/>
    <cellStyle name="Input [yellow] 10 3 2 2" xfId="19019" xr:uid="{00000000-0005-0000-0000-00004E4A0000}"/>
    <cellStyle name="Input [yellow] 10 3 2 3" xfId="19020" xr:uid="{00000000-0005-0000-0000-00004F4A0000}"/>
    <cellStyle name="Input [yellow] 10 3 3" xfId="19021" xr:uid="{00000000-0005-0000-0000-0000504A0000}"/>
    <cellStyle name="Input [yellow] 10 3 3 2" xfId="19022" xr:uid="{00000000-0005-0000-0000-0000514A0000}"/>
    <cellStyle name="Input [yellow] 10 3 3 3" xfId="19023" xr:uid="{00000000-0005-0000-0000-0000524A0000}"/>
    <cellStyle name="Input [yellow] 10 3 4" xfId="19024" xr:uid="{00000000-0005-0000-0000-0000534A0000}"/>
    <cellStyle name="Input [yellow] 10 3 5" xfId="19025" xr:uid="{00000000-0005-0000-0000-0000544A0000}"/>
    <cellStyle name="Input [yellow] 10 30" xfId="19026" xr:uid="{00000000-0005-0000-0000-0000554A0000}"/>
    <cellStyle name="Input [yellow] 10 31" xfId="19027" xr:uid="{00000000-0005-0000-0000-0000564A0000}"/>
    <cellStyle name="Input [yellow] 10 32" xfId="19028" xr:uid="{00000000-0005-0000-0000-0000574A0000}"/>
    <cellStyle name="Input [yellow] 10 33" xfId="19029" xr:uid="{00000000-0005-0000-0000-0000584A0000}"/>
    <cellStyle name="Input [yellow] 10 34" xfId="19030" xr:uid="{00000000-0005-0000-0000-0000594A0000}"/>
    <cellStyle name="Input [yellow] 10 35" xfId="19031" xr:uid="{00000000-0005-0000-0000-00005A4A0000}"/>
    <cellStyle name="Input [yellow] 10 36" xfId="19032" xr:uid="{00000000-0005-0000-0000-00005B4A0000}"/>
    <cellStyle name="Input [yellow] 10 4" xfId="19033" xr:uid="{00000000-0005-0000-0000-00005C4A0000}"/>
    <cellStyle name="Input [yellow] 10 4 2" xfId="19034" xr:uid="{00000000-0005-0000-0000-00005D4A0000}"/>
    <cellStyle name="Input [yellow] 10 4 2 2" xfId="19035" xr:uid="{00000000-0005-0000-0000-00005E4A0000}"/>
    <cellStyle name="Input [yellow] 10 4 2 3" xfId="19036" xr:uid="{00000000-0005-0000-0000-00005F4A0000}"/>
    <cellStyle name="Input [yellow] 10 4 3" xfId="19037" xr:uid="{00000000-0005-0000-0000-0000604A0000}"/>
    <cellStyle name="Input [yellow] 10 4 3 2" xfId="19038" xr:uid="{00000000-0005-0000-0000-0000614A0000}"/>
    <cellStyle name="Input [yellow] 10 4 3 3" xfId="19039" xr:uid="{00000000-0005-0000-0000-0000624A0000}"/>
    <cellStyle name="Input [yellow] 10 4 4" xfId="19040" xr:uid="{00000000-0005-0000-0000-0000634A0000}"/>
    <cellStyle name="Input [yellow] 10 4 5" xfId="19041" xr:uid="{00000000-0005-0000-0000-0000644A0000}"/>
    <cellStyle name="Input [yellow] 10 5" xfId="19042" xr:uid="{00000000-0005-0000-0000-0000654A0000}"/>
    <cellStyle name="Input [yellow] 10 5 2" xfId="19043" xr:uid="{00000000-0005-0000-0000-0000664A0000}"/>
    <cellStyle name="Input [yellow] 10 5 3" xfId="19044" xr:uid="{00000000-0005-0000-0000-0000674A0000}"/>
    <cellStyle name="Input [yellow] 10 6" xfId="19045" xr:uid="{00000000-0005-0000-0000-0000684A0000}"/>
    <cellStyle name="Input [yellow] 10 7" xfId="19046" xr:uid="{00000000-0005-0000-0000-0000694A0000}"/>
    <cellStyle name="Input [yellow] 10 8" xfId="19047" xr:uid="{00000000-0005-0000-0000-00006A4A0000}"/>
    <cellStyle name="Input [yellow] 10 9" xfId="19048" xr:uid="{00000000-0005-0000-0000-00006B4A0000}"/>
    <cellStyle name="Input [yellow] 11" xfId="19049" xr:uid="{00000000-0005-0000-0000-00006C4A0000}"/>
    <cellStyle name="Input [yellow] 11 10" xfId="19050" xr:uid="{00000000-0005-0000-0000-00006D4A0000}"/>
    <cellStyle name="Input [yellow] 11 11" xfId="19051" xr:uid="{00000000-0005-0000-0000-00006E4A0000}"/>
    <cellStyle name="Input [yellow] 11 12" xfId="19052" xr:uid="{00000000-0005-0000-0000-00006F4A0000}"/>
    <cellStyle name="Input [yellow] 11 13" xfId="19053" xr:uid="{00000000-0005-0000-0000-0000704A0000}"/>
    <cellStyle name="Input [yellow] 11 14" xfId="19054" xr:uid="{00000000-0005-0000-0000-0000714A0000}"/>
    <cellStyle name="Input [yellow] 11 15" xfId="19055" xr:uid="{00000000-0005-0000-0000-0000724A0000}"/>
    <cellStyle name="Input [yellow] 11 16" xfId="19056" xr:uid="{00000000-0005-0000-0000-0000734A0000}"/>
    <cellStyle name="Input [yellow] 11 17" xfId="19057" xr:uid="{00000000-0005-0000-0000-0000744A0000}"/>
    <cellStyle name="Input [yellow] 11 18" xfId="19058" xr:uid="{00000000-0005-0000-0000-0000754A0000}"/>
    <cellStyle name="Input [yellow] 11 19" xfId="19059" xr:uid="{00000000-0005-0000-0000-0000764A0000}"/>
    <cellStyle name="Input [yellow] 11 2" xfId="19060" xr:uid="{00000000-0005-0000-0000-0000774A0000}"/>
    <cellStyle name="Input [yellow] 11 2 2" xfId="19061" xr:uid="{00000000-0005-0000-0000-0000784A0000}"/>
    <cellStyle name="Input [yellow] 11 2 3" xfId="19062" xr:uid="{00000000-0005-0000-0000-0000794A0000}"/>
    <cellStyle name="Input [yellow] 11 20" xfId="19063" xr:uid="{00000000-0005-0000-0000-00007A4A0000}"/>
    <cellStyle name="Input [yellow] 11 21" xfId="19064" xr:uid="{00000000-0005-0000-0000-00007B4A0000}"/>
    <cellStyle name="Input [yellow] 11 22" xfId="19065" xr:uid="{00000000-0005-0000-0000-00007C4A0000}"/>
    <cellStyle name="Input [yellow] 11 23" xfId="19066" xr:uid="{00000000-0005-0000-0000-00007D4A0000}"/>
    <cellStyle name="Input [yellow] 11 24" xfId="19067" xr:uid="{00000000-0005-0000-0000-00007E4A0000}"/>
    <cellStyle name="Input [yellow] 11 25" xfId="19068" xr:uid="{00000000-0005-0000-0000-00007F4A0000}"/>
    <cellStyle name="Input [yellow] 11 26" xfId="19069" xr:uid="{00000000-0005-0000-0000-0000804A0000}"/>
    <cellStyle name="Input [yellow] 11 27" xfId="19070" xr:uid="{00000000-0005-0000-0000-0000814A0000}"/>
    <cellStyle name="Input [yellow] 11 28" xfId="19071" xr:uid="{00000000-0005-0000-0000-0000824A0000}"/>
    <cellStyle name="Input [yellow] 11 29" xfId="19072" xr:uid="{00000000-0005-0000-0000-0000834A0000}"/>
    <cellStyle name="Input [yellow] 11 3" xfId="19073" xr:uid="{00000000-0005-0000-0000-0000844A0000}"/>
    <cellStyle name="Input [yellow] 11 30" xfId="19074" xr:uid="{00000000-0005-0000-0000-0000854A0000}"/>
    <cellStyle name="Input [yellow] 11 31" xfId="19075" xr:uid="{00000000-0005-0000-0000-0000864A0000}"/>
    <cellStyle name="Input [yellow] 11 32" xfId="19076" xr:uid="{00000000-0005-0000-0000-0000874A0000}"/>
    <cellStyle name="Input [yellow] 11 33" xfId="19077" xr:uid="{00000000-0005-0000-0000-0000884A0000}"/>
    <cellStyle name="Input [yellow] 11 34" xfId="19078" xr:uid="{00000000-0005-0000-0000-0000894A0000}"/>
    <cellStyle name="Input [yellow] 11 35" xfId="19079" xr:uid="{00000000-0005-0000-0000-00008A4A0000}"/>
    <cellStyle name="Input [yellow] 11 36" xfId="19080" xr:uid="{00000000-0005-0000-0000-00008B4A0000}"/>
    <cellStyle name="Input [yellow] 11 4" xfId="19081" xr:uid="{00000000-0005-0000-0000-00008C4A0000}"/>
    <cellStyle name="Input [yellow] 11 5" xfId="19082" xr:uid="{00000000-0005-0000-0000-00008D4A0000}"/>
    <cellStyle name="Input [yellow] 11 6" xfId="19083" xr:uid="{00000000-0005-0000-0000-00008E4A0000}"/>
    <cellStyle name="Input [yellow] 11 7" xfId="19084" xr:uid="{00000000-0005-0000-0000-00008F4A0000}"/>
    <cellStyle name="Input [yellow] 11 8" xfId="19085" xr:uid="{00000000-0005-0000-0000-0000904A0000}"/>
    <cellStyle name="Input [yellow] 11 9" xfId="19086" xr:uid="{00000000-0005-0000-0000-0000914A0000}"/>
    <cellStyle name="Input [yellow] 12" xfId="19087" xr:uid="{00000000-0005-0000-0000-0000924A0000}"/>
    <cellStyle name="Input [yellow] 12 2" xfId="19088" xr:uid="{00000000-0005-0000-0000-0000934A0000}"/>
    <cellStyle name="Input [yellow] 12 2 2" xfId="19089" xr:uid="{00000000-0005-0000-0000-0000944A0000}"/>
    <cellStyle name="Input [yellow] 12 2 3" xfId="19090" xr:uid="{00000000-0005-0000-0000-0000954A0000}"/>
    <cellStyle name="Input [yellow] 12 3" xfId="19091" xr:uid="{00000000-0005-0000-0000-0000964A0000}"/>
    <cellStyle name="Input [yellow] 12 3 2" xfId="19092" xr:uid="{00000000-0005-0000-0000-0000974A0000}"/>
    <cellStyle name="Input [yellow] 12 3 3" xfId="19093" xr:uid="{00000000-0005-0000-0000-0000984A0000}"/>
    <cellStyle name="Input [yellow] 12 4" xfId="19094" xr:uid="{00000000-0005-0000-0000-0000994A0000}"/>
    <cellStyle name="Input [yellow] 12 5" xfId="19095" xr:uid="{00000000-0005-0000-0000-00009A4A0000}"/>
    <cellStyle name="Input [yellow] 13" xfId="19096" xr:uid="{00000000-0005-0000-0000-00009B4A0000}"/>
    <cellStyle name="Input [yellow] 13 2" xfId="19097" xr:uid="{00000000-0005-0000-0000-00009C4A0000}"/>
    <cellStyle name="Input [yellow] 13 2 2" xfId="19098" xr:uid="{00000000-0005-0000-0000-00009D4A0000}"/>
    <cellStyle name="Input [yellow] 13 2 3" xfId="19099" xr:uid="{00000000-0005-0000-0000-00009E4A0000}"/>
    <cellStyle name="Input [yellow] 13 3" xfId="19100" xr:uid="{00000000-0005-0000-0000-00009F4A0000}"/>
    <cellStyle name="Input [yellow] 13 3 2" xfId="19101" xr:uid="{00000000-0005-0000-0000-0000A04A0000}"/>
    <cellStyle name="Input [yellow] 13 3 3" xfId="19102" xr:uid="{00000000-0005-0000-0000-0000A14A0000}"/>
    <cellStyle name="Input [yellow] 13 4" xfId="19103" xr:uid="{00000000-0005-0000-0000-0000A24A0000}"/>
    <cellStyle name="Input [yellow] 13 5" xfId="19104" xr:uid="{00000000-0005-0000-0000-0000A34A0000}"/>
    <cellStyle name="Input [yellow] 14" xfId="19105" xr:uid="{00000000-0005-0000-0000-0000A44A0000}"/>
    <cellStyle name="Input [yellow] 14 2" xfId="19106" xr:uid="{00000000-0005-0000-0000-0000A54A0000}"/>
    <cellStyle name="Input [yellow] 14 3" xfId="19107" xr:uid="{00000000-0005-0000-0000-0000A64A0000}"/>
    <cellStyle name="Input [yellow] 15" xfId="19108" xr:uid="{00000000-0005-0000-0000-0000A74A0000}"/>
    <cellStyle name="Input [yellow] 16" xfId="19109" xr:uid="{00000000-0005-0000-0000-0000A84A0000}"/>
    <cellStyle name="Input [yellow] 17" xfId="19110" xr:uid="{00000000-0005-0000-0000-0000A94A0000}"/>
    <cellStyle name="Input [yellow] 18" xfId="19111" xr:uid="{00000000-0005-0000-0000-0000AA4A0000}"/>
    <cellStyle name="Input [yellow] 19" xfId="19112" xr:uid="{00000000-0005-0000-0000-0000AB4A0000}"/>
    <cellStyle name="Input [yellow] 2" xfId="19113" xr:uid="{00000000-0005-0000-0000-0000AC4A0000}"/>
    <cellStyle name="Input [yellow] 2 10" xfId="19114" xr:uid="{00000000-0005-0000-0000-0000AD4A0000}"/>
    <cellStyle name="Input [yellow] 2 11" xfId="19115" xr:uid="{00000000-0005-0000-0000-0000AE4A0000}"/>
    <cellStyle name="Input [yellow] 2 12" xfId="19116" xr:uid="{00000000-0005-0000-0000-0000AF4A0000}"/>
    <cellStyle name="Input [yellow] 2 13" xfId="19117" xr:uid="{00000000-0005-0000-0000-0000B04A0000}"/>
    <cellStyle name="Input [yellow] 2 14" xfId="19118" xr:uid="{00000000-0005-0000-0000-0000B14A0000}"/>
    <cellStyle name="Input [yellow] 2 15" xfId="19119" xr:uid="{00000000-0005-0000-0000-0000B24A0000}"/>
    <cellStyle name="Input [yellow] 2 16" xfId="19120" xr:uid="{00000000-0005-0000-0000-0000B34A0000}"/>
    <cellStyle name="Input [yellow] 2 17" xfId="19121" xr:uid="{00000000-0005-0000-0000-0000B44A0000}"/>
    <cellStyle name="Input [yellow] 2 18" xfId="19122" xr:uid="{00000000-0005-0000-0000-0000B54A0000}"/>
    <cellStyle name="Input [yellow] 2 19" xfId="19123" xr:uid="{00000000-0005-0000-0000-0000B64A0000}"/>
    <cellStyle name="Input [yellow] 2 2" xfId="19124" xr:uid="{00000000-0005-0000-0000-0000B74A0000}"/>
    <cellStyle name="Input [yellow] 2 2 10" xfId="19125" xr:uid="{00000000-0005-0000-0000-0000B84A0000}"/>
    <cellStyle name="Input [yellow] 2 2 11" xfId="19126" xr:uid="{00000000-0005-0000-0000-0000B94A0000}"/>
    <cellStyle name="Input [yellow] 2 2 12" xfId="19127" xr:uid="{00000000-0005-0000-0000-0000BA4A0000}"/>
    <cellStyle name="Input [yellow] 2 2 13" xfId="19128" xr:uid="{00000000-0005-0000-0000-0000BB4A0000}"/>
    <cellStyle name="Input [yellow] 2 2 14" xfId="19129" xr:uid="{00000000-0005-0000-0000-0000BC4A0000}"/>
    <cellStyle name="Input [yellow] 2 2 15" xfId="19130" xr:uid="{00000000-0005-0000-0000-0000BD4A0000}"/>
    <cellStyle name="Input [yellow] 2 2 16" xfId="19131" xr:uid="{00000000-0005-0000-0000-0000BE4A0000}"/>
    <cellStyle name="Input [yellow] 2 2 17" xfId="19132" xr:uid="{00000000-0005-0000-0000-0000BF4A0000}"/>
    <cellStyle name="Input [yellow] 2 2 18" xfId="19133" xr:uid="{00000000-0005-0000-0000-0000C04A0000}"/>
    <cellStyle name="Input [yellow] 2 2 19" xfId="19134" xr:uid="{00000000-0005-0000-0000-0000C14A0000}"/>
    <cellStyle name="Input [yellow] 2 2 2" xfId="19135" xr:uid="{00000000-0005-0000-0000-0000C24A0000}"/>
    <cellStyle name="Input [yellow] 2 2 2 2" xfId="19136" xr:uid="{00000000-0005-0000-0000-0000C34A0000}"/>
    <cellStyle name="Input [yellow] 2 2 2 3" xfId="19137" xr:uid="{00000000-0005-0000-0000-0000C44A0000}"/>
    <cellStyle name="Input [yellow] 2 2 20" xfId="19138" xr:uid="{00000000-0005-0000-0000-0000C54A0000}"/>
    <cellStyle name="Input [yellow] 2 2 21" xfId="19139" xr:uid="{00000000-0005-0000-0000-0000C64A0000}"/>
    <cellStyle name="Input [yellow] 2 2 22" xfId="19140" xr:uid="{00000000-0005-0000-0000-0000C74A0000}"/>
    <cellStyle name="Input [yellow] 2 2 23" xfId="19141" xr:uid="{00000000-0005-0000-0000-0000C84A0000}"/>
    <cellStyle name="Input [yellow] 2 2 24" xfId="19142" xr:uid="{00000000-0005-0000-0000-0000C94A0000}"/>
    <cellStyle name="Input [yellow] 2 2 25" xfId="19143" xr:uid="{00000000-0005-0000-0000-0000CA4A0000}"/>
    <cellStyle name="Input [yellow] 2 2 26" xfId="19144" xr:uid="{00000000-0005-0000-0000-0000CB4A0000}"/>
    <cellStyle name="Input [yellow] 2 2 27" xfId="19145" xr:uid="{00000000-0005-0000-0000-0000CC4A0000}"/>
    <cellStyle name="Input [yellow] 2 2 28" xfId="19146" xr:uid="{00000000-0005-0000-0000-0000CD4A0000}"/>
    <cellStyle name="Input [yellow] 2 2 29" xfId="19147" xr:uid="{00000000-0005-0000-0000-0000CE4A0000}"/>
    <cellStyle name="Input [yellow] 2 2 3" xfId="19148" xr:uid="{00000000-0005-0000-0000-0000CF4A0000}"/>
    <cellStyle name="Input [yellow] 2 2 30" xfId="19149" xr:uid="{00000000-0005-0000-0000-0000D04A0000}"/>
    <cellStyle name="Input [yellow] 2 2 31" xfId="19150" xr:uid="{00000000-0005-0000-0000-0000D14A0000}"/>
    <cellStyle name="Input [yellow] 2 2 32" xfId="19151" xr:uid="{00000000-0005-0000-0000-0000D24A0000}"/>
    <cellStyle name="Input [yellow] 2 2 33" xfId="19152" xr:uid="{00000000-0005-0000-0000-0000D34A0000}"/>
    <cellStyle name="Input [yellow] 2 2 34" xfId="19153" xr:uid="{00000000-0005-0000-0000-0000D44A0000}"/>
    <cellStyle name="Input [yellow] 2 2 35" xfId="19154" xr:uid="{00000000-0005-0000-0000-0000D54A0000}"/>
    <cellStyle name="Input [yellow] 2 2 36" xfId="19155" xr:uid="{00000000-0005-0000-0000-0000D64A0000}"/>
    <cellStyle name="Input [yellow] 2 2 4" xfId="19156" xr:uid="{00000000-0005-0000-0000-0000D74A0000}"/>
    <cellStyle name="Input [yellow] 2 2 5" xfId="19157" xr:uid="{00000000-0005-0000-0000-0000D84A0000}"/>
    <cellStyle name="Input [yellow] 2 2 6" xfId="19158" xr:uid="{00000000-0005-0000-0000-0000D94A0000}"/>
    <cellStyle name="Input [yellow] 2 2 7" xfId="19159" xr:uid="{00000000-0005-0000-0000-0000DA4A0000}"/>
    <cellStyle name="Input [yellow] 2 2 8" xfId="19160" xr:uid="{00000000-0005-0000-0000-0000DB4A0000}"/>
    <cellStyle name="Input [yellow] 2 2 9" xfId="19161" xr:uid="{00000000-0005-0000-0000-0000DC4A0000}"/>
    <cellStyle name="Input [yellow] 2 20" xfId="19162" xr:uid="{00000000-0005-0000-0000-0000DD4A0000}"/>
    <cellStyle name="Input [yellow] 2 21" xfId="19163" xr:uid="{00000000-0005-0000-0000-0000DE4A0000}"/>
    <cellStyle name="Input [yellow] 2 22" xfId="19164" xr:uid="{00000000-0005-0000-0000-0000DF4A0000}"/>
    <cellStyle name="Input [yellow] 2 23" xfId="19165" xr:uid="{00000000-0005-0000-0000-0000E04A0000}"/>
    <cellStyle name="Input [yellow] 2 24" xfId="19166" xr:uid="{00000000-0005-0000-0000-0000E14A0000}"/>
    <cellStyle name="Input [yellow] 2 25" xfId="19167" xr:uid="{00000000-0005-0000-0000-0000E24A0000}"/>
    <cellStyle name="Input [yellow] 2 26" xfId="19168" xr:uid="{00000000-0005-0000-0000-0000E34A0000}"/>
    <cellStyle name="Input [yellow] 2 27" xfId="19169" xr:uid="{00000000-0005-0000-0000-0000E44A0000}"/>
    <cellStyle name="Input [yellow] 2 28" xfId="19170" xr:uid="{00000000-0005-0000-0000-0000E54A0000}"/>
    <cellStyle name="Input [yellow] 2 29" xfId="19171" xr:uid="{00000000-0005-0000-0000-0000E64A0000}"/>
    <cellStyle name="Input [yellow] 2 3" xfId="19172" xr:uid="{00000000-0005-0000-0000-0000E74A0000}"/>
    <cellStyle name="Input [yellow] 2 3 2" xfId="19173" xr:uid="{00000000-0005-0000-0000-0000E84A0000}"/>
    <cellStyle name="Input [yellow] 2 3 2 2" xfId="19174" xr:uid="{00000000-0005-0000-0000-0000E94A0000}"/>
    <cellStyle name="Input [yellow] 2 3 2 3" xfId="19175" xr:uid="{00000000-0005-0000-0000-0000EA4A0000}"/>
    <cellStyle name="Input [yellow] 2 3 3" xfId="19176" xr:uid="{00000000-0005-0000-0000-0000EB4A0000}"/>
    <cellStyle name="Input [yellow] 2 3 3 2" xfId="19177" xr:uid="{00000000-0005-0000-0000-0000EC4A0000}"/>
    <cellStyle name="Input [yellow] 2 3 3 3" xfId="19178" xr:uid="{00000000-0005-0000-0000-0000ED4A0000}"/>
    <cellStyle name="Input [yellow] 2 3 4" xfId="19179" xr:uid="{00000000-0005-0000-0000-0000EE4A0000}"/>
    <cellStyle name="Input [yellow] 2 3 5" xfId="19180" xr:uid="{00000000-0005-0000-0000-0000EF4A0000}"/>
    <cellStyle name="Input [yellow] 2 30" xfId="19181" xr:uid="{00000000-0005-0000-0000-0000F04A0000}"/>
    <cellStyle name="Input [yellow] 2 31" xfId="19182" xr:uid="{00000000-0005-0000-0000-0000F14A0000}"/>
    <cellStyle name="Input [yellow] 2 32" xfId="19183" xr:uid="{00000000-0005-0000-0000-0000F24A0000}"/>
    <cellStyle name="Input [yellow] 2 33" xfId="19184" xr:uid="{00000000-0005-0000-0000-0000F34A0000}"/>
    <cellStyle name="Input [yellow] 2 34" xfId="19185" xr:uid="{00000000-0005-0000-0000-0000F44A0000}"/>
    <cellStyle name="Input [yellow] 2 35" xfId="19186" xr:uid="{00000000-0005-0000-0000-0000F54A0000}"/>
    <cellStyle name="Input [yellow] 2 36" xfId="19187" xr:uid="{00000000-0005-0000-0000-0000F64A0000}"/>
    <cellStyle name="Input [yellow] 2 4" xfId="19188" xr:uid="{00000000-0005-0000-0000-0000F74A0000}"/>
    <cellStyle name="Input [yellow] 2 4 2" xfId="19189" xr:uid="{00000000-0005-0000-0000-0000F84A0000}"/>
    <cellStyle name="Input [yellow] 2 4 2 2" xfId="19190" xr:uid="{00000000-0005-0000-0000-0000F94A0000}"/>
    <cellStyle name="Input [yellow] 2 4 2 3" xfId="19191" xr:uid="{00000000-0005-0000-0000-0000FA4A0000}"/>
    <cellStyle name="Input [yellow] 2 4 3" xfId="19192" xr:uid="{00000000-0005-0000-0000-0000FB4A0000}"/>
    <cellStyle name="Input [yellow] 2 4 3 2" xfId="19193" xr:uid="{00000000-0005-0000-0000-0000FC4A0000}"/>
    <cellStyle name="Input [yellow] 2 4 3 3" xfId="19194" xr:uid="{00000000-0005-0000-0000-0000FD4A0000}"/>
    <cellStyle name="Input [yellow] 2 4 4" xfId="19195" xr:uid="{00000000-0005-0000-0000-0000FE4A0000}"/>
    <cellStyle name="Input [yellow] 2 4 5" xfId="19196" xr:uid="{00000000-0005-0000-0000-0000FF4A0000}"/>
    <cellStyle name="Input [yellow] 2 5" xfId="19197" xr:uid="{00000000-0005-0000-0000-0000004B0000}"/>
    <cellStyle name="Input [yellow] 2 5 2" xfId="19198" xr:uid="{00000000-0005-0000-0000-0000014B0000}"/>
    <cellStyle name="Input [yellow] 2 5 3" xfId="19199" xr:uid="{00000000-0005-0000-0000-0000024B0000}"/>
    <cellStyle name="Input [yellow] 2 6" xfId="19200" xr:uid="{00000000-0005-0000-0000-0000034B0000}"/>
    <cellStyle name="Input [yellow] 2 7" xfId="19201" xr:uid="{00000000-0005-0000-0000-0000044B0000}"/>
    <cellStyle name="Input [yellow] 2 8" xfId="19202" xr:uid="{00000000-0005-0000-0000-0000054B0000}"/>
    <cellStyle name="Input [yellow] 2 9" xfId="19203" xr:uid="{00000000-0005-0000-0000-0000064B0000}"/>
    <cellStyle name="Input [yellow] 20" xfId="19204" xr:uid="{00000000-0005-0000-0000-0000074B0000}"/>
    <cellStyle name="Input [yellow] 21" xfId="19205" xr:uid="{00000000-0005-0000-0000-0000084B0000}"/>
    <cellStyle name="Input [yellow] 22" xfId="19206" xr:uid="{00000000-0005-0000-0000-0000094B0000}"/>
    <cellStyle name="Input [yellow] 23" xfId="19207" xr:uid="{00000000-0005-0000-0000-00000A4B0000}"/>
    <cellStyle name="Input [yellow] 24" xfId="19208" xr:uid="{00000000-0005-0000-0000-00000B4B0000}"/>
    <cellStyle name="Input [yellow] 25" xfId="19209" xr:uid="{00000000-0005-0000-0000-00000C4B0000}"/>
    <cellStyle name="Input [yellow] 26" xfId="19210" xr:uid="{00000000-0005-0000-0000-00000D4B0000}"/>
    <cellStyle name="Input [yellow] 27" xfId="19211" xr:uid="{00000000-0005-0000-0000-00000E4B0000}"/>
    <cellStyle name="Input [yellow] 28" xfId="19212" xr:uid="{00000000-0005-0000-0000-00000F4B0000}"/>
    <cellStyle name="Input [yellow] 29" xfId="19213" xr:uid="{00000000-0005-0000-0000-0000104B0000}"/>
    <cellStyle name="Input [yellow] 3" xfId="19214" xr:uid="{00000000-0005-0000-0000-0000114B0000}"/>
    <cellStyle name="Input [yellow] 3 10" xfId="19215" xr:uid="{00000000-0005-0000-0000-0000124B0000}"/>
    <cellStyle name="Input [yellow] 3 11" xfId="19216" xr:uid="{00000000-0005-0000-0000-0000134B0000}"/>
    <cellStyle name="Input [yellow] 3 12" xfId="19217" xr:uid="{00000000-0005-0000-0000-0000144B0000}"/>
    <cellStyle name="Input [yellow] 3 13" xfId="19218" xr:uid="{00000000-0005-0000-0000-0000154B0000}"/>
    <cellStyle name="Input [yellow] 3 14" xfId="19219" xr:uid="{00000000-0005-0000-0000-0000164B0000}"/>
    <cellStyle name="Input [yellow] 3 15" xfId="19220" xr:uid="{00000000-0005-0000-0000-0000174B0000}"/>
    <cellStyle name="Input [yellow] 3 16" xfId="19221" xr:uid="{00000000-0005-0000-0000-0000184B0000}"/>
    <cellStyle name="Input [yellow] 3 17" xfId="19222" xr:uid="{00000000-0005-0000-0000-0000194B0000}"/>
    <cellStyle name="Input [yellow] 3 18" xfId="19223" xr:uid="{00000000-0005-0000-0000-00001A4B0000}"/>
    <cellStyle name="Input [yellow] 3 19" xfId="19224" xr:uid="{00000000-0005-0000-0000-00001B4B0000}"/>
    <cellStyle name="Input [yellow] 3 2" xfId="19225" xr:uid="{00000000-0005-0000-0000-00001C4B0000}"/>
    <cellStyle name="Input [yellow] 3 2 10" xfId="19226" xr:uid="{00000000-0005-0000-0000-00001D4B0000}"/>
    <cellStyle name="Input [yellow] 3 2 11" xfId="19227" xr:uid="{00000000-0005-0000-0000-00001E4B0000}"/>
    <cellStyle name="Input [yellow] 3 2 12" xfId="19228" xr:uid="{00000000-0005-0000-0000-00001F4B0000}"/>
    <cellStyle name="Input [yellow] 3 2 13" xfId="19229" xr:uid="{00000000-0005-0000-0000-0000204B0000}"/>
    <cellStyle name="Input [yellow] 3 2 14" xfId="19230" xr:uid="{00000000-0005-0000-0000-0000214B0000}"/>
    <cellStyle name="Input [yellow] 3 2 15" xfId="19231" xr:uid="{00000000-0005-0000-0000-0000224B0000}"/>
    <cellStyle name="Input [yellow] 3 2 16" xfId="19232" xr:uid="{00000000-0005-0000-0000-0000234B0000}"/>
    <cellStyle name="Input [yellow] 3 2 17" xfId="19233" xr:uid="{00000000-0005-0000-0000-0000244B0000}"/>
    <cellStyle name="Input [yellow] 3 2 18" xfId="19234" xr:uid="{00000000-0005-0000-0000-0000254B0000}"/>
    <cellStyle name="Input [yellow] 3 2 19" xfId="19235" xr:uid="{00000000-0005-0000-0000-0000264B0000}"/>
    <cellStyle name="Input [yellow] 3 2 2" xfId="19236" xr:uid="{00000000-0005-0000-0000-0000274B0000}"/>
    <cellStyle name="Input [yellow] 3 2 2 2" xfId="19237" xr:uid="{00000000-0005-0000-0000-0000284B0000}"/>
    <cellStyle name="Input [yellow] 3 2 2 3" xfId="19238" xr:uid="{00000000-0005-0000-0000-0000294B0000}"/>
    <cellStyle name="Input [yellow] 3 2 20" xfId="19239" xr:uid="{00000000-0005-0000-0000-00002A4B0000}"/>
    <cellStyle name="Input [yellow] 3 2 21" xfId="19240" xr:uid="{00000000-0005-0000-0000-00002B4B0000}"/>
    <cellStyle name="Input [yellow] 3 2 22" xfId="19241" xr:uid="{00000000-0005-0000-0000-00002C4B0000}"/>
    <cellStyle name="Input [yellow] 3 2 23" xfId="19242" xr:uid="{00000000-0005-0000-0000-00002D4B0000}"/>
    <cellStyle name="Input [yellow] 3 2 24" xfId="19243" xr:uid="{00000000-0005-0000-0000-00002E4B0000}"/>
    <cellStyle name="Input [yellow] 3 2 25" xfId="19244" xr:uid="{00000000-0005-0000-0000-00002F4B0000}"/>
    <cellStyle name="Input [yellow] 3 2 26" xfId="19245" xr:uid="{00000000-0005-0000-0000-0000304B0000}"/>
    <cellStyle name="Input [yellow] 3 2 27" xfId="19246" xr:uid="{00000000-0005-0000-0000-0000314B0000}"/>
    <cellStyle name="Input [yellow] 3 2 28" xfId="19247" xr:uid="{00000000-0005-0000-0000-0000324B0000}"/>
    <cellStyle name="Input [yellow] 3 2 29" xfId="19248" xr:uid="{00000000-0005-0000-0000-0000334B0000}"/>
    <cellStyle name="Input [yellow] 3 2 3" xfId="19249" xr:uid="{00000000-0005-0000-0000-0000344B0000}"/>
    <cellStyle name="Input [yellow] 3 2 30" xfId="19250" xr:uid="{00000000-0005-0000-0000-0000354B0000}"/>
    <cellStyle name="Input [yellow] 3 2 31" xfId="19251" xr:uid="{00000000-0005-0000-0000-0000364B0000}"/>
    <cellStyle name="Input [yellow] 3 2 32" xfId="19252" xr:uid="{00000000-0005-0000-0000-0000374B0000}"/>
    <cellStyle name="Input [yellow] 3 2 33" xfId="19253" xr:uid="{00000000-0005-0000-0000-0000384B0000}"/>
    <cellStyle name="Input [yellow] 3 2 34" xfId="19254" xr:uid="{00000000-0005-0000-0000-0000394B0000}"/>
    <cellStyle name="Input [yellow] 3 2 35" xfId="19255" xr:uid="{00000000-0005-0000-0000-00003A4B0000}"/>
    <cellStyle name="Input [yellow] 3 2 36" xfId="19256" xr:uid="{00000000-0005-0000-0000-00003B4B0000}"/>
    <cellStyle name="Input [yellow] 3 2 4" xfId="19257" xr:uid="{00000000-0005-0000-0000-00003C4B0000}"/>
    <cellStyle name="Input [yellow] 3 2 5" xfId="19258" xr:uid="{00000000-0005-0000-0000-00003D4B0000}"/>
    <cellStyle name="Input [yellow] 3 2 6" xfId="19259" xr:uid="{00000000-0005-0000-0000-00003E4B0000}"/>
    <cellStyle name="Input [yellow] 3 2 7" xfId="19260" xr:uid="{00000000-0005-0000-0000-00003F4B0000}"/>
    <cellStyle name="Input [yellow] 3 2 8" xfId="19261" xr:uid="{00000000-0005-0000-0000-0000404B0000}"/>
    <cellStyle name="Input [yellow] 3 2 9" xfId="19262" xr:uid="{00000000-0005-0000-0000-0000414B0000}"/>
    <cellStyle name="Input [yellow] 3 20" xfId="19263" xr:uid="{00000000-0005-0000-0000-0000424B0000}"/>
    <cellStyle name="Input [yellow] 3 21" xfId="19264" xr:uid="{00000000-0005-0000-0000-0000434B0000}"/>
    <cellStyle name="Input [yellow] 3 22" xfId="19265" xr:uid="{00000000-0005-0000-0000-0000444B0000}"/>
    <cellStyle name="Input [yellow] 3 23" xfId="19266" xr:uid="{00000000-0005-0000-0000-0000454B0000}"/>
    <cellStyle name="Input [yellow] 3 24" xfId="19267" xr:uid="{00000000-0005-0000-0000-0000464B0000}"/>
    <cellStyle name="Input [yellow] 3 25" xfId="19268" xr:uid="{00000000-0005-0000-0000-0000474B0000}"/>
    <cellStyle name="Input [yellow] 3 26" xfId="19269" xr:uid="{00000000-0005-0000-0000-0000484B0000}"/>
    <cellStyle name="Input [yellow] 3 27" xfId="19270" xr:uid="{00000000-0005-0000-0000-0000494B0000}"/>
    <cellStyle name="Input [yellow] 3 28" xfId="19271" xr:uid="{00000000-0005-0000-0000-00004A4B0000}"/>
    <cellStyle name="Input [yellow] 3 29" xfId="19272" xr:uid="{00000000-0005-0000-0000-00004B4B0000}"/>
    <cellStyle name="Input [yellow] 3 3" xfId="19273" xr:uid="{00000000-0005-0000-0000-00004C4B0000}"/>
    <cellStyle name="Input [yellow] 3 3 2" xfId="19274" xr:uid="{00000000-0005-0000-0000-00004D4B0000}"/>
    <cellStyle name="Input [yellow] 3 3 2 2" xfId="19275" xr:uid="{00000000-0005-0000-0000-00004E4B0000}"/>
    <cellStyle name="Input [yellow] 3 3 2 3" xfId="19276" xr:uid="{00000000-0005-0000-0000-00004F4B0000}"/>
    <cellStyle name="Input [yellow] 3 3 3" xfId="19277" xr:uid="{00000000-0005-0000-0000-0000504B0000}"/>
    <cellStyle name="Input [yellow] 3 3 3 2" xfId="19278" xr:uid="{00000000-0005-0000-0000-0000514B0000}"/>
    <cellStyle name="Input [yellow] 3 3 3 3" xfId="19279" xr:uid="{00000000-0005-0000-0000-0000524B0000}"/>
    <cellStyle name="Input [yellow] 3 3 4" xfId="19280" xr:uid="{00000000-0005-0000-0000-0000534B0000}"/>
    <cellStyle name="Input [yellow] 3 3 5" xfId="19281" xr:uid="{00000000-0005-0000-0000-0000544B0000}"/>
    <cellStyle name="Input [yellow] 3 30" xfId="19282" xr:uid="{00000000-0005-0000-0000-0000554B0000}"/>
    <cellStyle name="Input [yellow] 3 31" xfId="19283" xr:uid="{00000000-0005-0000-0000-0000564B0000}"/>
    <cellStyle name="Input [yellow] 3 32" xfId="19284" xr:uid="{00000000-0005-0000-0000-0000574B0000}"/>
    <cellStyle name="Input [yellow] 3 33" xfId="19285" xr:uid="{00000000-0005-0000-0000-0000584B0000}"/>
    <cellStyle name="Input [yellow] 3 34" xfId="19286" xr:uid="{00000000-0005-0000-0000-0000594B0000}"/>
    <cellStyle name="Input [yellow] 3 35" xfId="19287" xr:uid="{00000000-0005-0000-0000-00005A4B0000}"/>
    <cellStyle name="Input [yellow] 3 36" xfId="19288" xr:uid="{00000000-0005-0000-0000-00005B4B0000}"/>
    <cellStyle name="Input [yellow] 3 4" xfId="19289" xr:uid="{00000000-0005-0000-0000-00005C4B0000}"/>
    <cellStyle name="Input [yellow] 3 4 2" xfId="19290" xr:uid="{00000000-0005-0000-0000-00005D4B0000}"/>
    <cellStyle name="Input [yellow] 3 4 2 2" xfId="19291" xr:uid="{00000000-0005-0000-0000-00005E4B0000}"/>
    <cellStyle name="Input [yellow] 3 4 2 3" xfId="19292" xr:uid="{00000000-0005-0000-0000-00005F4B0000}"/>
    <cellStyle name="Input [yellow] 3 4 3" xfId="19293" xr:uid="{00000000-0005-0000-0000-0000604B0000}"/>
    <cellStyle name="Input [yellow] 3 4 3 2" xfId="19294" xr:uid="{00000000-0005-0000-0000-0000614B0000}"/>
    <cellStyle name="Input [yellow] 3 4 3 3" xfId="19295" xr:uid="{00000000-0005-0000-0000-0000624B0000}"/>
    <cellStyle name="Input [yellow] 3 4 4" xfId="19296" xr:uid="{00000000-0005-0000-0000-0000634B0000}"/>
    <cellStyle name="Input [yellow] 3 4 5" xfId="19297" xr:uid="{00000000-0005-0000-0000-0000644B0000}"/>
    <cellStyle name="Input [yellow] 3 5" xfId="19298" xr:uid="{00000000-0005-0000-0000-0000654B0000}"/>
    <cellStyle name="Input [yellow] 3 5 2" xfId="19299" xr:uid="{00000000-0005-0000-0000-0000664B0000}"/>
    <cellStyle name="Input [yellow] 3 5 3" xfId="19300" xr:uid="{00000000-0005-0000-0000-0000674B0000}"/>
    <cellStyle name="Input [yellow] 3 6" xfId="19301" xr:uid="{00000000-0005-0000-0000-0000684B0000}"/>
    <cellStyle name="Input [yellow] 3 7" xfId="19302" xr:uid="{00000000-0005-0000-0000-0000694B0000}"/>
    <cellStyle name="Input [yellow] 3 8" xfId="19303" xr:uid="{00000000-0005-0000-0000-00006A4B0000}"/>
    <cellStyle name="Input [yellow] 3 9" xfId="19304" xr:uid="{00000000-0005-0000-0000-00006B4B0000}"/>
    <cellStyle name="Input [yellow] 30" xfId="19305" xr:uid="{00000000-0005-0000-0000-00006C4B0000}"/>
    <cellStyle name="Input [yellow] 31" xfId="19306" xr:uid="{00000000-0005-0000-0000-00006D4B0000}"/>
    <cellStyle name="Input [yellow] 32" xfId="19307" xr:uid="{00000000-0005-0000-0000-00006E4B0000}"/>
    <cellStyle name="Input [yellow] 33" xfId="19308" xr:uid="{00000000-0005-0000-0000-00006F4B0000}"/>
    <cellStyle name="Input [yellow] 34" xfId="19309" xr:uid="{00000000-0005-0000-0000-0000704B0000}"/>
    <cellStyle name="Input [yellow] 35" xfId="19310" xr:uid="{00000000-0005-0000-0000-0000714B0000}"/>
    <cellStyle name="Input [yellow] 36" xfId="19311" xr:uid="{00000000-0005-0000-0000-0000724B0000}"/>
    <cellStyle name="Input [yellow] 37" xfId="19312" xr:uid="{00000000-0005-0000-0000-0000734B0000}"/>
    <cellStyle name="Input [yellow] 38" xfId="19313" xr:uid="{00000000-0005-0000-0000-0000744B0000}"/>
    <cellStyle name="Input [yellow] 39" xfId="19314" xr:uid="{00000000-0005-0000-0000-0000754B0000}"/>
    <cellStyle name="Input [yellow] 4" xfId="19315" xr:uid="{00000000-0005-0000-0000-0000764B0000}"/>
    <cellStyle name="Input [yellow] 4 10" xfId="19316" xr:uid="{00000000-0005-0000-0000-0000774B0000}"/>
    <cellStyle name="Input [yellow] 4 11" xfId="19317" xr:uid="{00000000-0005-0000-0000-0000784B0000}"/>
    <cellStyle name="Input [yellow] 4 12" xfId="19318" xr:uid="{00000000-0005-0000-0000-0000794B0000}"/>
    <cellStyle name="Input [yellow] 4 13" xfId="19319" xr:uid="{00000000-0005-0000-0000-00007A4B0000}"/>
    <cellStyle name="Input [yellow] 4 14" xfId="19320" xr:uid="{00000000-0005-0000-0000-00007B4B0000}"/>
    <cellStyle name="Input [yellow] 4 15" xfId="19321" xr:uid="{00000000-0005-0000-0000-00007C4B0000}"/>
    <cellStyle name="Input [yellow] 4 16" xfId="19322" xr:uid="{00000000-0005-0000-0000-00007D4B0000}"/>
    <cellStyle name="Input [yellow] 4 17" xfId="19323" xr:uid="{00000000-0005-0000-0000-00007E4B0000}"/>
    <cellStyle name="Input [yellow] 4 18" xfId="19324" xr:uid="{00000000-0005-0000-0000-00007F4B0000}"/>
    <cellStyle name="Input [yellow] 4 19" xfId="19325" xr:uid="{00000000-0005-0000-0000-0000804B0000}"/>
    <cellStyle name="Input [yellow] 4 2" xfId="19326" xr:uid="{00000000-0005-0000-0000-0000814B0000}"/>
    <cellStyle name="Input [yellow] 4 2 10" xfId="19327" xr:uid="{00000000-0005-0000-0000-0000824B0000}"/>
    <cellStyle name="Input [yellow] 4 2 11" xfId="19328" xr:uid="{00000000-0005-0000-0000-0000834B0000}"/>
    <cellStyle name="Input [yellow] 4 2 12" xfId="19329" xr:uid="{00000000-0005-0000-0000-0000844B0000}"/>
    <cellStyle name="Input [yellow] 4 2 13" xfId="19330" xr:uid="{00000000-0005-0000-0000-0000854B0000}"/>
    <cellStyle name="Input [yellow] 4 2 14" xfId="19331" xr:uid="{00000000-0005-0000-0000-0000864B0000}"/>
    <cellStyle name="Input [yellow] 4 2 15" xfId="19332" xr:uid="{00000000-0005-0000-0000-0000874B0000}"/>
    <cellStyle name="Input [yellow] 4 2 16" xfId="19333" xr:uid="{00000000-0005-0000-0000-0000884B0000}"/>
    <cellStyle name="Input [yellow] 4 2 17" xfId="19334" xr:uid="{00000000-0005-0000-0000-0000894B0000}"/>
    <cellStyle name="Input [yellow] 4 2 18" xfId="19335" xr:uid="{00000000-0005-0000-0000-00008A4B0000}"/>
    <cellStyle name="Input [yellow] 4 2 19" xfId="19336" xr:uid="{00000000-0005-0000-0000-00008B4B0000}"/>
    <cellStyle name="Input [yellow] 4 2 2" xfId="19337" xr:uid="{00000000-0005-0000-0000-00008C4B0000}"/>
    <cellStyle name="Input [yellow] 4 2 2 2" xfId="19338" xr:uid="{00000000-0005-0000-0000-00008D4B0000}"/>
    <cellStyle name="Input [yellow] 4 2 2 3" xfId="19339" xr:uid="{00000000-0005-0000-0000-00008E4B0000}"/>
    <cellStyle name="Input [yellow] 4 2 20" xfId="19340" xr:uid="{00000000-0005-0000-0000-00008F4B0000}"/>
    <cellStyle name="Input [yellow] 4 2 21" xfId="19341" xr:uid="{00000000-0005-0000-0000-0000904B0000}"/>
    <cellStyle name="Input [yellow] 4 2 22" xfId="19342" xr:uid="{00000000-0005-0000-0000-0000914B0000}"/>
    <cellStyle name="Input [yellow] 4 2 23" xfId="19343" xr:uid="{00000000-0005-0000-0000-0000924B0000}"/>
    <cellStyle name="Input [yellow] 4 2 24" xfId="19344" xr:uid="{00000000-0005-0000-0000-0000934B0000}"/>
    <cellStyle name="Input [yellow] 4 2 25" xfId="19345" xr:uid="{00000000-0005-0000-0000-0000944B0000}"/>
    <cellStyle name="Input [yellow] 4 2 26" xfId="19346" xr:uid="{00000000-0005-0000-0000-0000954B0000}"/>
    <cellStyle name="Input [yellow] 4 2 27" xfId="19347" xr:uid="{00000000-0005-0000-0000-0000964B0000}"/>
    <cellStyle name="Input [yellow] 4 2 28" xfId="19348" xr:uid="{00000000-0005-0000-0000-0000974B0000}"/>
    <cellStyle name="Input [yellow] 4 2 29" xfId="19349" xr:uid="{00000000-0005-0000-0000-0000984B0000}"/>
    <cellStyle name="Input [yellow] 4 2 3" xfId="19350" xr:uid="{00000000-0005-0000-0000-0000994B0000}"/>
    <cellStyle name="Input [yellow] 4 2 30" xfId="19351" xr:uid="{00000000-0005-0000-0000-00009A4B0000}"/>
    <cellStyle name="Input [yellow] 4 2 31" xfId="19352" xr:uid="{00000000-0005-0000-0000-00009B4B0000}"/>
    <cellStyle name="Input [yellow] 4 2 32" xfId="19353" xr:uid="{00000000-0005-0000-0000-00009C4B0000}"/>
    <cellStyle name="Input [yellow] 4 2 33" xfId="19354" xr:uid="{00000000-0005-0000-0000-00009D4B0000}"/>
    <cellStyle name="Input [yellow] 4 2 34" xfId="19355" xr:uid="{00000000-0005-0000-0000-00009E4B0000}"/>
    <cellStyle name="Input [yellow] 4 2 35" xfId="19356" xr:uid="{00000000-0005-0000-0000-00009F4B0000}"/>
    <cellStyle name="Input [yellow] 4 2 36" xfId="19357" xr:uid="{00000000-0005-0000-0000-0000A04B0000}"/>
    <cellStyle name="Input [yellow] 4 2 4" xfId="19358" xr:uid="{00000000-0005-0000-0000-0000A14B0000}"/>
    <cellStyle name="Input [yellow] 4 2 5" xfId="19359" xr:uid="{00000000-0005-0000-0000-0000A24B0000}"/>
    <cellStyle name="Input [yellow] 4 2 6" xfId="19360" xr:uid="{00000000-0005-0000-0000-0000A34B0000}"/>
    <cellStyle name="Input [yellow] 4 2 7" xfId="19361" xr:uid="{00000000-0005-0000-0000-0000A44B0000}"/>
    <cellStyle name="Input [yellow] 4 2 8" xfId="19362" xr:uid="{00000000-0005-0000-0000-0000A54B0000}"/>
    <cellStyle name="Input [yellow] 4 2 9" xfId="19363" xr:uid="{00000000-0005-0000-0000-0000A64B0000}"/>
    <cellStyle name="Input [yellow] 4 20" xfId="19364" xr:uid="{00000000-0005-0000-0000-0000A74B0000}"/>
    <cellStyle name="Input [yellow] 4 21" xfId="19365" xr:uid="{00000000-0005-0000-0000-0000A84B0000}"/>
    <cellStyle name="Input [yellow] 4 22" xfId="19366" xr:uid="{00000000-0005-0000-0000-0000A94B0000}"/>
    <cellStyle name="Input [yellow] 4 23" xfId="19367" xr:uid="{00000000-0005-0000-0000-0000AA4B0000}"/>
    <cellStyle name="Input [yellow] 4 24" xfId="19368" xr:uid="{00000000-0005-0000-0000-0000AB4B0000}"/>
    <cellStyle name="Input [yellow] 4 25" xfId="19369" xr:uid="{00000000-0005-0000-0000-0000AC4B0000}"/>
    <cellStyle name="Input [yellow] 4 26" xfId="19370" xr:uid="{00000000-0005-0000-0000-0000AD4B0000}"/>
    <cellStyle name="Input [yellow] 4 27" xfId="19371" xr:uid="{00000000-0005-0000-0000-0000AE4B0000}"/>
    <cellStyle name="Input [yellow] 4 28" xfId="19372" xr:uid="{00000000-0005-0000-0000-0000AF4B0000}"/>
    <cellStyle name="Input [yellow] 4 29" xfId="19373" xr:uid="{00000000-0005-0000-0000-0000B04B0000}"/>
    <cellStyle name="Input [yellow] 4 3" xfId="19374" xr:uid="{00000000-0005-0000-0000-0000B14B0000}"/>
    <cellStyle name="Input [yellow] 4 3 2" xfId="19375" xr:uid="{00000000-0005-0000-0000-0000B24B0000}"/>
    <cellStyle name="Input [yellow] 4 3 2 2" xfId="19376" xr:uid="{00000000-0005-0000-0000-0000B34B0000}"/>
    <cellStyle name="Input [yellow] 4 3 2 3" xfId="19377" xr:uid="{00000000-0005-0000-0000-0000B44B0000}"/>
    <cellStyle name="Input [yellow] 4 3 3" xfId="19378" xr:uid="{00000000-0005-0000-0000-0000B54B0000}"/>
    <cellStyle name="Input [yellow] 4 3 3 2" xfId="19379" xr:uid="{00000000-0005-0000-0000-0000B64B0000}"/>
    <cellStyle name="Input [yellow] 4 3 3 3" xfId="19380" xr:uid="{00000000-0005-0000-0000-0000B74B0000}"/>
    <cellStyle name="Input [yellow] 4 3 4" xfId="19381" xr:uid="{00000000-0005-0000-0000-0000B84B0000}"/>
    <cellStyle name="Input [yellow] 4 3 5" xfId="19382" xr:uid="{00000000-0005-0000-0000-0000B94B0000}"/>
    <cellStyle name="Input [yellow] 4 30" xfId="19383" xr:uid="{00000000-0005-0000-0000-0000BA4B0000}"/>
    <cellStyle name="Input [yellow] 4 31" xfId="19384" xr:uid="{00000000-0005-0000-0000-0000BB4B0000}"/>
    <cellStyle name="Input [yellow] 4 32" xfId="19385" xr:uid="{00000000-0005-0000-0000-0000BC4B0000}"/>
    <cellStyle name="Input [yellow] 4 33" xfId="19386" xr:uid="{00000000-0005-0000-0000-0000BD4B0000}"/>
    <cellStyle name="Input [yellow] 4 34" xfId="19387" xr:uid="{00000000-0005-0000-0000-0000BE4B0000}"/>
    <cellStyle name="Input [yellow] 4 35" xfId="19388" xr:uid="{00000000-0005-0000-0000-0000BF4B0000}"/>
    <cellStyle name="Input [yellow] 4 36" xfId="19389" xr:uid="{00000000-0005-0000-0000-0000C04B0000}"/>
    <cellStyle name="Input [yellow] 4 4" xfId="19390" xr:uid="{00000000-0005-0000-0000-0000C14B0000}"/>
    <cellStyle name="Input [yellow] 4 4 2" xfId="19391" xr:uid="{00000000-0005-0000-0000-0000C24B0000}"/>
    <cellStyle name="Input [yellow] 4 4 2 2" xfId="19392" xr:uid="{00000000-0005-0000-0000-0000C34B0000}"/>
    <cellStyle name="Input [yellow] 4 4 2 3" xfId="19393" xr:uid="{00000000-0005-0000-0000-0000C44B0000}"/>
    <cellStyle name="Input [yellow] 4 4 3" xfId="19394" xr:uid="{00000000-0005-0000-0000-0000C54B0000}"/>
    <cellStyle name="Input [yellow] 4 4 3 2" xfId="19395" xr:uid="{00000000-0005-0000-0000-0000C64B0000}"/>
    <cellStyle name="Input [yellow] 4 4 3 3" xfId="19396" xr:uid="{00000000-0005-0000-0000-0000C74B0000}"/>
    <cellStyle name="Input [yellow] 4 4 4" xfId="19397" xr:uid="{00000000-0005-0000-0000-0000C84B0000}"/>
    <cellStyle name="Input [yellow] 4 4 5" xfId="19398" xr:uid="{00000000-0005-0000-0000-0000C94B0000}"/>
    <cellStyle name="Input [yellow] 4 5" xfId="19399" xr:uid="{00000000-0005-0000-0000-0000CA4B0000}"/>
    <cellStyle name="Input [yellow] 4 5 2" xfId="19400" xr:uid="{00000000-0005-0000-0000-0000CB4B0000}"/>
    <cellStyle name="Input [yellow] 4 5 3" xfId="19401" xr:uid="{00000000-0005-0000-0000-0000CC4B0000}"/>
    <cellStyle name="Input [yellow] 4 6" xfId="19402" xr:uid="{00000000-0005-0000-0000-0000CD4B0000}"/>
    <cellStyle name="Input [yellow] 4 7" xfId="19403" xr:uid="{00000000-0005-0000-0000-0000CE4B0000}"/>
    <cellStyle name="Input [yellow] 4 8" xfId="19404" xr:uid="{00000000-0005-0000-0000-0000CF4B0000}"/>
    <cellStyle name="Input [yellow] 4 9" xfId="19405" xr:uid="{00000000-0005-0000-0000-0000D04B0000}"/>
    <cellStyle name="Input [yellow] 40" xfId="19406" xr:uid="{00000000-0005-0000-0000-0000D14B0000}"/>
    <cellStyle name="Input [yellow] 41" xfId="19407" xr:uid="{00000000-0005-0000-0000-0000D24B0000}"/>
    <cellStyle name="Input [yellow] 42" xfId="19408" xr:uid="{00000000-0005-0000-0000-0000D34B0000}"/>
    <cellStyle name="Input [yellow] 43" xfId="19409" xr:uid="{00000000-0005-0000-0000-0000D44B0000}"/>
    <cellStyle name="Input [yellow] 44" xfId="19410" xr:uid="{00000000-0005-0000-0000-0000D54B0000}"/>
    <cellStyle name="Input [yellow] 45" xfId="19411" xr:uid="{00000000-0005-0000-0000-0000D64B0000}"/>
    <cellStyle name="Input [yellow] 5" xfId="19412" xr:uid="{00000000-0005-0000-0000-0000D74B0000}"/>
    <cellStyle name="Input [yellow] 5 10" xfId="19413" xr:uid="{00000000-0005-0000-0000-0000D84B0000}"/>
    <cellStyle name="Input [yellow] 5 11" xfId="19414" xr:uid="{00000000-0005-0000-0000-0000D94B0000}"/>
    <cellStyle name="Input [yellow] 5 12" xfId="19415" xr:uid="{00000000-0005-0000-0000-0000DA4B0000}"/>
    <cellStyle name="Input [yellow] 5 13" xfId="19416" xr:uid="{00000000-0005-0000-0000-0000DB4B0000}"/>
    <cellStyle name="Input [yellow] 5 14" xfId="19417" xr:uid="{00000000-0005-0000-0000-0000DC4B0000}"/>
    <cellStyle name="Input [yellow] 5 15" xfId="19418" xr:uid="{00000000-0005-0000-0000-0000DD4B0000}"/>
    <cellStyle name="Input [yellow] 5 16" xfId="19419" xr:uid="{00000000-0005-0000-0000-0000DE4B0000}"/>
    <cellStyle name="Input [yellow] 5 17" xfId="19420" xr:uid="{00000000-0005-0000-0000-0000DF4B0000}"/>
    <cellStyle name="Input [yellow] 5 18" xfId="19421" xr:uid="{00000000-0005-0000-0000-0000E04B0000}"/>
    <cellStyle name="Input [yellow] 5 19" xfId="19422" xr:uid="{00000000-0005-0000-0000-0000E14B0000}"/>
    <cellStyle name="Input [yellow] 5 2" xfId="19423" xr:uid="{00000000-0005-0000-0000-0000E24B0000}"/>
    <cellStyle name="Input [yellow] 5 2 10" xfId="19424" xr:uid="{00000000-0005-0000-0000-0000E34B0000}"/>
    <cellStyle name="Input [yellow] 5 2 11" xfId="19425" xr:uid="{00000000-0005-0000-0000-0000E44B0000}"/>
    <cellStyle name="Input [yellow] 5 2 12" xfId="19426" xr:uid="{00000000-0005-0000-0000-0000E54B0000}"/>
    <cellStyle name="Input [yellow] 5 2 13" xfId="19427" xr:uid="{00000000-0005-0000-0000-0000E64B0000}"/>
    <cellStyle name="Input [yellow] 5 2 14" xfId="19428" xr:uid="{00000000-0005-0000-0000-0000E74B0000}"/>
    <cellStyle name="Input [yellow] 5 2 15" xfId="19429" xr:uid="{00000000-0005-0000-0000-0000E84B0000}"/>
    <cellStyle name="Input [yellow] 5 2 16" xfId="19430" xr:uid="{00000000-0005-0000-0000-0000E94B0000}"/>
    <cellStyle name="Input [yellow] 5 2 17" xfId="19431" xr:uid="{00000000-0005-0000-0000-0000EA4B0000}"/>
    <cellStyle name="Input [yellow] 5 2 18" xfId="19432" xr:uid="{00000000-0005-0000-0000-0000EB4B0000}"/>
    <cellStyle name="Input [yellow] 5 2 19" xfId="19433" xr:uid="{00000000-0005-0000-0000-0000EC4B0000}"/>
    <cellStyle name="Input [yellow] 5 2 2" xfId="19434" xr:uid="{00000000-0005-0000-0000-0000ED4B0000}"/>
    <cellStyle name="Input [yellow] 5 2 2 2" xfId="19435" xr:uid="{00000000-0005-0000-0000-0000EE4B0000}"/>
    <cellStyle name="Input [yellow] 5 2 2 3" xfId="19436" xr:uid="{00000000-0005-0000-0000-0000EF4B0000}"/>
    <cellStyle name="Input [yellow] 5 2 20" xfId="19437" xr:uid="{00000000-0005-0000-0000-0000F04B0000}"/>
    <cellStyle name="Input [yellow] 5 2 21" xfId="19438" xr:uid="{00000000-0005-0000-0000-0000F14B0000}"/>
    <cellStyle name="Input [yellow] 5 2 22" xfId="19439" xr:uid="{00000000-0005-0000-0000-0000F24B0000}"/>
    <cellStyle name="Input [yellow] 5 2 23" xfId="19440" xr:uid="{00000000-0005-0000-0000-0000F34B0000}"/>
    <cellStyle name="Input [yellow] 5 2 24" xfId="19441" xr:uid="{00000000-0005-0000-0000-0000F44B0000}"/>
    <cellStyle name="Input [yellow] 5 2 25" xfId="19442" xr:uid="{00000000-0005-0000-0000-0000F54B0000}"/>
    <cellStyle name="Input [yellow] 5 2 26" xfId="19443" xr:uid="{00000000-0005-0000-0000-0000F64B0000}"/>
    <cellStyle name="Input [yellow] 5 2 27" xfId="19444" xr:uid="{00000000-0005-0000-0000-0000F74B0000}"/>
    <cellStyle name="Input [yellow] 5 2 28" xfId="19445" xr:uid="{00000000-0005-0000-0000-0000F84B0000}"/>
    <cellStyle name="Input [yellow] 5 2 29" xfId="19446" xr:uid="{00000000-0005-0000-0000-0000F94B0000}"/>
    <cellStyle name="Input [yellow] 5 2 3" xfId="19447" xr:uid="{00000000-0005-0000-0000-0000FA4B0000}"/>
    <cellStyle name="Input [yellow] 5 2 30" xfId="19448" xr:uid="{00000000-0005-0000-0000-0000FB4B0000}"/>
    <cellStyle name="Input [yellow] 5 2 31" xfId="19449" xr:uid="{00000000-0005-0000-0000-0000FC4B0000}"/>
    <cellStyle name="Input [yellow] 5 2 32" xfId="19450" xr:uid="{00000000-0005-0000-0000-0000FD4B0000}"/>
    <cellStyle name="Input [yellow] 5 2 33" xfId="19451" xr:uid="{00000000-0005-0000-0000-0000FE4B0000}"/>
    <cellStyle name="Input [yellow] 5 2 34" xfId="19452" xr:uid="{00000000-0005-0000-0000-0000FF4B0000}"/>
    <cellStyle name="Input [yellow] 5 2 35" xfId="19453" xr:uid="{00000000-0005-0000-0000-0000004C0000}"/>
    <cellStyle name="Input [yellow] 5 2 36" xfId="19454" xr:uid="{00000000-0005-0000-0000-0000014C0000}"/>
    <cellStyle name="Input [yellow] 5 2 4" xfId="19455" xr:uid="{00000000-0005-0000-0000-0000024C0000}"/>
    <cellStyle name="Input [yellow] 5 2 5" xfId="19456" xr:uid="{00000000-0005-0000-0000-0000034C0000}"/>
    <cellStyle name="Input [yellow] 5 2 6" xfId="19457" xr:uid="{00000000-0005-0000-0000-0000044C0000}"/>
    <cellStyle name="Input [yellow] 5 2 7" xfId="19458" xr:uid="{00000000-0005-0000-0000-0000054C0000}"/>
    <cellStyle name="Input [yellow] 5 2 8" xfId="19459" xr:uid="{00000000-0005-0000-0000-0000064C0000}"/>
    <cellStyle name="Input [yellow] 5 2 9" xfId="19460" xr:uid="{00000000-0005-0000-0000-0000074C0000}"/>
    <cellStyle name="Input [yellow] 5 20" xfId="19461" xr:uid="{00000000-0005-0000-0000-0000084C0000}"/>
    <cellStyle name="Input [yellow] 5 21" xfId="19462" xr:uid="{00000000-0005-0000-0000-0000094C0000}"/>
    <cellStyle name="Input [yellow] 5 22" xfId="19463" xr:uid="{00000000-0005-0000-0000-00000A4C0000}"/>
    <cellStyle name="Input [yellow] 5 23" xfId="19464" xr:uid="{00000000-0005-0000-0000-00000B4C0000}"/>
    <cellStyle name="Input [yellow] 5 24" xfId="19465" xr:uid="{00000000-0005-0000-0000-00000C4C0000}"/>
    <cellStyle name="Input [yellow] 5 25" xfId="19466" xr:uid="{00000000-0005-0000-0000-00000D4C0000}"/>
    <cellStyle name="Input [yellow] 5 26" xfId="19467" xr:uid="{00000000-0005-0000-0000-00000E4C0000}"/>
    <cellStyle name="Input [yellow] 5 27" xfId="19468" xr:uid="{00000000-0005-0000-0000-00000F4C0000}"/>
    <cellStyle name="Input [yellow] 5 28" xfId="19469" xr:uid="{00000000-0005-0000-0000-0000104C0000}"/>
    <cellStyle name="Input [yellow] 5 29" xfId="19470" xr:uid="{00000000-0005-0000-0000-0000114C0000}"/>
    <cellStyle name="Input [yellow] 5 3" xfId="19471" xr:uid="{00000000-0005-0000-0000-0000124C0000}"/>
    <cellStyle name="Input [yellow] 5 3 2" xfId="19472" xr:uid="{00000000-0005-0000-0000-0000134C0000}"/>
    <cellStyle name="Input [yellow] 5 3 2 2" xfId="19473" xr:uid="{00000000-0005-0000-0000-0000144C0000}"/>
    <cellStyle name="Input [yellow] 5 3 2 3" xfId="19474" xr:uid="{00000000-0005-0000-0000-0000154C0000}"/>
    <cellStyle name="Input [yellow] 5 3 3" xfId="19475" xr:uid="{00000000-0005-0000-0000-0000164C0000}"/>
    <cellStyle name="Input [yellow] 5 3 3 2" xfId="19476" xr:uid="{00000000-0005-0000-0000-0000174C0000}"/>
    <cellStyle name="Input [yellow] 5 3 3 3" xfId="19477" xr:uid="{00000000-0005-0000-0000-0000184C0000}"/>
    <cellStyle name="Input [yellow] 5 3 4" xfId="19478" xr:uid="{00000000-0005-0000-0000-0000194C0000}"/>
    <cellStyle name="Input [yellow] 5 3 5" xfId="19479" xr:uid="{00000000-0005-0000-0000-00001A4C0000}"/>
    <cellStyle name="Input [yellow] 5 30" xfId="19480" xr:uid="{00000000-0005-0000-0000-00001B4C0000}"/>
    <cellStyle name="Input [yellow] 5 31" xfId="19481" xr:uid="{00000000-0005-0000-0000-00001C4C0000}"/>
    <cellStyle name="Input [yellow] 5 32" xfId="19482" xr:uid="{00000000-0005-0000-0000-00001D4C0000}"/>
    <cellStyle name="Input [yellow] 5 33" xfId="19483" xr:uid="{00000000-0005-0000-0000-00001E4C0000}"/>
    <cellStyle name="Input [yellow] 5 34" xfId="19484" xr:uid="{00000000-0005-0000-0000-00001F4C0000}"/>
    <cellStyle name="Input [yellow] 5 35" xfId="19485" xr:uid="{00000000-0005-0000-0000-0000204C0000}"/>
    <cellStyle name="Input [yellow] 5 36" xfId="19486" xr:uid="{00000000-0005-0000-0000-0000214C0000}"/>
    <cellStyle name="Input [yellow] 5 4" xfId="19487" xr:uid="{00000000-0005-0000-0000-0000224C0000}"/>
    <cellStyle name="Input [yellow] 5 4 2" xfId="19488" xr:uid="{00000000-0005-0000-0000-0000234C0000}"/>
    <cellStyle name="Input [yellow] 5 4 2 2" xfId="19489" xr:uid="{00000000-0005-0000-0000-0000244C0000}"/>
    <cellStyle name="Input [yellow] 5 4 2 3" xfId="19490" xr:uid="{00000000-0005-0000-0000-0000254C0000}"/>
    <cellStyle name="Input [yellow] 5 4 3" xfId="19491" xr:uid="{00000000-0005-0000-0000-0000264C0000}"/>
    <cellStyle name="Input [yellow] 5 4 3 2" xfId="19492" xr:uid="{00000000-0005-0000-0000-0000274C0000}"/>
    <cellStyle name="Input [yellow] 5 4 3 3" xfId="19493" xr:uid="{00000000-0005-0000-0000-0000284C0000}"/>
    <cellStyle name="Input [yellow] 5 4 4" xfId="19494" xr:uid="{00000000-0005-0000-0000-0000294C0000}"/>
    <cellStyle name="Input [yellow] 5 4 5" xfId="19495" xr:uid="{00000000-0005-0000-0000-00002A4C0000}"/>
    <cellStyle name="Input [yellow] 5 5" xfId="19496" xr:uid="{00000000-0005-0000-0000-00002B4C0000}"/>
    <cellStyle name="Input [yellow] 5 5 2" xfId="19497" xr:uid="{00000000-0005-0000-0000-00002C4C0000}"/>
    <cellStyle name="Input [yellow] 5 5 3" xfId="19498" xr:uid="{00000000-0005-0000-0000-00002D4C0000}"/>
    <cellStyle name="Input [yellow] 5 6" xfId="19499" xr:uid="{00000000-0005-0000-0000-00002E4C0000}"/>
    <cellStyle name="Input [yellow] 5 7" xfId="19500" xr:uid="{00000000-0005-0000-0000-00002F4C0000}"/>
    <cellStyle name="Input [yellow] 5 8" xfId="19501" xr:uid="{00000000-0005-0000-0000-0000304C0000}"/>
    <cellStyle name="Input [yellow] 5 9" xfId="19502" xr:uid="{00000000-0005-0000-0000-0000314C0000}"/>
    <cellStyle name="Input [yellow] 6" xfId="19503" xr:uid="{00000000-0005-0000-0000-0000324C0000}"/>
    <cellStyle name="Input [yellow] 6 10" xfId="19504" xr:uid="{00000000-0005-0000-0000-0000334C0000}"/>
    <cellStyle name="Input [yellow] 6 11" xfId="19505" xr:uid="{00000000-0005-0000-0000-0000344C0000}"/>
    <cellStyle name="Input [yellow] 6 12" xfId="19506" xr:uid="{00000000-0005-0000-0000-0000354C0000}"/>
    <cellStyle name="Input [yellow] 6 13" xfId="19507" xr:uid="{00000000-0005-0000-0000-0000364C0000}"/>
    <cellStyle name="Input [yellow] 6 14" xfId="19508" xr:uid="{00000000-0005-0000-0000-0000374C0000}"/>
    <cellStyle name="Input [yellow] 6 15" xfId="19509" xr:uid="{00000000-0005-0000-0000-0000384C0000}"/>
    <cellStyle name="Input [yellow] 6 16" xfId="19510" xr:uid="{00000000-0005-0000-0000-0000394C0000}"/>
    <cellStyle name="Input [yellow] 6 17" xfId="19511" xr:uid="{00000000-0005-0000-0000-00003A4C0000}"/>
    <cellStyle name="Input [yellow] 6 18" xfId="19512" xr:uid="{00000000-0005-0000-0000-00003B4C0000}"/>
    <cellStyle name="Input [yellow] 6 19" xfId="19513" xr:uid="{00000000-0005-0000-0000-00003C4C0000}"/>
    <cellStyle name="Input [yellow] 6 2" xfId="19514" xr:uid="{00000000-0005-0000-0000-00003D4C0000}"/>
    <cellStyle name="Input [yellow] 6 2 10" xfId="19515" xr:uid="{00000000-0005-0000-0000-00003E4C0000}"/>
    <cellStyle name="Input [yellow] 6 2 11" xfId="19516" xr:uid="{00000000-0005-0000-0000-00003F4C0000}"/>
    <cellStyle name="Input [yellow] 6 2 12" xfId="19517" xr:uid="{00000000-0005-0000-0000-0000404C0000}"/>
    <cellStyle name="Input [yellow] 6 2 13" xfId="19518" xr:uid="{00000000-0005-0000-0000-0000414C0000}"/>
    <cellStyle name="Input [yellow] 6 2 14" xfId="19519" xr:uid="{00000000-0005-0000-0000-0000424C0000}"/>
    <cellStyle name="Input [yellow] 6 2 15" xfId="19520" xr:uid="{00000000-0005-0000-0000-0000434C0000}"/>
    <cellStyle name="Input [yellow] 6 2 16" xfId="19521" xr:uid="{00000000-0005-0000-0000-0000444C0000}"/>
    <cellStyle name="Input [yellow] 6 2 17" xfId="19522" xr:uid="{00000000-0005-0000-0000-0000454C0000}"/>
    <cellStyle name="Input [yellow] 6 2 18" xfId="19523" xr:uid="{00000000-0005-0000-0000-0000464C0000}"/>
    <cellStyle name="Input [yellow] 6 2 19" xfId="19524" xr:uid="{00000000-0005-0000-0000-0000474C0000}"/>
    <cellStyle name="Input [yellow] 6 2 2" xfId="19525" xr:uid="{00000000-0005-0000-0000-0000484C0000}"/>
    <cellStyle name="Input [yellow] 6 2 2 2" xfId="19526" xr:uid="{00000000-0005-0000-0000-0000494C0000}"/>
    <cellStyle name="Input [yellow] 6 2 2 3" xfId="19527" xr:uid="{00000000-0005-0000-0000-00004A4C0000}"/>
    <cellStyle name="Input [yellow] 6 2 20" xfId="19528" xr:uid="{00000000-0005-0000-0000-00004B4C0000}"/>
    <cellStyle name="Input [yellow] 6 2 21" xfId="19529" xr:uid="{00000000-0005-0000-0000-00004C4C0000}"/>
    <cellStyle name="Input [yellow] 6 2 22" xfId="19530" xr:uid="{00000000-0005-0000-0000-00004D4C0000}"/>
    <cellStyle name="Input [yellow] 6 2 23" xfId="19531" xr:uid="{00000000-0005-0000-0000-00004E4C0000}"/>
    <cellStyle name="Input [yellow] 6 2 24" xfId="19532" xr:uid="{00000000-0005-0000-0000-00004F4C0000}"/>
    <cellStyle name="Input [yellow] 6 2 25" xfId="19533" xr:uid="{00000000-0005-0000-0000-0000504C0000}"/>
    <cellStyle name="Input [yellow] 6 2 26" xfId="19534" xr:uid="{00000000-0005-0000-0000-0000514C0000}"/>
    <cellStyle name="Input [yellow] 6 2 27" xfId="19535" xr:uid="{00000000-0005-0000-0000-0000524C0000}"/>
    <cellStyle name="Input [yellow] 6 2 28" xfId="19536" xr:uid="{00000000-0005-0000-0000-0000534C0000}"/>
    <cellStyle name="Input [yellow] 6 2 29" xfId="19537" xr:uid="{00000000-0005-0000-0000-0000544C0000}"/>
    <cellStyle name="Input [yellow] 6 2 3" xfId="19538" xr:uid="{00000000-0005-0000-0000-0000554C0000}"/>
    <cellStyle name="Input [yellow] 6 2 30" xfId="19539" xr:uid="{00000000-0005-0000-0000-0000564C0000}"/>
    <cellStyle name="Input [yellow] 6 2 31" xfId="19540" xr:uid="{00000000-0005-0000-0000-0000574C0000}"/>
    <cellStyle name="Input [yellow] 6 2 32" xfId="19541" xr:uid="{00000000-0005-0000-0000-0000584C0000}"/>
    <cellStyle name="Input [yellow] 6 2 33" xfId="19542" xr:uid="{00000000-0005-0000-0000-0000594C0000}"/>
    <cellStyle name="Input [yellow] 6 2 34" xfId="19543" xr:uid="{00000000-0005-0000-0000-00005A4C0000}"/>
    <cellStyle name="Input [yellow] 6 2 35" xfId="19544" xr:uid="{00000000-0005-0000-0000-00005B4C0000}"/>
    <cellStyle name="Input [yellow] 6 2 36" xfId="19545" xr:uid="{00000000-0005-0000-0000-00005C4C0000}"/>
    <cellStyle name="Input [yellow] 6 2 4" xfId="19546" xr:uid="{00000000-0005-0000-0000-00005D4C0000}"/>
    <cellStyle name="Input [yellow] 6 2 5" xfId="19547" xr:uid="{00000000-0005-0000-0000-00005E4C0000}"/>
    <cellStyle name="Input [yellow] 6 2 6" xfId="19548" xr:uid="{00000000-0005-0000-0000-00005F4C0000}"/>
    <cellStyle name="Input [yellow] 6 2 7" xfId="19549" xr:uid="{00000000-0005-0000-0000-0000604C0000}"/>
    <cellStyle name="Input [yellow] 6 2 8" xfId="19550" xr:uid="{00000000-0005-0000-0000-0000614C0000}"/>
    <cellStyle name="Input [yellow] 6 2 9" xfId="19551" xr:uid="{00000000-0005-0000-0000-0000624C0000}"/>
    <cellStyle name="Input [yellow] 6 20" xfId="19552" xr:uid="{00000000-0005-0000-0000-0000634C0000}"/>
    <cellStyle name="Input [yellow] 6 21" xfId="19553" xr:uid="{00000000-0005-0000-0000-0000644C0000}"/>
    <cellStyle name="Input [yellow] 6 22" xfId="19554" xr:uid="{00000000-0005-0000-0000-0000654C0000}"/>
    <cellStyle name="Input [yellow] 6 23" xfId="19555" xr:uid="{00000000-0005-0000-0000-0000664C0000}"/>
    <cellStyle name="Input [yellow] 6 24" xfId="19556" xr:uid="{00000000-0005-0000-0000-0000674C0000}"/>
    <cellStyle name="Input [yellow] 6 25" xfId="19557" xr:uid="{00000000-0005-0000-0000-0000684C0000}"/>
    <cellStyle name="Input [yellow] 6 26" xfId="19558" xr:uid="{00000000-0005-0000-0000-0000694C0000}"/>
    <cellStyle name="Input [yellow] 6 27" xfId="19559" xr:uid="{00000000-0005-0000-0000-00006A4C0000}"/>
    <cellStyle name="Input [yellow] 6 28" xfId="19560" xr:uid="{00000000-0005-0000-0000-00006B4C0000}"/>
    <cellStyle name="Input [yellow] 6 29" xfId="19561" xr:uid="{00000000-0005-0000-0000-00006C4C0000}"/>
    <cellStyle name="Input [yellow] 6 3" xfId="19562" xr:uid="{00000000-0005-0000-0000-00006D4C0000}"/>
    <cellStyle name="Input [yellow] 6 3 2" xfId="19563" xr:uid="{00000000-0005-0000-0000-00006E4C0000}"/>
    <cellStyle name="Input [yellow] 6 3 2 2" xfId="19564" xr:uid="{00000000-0005-0000-0000-00006F4C0000}"/>
    <cellStyle name="Input [yellow] 6 3 2 3" xfId="19565" xr:uid="{00000000-0005-0000-0000-0000704C0000}"/>
    <cellStyle name="Input [yellow] 6 3 3" xfId="19566" xr:uid="{00000000-0005-0000-0000-0000714C0000}"/>
    <cellStyle name="Input [yellow] 6 3 3 2" xfId="19567" xr:uid="{00000000-0005-0000-0000-0000724C0000}"/>
    <cellStyle name="Input [yellow] 6 3 3 3" xfId="19568" xr:uid="{00000000-0005-0000-0000-0000734C0000}"/>
    <cellStyle name="Input [yellow] 6 3 4" xfId="19569" xr:uid="{00000000-0005-0000-0000-0000744C0000}"/>
    <cellStyle name="Input [yellow] 6 3 5" xfId="19570" xr:uid="{00000000-0005-0000-0000-0000754C0000}"/>
    <cellStyle name="Input [yellow] 6 30" xfId="19571" xr:uid="{00000000-0005-0000-0000-0000764C0000}"/>
    <cellStyle name="Input [yellow] 6 31" xfId="19572" xr:uid="{00000000-0005-0000-0000-0000774C0000}"/>
    <cellStyle name="Input [yellow] 6 32" xfId="19573" xr:uid="{00000000-0005-0000-0000-0000784C0000}"/>
    <cellStyle name="Input [yellow] 6 33" xfId="19574" xr:uid="{00000000-0005-0000-0000-0000794C0000}"/>
    <cellStyle name="Input [yellow] 6 34" xfId="19575" xr:uid="{00000000-0005-0000-0000-00007A4C0000}"/>
    <cellStyle name="Input [yellow] 6 35" xfId="19576" xr:uid="{00000000-0005-0000-0000-00007B4C0000}"/>
    <cellStyle name="Input [yellow] 6 36" xfId="19577" xr:uid="{00000000-0005-0000-0000-00007C4C0000}"/>
    <cellStyle name="Input [yellow] 6 4" xfId="19578" xr:uid="{00000000-0005-0000-0000-00007D4C0000}"/>
    <cellStyle name="Input [yellow] 6 4 2" xfId="19579" xr:uid="{00000000-0005-0000-0000-00007E4C0000}"/>
    <cellStyle name="Input [yellow] 6 4 2 2" xfId="19580" xr:uid="{00000000-0005-0000-0000-00007F4C0000}"/>
    <cellStyle name="Input [yellow] 6 4 2 3" xfId="19581" xr:uid="{00000000-0005-0000-0000-0000804C0000}"/>
    <cellStyle name="Input [yellow] 6 4 3" xfId="19582" xr:uid="{00000000-0005-0000-0000-0000814C0000}"/>
    <cellStyle name="Input [yellow] 6 4 3 2" xfId="19583" xr:uid="{00000000-0005-0000-0000-0000824C0000}"/>
    <cellStyle name="Input [yellow] 6 4 3 3" xfId="19584" xr:uid="{00000000-0005-0000-0000-0000834C0000}"/>
    <cellStyle name="Input [yellow] 6 4 4" xfId="19585" xr:uid="{00000000-0005-0000-0000-0000844C0000}"/>
    <cellStyle name="Input [yellow] 6 4 5" xfId="19586" xr:uid="{00000000-0005-0000-0000-0000854C0000}"/>
    <cellStyle name="Input [yellow] 6 5" xfId="19587" xr:uid="{00000000-0005-0000-0000-0000864C0000}"/>
    <cellStyle name="Input [yellow] 6 5 2" xfId="19588" xr:uid="{00000000-0005-0000-0000-0000874C0000}"/>
    <cellStyle name="Input [yellow] 6 5 3" xfId="19589" xr:uid="{00000000-0005-0000-0000-0000884C0000}"/>
    <cellStyle name="Input [yellow] 6 6" xfId="19590" xr:uid="{00000000-0005-0000-0000-0000894C0000}"/>
    <cellStyle name="Input [yellow] 6 7" xfId="19591" xr:uid="{00000000-0005-0000-0000-00008A4C0000}"/>
    <cellStyle name="Input [yellow] 6 8" xfId="19592" xr:uid="{00000000-0005-0000-0000-00008B4C0000}"/>
    <cellStyle name="Input [yellow] 6 9" xfId="19593" xr:uid="{00000000-0005-0000-0000-00008C4C0000}"/>
    <cellStyle name="Input [yellow] 7" xfId="19594" xr:uid="{00000000-0005-0000-0000-00008D4C0000}"/>
    <cellStyle name="Input [yellow] 7 10" xfId="19595" xr:uid="{00000000-0005-0000-0000-00008E4C0000}"/>
    <cellStyle name="Input [yellow] 7 11" xfId="19596" xr:uid="{00000000-0005-0000-0000-00008F4C0000}"/>
    <cellStyle name="Input [yellow] 7 12" xfId="19597" xr:uid="{00000000-0005-0000-0000-0000904C0000}"/>
    <cellStyle name="Input [yellow] 7 13" xfId="19598" xr:uid="{00000000-0005-0000-0000-0000914C0000}"/>
    <cellStyle name="Input [yellow] 7 14" xfId="19599" xr:uid="{00000000-0005-0000-0000-0000924C0000}"/>
    <cellStyle name="Input [yellow] 7 15" xfId="19600" xr:uid="{00000000-0005-0000-0000-0000934C0000}"/>
    <cellStyle name="Input [yellow] 7 16" xfId="19601" xr:uid="{00000000-0005-0000-0000-0000944C0000}"/>
    <cellStyle name="Input [yellow] 7 17" xfId="19602" xr:uid="{00000000-0005-0000-0000-0000954C0000}"/>
    <cellStyle name="Input [yellow] 7 18" xfId="19603" xr:uid="{00000000-0005-0000-0000-0000964C0000}"/>
    <cellStyle name="Input [yellow] 7 19" xfId="19604" xr:uid="{00000000-0005-0000-0000-0000974C0000}"/>
    <cellStyle name="Input [yellow] 7 2" xfId="19605" xr:uid="{00000000-0005-0000-0000-0000984C0000}"/>
    <cellStyle name="Input [yellow] 7 2 10" xfId="19606" xr:uid="{00000000-0005-0000-0000-0000994C0000}"/>
    <cellStyle name="Input [yellow] 7 2 11" xfId="19607" xr:uid="{00000000-0005-0000-0000-00009A4C0000}"/>
    <cellStyle name="Input [yellow] 7 2 12" xfId="19608" xr:uid="{00000000-0005-0000-0000-00009B4C0000}"/>
    <cellStyle name="Input [yellow] 7 2 13" xfId="19609" xr:uid="{00000000-0005-0000-0000-00009C4C0000}"/>
    <cellStyle name="Input [yellow] 7 2 14" xfId="19610" xr:uid="{00000000-0005-0000-0000-00009D4C0000}"/>
    <cellStyle name="Input [yellow] 7 2 15" xfId="19611" xr:uid="{00000000-0005-0000-0000-00009E4C0000}"/>
    <cellStyle name="Input [yellow] 7 2 16" xfId="19612" xr:uid="{00000000-0005-0000-0000-00009F4C0000}"/>
    <cellStyle name="Input [yellow] 7 2 17" xfId="19613" xr:uid="{00000000-0005-0000-0000-0000A04C0000}"/>
    <cellStyle name="Input [yellow] 7 2 18" xfId="19614" xr:uid="{00000000-0005-0000-0000-0000A14C0000}"/>
    <cellStyle name="Input [yellow] 7 2 19" xfId="19615" xr:uid="{00000000-0005-0000-0000-0000A24C0000}"/>
    <cellStyle name="Input [yellow] 7 2 2" xfId="19616" xr:uid="{00000000-0005-0000-0000-0000A34C0000}"/>
    <cellStyle name="Input [yellow] 7 2 2 2" xfId="19617" xr:uid="{00000000-0005-0000-0000-0000A44C0000}"/>
    <cellStyle name="Input [yellow] 7 2 2 3" xfId="19618" xr:uid="{00000000-0005-0000-0000-0000A54C0000}"/>
    <cellStyle name="Input [yellow] 7 2 20" xfId="19619" xr:uid="{00000000-0005-0000-0000-0000A64C0000}"/>
    <cellStyle name="Input [yellow] 7 2 21" xfId="19620" xr:uid="{00000000-0005-0000-0000-0000A74C0000}"/>
    <cellStyle name="Input [yellow] 7 2 22" xfId="19621" xr:uid="{00000000-0005-0000-0000-0000A84C0000}"/>
    <cellStyle name="Input [yellow] 7 2 23" xfId="19622" xr:uid="{00000000-0005-0000-0000-0000A94C0000}"/>
    <cellStyle name="Input [yellow] 7 2 24" xfId="19623" xr:uid="{00000000-0005-0000-0000-0000AA4C0000}"/>
    <cellStyle name="Input [yellow] 7 2 25" xfId="19624" xr:uid="{00000000-0005-0000-0000-0000AB4C0000}"/>
    <cellStyle name="Input [yellow] 7 2 26" xfId="19625" xr:uid="{00000000-0005-0000-0000-0000AC4C0000}"/>
    <cellStyle name="Input [yellow] 7 2 27" xfId="19626" xr:uid="{00000000-0005-0000-0000-0000AD4C0000}"/>
    <cellStyle name="Input [yellow] 7 2 28" xfId="19627" xr:uid="{00000000-0005-0000-0000-0000AE4C0000}"/>
    <cellStyle name="Input [yellow] 7 2 29" xfId="19628" xr:uid="{00000000-0005-0000-0000-0000AF4C0000}"/>
    <cellStyle name="Input [yellow] 7 2 3" xfId="19629" xr:uid="{00000000-0005-0000-0000-0000B04C0000}"/>
    <cellStyle name="Input [yellow] 7 2 30" xfId="19630" xr:uid="{00000000-0005-0000-0000-0000B14C0000}"/>
    <cellStyle name="Input [yellow] 7 2 31" xfId="19631" xr:uid="{00000000-0005-0000-0000-0000B24C0000}"/>
    <cellStyle name="Input [yellow] 7 2 32" xfId="19632" xr:uid="{00000000-0005-0000-0000-0000B34C0000}"/>
    <cellStyle name="Input [yellow] 7 2 33" xfId="19633" xr:uid="{00000000-0005-0000-0000-0000B44C0000}"/>
    <cellStyle name="Input [yellow] 7 2 34" xfId="19634" xr:uid="{00000000-0005-0000-0000-0000B54C0000}"/>
    <cellStyle name="Input [yellow] 7 2 35" xfId="19635" xr:uid="{00000000-0005-0000-0000-0000B64C0000}"/>
    <cellStyle name="Input [yellow] 7 2 36" xfId="19636" xr:uid="{00000000-0005-0000-0000-0000B74C0000}"/>
    <cellStyle name="Input [yellow] 7 2 4" xfId="19637" xr:uid="{00000000-0005-0000-0000-0000B84C0000}"/>
    <cellStyle name="Input [yellow] 7 2 5" xfId="19638" xr:uid="{00000000-0005-0000-0000-0000B94C0000}"/>
    <cellStyle name="Input [yellow] 7 2 6" xfId="19639" xr:uid="{00000000-0005-0000-0000-0000BA4C0000}"/>
    <cellStyle name="Input [yellow] 7 2 7" xfId="19640" xr:uid="{00000000-0005-0000-0000-0000BB4C0000}"/>
    <cellStyle name="Input [yellow] 7 2 8" xfId="19641" xr:uid="{00000000-0005-0000-0000-0000BC4C0000}"/>
    <cellStyle name="Input [yellow] 7 2 9" xfId="19642" xr:uid="{00000000-0005-0000-0000-0000BD4C0000}"/>
    <cellStyle name="Input [yellow] 7 20" xfId="19643" xr:uid="{00000000-0005-0000-0000-0000BE4C0000}"/>
    <cellStyle name="Input [yellow] 7 21" xfId="19644" xr:uid="{00000000-0005-0000-0000-0000BF4C0000}"/>
    <cellStyle name="Input [yellow] 7 22" xfId="19645" xr:uid="{00000000-0005-0000-0000-0000C04C0000}"/>
    <cellStyle name="Input [yellow] 7 23" xfId="19646" xr:uid="{00000000-0005-0000-0000-0000C14C0000}"/>
    <cellStyle name="Input [yellow] 7 24" xfId="19647" xr:uid="{00000000-0005-0000-0000-0000C24C0000}"/>
    <cellStyle name="Input [yellow] 7 25" xfId="19648" xr:uid="{00000000-0005-0000-0000-0000C34C0000}"/>
    <cellStyle name="Input [yellow] 7 26" xfId="19649" xr:uid="{00000000-0005-0000-0000-0000C44C0000}"/>
    <cellStyle name="Input [yellow] 7 27" xfId="19650" xr:uid="{00000000-0005-0000-0000-0000C54C0000}"/>
    <cellStyle name="Input [yellow] 7 28" xfId="19651" xr:uid="{00000000-0005-0000-0000-0000C64C0000}"/>
    <cellStyle name="Input [yellow] 7 29" xfId="19652" xr:uid="{00000000-0005-0000-0000-0000C74C0000}"/>
    <cellStyle name="Input [yellow] 7 3" xfId="19653" xr:uid="{00000000-0005-0000-0000-0000C84C0000}"/>
    <cellStyle name="Input [yellow] 7 3 2" xfId="19654" xr:uid="{00000000-0005-0000-0000-0000C94C0000}"/>
    <cellStyle name="Input [yellow] 7 3 2 2" xfId="19655" xr:uid="{00000000-0005-0000-0000-0000CA4C0000}"/>
    <cellStyle name="Input [yellow] 7 3 2 3" xfId="19656" xr:uid="{00000000-0005-0000-0000-0000CB4C0000}"/>
    <cellStyle name="Input [yellow] 7 3 3" xfId="19657" xr:uid="{00000000-0005-0000-0000-0000CC4C0000}"/>
    <cellStyle name="Input [yellow] 7 3 3 2" xfId="19658" xr:uid="{00000000-0005-0000-0000-0000CD4C0000}"/>
    <cellStyle name="Input [yellow] 7 3 3 3" xfId="19659" xr:uid="{00000000-0005-0000-0000-0000CE4C0000}"/>
    <cellStyle name="Input [yellow] 7 3 4" xfId="19660" xr:uid="{00000000-0005-0000-0000-0000CF4C0000}"/>
    <cellStyle name="Input [yellow] 7 3 5" xfId="19661" xr:uid="{00000000-0005-0000-0000-0000D04C0000}"/>
    <cellStyle name="Input [yellow] 7 30" xfId="19662" xr:uid="{00000000-0005-0000-0000-0000D14C0000}"/>
    <cellStyle name="Input [yellow] 7 31" xfId="19663" xr:uid="{00000000-0005-0000-0000-0000D24C0000}"/>
    <cellStyle name="Input [yellow] 7 32" xfId="19664" xr:uid="{00000000-0005-0000-0000-0000D34C0000}"/>
    <cellStyle name="Input [yellow] 7 33" xfId="19665" xr:uid="{00000000-0005-0000-0000-0000D44C0000}"/>
    <cellStyle name="Input [yellow] 7 34" xfId="19666" xr:uid="{00000000-0005-0000-0000-0000D54C0000}"/>
    <cellStyle name="Input [yellow] 7 35" xfId="19667" xr:uid="{00000000-0005-0000-0000-0000D64C0000}"/>
    <cellStyle name="Input [yellow] 7 36" xfId="19668" xr:uid="{00000000-0005-0000-0000-0000D74C0000}"/>
    <cellStyle name="Input [yellow] 7 4" xfId="19669" xr:uid="{00000000-0005-0000-0000-0000D84C0000}"/>
    <cellStyle name="Input [yellow] 7 4 2" xfId="19670" xr:uid="{00000000-0005-0000-0000-0000D94C0000}"/>
    <cellStyle name="Input [yellow] 7 4 2 2" xfId="19671" xr:uid="{00000000-0005-0000-0000-0000DA4C0000}"/>
    <cellStyle name="Input [yellow] 7 4 2 3" xfId="19672" xr:uid="{00000000-0005-0000-0000-0000DB4C0000}"/>
    <cellStyle name="Input [yellow] 7 4 3" xfId="19673" xr:uid="{00000000-0005-0000-0000-0000DC4C0000}"/>
    <cellStyle name="Input [yellow] 7 4 3 2" xfId="19674" xr:uid="{00000000-0005-0000-0000-0000DD4C0000}"/>
    <cellStyle name="Input [yellow] 7 4 3 3" xfId="19675" xr:uid="{00000000-0005-0000-0000-0000DE4C0000}"/>
    <cellStyle name="Input [yellow] 7 4 4" xfId="19676" xr:uid="{00000000-0005-0000-0000-0000DF4C0000}"/>
    <cellStyle name="Input [yellow] 7 4 5" xfId="19677" xr:uid="{00000000-0005-0000-0000-0000E04C0000}"/>
    <cellStyle name="Input [yellow] 7 5" xfId="19678" xr:uid="{00000000-0005-0000-0000-0000E14C0000}"/>
    <cellStyle name="Input [yellow] 7 5 2" xfId="19679" xr:uid="{00000000-0005-0000-0000-0000E24C0000}"/>
    <cellStyle name="Input [yellow] 7 5 3" xfId="19680" xr:uid="{00000000-0005-0000-0000-0000E34C0000}"/>
    <cellStyle name="Input [yellow] 7 6" xfId="19681" xr:uid="{00000000-0005-0000-0000-0000E44C0000}"/>
    <cellStyle name="Input [yellow] 7 7" xfId="19682" xr:uid="{00000000-0005-0000-0000-0000E54C0000}"/>
    <cellStyle name="Input [yellow] 7 8" xfId="19683" xr:uid="{00000000-0005-0000-0000-0000E64C0000}"/>
    <cellStyle name="Input [yellow] 7 9" xfId="19684" xr:uid="{00000000-0005-0000-0000-0000E74C0000}"/>
    <cellStyle name="Input [yellow] 8" xfId="19685" xr:uid="{00000000-0005-0000-0000-0000E84C0000}"/>
    <cellStyle name="Input [yellow] 8 10" xfId="19686" xr:uid="{00000000-0005-0000-0000-0000E94C0000}"/>
    <cellStyle name="Input [yellow] 8 11" xfId="19687" xr:uid="{00000000-0005-0000-0000-0000EA4C0000}"/>
    <cellStyle name="Input [yellow] 8 12" xfId="19688" xr:uid="{00000000-0005-0000-0000-0000EB4C0000}"/>
    <cellStyle name="Input [yellow] 8 13" xfId="19689" xr:uid="{00000000-0005-0000-0000-0000EC4C0000}"/>
    <cellStyle name="Input [yellow] 8 14" xfId="19690" xr:uid="{00000000-0005-0000-0000-0000ED4C0000}"/>
    <cellStyle name="Input [yellow] 8 15" xfId="19691" xr:uid="{00000000-0005-0000-0000-0000EE4C0000}"/>
    <cellStyle name="Input [yellow] 8 16" xfId="19692" xr:uid="{00000000-0005-0000-0000-0000EF4C0000}"/>
    <cellStyle name="Input [yellow] 8 17" xfId="19693" xr:uid="{00000000-0005-0000-0000-0000F04C0000}"/>
    <cellStyle name="Input [yellow] 8 18" xfId="19694" xr:uid="{00000000-0005-0000-0000-0000F14C0000}"/>
    <cellStyle name="Input [yellow] 8 19" xfId="19695" xr:uid="{00000000-0005-0000-0000-0000F24C0000}"/>
    <cellStyle name="Input [yellow] 8 2" xfId="19696" xr:uid="{00000000-0005-0000-0000-0000F34C0000}"/>
    <cellStyle name="Input [yellow] 8 2 10" xfId="19697" xr:uid="{00000000-0005-0000-0000-0000F44C0000}"/>
    <cellStyle name="Input [yellow] 8 2 11" xfId="19698" xr:uid="{00000000-0005-0000-0000-0000F54C0000}"/>
    <cellStyle name="Input [yellow] 8 2 12" xfId="19699" xr:uid="{00000000-0005-0000-0000-0000F64C0000}"/>
    <cellStyle name="Input [yellow] 8 2 13" xfId="19700" xr:uid="{00000000-0005-0000-0000-0000F74C0000}"/>
    <cellStyle name="Input [yellow] 8 2 14" xfId="19701" xr:uid="{00000000-0005-0000-0000-0000F84C0000}"/>
    <cellStyle name="Input [yellow] 8 2 15" xfId="19702" xr:uid="{00000000-0005-0000-0000-0000F94C0000}"/>
    <cellStyle name="Input [yellow] 8 2 16" xfId="19703" xr:uid="{00000000-0005-0000-0000-0000FA4C0000}"/>
    <cellStyle name="Input [yellow] 8 2 17" xfId="19704" xr:uid="{00000000-0005-0000-0000-0000FB4C0000}"/>
    <cellStyle name="Input [yellow] 8 2 18" xfId="19705" xr:uid="{00000000-0005-0000-0000-0000FC4C0000}"/>
    <cellStyle name="Input [yellow] 8 2 19" xfId="19706" xr:uid="{00000000-0005-0000-0000-0000FD4C0000}"/>
    <cellStyle name="Input [yellow] 8 2 2" xfId="19707" xr:uid="{00000000-0005-0000-0000-0000FE4C0000}"/>
    <cellStyle name="Input [yellow] 8 2 2 2" xfId="19708" xr:uid="{00000000-0005-0000-0000-0000FF4C0000}"/>
    <cellStyle name="Input [yellow] 8 2 2 3" xfId="19709" xr:uid="{00000000-0005-0000-0000-0000004D0000}"/>
    <cellStyle name="Input [yellow] 8 2 20" xfId="19710" xr:uid="{00000000-0005-0000-0000-0000014D0000}"/>
    <cellStyle name="Input [yellow] 8 2 21" xfId="19711" xr:uid="{00000000-0005-0000-0000-0000024D0000}"/>
    <cellStyle name="Input [yellow] 8 2 22" xfId="19712" xr:uid="{00000000-0005-0000-0000-0000034D0000}"/>
    <cellStyle name="Input [yellow] 8 2 23" xfId="19713" xr:uid="{00000000-0005-0000-0000-0000044D0000}"/>
    <cellStyle name="Input [yellow] 8 2 24" xfId="19714" xr:uid="{00000000-0005-0000-0000-0000054D0000}"/>
    <cellStyle name="Input [yellow] 8 2 25" xfId="19715" xr:uid="{00000000-0005-0000-0000-0000064D0000}"/>
    <cellStyle name="Input [yellow] 8 2 26" xfId="19716" xr:uid="{00000000-0005-0000-0000-0000074D0000}"/>
    <cellStyle name="Input [yellow] 8 2 27" xfId="19717" xr:uid="{00000000-0005-0000-0000-0000084D0000}"/>
    <cellStyle name="Input [yellow] 8 2 28" xfId="19718" xr:uid="{00000000-0005-0000-0000-0000094D0000}"/>
    <cellStyle name="Input [yellow] 8 2 29" xfId="19719" xr:uid="{00000000-0005-0000-0000-00000A4D0000}"/>
    <cellStyle name="Input [yellow] 8 2 3" xfId="19720" xr:uid="{00000000-0005-0000-0000-00000B4D0000}"/>
    <cellStyle name="Input [yellow] 8 2 30" xfId="19721" xr:uid="{00000000-0005-0000-0000-00000C4D0000}"/>
    <cellStyle name="Input [yellow] 8 2 31" xfId="19722" xr:uid="{00000000-0005-0000-0000-00000D4D0000}"/>
    <cellStyle name="Input [yellow] 8 2 32" xfId="19723" xr:uid="{00000000-0005-0000-0000-00000E4D0000}"/>
    <cellStyle name="Input [yellow] 8 2 33" xfId="19724" xr:uid="{00000000-0005-0000-0000-00000F4D0000}"/>
    <cellStyle name="Input [yellow] 8 2 34" xfId="19725" xr:uid="{00000000-0005-0000-0000-0000104D0000}"/>
    <cellStyle name="Input [yellow] 8 2 35" xfId="19726" xr:uid="{00000000-0005-0000-0000-0000114D0000}"/>
    <cellStyle name="Input [yellow] 8 2 36" xfId="19727" xr:uid="{00000000-0005-0000-0000-0000124D0000}"/>
    <cellStyle name="Input [yellow] 8 2 4" xfId="19728" xr:uid="{00000000-0005-0000-0000-0000134D0000}"/>
    <cellStyle name="Input [yellow] 8 2 5" xfId="19729" xr:uid="{00000000-0005-0000-0000-0000144D0000}"/>
    <cellStyle name="Input [yellow] 8 2 6" xfId="19730" xr:uid="{00000000-0005-0000-0000-0000154D0000}"/>
    <cellStyle name="Input [yellow] 8 2 7" xfId="19731" xr:uid="{00000000-0005-0000-0000-0000164D0000}"/>
    <cellStyle name="Input [yellow] 8 2 8" xfId="19732" xr:uid="{00000000-0005-0000-0000-0000174D0000}"/>
    <cellStyle name="Input [yellow] 8 2 9" xfId="19733" xr:uid="{00000000-0005-0000-0000-0000184D0000}"/>
    <cellStyle name="Input [yellow] 8 20" xfId="19734" xr:uid="{00000000-0005-0000-0000-0000194D0000}"/>
    <cellStyle name="Input [yellow] 8 21" xfId="19735" xr:uid="{00000000-0005-0000-0000-00001A4D0000}"/>
    <cellStyle name="Input [yellow] 8 22" xfId="19736" xr:uid="{00000000-0005-0000-0000-00001B4D0000}"/>
    <cellStyle name="Input [yellow] 8 23" xfId="19737" xr:uid="{00000000-0005-0000-0000-00001C4D0000}"/>
    <cellStyle name="Input [yellow] 8 24" xfId="19738" xr:uid="{00000000-0005-0000-0000-00001D4D0000}"/>
    <cellStyle name="Input [yellow] 8 25" xfId="19739" xr:uid="{00000000-0005-0000-0000-00001E4D0000}"/>
    <cellStyle name="Input [yellow] 8 26" xfId="19740" xr:uid="{00000000-0005-0000-0000-00001F4D0000}"/>
    <cellStyle name="Input [yellow] 8 27" xfId="19741" xr:uid="{00000000-0005-0000-0000-0000204D0000}"/>
    <cellStyle name="Input [yellow] 8 28" xfId="19742" xr:uid="{00000000-0005-0000-0000-0000214D0000}"/>
    <cellStyle name="Input [yellow] 8 29" xfId="19743" xr:uid="{00000000-0005-0000-0000-0000224D0000}"/>
    <cellStyle name="Input [yellow] 8 3" xfId="19744" xr:uid="{00000000-0005-0000-0000-0000234D0000}"/>
    <cellStyle name="Input [yellow] 8 3 2" xfId="19745" xr:uid="{00000000-0005-0000-0000-0000244D0000}"/>
    <cellStyle name="Input [yellow] 8 3 2 2" xfId="19746" xr:uid="{00000000-0005-0000-0000-0000254D0000}"/>
    <cellStyle name="Input [yellow] 8 3 2 3" xfId="19747" xr:uid="{00000000-0005-0000-0000-0000264D0000}"/>
    <cellStyle name="Input [yellow] 8 3 3" xfId="19748" xr:uid="{00000000-0005-0000-0000-0000274D0000}"/>
    <cellStyle name="Input [yellow] 8 3 3 2" xfId="19749" xr:uid="{00000000-0005-0000-0000-0000284D0000}"/>
    <cellStyle name="Input [yellow] 8 3 3 3" xfId="19750" xr:uid="{00000000-0005-0000-0000-0000294D0000}"/>
    <cellStyle name="Input [yellow] 8 3 4" xfId="19751" xr:uid="{00000000-0005-0000-0000-00002A4D0000}"/>
    <cellStyle name="Input [yellow] 8 3 5" xfId="19752" xr:uid="{00000000-0005-0000-0000-00002B4D0000}"/>
    <cellStyle name="Input [yellow] 8 30" xfId="19753" xr:uid="{00000000-0005-0000-0000-00002C4D0000}"/>
    <cellStyle name="Input [yellow] 8 31" xfId="19754" xr:uid="{00000000-0005-0000-0000-00002D4D0000}"/>
    <cellStyle name="Input [yellow] 8 32" xfId="19755" xr:uid="{00000000-0005-0000-0000-00002E4D0000}"/>
    <cellStyle name="Input [yellow] 8 33" xfId="19756" xr:uid="{00000000-0005-0000-0000-00002F4D0000}"/>
    <cellStyle name="Input [yellow] 8 34" xfId="19757" xr:uid="{00000000-0005-0000-0000-0000304D0000}"/>
    <cellStyle name="Input [yellow] 8 35" xfId="19758" xr:uid="{00000000-0005-0000-0000-0000314D0000}"/>
    <cellStyle name="Input [yellow] 8 36" xfId="19759" xr:uid="{00000000-0005-0000-0000-0000324D0000}"/>
    <cellStyle name="Input [yellow] 8 4" xfId="19760" xr:uid="{00000000-0005-0000-0000-0000334D0000}"/>
    <cellStyle name="Input [yellow] 8 4 2" xfId="19761" xr:uid="{00000000-0005-0000-0000-0000344D0000}"/>
    <cellStyle name="Input [yellow] 8 4 2 2" xfId="19762" xr:uid="{00000000-0005-0000-0000-0000354D0000}"/>
    <cellStyle name="Input [yellow] 8 4 2 3" xfId="19763" xr:uid="{00000000-0005-0000-0000-0000364D0000}"/>
    <cellStyle name="Input [yellow] 8 4 3" xfId="19764" xr:uid="{00000000-0005-0000-0000-0000374D0000}"/>
    <cellStyle name="Input [yellow] 8 4 3 2" xfId="19765" xr:uid="{00000000-0005-0000-0000-0000384D0000}"/>
    <cellStyle name="Input [yellow] 8 4 3 3" xfId="19766" xr:uid="{00000000-0005-0000-0000-0000394D0000}"/>
    <cellStyle name="Input [yellow] 8 4 4" xfId="19767" xr:uid="{00000000-0005-0000-0000-00003A4D0000}"/>
    <cellStyle name="Input [yellow] 8 4 5" xfId="19768" xr:uid="{00000000-0005-0000-0000-00003B4D0000}"/>
    <cellStyle name="Input [yellow] 8 5" xfId="19769" xr:uid="{00000000-0005-0000-0000-00003C4D0000}"/>
    <cellStyle name="Input [yellow] 8 5 2" xfId="19770" xr:uid="{00000000-0005-0000-0000-00003D4D0000}"/>
    <cellStyle name="Input [yellow] 8 5 3" xfId="19771" xr:uid="{00000000-0005-0000-0000-00003E4D0000}"/>
    <cellStyle name="Input [yellow] 8 6" xfId="19772" xr:uid="{00000000-0005-0000-0000-00003F4D0000}"/>
    <cellStyle name="Input [yellow] 8 7" xfId="19773" xr:uid="{00000000-0005-0000-0000-0000404D0000}"/>
    <cellStyle name="Input [yellow] 8 8" xfId="19774" xr:uid="{00000000-0005-0000-0000-0000414D0000}"/>
    <cellStyle name="Input [yellow] 8 9" xfId="19775" xr:uid="{00000000-0005-0000-0000-0000424D0000}"/>
    <cellStyle name="Input [yellow] 9" xfId="19776" xr:uid="{00000000-0005-0000-0000-0000434D0000}"/>
    <cellStyle name="Input [yellow] 9 10" xfId="19777" xr:uid="{00000000-0005-0000-0000-0000444D0000}"/>
    <cellStyle name="Input [yellow] 9 11" xfId="19778" xr:uid="{00000000-0005-0000-0000-0000454D0000}"/>
    <cellStyle name="Input [yellow] 9 12" xfId="19779" xr:uid="{00000000-0005-0000-0000-0000464D0000}"/>
    <cellStyle name="Input [yellow] 9 13" xfId="19780" xr:uid="{00000000-0005-0000-0000-0000474D0000}"/>
    <cellStyle name="Input [yellow] 9 14" xfId="19781" xr:uid="{00000000-0005-0000-0000-0000484D0000}"/>
    <cellStyle name="Input [yellow] 9 15" xfId="19782" xr:uid="{00000000-0005-0000-0000-0000494D0000}"/>
    <cellStyle name="Input [yellow] 9 16" xfId="19783" xr:uid="{00000000-0005-0000-0000-00004A4D0000}"/>
    <cellStyle name="Input [yellow] 9 17" xfId="19784" xr:uid="{00000000-0005-0000-0000-00004B4D0000}"/>
    <cellStyle name="Input [yellow] 9 18" xfId="19785" xr:uid="{00000000-0005-0000-0000-00004C4D0000}"/>
    <cellStyle name="Input [yellow] 9 19" xfId="19786" xr:uid="{00000000-0005-0000-0000-00004D4D0000}"/>
    <cellStyle name="Input [yellow] 9 2" xfId="19787" xr:uid="{00000000-0005-0000-0000-00004E4D0000}"/>
    <cellStyle name="Input [yellow] 9 2 10" xfId="19788" xr:uid="{00000000-0005-0000-0000-00004F4D0000}"/>
    <cellStyle name="Input [yellow] 9 2 11" xfId="19789" xr:uid="{00000000-0005-0000-0000-0000504D0000}"/>
    <cellStyle name="Input [yellow] 9 2 12" xfId="19790" xr:uid="{00000000-0005-0000-0000-0000514D0000}"/>
    <cellStyle name="Input [yellow] 9 2 13" xfId="19791" xr:uid="{00000000-0005-0000-0000-0000524D0000}"/>
    <cellStyle name="Input [yellow] 9 2 14" xfId="19792" xr:uid="{00000000-0005-0000-0000-0000534D0000}"/>
    <cellStyle name="Input [yellow] 9 2 15" xfId="19793" xr:uid="{00000000-0005-0000-0000-0000544D0000}"/>
    <cellStyle name="Input [yellow] 9 2 16" xfId="19794" xr:uid="{00000000-0005-0000-0000-0000554D0000}"/>
    <cellStyle name="Input [yellow] 9 2 17" xfId="19795" xr:uid="{00000000-0005-0000-0000-0000564D0000}"/>
    <cellStyle name="Input [yellow] 9 2 18" xfId="19796" xr:uid="{00000000-0005-0000-0000-0000574D0000}"/>
    <cellStyle name="Input [yellow] 9 2 19" xfId="19797" xr:uid="{00000000-0005-0000-0000-0000584D0000}"/>
    <cellStyle name="Input [yellow] 9 2 2" xfId="19798" xr:uid="{00000000-0005-0000-0000-0000594D0000}"/>
    <cellStyle name="Input [yellow] 9 2 2 2" xfId="19799" xr:uid="{00000000-0005-0000-0000-00005A4D0000}"/>
    <cellStyle name="Input [yellow] 9 2 2 3" xfId="19800" xr:uid="{00000000-0005-0000-0000-00005B4D0000}"/>
    <cellStyle name="Input [yellow] 9 2 20" xfId="19801" xr:uid="{00000000-0005-0000-0000-00005C4D0000}"/>
    <cellStyle name="Input [yellow] 9 2 21" xfId="19802" xr:uid="{00000000-0005-0000-0000-00005D4D0000}"/>
    <cellStyle name="Input [yellow] 9 2 22" xfId="19803" xr:uid="{00000000-0005-0000-0000-00005E4D0000}"/>
    <cellStyle name="Input [yellow] 9 2 23" xfId="19804" xr:uid="{00000000-0005-0000-0000-00005F4D0000}"/>
    <cellStyle name="Input [yellow] 9 2 24" xfId="19805" xr:uid="{00000000-0005-0000-0000-0000604D0000}"/>
    <cellStyle name="Input [yellow] 9 2 25" xfId="19806" xr:uid="{00000000-0005-0000-0000-0000614D0000}"/>
    <cellStyle name="Input [yellow] 9 2 26" xfId="19807" xr:uid="{00000000-0005-0000-0000-0000624D0000}"/>
    <cellStyle name="Input [yellow] 9 2 27" xfId="19808" xr:uid="{00000000-0005-0000-0000-0000634D0000}"/>
    <cellStyle name="Input [yellow] 9 2 28" xfId="19809" xr:uid="{00000000-0005-0000-0000-0000644D0000}"/>
    <cellStyle name="Input [yellow] 9 2 29" xfId="19810" xr:uid="{00000000-0005-0000-0000-0000654D0000}"/>
    <cellStyle name="Input [yellow] 9 2 3" xfId="19811" xr:uid="{00000000-0005-0000-0000-0000664D0000}"/>
    <cellStyle name="Input [yellow] 9 2 30" xfId="19812" xr:uid="{00000000-0005-0000-0000-0000674D0000}"/>
    <cellStyle name="Input [yellow] 9 2 31" xfId="19813" xr:uid="{00000000-0005-0000-0000-0000684D0000}"/>
    <cellStyle name="Input [yellow] 9 2 32" xfId="19814" xr:uid="{00000000-0005-0000-0000-0000694D0000}"/>
    <cellStyle name="Input [yellow] 9 2 33" xfId="19815" xr:uid="{00000000-0005-0000-0000-00006A4D0000}"/>
    <cellStyle name="Input [yellow] 9 2 34" xfId="19816" xr:uid="{00000000-0005-0000-0000-00006B4D0000}"/>
    <cellStyle name="Input [yellow] 9 2 35" xfId="19817" xr:uid="{00000000-0005-0000-0000-00006C4D0000}"/>
    <cellStyle name="Input [yellow] 9 2 36" xfId="19818" xr:uid="{00000000-0005-0000-0000-00006D4D0000}"/>
    <cellStyle name="Input [yellow] 9 2 4" xfId="19819" xr:uid="{00000000-0005-0000-0000-00006E4D0000}"/>
    <cellStyle name="Input [yellow] 9 2 5" xfId="19820" xr:uid="{00000000-0005-0000-0000-00006F4D0000}"/>
    <cellStyle name="Input [yellow] 9 2 6" xfId="19821" xr:uid="{00000000-0005-0000-0000-0000704D0000}"/>
    <cellStyle name="Input [yellow] 9 2 7" xfId="19822" xr:uid="{00000000-0005-0000-0000-0000714D0000}"/>
    <cellStyle name="Input [yellow] 9 2 8" xfId="19823" xr:uid="{00000000-0005-0000-0000-0000724D0000}"/>
    <cellStyle name="Input [yellow] 9 2 9" xfId="19824" xr:uid="{00000000-0005-0000-0000-0000734D0000}"/>
    <cellStyle name="Input [yellow] 9 20" xfId="19825" xr:uid="{00000000-0005-0000-0000-0000744D0000}"/>
    <cellStyle name="Input [yellow] 9 21" xfId="19826" xr:uid="{00000000-0005-0000-0000-0000754D0000}"/>
    <cellStyle name="Input [yellow] 9 22" xfId="19827" xr:uid="{00000000-0005-0000-0000-0000764D0000}"/>
    <cellStyle name="Input [yellow] 9 23" xfId="19828" xr:uid="{00000000-0005-0000-0000-0000774D0000}"/>
    <cellStyle name="Input [yellow] 9 24" xfId="19829" xr:uid="{00000000-0005-0000-0000-0000784D0000}"/>
    <cellStyle name="Input [yellow] 9 25" xfId="19830" xr:uid="{00000000-0005-0000-0000-0000794D0000}"/>
    <cellStyle name="Input [yellow] 9 26" xfId="19831" xr:uid="{00000000-0005-0000-0000-00007A4D0000}"/>
    <cellStyle name="Input [yellow] 9 27" xfId="19832" xr:uid="{00000000-0005-0000-0000-00007B4D0000}"/>
    <cellStyle name="Input [yellow] 9 28" xfId="19833" xr:uid="{00000000-0005-0000-0000-00007C4D0000}"/>
    <cellStyle name="Input [yellow] 9 29" xfId="19834" xr:uid="{00000000-0005-0000-0000-00007D4D0000}"/>
    <cellStyle name="Input [yellow] 9 3" xfId="19835" xr:uid="{00000000-0005-0000-0000-00007E4D0000}"/>
    <cellStyle name="Input [yellow] 9 3 2" xfId="19836" xr:uid="{00000000-0005-0000-0000-00007F4D0000}"/>
    <cellStyle name="Input [yellow] 9 3 2 2" xfId="19837" xr:uid="{00000000-0005-0000-0000-0000804D0000}"/>
    <cellStyle name="Input [yellow] 9 3 2 3" xfId="19838" xr:uid="{00000000-0005-0000-0000-0000814D0000}"/>
    <cellStyle name="Input [yellow] 9 3 3" xfId="19839" xr:uid="{00000000-0005-0000-0000-0000824D0000}"/>
    <cellStyle name="Input [yellow] 9 3 3 2" xfId="19840" xr:uid="{00000000-0005-0000-0000-0000834D0000}"/>
    <cellStyle name="Input [yellow] 9 3 3 3" xfId="19841" xr:uid="{00000000-0005-0000-0000-0000844D0000}"/>
    <cellStyle name="Input [yellow] 9 3 4" xfId="19842" xr:uid="{00000000-0005-0000-0000-0000854D0000}"/>
    <cellStyle name="Input [yellow] 9 3 5" xfId="19843" xr:uid="{00000000-0005-0000-0000-0000864D0000}"/>
    <cellStyle name="Input [yellow] 9 30" xfId="19844" xr:uid="{00000000-0005-0000-0000-0000874D0000}"/>
    <cellStyle name="Input [yellow] 9 31" xfId="19845" xr:uid="{00000000-0005-0000-0000-0000884D0000}"/>
    <cellStyle name="Input [yellow] 9 32" xfId="19846" xr:uid="{00000000-0005-0000-0000-0000894D0000}"/>
    <cellStyle name="Input [yellow] 9 33" xfId="19847" xr:uid="{00000000-0005-0000-0000-00008A4D0000}"/>
    <cellStyle name="Input [yellow] 9 34" xfId="19848" xr:uid="{00000000-0005-0000-0000-00008B4D0000}"/>
    <cellStyle name="Input [yellow] 9 35" xfId="19849" xr:uid="{00000000-0005-0000-0000-00008C4D0000}"/>
    <cellStyle name="Input [yellow] 9 36" xfId="19850" xr:uid="{00000000-0005-0000-0000-00008D4D0000}"/>
    <cellStyle name="Input [yellow] 9 4" xfId="19851" xr:uid="{00000000-0005-0000-0000-00008E4D0000}"/>
    <cellStyle name="Input [yellow] 9 4 2" xfId="19852" xr:uid="{00000000-0005-0000-0000-00008F4D0000}"/>
    <cellStyle name="Input [yellow] 9 4 2 2" xfId="19853" xr:uid="{00000000-0005-0000-0000-0000904D0000}"/>
    <cellStyle name="Input [yellow] 9 4 2 3" xfId="19854" xr:uid="{00000000-0005-0000-0000-0000914D0000}"/>
    <cellStyle name="Input [yellow] 9 4 3" xfId="19855" xr:uid="{00000000-0005-0000-0000-0000924D0000}"/>
    <cellStyle name="Input [yellow] 9 4 3 2" xfId="19856" xr:uid="{00000000-0005-0000-0000-0000934D0000}"/>
    <cellStyle name="Input [yellow] 9 4 3 3" xfId="19857" xr:uid="{00000000-0005-0000-0000-0000944D0000}"/>
    <cellStyle name="Input [yellow] 9 4 4" xfId="19858" xr:uid="{00000000-0005-0000-0000-0000954D0000}"/>
    <cellStyle name="Input [yellow] 9 4 5" xfId="19859" xr:uid="{00000000-0005-0000-0000-0000964D0000}"/>
    <cellStyle name="Input [yellow] 9 5" xfId="19860" xr:uid="{00000000-0005-0000-0000-0000974D0000}"/>
    <cellStyle name="Input [yellow] 9 5 2" xfId="19861" xr:uid="{00000000-0005-0000-0000-0000984D0000}"/>
    <cellStyle name="Input [yellow] 9 5 3" xfId="19862" xr:uid="{00000000-0005-0000-0000-0000994D0000}"/>
    <cellStyle name="Input [yellow] 9 6" xfId="19863" xr:uid="{00000000-0005-0000-0000-00009A4D0000}"/>
    <cellStyle name="Input [yellow] 9 7" xfId="19864" xr:uid="{00000000-0005-0000-0000-00009B4D0000}"/>
    <cellStyle name="Input [yellow] 9 8" xfId="19865" xr:uid="{00000000-0005-0000-0000-00009C4D0000}"/>
    <cellStyle name="Input [yellow] 9 9" xfId="19866" xr:uid="{00000000-0005-0000-0000-00009D4D0000}"/>
    <cellStyle name="Input 10" xfId="19868" xr:uid="{00000000-0005-0000-0000-00009E4D0000}"/>
    <cellStyle name="Input 10 2" xfId="19869" xr:uid="{00000000-0005-0000-0000-00009F4D0000}"/>
    <cellStyle name="Input 11" xfId="19870" xr:uid="{00000000-0005-0000-0000-0000A04D0000}"/>
    <cellStyle name="Input 11 2" xfId="19871" xr:uid="{00000000-0005-0000-0000-0000A14D0000}"/>
    <cellStyle name="Input 12" xfId="19872" xr:uid="{00000000-0005-0000-0000-0000A24D0000}"/>
    <cellStyle name="Input 12 2" xfId="19873" xr:uid="{00000000-0005-0000-0000-0000A34D0000}"/>
    <cellStyle name="Input 13" xfId="19874" xr:uid="{00000000-0005-0000-0000-0000A44D0000}"/>
    <cellStyle name="Input 13 2" xfId="19875" xr:uid="{00000000-0005-0000-0000-0000A54D0000}"/>
    <cellStyle name="Input 14" xfId="19876" xr:uid="{00000000-0005-0000-0000-0000A64D0000}"/>
    <cellStyle name="Input 14 2" xfId="19877" xr:uid="{00000000-0005-0000-0000-0000A74D0000}"/>
    <cellStyle name="Input 15" xfId="19878" xr:uid="{00000000-0005-0000-0000-0000A84D0000}"/>
    <cellStyle name="Input 15 2" xfId="19879" xr:uid="{00000000-0005-0000-0000-0000A94D0000}"/>
    <cellStyle name="Input 16" xfId="19880" xr:uid="{00000000-0005-0000-0000-0000AA4D0000}"/>
    <cellStyle name="Input 16 2" xfId="19881" xr:uid="{00000000-0005-0000-0000-0000AB4D0000}"/>
    <cellStyle name="Input 17" xfId="19882" xr:uid="{00000000-0005-0000-0000-0000AC4D0000}"/>
    <cellStyle name="Input 17 2" xfId="19883" xr:uid="{00000000-0005-0000-0000-0000AD4D0000}"/>
    <cellStyle name="Input 18" xfId="19884" xr:uid="{00000000-0005-0000-0000-0000AE4D0000}"/>
    <cellStyle name="Input 18 2" xfId="19885" xr:uid="{00000000-0005-0000-0000-0000AF4D0000}"/>
    <cellStyle name="Input 19" xfId="19886" xr:uid="{00000000-0005-0000-0000-0000B04D0000}"/>
    <cellStyle name="Input 19 2" xfId="19887" xr:uid="{00000000-0005-0000-0000-0000B14D0000}"/>
    <cellStyle name="Input 2" xfId="19888" xr:uid="{00000000-0005-0000-0000-0000B24D0000}"/>
    <cellStyle name="Input 2 10" xfId="19889" xr:uid="{00000000-0005-0000-0000-0000B34D0000}"/>
    <cellStyle name="Input 2 10 2" xfId="19890" xr:uid="{00000000-0005-0000-0000-0000B44D0000}"/>
    <cellStyle name="Input 2 11" xfId="19891" xr:uid="{00000000-0005-0000-0000-0000B54D0000}"/>
    <cellStyle name="Input 2 11 2" xfId="19892" xr:uid="{00000000-0005-0000-0000-0000B64D0000}"/>
    <cellStyle name="Input 2 12" xfId="19893" xr:uid="{00000000-0005-0000-0000-0000B74D0000}"/>
    <cellStyle name="Input 2 12 2" xfId="19894" xr:uid="{00000000-0005-0000-0000-0000B84D0000}"/>
    <cellStyle name="Input 2 13" xfId="19895" xr:uid="{00000000-0005-0000-0000-0000B94D0000}"/>
    <cellStyle name="Input 2 13 2" xfId="19896" xr:uid="{00000000-0005-0000-0000-0000BA4D0000}"/>
    <cellStyle name="Input 2 14" xfId="19897" xr:uid="{00000000-0005-0000-0000-0000BB4D0000}"/>
    <cellStyle name="Input 2 14 2" xfId="19898" xr:uid="{00000000-0005-0000-0000-0000BC4D0000}"/>
    <cellStyle name="Input 2 15" xfId="19899" xr:uid="{00000000-0005-0000-0000-0000BD4D0000}"/>
    <cellStyle name="Input 2 15 2" xfId="19900" xr:uid="{00000000-0005-0000-0000-0000BE4D0000}"/>
    <cellStyle name="Input 2 16" xfId="19901" xr:uid="{00000000-0005-0000-0000-0000BF4D0000}"/>
    <cellStyle name="Input 2 16 2" xfId="19902" xr:uid="{00000000-0005-0000-0000-0000C04D0000}"/>
    <cellStyle name="Input 2 17" xfId="19903" xr:uid="{00000000-0005-0000-0000-0000C14D0000}"/>
    <cellStyle name="Input 2 17 2" xfId="19904" xr:uid="{00000000-0005-0000-0000-0000C24D0000}"/>
    <cellStyle name="Input 2 18" xfId="19905" xr:uid="{00000000-0005-0000-0000-0000C34D0000}"/>
    <cellStyle name="Input 2 18 2" xfId="19906" xr:uid="{00000000-0005-0000-0000-0000C44D0000}"/>
    <cellStyle name="Input 2 19" xfId="19907" xr:uid="{00000000-0005-0000-0000-0000C54D0000}"/>
    <cellStyle name="Input 2 19 2" xfId="19908" xr:uid="{00000000-0005-0000-0000-0000C64D0000}"/>
    <cellStyle name="Input 2 2" xfId="19909" xr:uid="{00000000-0005-0000-0000-0000C74D0000}"/>
    <cellStyle name="Input 2 2 10" xfId="19910" xr:uid="{00000000-0005-0000-0000-0000C84D0000}"/>
    <cellStyle name="Input 2 2 11" xfId="19911" xr:uid="{00000000-0005-0000-0000-0000C94D0000}"/>
    <cellStyle name="Input 2 2 12" xfId="19912" xr:uid="{00000000-0005-0000-0000-0000CA4D0000}"/>
    <cellStyle name="Input 2 2 13" xfId="19913" xr:uid="{00000000-0005-0000-0000-0000CB4D0000}"/>
    <cellStyle name="Input 2 2 14" xfId="19914" xr:uid="{00000000-0005-0000-0000-0000CC4D0000}"/>
    <cellStyle name="Input 2 2 15" xfId="19915" xr:uid="{00000000-0005-0000-0000-0000CD4D0000}"/>
    <cellStyle name="Input 2 2 16" xfId="19916" xr:uid="{00000000-0005-0000-0000-0000CE4D0000}"/>
    <cellStyle name="Input 2 2 2" xfId="19917" xr:uid="{00000000-0005-0000-0000-0000CF4D0000}"/>
    <cellStyle name="Input 2 2 2 2" xfId="19918" xr:uid="{00000000-0005-0000-0000-0000D04D0000}"/>
    <cellStyle name="Input 2 2 3" xfId="19919" xr:uid="{00000000-0005-0000-0000-0000D14D0000}"/>
    <cellStyle name="Input 2 2 3 10" xfId="19920" xr:uid="{00000000-0005-0000-0000-0000D24D0000}"/>
    <cellStyle name="Input 2 2 3 11" xfId="19921" xr:uid="{00000000-0005-0000-0000-0000D34D0000}"/>
    <cellStyle name="Input 2 2 3 12" xfId="19922" xr:uid="{00000000-0005-0000-0000-0000D44D0000}"/>
    <cellStyle name="Input 2 2 3 13" xfId="19923" xr:uid="{00000000-0005-0000-0000-0000D54D0000}"/>
    <cellStyle name="Input 2 2 3 14" xfId="19924" xr:uid="{00000000-0005-0000-0000-0000D64D0000}"/>
    <cellStyle name="Input 2 2 3 2" xfId="19925" xr:uid="{00000000-0005-0000-0000-0000D74D0000}"/>
    <cellStyle name="Input 2 2 3 2 10" xfId="19926" xr:uid="{00000000-0005-0000-0000-0000D84D0000}"/>
    <cellStyle name="Input 2 2 3 2 11" xfId="19927" xr:uid="{00000000-0005-0000-0000-0000D94D0000}"/>
    <cellStyle name="Input 2 2 3 2 12" xfId="19928" xr:uid="{00000000-0005-0000-0000-0000DA4D0000}"/>
    <cellStyle name="Input 2 2 3 2 13" xfId="19929" xr:uid="{00000000-0005-0000-0000-0000DB4D0000}"/>
    <cellStyle name="Input 2 2 3 2 14" xfId="19930" xr:uid="{00000000-0005-0000-0000-0000DC4D0000}"/>
    <cellStyle name="Input 2 2 3 2 15" xfId="19931" xr:uid="{00000000-0005-0000-0000-0000DD4D0000}"/>
    <cellStyle name="Input 2 2 3 2 16" xfId="19932" xr:uid="{00000000-0005-0000-0000-0000DE4D0000}"/>
    <cellStyle name="Input 2 2 3 2 17" xfId="19933" xr:uid="{00000000-0005-0000-0000-0000DF4D0000}"/>
    <cellStyle name="Input 2 2 3 2 18" xfId="19934" xr:uid="{00000000-0005-0000-0000-0000E04D0000}"/>
    <cellStyle name="Input 2 2 3 2 19" xfId="19935" xr:uid="{00000000-0005-0000-0000-0000E14D0000}"/>
    <cellStyle name="Input 2 2 3 2 2" xfId="19936" xr:uid="{00000000-0005-0000-0000-0000E24D0000}"/>
    <cellStyle name="Input 2 2 3 2 2 2" xfId="19937" xr:uid="{00000000-0005-0000-0000-0000E34D0000}"/>
    <cellStyle name="Input 2 2 3 2 2 2 2" xfId="19938" xr:uid="{00000000-0005-0000-0000-0000E44D0000}"/>
    <cellStyle name="Input 2 2 3 2 2 2 3" xfId="19939" xr:uid="{00000000-0005-0000-0000-0000E54D0000}"/>
    <cellStyle name="Input 2 2 3 2 2 3" xfId="19940" xr:uid="{00000000-0005-0000-0000-0000E64D0000}"/>
    <cellStyle name="Input 2 2 3 2 2 3 2" xfId="19941" xr:uid="{00000000-0005-0000-0000-0000E74D0000}"/>
    <cellStyle name="Input 2 2 3 2 2 3 3" xfId="19942" xr:uid="{00000000-0005-0000-0000-0000E84D0000}"/>
    <cellStyle name="Input 2 2 3 2 2 4" xfId="19943" xr:uid="{00000000-0005-0000-0000-0000E94D0000}"/>
    <cellStyle name="Input 2 2 3 2 2 5" xfId="19944" xr:uid="{00000000-0005-0000-0000-0000EA4D0000}"/>
    <cellStyle name="Input 2 2 3 2 20" xfId="19945" xr:uid="{00000000-0005-0000-0000-0000EB4D0000}"/>
    <cellStyle name="Input 2 2 3 2 21" xfId="19946" xr:uid="{00000000-0005-0000-0000-0000EC4D0000}"/>
    <cellStyle name="Input 2 2 3 2 22" xfId="19947" xr:uid="{00000000-0005-0000-0000-0000ED4D0000}"/>
    <cellStyle name="Input 2 2 3 2 23" xfId="19948" xr:uid="{00000000-0005-0000-0000-0000EE4D0000}"/>
    <cellStyle name="Input 2 2 3 2 24" xfId="19949" xr:uid="{00000000-0005-0000-0000-0000EF4D0000}"/>
    <cellStyle name="Input 2 2 3 2 25" xfId="19950" xr:uid="{00000000-0005-0000-0000-0000F04D0000}"/>
    <cellStyle name="Input 2 2 3 2 26" xfId="19951" xr:uid="{00000000-0005-0000-0000-0000F14D0000}"/>
    <cellStyle name="Input 2 2 3 2 27" xfId="19952" xr:uid="{00000000-0005-0000-0000-0000F24D0000}"/>
    <cellStyle name="Input 2 2 3 2 28" xfId="19953" xr:uid="{00000000-0005-0000-0000-0000F34D0000}"/>
    <cellStyle name="Input 2 2 3 2 29" xfId="19954" xr:uid="{00000000-0005-0000-0000-0000F44D0000}"/>
    <cellStyle name="Input 2 2 3 2 3" xfId="19955" xr:uid="{00000000-0005-0000-0000-0000F54D0000}"/>
    <cellStyle name="Input 2 2 3 2 3 2" xfId="19956" xr:uid="{00000000-0005-0000-0000-0000F64D0000}"/>
    <cellStyle name="Input 2 2 3 2 3 2 2" xfId="19957" xr:uid="{00000000-0005-0000-0000-0000F74D0000}"/>
    <cellStyle name="Input 2 2 3 2 3 2 3" xfId="19958" xr:uid="{00000000-0005-0000-0000-0000F84D0000}"/>
    <cellStyle name="Input 2 2 3 2 3 3" xfId="19959" xr:uid="{00000000-0005-0000-0000-0000F94D0000}"/>
    <cellStyle name="Input 2 2 3 2 3 3 2" xfId="19960" xr:uid="{00000000-0005-0000-0000-0000FA4D0000}"/>
    <cellStyle name="Input 2 2 3 2 3 3 3" xfId="19961" xr:uid="{00000000-0005-0000-0000-0000FB4D0000}"/>
    <cellStyle name="Input 2 2 3 2 3 4" xfId="19962" xr:uid="{00000000-0005-0000-0000-0000FC4D0000}"/>
    <cellStyle name="Input 2 2 3 2 3 5" xfId="19963" xr:uid="{00000000-0005-0000-0000-0000FD4D0000}"/>
    <cellStyle name="Input 2 2 3 2 30" xfId="19964" xr:uid="{00000000-0005-0000-0000-0000FE4D0000}"/>
    <cellStyle name="Input 2 2 3 2 31" xfId="19965" xr:uid="{00000000-0005-0000-0000-0000FF4D0000}"/>
    <cellStyle name="Input 2 2 3 2 32" xfId="19966" xr:uid="{00000000-0005-0000-0000-0000004E0000}"/>
    <cellStyle name="Input 2 2 3 2 33" xfId="19967" xr:uid="{00000000-0005-0000-0000-0000014E0000}"/>
    <cellStyle name="Input 2 2 3 2 34" xfId="19968" xr:uid="{00000000-0005-0000-0000-0000024E0000}"/>
    <cellStyle name="Input 2 2 3 2 35" xfId="19969" xr:uid="{00000000-0005-0000-0000-0000034E0000}"/>
    <cellStyle name="Input 2 2 3 2 4" xfId="19970" xr:uid="{00000000-0005-0000-0000-0000044E0000}"/>
    <cellStyle name="Input 2 2 3 2 4 2" xfId="19971" xr:uid="{00000000-0005-0000-0000-0000054E0000}"/>
    <cellStyle name="Input 2 2 3 2 4 3" xfId="19972" xr:uid="{00000000-0005-0000-0000-0000064E0000}"/>
    <cellStyle name="Input 2 2 3 2 5" xfId="19973" xr:uid="{00000000-0005-0000-0000-0000074E0000}"/>
    <cellStyle name="Input 2 2 3 2 5 2" xfId="19974" xr:uid="{00000000-0005-0000-0000-0000084E0000}"/>
    <cellStyle name="Input 2 2 3 2 5 3" xfId="19975" xr:uid="{00000000-0005-0000-0000-0000094E0000}"/>
    <cellStyle name="Input 2 2 3 2 6" xfId="19976" xr:uid="{00000000-0005-0000-0000-00000A4E0000}"/>
    <cellStyle name="Input 2 2 3 2 7" xfId="19977" xr:uid="{00000000-0005-0000-0000-00000B4E0000}"/>
    <cellStyle name="Input 2 2 3 2 8" xfId="19978" xr:uid="{00000000-0005-0000-0000-00000C4E0000}"/>
    <cellStyle name="Input 2 2 3 2 9" xfId="19979" xr:uid="{00000000-0005-0000-0000-00000D4E0000}"/>
    <cellStyle name="Input 2 2 3 3" xfId="19980" xr:uid="{00000000-0005-0000-0000-00000E4E0000}"/>
    <cellStyle name="Input 2 2 3 3 2" xfId="19981" xr:uid="{00000000-0005-0000-0000-00000F4E0000}"/>
    <cellStyle name="Input 2 2 3 3 2 2" xfId="19982" xr:uid="{00000000-0005-0000-0000-0000104E0000}"/>
    <cellStyle name="Input 2 2 3 3 2 3" xfId="19983" xr:uid="{00000000-0005-0000-0000-0000114E0000}"/>
    <cellStyle name="Input 2 2 3 3 3" xfId="19984" xr:uid="{00000000-0005-0000-0000-0000124E0000}"/>
    <cellStyle name="Input 2 2 3 3 3 2" xfId="19985" xr:uid="{00000000-0005-0000-0000-0000134E0000}"/>
    <cellStyle name="Input 2 2 3 3 3 3" xfId="19986" xr:uid="{00000000-0005-0000-0000-0000144E0000}"/>
    <cellStyle name="Input 2 2 3 3 4" xfId="19987" xr:uid="{00000000-0005-0000-0000-0000154E0000}"/>
    <cellStyle name="Input 2 2 3 3 5" xfId="19988" xr:uid="{00000000-0005-0000-0000-0000164E0000}"/>
    <cellStyle name="Input 2 2 3 4" xfId="19989" xr:uid="{00000000-0005-0000-0000-0000174E0000}"/>
    <cellStyle name="Input 2 2 3 4 2" xfId="19990" xr:uid="{00000000-0005-0000-0000-0000184E0000}"/>
    <cellStyle name="Input 2 2 3 4 3" xfId="19991" xr:uid="{00000000-0005-0000-0000-0000194E0000}"/>
    <cellStyle name="Input 2 2 3 5" xfId="19992" xr:uid="{00000000-0005-0000-0000-00001A4E0000}"/>
    <cellStyle name="Input 2 2 3 5 2" xfId="19993" xr:uid="{00000000-0005-0000-0000-00001B4E0000}"/>
    <cellStyle name="Input 2 2 3 5 3" xfId="19994" xr:uid="{00000000-0005-0000-0000-00001C4E0000}"/>
    <cellStyle name="Input 2 2 3 6" xfId="19995" xr:uid="{00000000-0005-0000-0000-00001D4E0000}"/>
    <cellStyle name="Input 2 2 3 7" xfId="19996" xr:uid="{00000000-0005-0000-0000-00001E4E0000}"/>
    <cellStyle name="Input 2 2 3 8" xfId="19997" xr:uid="{00000000-0005-0000-0000-00001F4E0000}"/>
    <cellStyle name="Input 2 2 3 9" xfId="19998" xr:uid="{00000000-0005-0000-0000-0000204E0000}"/>
    <cellStyle name="Input 2 2 4" xfId="19999" xr:uid="{00000000-0005-0000-0000-0000214E0000}"/>
    <cellStyle name="Input 2 2 4 10" xfId="20000" xr:uid="{00000000-0005-0000-0000-0000224E0000}"/>
    <cellStyle name="Input 2 2 4 11" xfId="20001" xr:uid="{00000000-0005-0000-0000-0000234E0000}"/>
    <cellStyle name="Input 2 2 4 12" xfId="20002" xr:uid="{00000000-0005-0000-0000-0000244E0000}"/>
    <cellStyle name="Input 2 2 4 13" xfId="20003" xr:uid="{00000000-0005-0000-0000-0000254E0000}"/>
    <cellStyle name="Input 2 2 4 14" xfId="20004" xr:uid="{00000000-0005-0000-0000-0000264E0000}"/>
    <cellStyle name="Input 2 2 4 15" xfId="20005" xr:uid="{00000000-0005-0000-0000-0000274E0000}"/>
    <cellStyle name="Input 2 2 4 16" xfId="20006" xr:uid="{00000000-0005-0000-0000-0000284E0000}"/>
    <cellStyle name="Input 2 2 4 17" xfId="20007" xr:uid="{00000000-0005-0000-0000-0000294E0000}"/>
    <cellStyle name="Input 2 2 4 18" xfId="20008" xr:uid="{00000000-0005-0000-0000-00002A4E0000}"/>
    <cellStyle name="Input 2 2 4 19" xfId="20009" xr:uid="{00000000-0005-0000-0000-00002B4E0000}"/>
    <cellStyle name="Input 2 2 4 2" xfId="20010" xr:uid="{00000000-0005-0000-0000-00002C4E0000}"/>
    <cellStyle name="Input 2 2 4 2 2" xfId="20011" xr:uid="{00000000-0005-0000-0000-00002D4E0000}"/>
    <cellStyle name="Input 2 2 4 2 2 2" xfId="20012" xr:uid="{00000000-0005-0000-0000-00002E4E0000}"/>
    <cellStyle name="Input 2 2 4 2 2 3" xfId="20013" xr:uid="{00000000-0005-0000-0000-00002F4E0000}"/>
    <cellStyle name="Input 2 2 4 2 3" xfId="20014" xr:uid="{00000000-0005-0000-0000-0000304E0000}"/>
    <cellStyle name="Input 2 2 4 2 3 2" xfId="20015" xr:uid="{00000000-0005-0000-0000-0000314E0000}"/>
    <cellStyle name="Input 2 2 4 2 3 3" xfId="20016" xr:uid="{00000000-0005-0000-0000-0000324E0000}"/>
    <cellStyle name="Input 2 2 4 2 4" xfId="20017" xr:uid="{00000000-0005-0000-0000-0000334E0000}"/>
    <cellStyle name="Input 2 2 4 2 5" xfId="20018" xr:uid="{00000000-0005-0000-0000-0000344E0000}"/>
    <cellStyle name="Input 2 2 4 20" xfId="20019" xr:uid="{00000000-0005-0000-0000-0000354E0000}"/>
    <cellStyle name="Input 2 2 4 21" xfId="20020" xr:uid="{00000000-0005-0000-0000-0000364E0000}"/>
    <cellStyle name="Input 2 2 4 22" xfId="20021" xr:uid="{00000000-0005-0000-0000-0000374E0000}"/>
    <cellStyle name="Input 2 2 4 23" xfId="20022" xr:uid="{00000000-0005-0000-0000-0000384E0000}"/>
    <cellStyle name="Input 2 2 4 24" xfId="20023" xr:uid="{00000000-0005-0000-0000-0000394E0000}"/>
    <cellStyle name="Input 2 2 4 25" xfId="20024" xr:uid="{00000000-0005-0000-0000-00003A4E0000}"/>
    <cellStyle name="Input 2 2 4 26" xfId="20025" xr:uid="{00000000-0005-0000-0000-00003B4E0000}"/>
    <cellStyle name="Input 2 2 4 27" xfId="20026" xr:uid="{00000000-0005-0000-0000-00003C4E0000}"/>
    <cellStyle name="Input 2 2 4 28" xfId="20027" xr:uid="{00000000-0005-0000-0000-00003D4E0000}"/>
    <cellStyle name="Input 2 2 4 29" xfId="20028" xr:uid="{00000000-0005-0000-0000-00003E4E0000}"/>
    <cellStyle name="Input 2 2 4 3" xfId="20029" xr:uid="{00000000-0005-0000-0000-00003F4E0000}"/>
    <cellStyle name="Input 2 2 4 3 2" xfId="20030" xr:uid="{00000000-0005-0000-0000-0000404E0000}"/>
    <cellStyle name="Input 2 2 4 3 2 2" xfId="20031" xr:uid="{00000000-0005-0000-0000-0000414E0000}"/>
    <cellStyle name="Input 2 2 4 3 2 3" xfId="20032" xr:uid="{00000000-0005-0000-0000-0000424E0000}"/>
    <cellStyle name="Input 2 2 4 3 3" xfId="20033" xr:uid="{00000000-0005-0000-0000-0000434E0000}"/>
    <cellStyle name="Input 2 2 4 3 3 2" xfId="20034" xr:uid="{00000000-0005-0000-0000-0000444E0000}"/>
    <cellStyle name="Input 2 2 4 3 3 3" xfId="20035" xr:uid="{00000000-0005-0000-0000-0000454E0000}"/>
    <cellStyle name="Input 2 2 4 3 4" xfId="20036" xr:uid="{00000000-0005-0000-0000-0000464E0000}"/>
    <cellStyle name="Input 2 2 4 3 5" xfId="20037" xr:uid="{00000000-0005-0000-0000-0000474E0000}"/>
    <cellStyle name="Input 2 2 4 30" xfId="20038" xr:uid="{00000000-0005-0000-0000-0000484E0000}"/>
    <cellStyle name="Input 2 2 4 31" xfId="20039" xr:uid="{00000000-0005-0000-0000-0000494E0000}"/>
    <cellStyle name="Input 2 2 4 32" xfId="20040" xr:uid="{00000000-0005-0000-0000-00004A4E0000}"/>
    <cellStyle name="Input 2 2 4 33" xfId="20041" xr:uid="{00000000-0005-0000-0000-00004B4E0000}"/>
    <cellStyle name="Input 2 2 4 34" xfId="20042" xr:uid="{00000000-0005-0000-0000-00004C4E0000}"/>
    <cellStyle name="Input 2 2 4 35" xfId="20043" xr:uid="{00000000-0005-0000-0000-00004D4E0000}"/>
    <cellStyle name="Input 2 2 4 4" xfId="20044" xr:uid="{00000000-0005-0000-0000-00004E4E0000}"/>
    <cellStyle name="Input 2 2 4 4 2" xfId="20045" xr:uid="{00000000-0005-0000-0000-00004F4E0000}"/>
    <cellStyle name="Input 2 2 4 4 3" xfId="20046" xr:uid="{00000000-0005-0000-0000-0000504E0000}"/>
    <cellStyle name="Input 2 2 4 5" xfId="20047" xr:uid="{00000000-0005-0000-0000-0000514E0000}"/>
    <cellStyle name="Input 2 2 4 5 2" xfId="20048" xr:uid="{00000000-0005-0000-0000-0000524E0000}"/>
    <cellStyle name="Input 2 2 4 5 3" xfId="20049" xr:uid="{00000000-0005-0000-0000-0000534E0000}"/>
    <cellStyle name="Input 2 2 4 6" xfId="20050" xr:uid="{00000000-0005-0000-0000-0000544E0000}"/>
    <cellStyle name="Input 2 2 4 7" xfId="20051" xr:uid="{00000000-0005-0000-0000-0000554E0000}"/>
    <cellStyle name="Input 2 2 4 8" xfId="20052" xr:uid="{00000000-0005-0000-0000-0000564E0000}"/>
    <cellStyle name="Input 2 2 4 9" xfId="20053" xr:uid="{00000000-0005-0000-0000-0000574E0000}"/>
    <cellStyle name="Input 2 2 5" xfId="20054" xr:uid="{00000000-0005-0000-0000-0000584E0000}"/>
    <cellStyle name="Input 2 2 5 2" xfId="20055" xr:uid="{00000000-0005-0000-0000-0000594E0000}"/>
    <cellStyle name="Input 2 2 5 2 2" xfId="20056" xr:uid="{00000000-0005-0000-0000-00005A4E0000}"/>
    <cellStyle name="Input 2 2 5 2 3" xfId="20057" xr:uid="{00000000-0005-0000-0000-00005B4E0000}"/>
    <cellStyle name="Input 2 2 5 3" xfId="20058" xr:uid="{00000000-0005-0000-0000-00005C4E0000}"/>
    <cellStyle name="Input 2 2 5 3 2" xfId="20059" xr:uid="{00000000-0005-0000-0000-00005D4E0000}"/>
    <cellStyle name="Input 2 2 5 3 3" xfId="20060" xr:uid="{00000000-0005-0000-0000-00005E4E0000}"/>
    <cellStyle name="Input 2 2 5 4" xfId="20061" xr:uid="{00000000-0005-0000-0000-00005F4E0000}"/>
    <cellStyle name="Input 2 2 5 5" xfId="20062" xr:uid="{00000000-0005-0000-0000-0000604E0000}"/>
    <cellStyle name="Input 2 2 6" xfId="20063" xr:uid="{00000000-0005-0000-0000-0000614E0000}"/>
    <cellStyle name="Input 2 2 6 2" xfId="20064" xr:uid="{00000000-0005-0000-0000-0000624E0000}"/>
    <cellStyle name="Input 2 2 6 3" xfId="20065" xr:uid="{00000000-0005-0000-0000-0000634E0000}"/>
    <cellStyle name="Input 2 2 7" xfId="20066" xr:uid="{00000000-0005-0000-0000-0000644E0000}"/>
    <cellStyle name="Input 2 2 7 2" xfId="20067" xr:uid="{00000000-0005-0000-0000-0000654E0000}"/>
    <cellStyle name="Input 2 2 7 3" xfId="20068" xr:uid="{00000000-0005-0000-0000-0000664E0000}"/>
    <cellStyle name="Input 2 2 8" xfId="20069" xr:uid="{00000000-0005-0000-0000-0000674E0000}"/>
    <cellStyle name="Input 2 2 9" xfId="20070" xr:uid="{00000000-0005-0000-0000-0000684E0000}"/>
    <cellStyle name="Input 2 20" xfId="20071" xr:uid="{00000000-0005-0000-0000-0000694E0000}"/>
    <cellStyle name="Input 2 20 10" xfId="20072" xr:uid="{00000000-0005-0000-0000-00006A4E0000}"/>
    <cellStyle name="Input 2 20 11" xfId="20073" xr:uid="{00000000-0005-0000-0000-00006B4E0000}"/>
    <cellStyle name="Input 2 20 12" xfId="20074" xr:uid="{00000000-0005-0000-0000-00006C4E0000}"/>
    <cellStyle name="Input 2 20 13" xfId="20075" xr:uid="{00000000-0005-0000-0000-00006D4E0000}"/>
    <cellStyle name="Input 2 20 14" xfId="20076" xr:uid="{00000000-0005-0000-0000-00006E4E0000}"/>
    <cellStyle name="Input 2 20 2" xfId="20077" xr:uid="{00000000-0005-0000-0000-00006F4E0000}"/>
    <cellStyle name="Input 2 20 2 10" xfId="20078" xr:uid="{00000000-0005-0000-0000-0000704E0000}"/>
    <cellStyle name="Input 2 20 2 11" xfId="20079" xr:uid="{00000000-0005-0000-0000-0000714E0000}"/>
    <cellStyle name="Input 2 20 2 12" xfId="20080" xr:uid="{00000000-0005-0000-0000-0000724E0000}"/>
    <cellStyle name="Input 2 20 2 13" xfId="20081" xr:uid="{00000000-0005-0000-0000-0000734E0000}"/>
    <cellStyle name="Input 2 20 2 14" xfId="20082" xr:uid="{00000000-0005-0000-0000-0000744E0000}"/>
    <cellStyle name="Input 2 20 2 15" xfId="20083" xr:uid="{00000000-0005-0000-0000-0000754E0000}"/>
    <cellStyle name="Input 2 20 2 16" xfId="20084" xr:uid="{00000000-0005-0000-0000-0000764E0000}"/>
    <cellStyle name="Input 2 20 2 17" xfId="20085" xr:uid="{00000000-0005-0000-0000-0000774E0000}"/>
    <cellStyle name="Input 2 20 2 18" xfId="20086" xr:uid="{00000000-0005-0000-0000-0000784E0000}"/>
    <cellStyle name="Input 2 20 2 19" xfId="20087" xr:uid="{00000000-0005-0000-0000-0000794E0000}"/>
    <cellStyle name="Input 2 20 2 2" xfId="20088" xr:uid="{00000000-0005-0000-0000-00007A4E0000}"/>
    <cellStyle name="Input 2 20 2 2 2" xfId="20089" xr:uid="{00000000-0005-0000-0000-00007B4E0000}"/>
    <cellStyle name="Input 2 20 2 2 2 2" xfId="20090" xr:uid="{00000000-0005-0000-0000-00007C4E0000}"/>
    <cellStyle name="Input 2 20 2 2 2 3" xfId="20091" xr:uid="{00000000-0005-0000-0000-00007D4E0000}"/>
    <cellStyle name="Input 2 20 2 2 3" xfId="20092" xr:uid="{00000000-0005-0000-0000-00007E4E0000}"/>
    <cellStyle name="Input 2 20 2 2 3 2" xfId="20093" xr:uid="{00000000-0005-0000-0000-00007F4E0000}"/>
    <cellStyle name="Input 2 20 2 2 3 3" xfId="20094" xr:uid="{00000000-0005-0000-0000-0000804E0000}"/>
    <cellStyle name="Input 2 20 2 2 4" xfId="20095" xr:uid="{00000000-0005-0000-0000-0000814E0000}"/>
    <cellStyle name="Input 2 20 2 2 5" xfId="20096" xr:uid="{00000000-0005-0000-0000-0000824E0000}"/>
    <cellStyle name="Input 2 20 2 20" xfId="20097" xr:uid="{00000000-0005-0000-0000-0000834E0000}"/>
    <cellStyle name="Input 2 20 2 21" xfId="20098" xr:uid="{00000000-0005-0000-0000-0000844E0000}"/>
    <cellStyle name="Input 2 20 2 22" xfId="20099" xr:uid="{00000000-0005-0000-0000-0000854E0000}"/>
    <cellStyle name="Input 2 20 2 23" xfId="20100" xr:uid="{00000000-0005-0000-0000-0000864E0000}"/>
    <cellStyle name="Input 2 20 2 24" xfId="20101" xr:uid="{00000000-0005-0000-0000-0000874E0000}"/>
    <cellStyle name="Input 2 20 2 25" xfId="20102" xr:uid="{00000000-0005-0000-0000-0000884E0000}"/>
    <cellStyle name="Input 2 20 2 26" xfId="20103" xr:uid="{00000000-0005-0000-0000-0000894E0000}"/>
    <cellStyle name="Input 2 20 2 27" xfId="20104" xr:uid="{00000000-0005-0000-0000-00008A4E0000}"/>
    <cellStyle name="Input 2 20 2 28" xfId="20105" xr:uid="{00000000-0005-0000-0000-00008B4E0000}"/>
    <cellStyle name="Input 2 20 2 29" xfId="20106" xr:uid="{00000000-0005-0000-0000-00008C4E0000}"/>
    <cellStyle name="Input 2 20 2 3" xfId="20107" xr:uid="{00000000-0005-0000-0000-00008D4E0000}"/>
    <cellStyle name="Input 2 20 2 3 2" xfId="20108" xr:uid="{00000000-0005-0000-0000-00008E4E0000}"/>
    <cellStyle name="Input 2 20 2 3 2 2" xfId="20109" xr:uid="{00000000-0005-0000-0000-00008F4E0000}"/>
    <cellStyle name="Input 2 20 2 3 2 3" xfId="20110" xr:uid="{00000000-0005-0000-0000-0000904E0000}"/>
    <cellStyle name="Input 2 20 2 3 3" xfId="20111" xr:uid="{00000000-0005-0000-0000-0000914E0000}"/>
    <cellStyle name="Input 2 20 2 3 3 2" xfId="20112" xr:uid="{00000000-0005-0000-0000-0000924E0000}"/>
    <cellStyle name="Input 2 20 2 3 3 3" xfId="20113" xr:uid="{00000000-0005-0000-0000-0000934E0000}"/>
    <cellStyle name="Input 2 20 2 3 4" xfId="20114" xr:uid="{00000000-0005-0000-0000-0000944E0000}"/>
    <cellStyle name="Input 2 20 2 3 5" xfId="20115" xr:uid="{00000000-0005-0000-0000-0000954E0000}"/>
    <cellStyle name="Input 2 20 2 30" xfId="20116" xr:uid="{00000000-0005-0000-0000-0000964E0000}"/>
    <cellStyle name="Input 2 20 2 31" xfId="20117" xr:uid="{00000000-0005-0000-0000-0000974E0000}"/>
    <cellStyle name="Input 2 20 2 32" xfId="20118" xr:uid="{00000000-0005-0000-0000-0000984E0000}"/>
    <cellStyle name="Input 2 20 2 33" xfId="20119" xr:uid="{00000000-0005-0000-0000-0000994E0000}"/>
    <cellStyle name="Input 2 20 2 34" xfId="20120" xr:uid="{00000000-0005-0000-0000-00009A4E0000}"/>
    <cellStyle name="Input 2 20 2 35" xfId="20121" xr:uid="{00000000-0005-0000-0000-00009B4E0000}"/>
    <cellStyle name="Input 2 20 2 4" xfId="20122" xr:uid="{00000000-0005-0000-0000-00009C4E0000}"/>
    <cellStyle name="Input 2 20 2 4 2" xfId="20123" xr:uid="{00000000-0005-0000-0000-00009D4E0000}"/>
    <cellStyle name="Input 2 20 2 4 3" xfId="20124" xr:uid="{00000000-0005-0000-0000-00009E4E0000}"/>
    <cellStyle name="Input 2 20 2 5" xfId="20125" xr:uid="{00000000-0005-0000-0000-00009F4E0000}"/>
    <cellStyle name="Input 2 20 2 5 2" xfId="20126" xr:uid="{00000000-0005-0000-0000-0000A04E0000}"/>
    <cellStyle name="Input 2 20 2 5 3" xfId="20127" xr:uid="{00000000-0005-0000-0000-0000A14E0000}"/>
    <cellStyle name="Input 2 20 2 6" xfId="20128" xr:uid="{00000000-0005-0000-0000-0000A24E0000}"/>
    <cellStyle name="Input 2 20 2 7" xfId="20129" xr:uid="{00000000-0005-0000-0000-0000A34E0000}"/>
    <cellStyle name="Input 2 20 2 8" xfId="20130" xr:uid="{00000000-0005-0000-0000-0000A44E0000}"/>
    <cellStyle name="Input 2 20 2 9" xfId="20131" xr:uid="{00000000-0005-0000-0000-0000A54E0000}"/>
    <cellStyle name="Input 2 20 3" xfId="20132" xr:uid="{00000000-0005-0000-0000-0000A64E0000}"/>
    <cellStyle name="Input 2 20 3 2" xfId="20133" xr:uid="{00000000-0005-0000-0000-0000A74E0000}"/>
    <cellStyle name="Input 2 20 3 2 2" xfId="20134" xr:uid="{00000000-0005-0000-0000-0000A84E0000}"/>
    <cellStyle name="Input 2 20 3 2 3" xfId="20135" xr:uid="{00000000-0005-0000-0000-0000A94E0000}"/>
    <cellStyle name="Input 2 20 3 3" xfId="20136" xr:uid="{00000000-0005-0000-0000-0000AA4E0000}"/>
    <cellStyle name="Input 2 20 3 3 2" xfId="20137" xr:uid="{00000000-0005-0000-0000-0000AB4E0000}"/>
    <cellStyle name="Input 2 20 3 3 3" xfId="20138" xr:uid="{00000000-0005-0000-0000-0000AC4E0000}"/>
    <cellStyle name="Input 2 20 3 4" xfId="20139" xr:uid="{00000000-0005-0000-0000-0000AD4E0000}"/>
    <cellStyle name="Input 2 20 3 5" xfId="20140" xr:uid="{00000000-0005-0000-0000-0000AE4E0000}"/>
    <cellStyle name="Input 2 20 4" xfId="20141" xr:uid="{00000000-0005-0000-0000-0000AF4E0000}"/>
    <cellStyle name="Input 2 20 4 2" xfId="20142" xr:uid="{00000000-0005-0000-0000-0000B04E0000}"/>
    <cellStyle name="Input 2 20 4 3" xfId="20143" xr:uid="{00000000-0005-0000-0000-0000B14E0000}"/>
    <cellStyle name="Input 2 20 5" xfId="20144" xr:uid="{00000000-0005-0000-0000-0000B24E0000}"/>
    <cellStyle name="Input 2 20 5 2" xfId="20145" xr:uid="{00000000-0005-0000-0000-0000B34E0000}"/>
    <cellStyle name="Input 2 20 5 3" xfId="20146" xr:uid="{00000000-0005-0000-0000-0000B44E0000}"/>
    <cellStyle name="Input 2 20 6" xfId="20147" xr:uid="{00000000-0005-0000-0000-0000B54E0000}"/>
    <cellStyle name="Input 2 20 7" xfId="20148" xr:uid="{00000000-0005-0000-0000-0000B64E0000}"/>
    <cellStyle name="Input 2 20 8" xfId="20149" xr:uid="{00000000-0005-0000-0000-0000B74E0000}"/>
    <cellStyle name="Input 2 20 9" xfId="20150" xr:uid="{00000000-0005-0000-0000-0000B84E0000}"/>
    <cellStyle name="Input 2 21" xfId="20151" xr:uid="{00000000-0005-0000-0000-0000B94E0000}"/>
    <cellStyle name="Input 2 21 10" xfId="20152" xr:uid="{00000000-0005-0000-0000-0000BA4E0000}"/>
    <cellStyle name="Input 2 21 11" xfId="20153" xr:uid="{00000000-0005-0000-0000-0000BB4E0000}"/>
    <cellStyle name="Input 2 21 12" xfId="20154" xr:uid="{00000000-0005-0000-0000-0000BC4E0000}"/>
    <cellStyle name="Input 2 21 13" xfId="20155" xr:uid="{00000000-0005-0000-0000-0000BD4E0000}"/>
    <cellStyle name="Input 2 21 14" xfId="20156" xr:uid="{00000000-0005-0000-0000-0000BE4E0000}"/>
    <cellStyle name="Input 2 21 15" xfId="20157" xr:uid="{00000000-0005-0000-0000-0000BF4E0000}"/>
    <cellStyle name="Input 2 21 16" xfId="20158" xr:uid="{00000000-0005-0000-0000-0000C04E0000}"/>
    <cellStyle name="Input 2 21 17" xfId="20159" xr:uid="{00000000-0005-0000-0000-0000C14E0000}"/>
    <cellStyle name="Input 2 21 18" xfId="20160" xr:uid="{00000000-0005-0000-0000-0000C24E0000}"/>
    <cellStyle name="Input 2 21 19" xfId="20161" xr:uid="{00000000-0005-0000-0000-0000C34E0000}"/>
    <cellStyle name="Input 2 21 2" xfId="20162" xr:uid="{00000000-0005-0000-0000-0000C44E0000}"/>
    <cellStyle name="Input 2 21 2 2" xfId="20163" xr:uid="{00000000-0005-0000-0000-0000C54E0000}"/>
    <cellStyle name="Input 2 21 2 2 2" xfId="20164" xr:uid="{00000000-0005-0000-0000-0000C64E0000}"/>
    <cellStyle name="Input 2 21 2 2 3" xfId="20165" xr:uid="{00000000-0005-0000-0000-0000C74E0000}"/>
    <cellStyle name="Input 2 21 2 3" xfId="20166" xr:uid="{00000000-0005-0000-0000-0000C84E0000}"/>
    <cellStyle name="Input 2 21 2 3 2" xfId="20167" xr:uid="{00000000-0005-0000-0000-0000C94E0000}"/>
    <cellStyle name="Input 2 21 2 3 3" xfId="20168" xr:uid="{00000000-0005-0000-0000-0000CA4E0000}"/>
    <cellStyle name="Input 2 21 2 4" xfId="20169" xr:uid="{00000000-0005-0000-0000-0000CB4E0000}"/>
    <cellStyle name="Input 2 21 2 5" xfId="20170" xr:uid="{00000000-0005-0000-0000-0000CC4E0000}"/>
    <cellStyle name="Input 2 21 20" xfId="20171" xr:uid="{00000000-0005-0000-0000-0000CD4E0000}"/>
    <cellStyle name="Input 2 21 21" xfId="20172" xr:uid="{00000000-0005-0000-0000-0000CE4E0000}"/>
    <cellStyle name="Input 2 21 22" xfId="20173" xr:uid="{00000000-0005-0000-0000-0000CF4E0000}"/>
    <cellStyle name="Input 2 21 23" xfId="20174" xr:uid="{00000000-0005-0000-0000-0000D04E0000}"/>
    <cellStyle name="Input 2 21 24" xfId="20175" xr:uid="{00000000-0005-0000-0000-0000D14E0000}"/>
    <cellStyle name="Input 2 21 25" xfId="20176" xr:uid="{00000000-0005-0000-0000-0000D24E0000}"/>
    <cellStyle name="Input 2 21 26" xfId="20177" xr:uid="{00000000-0005-0000-0000-0000D34E0000}"/>
    <cellStyle name="Input 2 21 27" xfId="20178" xr:uid="{00000000-0005-0000-0000-0000D44E0000}"/>
    <cellStyle name="Input 2 21 28" xfId="20179" xr:uid="{00000000-0005-0000-0000-0000D54E0000}"/>
    <cellStyle name="Input 2 21 29" xfId="20180" xr:uid="{00000000-0005-0000-0000-0000D64E0000}"/>
    <cellStyle name="Input 2 21 3" xfId="20181" xr:uid="{00000000-0005-0000-0000-0000D74E0000}"/>
    <cellStyle name="Input 2 21 3 2" xfId="20182" xr:uid="{00000000-0005-0000-0000-0000D84E0000}"/>
    <cellStyle name="Input 2 21 3 2 2" xfId="20183" xr:uid="{00000000-0005-0000-0000-0000D94E0000}"/>
    <cellStyle name="Input 2 21 3 2 3" xfId="20184" xr:uid="{00000000-0005-0000-0000-0000DA4E0000}"/>
    <cellStyle name="Input 2 21 3 3" xfId="20185" xr:uid="{00000000-0005-0000-0000-0000DB4E0000}"/>
    <cellStyle name="Input 2 21 3 3 2" xfId="20186" xr:uid="{00000000-0005-0000-0000-0000DC4E0000}"/>
    <cellStyle name="Input 2 21 3 3 3" xfId="20187" xr:uid="{00000000-0005-0000-0000-0000DD4E0000}"/>
    <cellStyle name="Input 2 21 3 4" xfId="20188" xr:uid="{00000000-0005-0000-0000-0000DE4E0000}"/>
    <cellStyle name="Input 2 21 3 5" xfId="20189" xr:uid="{00000000-0005-0000-0000-0000DF4E0000}"/>
    <cellStyle name="Input 2 21 30" xfId="20190" xr:uid="{00000000-0005-0000-0000-0000E04E0000}"/>
    <cellStyle name="Input 2 21 31" xfId="20191" xr:uid="{00000000-0005-0000-0000-0000E14E0000}"/>
    <cellStyle name="Input 2 21 32" xfId="20192" xr:uid="{00000000-0005-0000-0000-0000E24E0000}"/>
    <cellStyle name="Input 2 21 33" xfId="20193" xr:uid="{00000000-0005-0000-0000-0000E34E0000}"/>
    <cellStyle name="Input 2 21 34" xfId="20194" xr:uid="{00000000-0005-0000-0000-0000E44E0000}"/>
    <cellStyle name="Input 2 21 35" xfId="20195" xr:uid="{00000000-0005-0000-0000-0000E54E0000}"/>
    <cellStyle name="Input 2 21 4" xfId="20196" xr:uid="{00000000-0005-0000-0000-0000E64E0000}"/>
    <cellStyle name="Input 2 21 4 2" xfId="20197" xr:uid="{00000000-0005-0000-0000-0000E74E0000}"/>
    <cellStyle name="Input 2 21 4 3" xfId="20198" xr:uid="{00000000-0005-0000-0000-0000E84E0000}"/>
    <cellStyle name="Input 2 21 5" xfId="20199" xr:uid="{00000000-0005-0000-0000-0000E94E0000}"/>
    <cellStyle name="Input 2 21 5 2" xfId="20200" xr:uid="{00000000-0005-0000-0000-0000EA4E0000}"/>
    <cellStyle name="Input 2 21 5 3" xfId="20201" xr:uid="{00000000-0005-0000-0000-0000EB4E0000}"/>
    <cellStyle name="Input 2 21 6" xfId="20202" xr:uid="{00000000-0005-0000-0000-0000EC4E0000}"/>
    <cellStyle name="Input 2 21 7" xfId="20203" xr:uid="{00000000-0005-0000-0000-0000ED4E0000}"/>
    <cellStyle name="Input 2 21 8" xfId="20204" xr:uid="{00000000-0005-0000-0000-0000EE4E0000}"/>
    <cellStyle name="Input 2 21 9" xfId="20205" xr:uid="{00000000-0005-0000-0000-0000EF4E0000}"/>
    <cellStyle name="Input 2 22" xfId="20206" xr:uid="{00000000-0005-0000-0000-0000F04E0000}"/>
    <cellStyle name="Input 2 22 2" xfId="20207" xr:uid="{00000000-0005-0000-0000-0000F14E0000}"/>
    <cellStyle name="Input 2 22 2 2" xfId="20208" xr:uid="{00000000-0005-0000-0000-0000F24E0000}"/>
    <cellStyle name="Input 2 22 2 3" xfId="20209" xr:uid="{00000000-0005-0000-0000-0000F34E0000}"/>
    <cellStyle name="Input 2 22 3" xfId="20210" xr:uid="{00000000-0005-0000-0000-0000F44E0000}"/>
    <cellStyle name="Input 2 22 3 2" xfId="20211" xr:uid="{00000000-0005-0000-0000-0000F54E0000}"/>
    <cellStyle name="Input 2 22 3 3" xfId="20212" xr:uid="{00000000-0005-0000-0000-0000F64E0000}"/>
    <cellStyle name="Input 2 22 4" xfId="20213" xr:uid="{00000000-0005-0000-0000-0000F74E0000}"/>
    <cellStyle name="Input 2 22 5" xfId="20214" xr:uid="{00000000-0005-0000-0000-0000F84E0000}"/>
    <cellStyle name="Input 2 23" xfId="20215" xr:uid="{00000000-0005-0000-0000-0000F94E0000}"/>
    <cellStyle name="Input 2 23 2" xfId="20216" xr:uid="{00000000-0005-0000-0000-0000FA4E0000}"/>
    <cellStyle name="Input 2 23 3" xfId="20217" xr:uid="{00000000-0005-0000-0000-0000FB4E0000}"/>
    <cellStyle name="Input 2 24" xfId="20218" xr:uid="{00000000-0005-0000-0000-0000FC4E0000}"/>
    <cellStyle name="Input 2 24 2" xfId="20219" xr:uid="{00000000-0005-0000-0000-0000FD4E0000}"/>
    <cellStyle name="Input 2 24 3" xfId="20220" xr:uid="{00000000-0005-0000-0000-0000FE4E0000}"/>
    <cellStyle name="Input 2 25" xfId="20221" xr:uid="{00000000-0005-0000-0000-0000FF4E0000}"/>
    <cellStyle name="Input 2 26" xfId="20222" xr:uid="{00000000-0005-0000-0000-0000004F0000}"/>
    <cellStyle name="Input 2 27" xfId="20223" xr:uid="{00000000-0005-0000-0000-0000014F0000}"/>
    <cellStyle name="Input 2 28" xfId="20224" xr:uid="{00000000-0005-0000-0000-0000024F0000}"/>
    <cellStyle name="Input 2 29" xfId="20225" xr:uid="{00000000-0005-0000-0000-0000034F0000}"/>
    <cellStyle name="Input 2 3" xfId="20226" xr:uid="{00000000-0005-0000-0000-0000044F0000}"/>
    <cellStyle name="Input 2 3 10" xfId="20227" xr:uid="{00000000-0005-0000-0000-0000054F0000}"/>
    <cellStyle name="Input 2 3 11" xfId="20228" xr:uid="{00000000-0005-0000-0000-0000064F0000}"/>
    <cellStyle name="Input 2 3 12" xfId="20229" xr:uid="{00000000-0005-0000-0000-0000074F0000}"/>
    <cellStyle name="Input 2 3 13" xfId="20230" xr:uid="{00000000-0005-0000-0000-0000084F0000}"/>
    <cellStyle name="Input 2 3 14" xfId="20231" xr:uid="{00000000-0005-0000-0000-0000094F0000}"/>
    <cellStyle name="Input 2 3 15" xfId="20232" xr:uid="{00000000-0005-0000-0000-00000A4F0000}"/>
    <cellStyle name="Input 2 3 2" xfId="20233" xr:uid="{00000000-0005-0000-0000-00000B4F0000}"/>
    <cellStyle name="Input 2 3 2 10" xfId="20234" xr:uid="{00000000-0005-0000-0000-00000C4F0000}"/>
    <cellStyle name="Input 2 3 2 11" xfId="20235" xr:uid="{00000000-0005-0000-0000-00000D4F0000}"/>
    <cellStyle name="Input 2 3 2 12" xfId="20236" xr:uid="{00000000-0005-0000-0000-00000E4F0000}"/>
    <cellStyle name="Input 2 3 2 13" xfId="20237" xr:uid="{00000000-0005-0000-0000-00000F4F0000}"/>
    <cellStyle name="Input 2 3 2 14" xfId="20238" xr:uid="{00000000-0005-0000-0000-0000104F0000}"/>
    <cellStyle name="Input 2 3 2 2" xfId="20239" xr:uid="{00000000-0005-0000-0000-0000114F0000}"/>
    <cellStyle name="Input 2 3 2 2 10" xfId="20240" xr:uid="{00000000-0005-0000-0000-0000124F0000}"/>
    <cellStyle name="Input 2 3 2 2 11" xfId="20241" xr:uid="{00000000-0005-0000-0000-0000134F0000}"/>
    <cellStyle name="Input 2 3 2 2 12" xfId="20242" xr:uid="{00000000-0005-0000-0000-0000144F0000}"/>
    <cellStyle name="Input 2 3 2 2 13" xfId="20243" xr:uid="{00000000-0005-0000-0000-0000154F0000}"/>
    <cellStyle name="Input 2 3 2 2 14" xfId="20244" xr:uid="{00000000-0005-0000-0000-0000164F0000}"/>
    <cellStyle name="Input 2 3 2 2 15" xfId="20245" xr:uid="{00000000-0005-0000-0000-0000174F0000}"/>
    <cellStyle name="Input 2 3 2 2 16" xfId="20246" xr:uid="{00000000-0005-0000-0000-0000184F0000}"/>
    <cellStyle name="Input 2 3 2 2 17" xfId="20247" xr:uid="{00000000-0005-0000-0000-0000194F0000}"/>
    <cellStyle name="Input 2 3 2 2 18" xfId="20248" xr:uid="{00000000-0005-0000-0000-00001A4F0000}"/>
    <cellStyle name="Input 2 3 2 2 19" xfId="20249" xr:uid="{00000000-0005-0000-0000-00001B4F0000}"/>
    <cellStyle name="Input 2 3 2 2 2" xfId="20250" xr:uid="{00000000-0005-0000-0000-00001C4F0000}"/>
    <cellStyle name="Input 2 3 2 2 2 2" xfId="20251" xr:uid="{00000000-0005-0000-0000-00001D4F0000}"/>
    <cellStyle name="Input 2 3 2 2 2 2 2" xfId="20252" xr:uid="{00000000-0005-0000-0000-00001E4F0000}"/>
    <cellStyle name="Input 2 3 2 2 2 2 3" xfId="20253" xr:uid="{00000000-0005-0000-0000-00001F4F0000}"/>
    <cellStyle name="Input 2 3 2 2 2 3" xfId="20254" xr:uid="{00000000-0005-0000-0000-0000204F0000}"/>
    <cellStyle name="Input 2 3 2 2 2 3 2" xfId="20255" xr:uid="{00000000-0005-0000-0000-0000214F0000}"/>
    <cellStyle name="Input 2 3 2 2 2 3 3" xfId="20256" xr:uid="{00000000-0005-0000-0000-0000224F0000}"/>
    <cellStyle name="Input 2 3 2 2 2 4" xfId="20257" xr:uid="{00000000-0005-0000-0000-0000234F0000}"/>
    <cellStyle name="Input 2 3 2 2 2 5" xfId="20258" xr:uid="{00000000-0005-0000-0000-0000244F0000}"/>
    <cellStyle name="Input 2 3 2 2 20" xfId="20259" xr:uid="{00000000-0005-0000-0000-0000254F0000}"/>
    <cellStyle name="Input 2 3 2 2 21" xfId="20260" xr:uid="{00000000-0005-0000-0000-0000264F0000}"/>
    <cellStyle name="Input 2 3 2 2 22" xfId="20261" xr:uid="{00000000-0005-0000-0000-0000274F0000}"/>
    <cellStyle name="Input 2 3 2 2 23" xfId="20262" xr:uid="{00000000-0005-0000-0000-0000284F0000}"/>
    <cellStyle name="Input 2 3 2 2 24" xfId="20263" xr:uid="{00000000-0005-0000-0000-0000294F0000}"/>
    <cellStyle name="Input 2 3 2 2 25" xfId="20264" xr:uid="{00000000-0005-0000-0000-00002A4F0000}"/>
    <cellStyle name="Input 2 3 2 2 26" xfId="20265" xr:uid="{00000000-0005-0000-0000-00002B4F0000}"/>
    <cellStyle name="Input 2 3 2 2 27" xfId="20266" xr:uid="{00000000-0005-0000-0000-00002C4F0000}"/>
    <cellStyle name="Input 2 3 2 2 28" xfId="20267" xr:uid="{00000000-0005-0000-0000-00002D4F0000}"/>
    <cellStyle name="Input 2 3 2 2 29" xfId="20268" xr:uid="{00000000-0005-0000-0000-00002E4F0000}"/>
    <cellStyle name="Input 2 3 2 2 3" xfId="20269" xr:uid="{00000000-0005-0000-0000-00002F4F0000}"/>
    <cellStyle name="Input 2 3 2 2 3 2" xfId="20270" xr:uid="{00000000-0005-0000-0000-0000304F0000}"/>
    <cellStyle name="Input 2 3 2 2 3 2 2" xfId="20271" xr:uid="{00000000-0005-0000-0000-0000314F0000}"/>
    <cellStyle name="Input 2 3 2 2 3 2 3" xfId="20272" xr:uid="{00000000-0005-0000-0000-0000324F0000}"/>
    <cellStyle name="Input 2 3 2 2 3 3" xfId="20273" xr:uid="{00000000-0005-0000-0000-0000334F0000}"/>
    <cellStyle name="Input 2 3 2 2 3 3 2" xfId="20274" xr:uid="{00000000-0005-0000-0000-0000344F0000}"/>
    <cellStyle name="Input 2 3 2 2 3 3 3" xfId="20275" xr:uid="{00000000-0005-0000-0000-0000354F0000}"/>
    <cellStyle name="Input 2 3 2 2 3 4" xfId="20276" xr:uid="{00000000-0005-0000-0000-0000364F0000}"/>
    <cellStyle name="Input 2 3 2 2 3 5" xfId="20277" xr:uid="{00000000-0005-0000-0000-0000374F0000}"/>
    <cellStyle name="Input 2 3 2 2 30" xfId="20278" xr:uid="{00000000-0005-0000-0000-0000384F0000}"/>
    <cellStyle name="Input 2 3 2 2 31" xfId="20279" xr:uid="{00000000-0005-0000-0000-0000394F0000}"/>
    <cellStyle name="Input 2 3 2 2 32" xfId="20280" xr:uid="{00000000-0005-0000-0000-00003A4F0000}"/>
    <cellStyle name="Input 2 3 2 2 33" xfId="20281" xr:uid="{00000000-0005-0000-0000-00003B4F0000}"/>
    <cellStyle name="Input 2 3 2 2 34" xfId="20282" xr:uid="{00000000-0005-0000-0000-00003C4F0000}"/>
    <cellStyle name="Input 2 3 2 2 35" xfId="20283" xr:uid="{00000000-0005-0000-0000-00003D4F0000}"/>
    <cellStyle name="Input 2 3 2 2 4" xfId="20284" xr:uid="{00000000-0005-0000-0000-00003E4F0000}"/>
    <cellStyle name="Input 2 3 2 2 4 2" xfId="20285" xr:uid="{00000000-0005-0000-0000-00003F4F0000}"/>
    <cellStyle name="Input 2 3 2 2 4 3" xfId="20286" xr:uid="{00000000-0005-0000-0000-0000404F0000}"/>
    <cellStyle name="Input 2 3 2 2 5" xfId="20287" xr:uid="{00000000-0005-0000-0000-0000414F0000}"/>
    <cellStyle name="Input 2 3 2 2 5 2" xfId="20288" xr:uid="{00000000-0005-0000-0000-0000424F0000}"/>
    <cellStyle name="Input 2 3 2 2 5 3" xfId="20289" xr:uid="{00000000-0005-0000-0000-0000434F0000}"/>
    <cellStyle name="Input 2 3 2 2 6" xfId="20290" xr:uid="{00000000-0005-0000-0000-0000444F0000}"/>
    <cellStyle name="Input 2 3 2 2 7" xfId="20291" xr:uid="{00000000-0005-0000-0000-0000454F0000}"/>
    <cellStyle name="Input 2 3 2 2 8" xfId="20292" xr:uid="{00000000-0005-0000-0000-0000464F0000}"/>
    <cellStyle name="Input 2 3 2 2 9" xfId="20293" xr:uid="{00000000-0005-0000-0000-0000474F0000}"/>
    <cellStyle name="Input 2 3 2 3" xfId="20294" xr:uid="{00000000-0005-0000-0000-0000484F0000}"/>
    <cellStyle name="Input 2 3 2 3 2" xfId="20295" xr:uid="{00000000-0005-0000-0000-0000494F0000}"/>
    <cellStyle name="Input 2 3 2 3 2 2" xfId="20296" xr:uid="{00000000-0005-0000-0000-00004A4F0000}"/>
    <cellStyle name="Input 2 3 2 3 2 3" xfId="20297" xr:uid="{00000000-0005-0000-0000-00004B4F0000}"/>
    <cellStyle name="Input 2 3 2 3 3" xfId="20298" xr:uid="{00000000-0005-0000-0000-00004C4F0000}"/>
    <cellStyle name="Input 2 3 2 3 3 2" xfId="20299" xr:uid="{00000000-0005-0000-0000-00004D4F0000}"/>
    <cellStyle name="Input 2 3 2 3 3 3" xfId="20300" xr:uid="{00000000-0005-0000-0000-00004E4F0000}"/>
    <cellStyle name="Input 2 3 2 3 4" xfId="20301" xr:uid="{00000000-0005-0000-0000-00004F4F0000}"/>
    <cellStyle name="Input 2 3 2 3 5" xfId="20302" xr:uid="{00000000-0005-0000-0000-0000504F0000}"/>
    <cellStyle name="Input 2 3 2 4" xfId="20303" xr:uid="{00000000-0005-0000-0000-0000514F0000}"/>
    <cellStyle name="Input 2 3 2 4 2" xfId="20304" xr:uid="{00000000-0005-0000-0000-0000524F0000}"/>
    <cellStyle name="Input 2 3 2 4 3" xfId="20305" xr:uid="{00000000-0005-0000-0000-0000534F0000}"/>
    <cellStyle name="Input 2 3 2 5" xfId="20306" xr:uid="{00000000-0005-0000-0000-0000544F0000}"/>
    <cellStyle name="Input 2 3 2 5 2" xfId="20307" xr:uid="{00000000-0005-0000-0000-0000554F0000}"/>
    <cellStyle name="Input 2 3 2 5 3" xfId="20308" xr:uid="{00000000-0005-0000-0000-0000564F0000}"/>
    <cellStyle name="Input 2 3 2 6" xfId="20309" xr:uid="{00000000-0005-0000-0000-0000574F0000}"/>
    <cellStyle name="Input 2 3 2 7" xfId="20310" xr:uid="{00000000-0005-0000-0000-0000584F0000}"/>
    <cellStyle name="Input 2 3 2 8" xfId="20311" xr:uid="{00000000-0005-0000-0000-0000594F0000}"/>
    <cellStyle name="Input 2 3 2 9" xfId="20312" xr:uid="{00000000-0005-0000-0000-00005A4F0000}"/>
    <cellStyle name="Input 2 3 3" xfId="20313" xr:uid="{00000000-0005-0000-0000-00005B4F0000}"/>
    <cellStyle name="Input 2 3 3 10" xfId="20314" xr:uid="{00000000-0005-0000-0000-00005C4F0000}"/>
    <cellStyle name="Input 2 3 3 11" xfId="20315" xr:uid="{00000000-0005-0000-0000-00005D4F0000}"/>
    <cellStyle name="Input 2 3 3 12" xfId="20316" xr:uid="{00000000-0005-0000-0000-00005E4F0000}"/>
    <cellStyle name="Input 2 3 3 13" xfId="20317" xr:uid="{00000000-0005-0000-0000-00005F4F0000}"/>
    <cellStyle name="Input 2 3 3 14" xfId="20318" xr:uid="{00000000-0005-0000-0000-0000604F0000}"/>
    <cellStyle name="Input 2 3 3 15" xfId="20319" xr:uid="{00000000-0005-0000-0000-0000614F0000}"/>
    <cellStyle name="Input 2 3 3 16" xfId="20320" xr:uid="{00000000-0005-0000-0000-0000624F0000}"/>
    <cellStyle name="Input 2 3 3 17" xfId="20321" xr:uid="{00000000-0005-0000-0000-0000634F0000}"/>
    <cellStyle name="Input 2 3 3 18" xfId="20322" xr:uid="{00000000-0005-0000-0000-0000644F0000}"/>
    <cellStyle name="Input 2 3 3 19" xfId="20323" xr:uid="{00000000-0005-0000-0000-0000654F0000}"/>
    <cellStyle name="Input 2 3 3 2" xfId="20324" xr:uid="{00000000-0005-0000-0000-0000664F0000}"/>
    <cellStyle name="Input 2 3 3 2 2" xfId="20325" xr:uid="{00000000-0005-0000-0000-0000674F0000}"/>
    <cellStyle name="Input 2 3 3 2 2 2" xfId="20326" xr:uid="{00000000-0005-0000-0000-0000684F0000}"/>
    <cellStyle name="Input 2 3 3 2 2 3" xfId="20327" xr:uid="{00000000-0005-0000-0000-0000694F0000}"/>
    <cellStyle name="Input 2 3 3 2 3" xfId="20328" xr:uid="{00000000-0005-0000-0000-00006A4F0000}"/>
    <cellStyle name="Input 2 3 3 2 3 2" xfId="20329" xr:uid="{00000000-0005-0000-0000-00006B4F0000}"/>
    <cellStyle name="Input 2 3 3 2 3 3" xfId="20330" xr:uid="{00000000-0005-0000-0000-00006C4F0000}"/>
    <cellStyle name="Input 2 3 3 2 4" xfId="20331" xr:uid="{00000000-0005-0000-0000-00006D4F0000}"/>
    <cellStyle name="Input 2 3 3 2 5" xfId="20332" xr:uid="{00000000-0005-0000-0000-00006E4F0000}"/>
    <cellStyle name="Input 2 3 3 20" xfId="20333" xr:uid="{00000000-0005-0000-0000-00006F4F0000}"/>
    <cellStyle name="Input 2 3 3 21" xfId="20334" xr:uid="{00000000-0005-0000-0000-0000704F0000}"/>
    <cellStyle name="Input 2 3 3 22" xfId="20335" xr:uid="{00000000-0005-0000-0000-0000714F0000}"/>
    <cellStyle name="Input 2 3 3 23" xfId="20336" xr:uid="{00000000-0005-0000-0000-0000724F0000}"/>
    <cellStyle name="Input 2 3 3 24" xfId="20337" xr:uid="{00000000-0005-0000-0000-0000734F0000}"/>
    <cellStyle name="Input 2 3 3 25" xfId="20338" xr:uid="{00000000-0005-0000-0000-0000744F0000}"/>
    <cellStyle name="Input 2 3 3 26" xfId="20339" xr:uid="{00000000-0005-0000-0000-0000754F0000}"/>
    <cellStyle name="Input 2 3 3 27" xfId="20340" xr:uid="{00000000-0005-0000-0000-0000764F0000}"/>
    <cellStyle name="Input 2 3 3 28" xfId="20341" xr:uid="{00000000-0005-0000-0000-0000774F0000}"/>
    <cellStyle name="Input 2 3 3 29" xfId="20342" xr:uid="{00000000-0005-0000-0000-0000784F0000}"/>
    <cellStyle name="Input 2 3 3 3" xfId="20343" xr:uid="{00000000-0005-0000-0000-0000794F0000}"/>
    <cellStyle name="Input 2 3 3 3 2" xfId="20344" xr:uid="{00000000-0005-0000-0000-00007A4F0000}"/>
    <cellStyle name="Input 2 3 3 3 2 2" xfId="20345" xr:uid="{00000000-0005-0000-0000-00007B4F0000}"/>
    <cellStyle name="Input 2 3 3 3 2 3" xfId="20346" xr:uid="{00000000-0005-0000-0000-00007C4F0000}"/>
    <cellStyle name="Input 2 3 3 3 3" xfId="20347" xr:uid="{00000000-0005-0000-0000-00007D4F0000}"/>
    <cellStyle name="Input 2 3 3 3 3 2" xfId="20348" xr:uid="{00000000-0005-0000-0000-00007E4F0000}"/>
    <cellStyle name="Input 2 3 3 3 3 3" xfId="20349" xr:uid="{00000000-0005-0000-0000-00007F4F0000}"/>
    <cellStyle name="Input 2 3 3 3 4" xfId="20350" xr:uid="{00000000-0005-0000-0000-0000804F0000}"/>
    <cellStyle name="Input 2 3 3 3 5" xfId="20351" xr:uid="{00000000-0005-0000-0000-0000814F0000}"/>
    <cellStyle name="Input 2 3 3 30" xfId="20352" xr:uid="{00000000-0005-0000-0000-0000824F0000}"/>
    <cellStyle name="Input 2 3 3 31" xfId="20353" xr:uid="{00000000-0005-0000-0000-0000834F0000}"/>
    <cellStyle name="Input 2 3 3 32" xfId="20354" xr:uid="{00000000-0005-0000-0000-0000844F0000}"/>
    <cellStyle name="Input 2 3 3 33" xfId="20355" xr:uid="{00000000-0005-0000-0000-0000854F0000}"/>
    <cellStyle name="Input 2 3 3 34" xfId="20356" xr:uid="{00000000-0005-0000-0000-0000864F0000}"/>
    <cellStyle name="Input 2 3 3 35" xfId="20357" xr:uid="{00000000-0005-0000-0000-0000874F0000}"/>
    <cellStyle name="Input 2 3 3 4" xfId="20358" xr:uid="{00000000-0005-0000-0000-0000884F0000}"/>
    <cellStyle name="Input 2 3 3 4 2" xfId="20359" xr:uid="{00000000-0005-0000-0000-0000894F0000}"/>
    <cellStyle name="Input 2 3 3 4 3" xfId="20360" xr:uid="{00000000-0005-0000-0000-00008A4F0000}"/>
    <cellStyle name="Input 2 3 3 5" xfId="20361" xr:uid="{00000000-0005-0000-0000-00008B4F0000}"/>
    <cellStyle name="Input 2 3 3 5 2" xfId="20362" xr:uid="{00000000-0005-0000-0000-00008C4F0000}"/>
    <cellStyle name="Input 2 3 3 5 3" xfId="20363" xr:uid="{00000000-0005-0000-0000-00008D4F0000}"/>
    <cellStyle name="Input 2 3 3 6" xfId="20364" xr:uid="{00000000-0005-0000-0000-00008E4F0000}"/>
    <cellStyle name="Input 2 3 3 7" xfId="20365" xr:uid="{00000000-0005-0000-0000-00008F4F0000}"/>
    <cellStyle name="Input 2 3 3 8" xfId="20366" xr:uid="{00000000-0005-0000-0000-0000904F0000}"/>
    <cellStyle name="Input 2 3 3 9" xfId="20367" xr:uid="{00000000-0005-0000-0000-0000914F0000}"/>
    <cellStyle name="Input 2 3 4" xfId="20368" xr:uid="{00000000-0005-0000-0000-0000924F0000}"/>
    <cellStyle name="Input 2 3 4 2" xfId="20369" xr:uid="{00000000-0005-0000-0000-0000934F0000}"/>
    <cellStyle name="Input 2 3 4 2 2" xfId="20370" xr:uid="{00000000-0005-0000-0000-0000944F0000}"/>
    <cellStyle name="Input 2 3 4 2 3" xfId="20371" xr:uid="{00000000-0005-0000-0000-0000954F0000}"/>
    <cellStyle name="Input 2 3 4 3" xfId="20372" xr:uid="{00000000-0005-0000-0000-0000964F0000}"/>
    <cellStyle name="Input 2 3 4 3 2" xfId="20373" xr:uid="{00000000-0005-0000-0000-0000974F0000}"/>
    <cellStyle name="Input 2 3 4 3 3" xfId="20374" xr:uid="{00000000-0005-0000-0000-0000984F0000}"/>
    <cellStyle name="Input 2 3 4 4" xfId="20375" xr:uid="{00000000-0005-0000-0000-0000994F0000}"/>
    <cellStyle name="Input 2 3 4 5" xfId="20376" xr:uid="{00000000-0005-0000-0000-00009A4F0000}"/>
    <cellStyle name="Input 2 3 5" xfId="20377" xr:uid="{00000000-0005-0000-0000-00009B4F0000}"/>
    <cellStyle name="Input 2 3 5 2" xfId="20378" xr:uid="{00000000-0005-0000-0000-00009C4F0000}"/>
    <cellStyle name="Input 2 3 5 3" xfId="20379" xr:uid="{00000000-0005-0000-0000-00009D4F0000}"/>
    <cellStyle name="Input 2 3 6" xfId="20380" xr:uid="{00000000-0005-0000-0000-00009E4F0000}"/>
    <cellStyle name="Input 2 3 6 2" xfId="20381" xr:uid="{00000000-0005-0000-0000-00009F4F0000}"/>
    <cellStyle name="Input 2 3 6 3" xfId="20382" xr:uid="{00000000-0005-0000-0000-0000A04F0000}"/>
    <cellStyle name="Input 2 3 7" xfId="20383" xr:uid="{00000000-0005-0000-0000-0000A14F0000}"/>
    <cellStyle name="Input 2 3 8" xfId="20384" xr:uid="{00000000-0005-0000-0000-0000A24F0000}"/>
    <cellStyle name="Input 2 3 9" xfId="20385" xr:uid="{00000000-0005-0000-0000-0000A34F0000}"/>
    <cellStyle name="Input 2 30" xfId="20386" xr:uid="{00000000-0005-0000-0000-0000A44F0000}"/>
    <cellStyle name="Input 2 31" xfId="20387" xr:uid="{00000000-0005-0000-0000-0000A54F0000}"/>
    <cellStyle name="Input 2 32" xfId="20388" xr:uid="{00000000-0005-0000-0000-0000A64F0000}"/>
    <cellStyle name="Input 2 33" xfId="20389" xr:uid="{00000000-0005-0000-0000-0000A74F0000}"/>
    <cellStyle name="Input 2 4" xfId="20390" xr:uid="{00000000-0005-0000-0000-0000A84F0000}"/>
    <cellStyle name="Input 2 4 10" xfId="20391" xr:uid="{00000000-0005-0000-0000-0000A94F0000}"/>
    <cellStyle name="Input 2 4 11" xfId="20392" xr:uid="{00000000-0005-0000-0000-0000AA4F0000}"/>
    <cellStyle name="Input 2 4 12" xfId="20393" xr:uid="{00000000-0005-0000-0000-0000AB4F0000}"/>
    <cellStyle name="Input 2 4 13" xfId="20394" xr:uid="{00000000-0005-0000-0000-0000AC4F0000}"/>
    <cellStyle name="Input 2 4 14" xfId="20395" xr:uid="{00000000-0005-0000-0000-0000AD4F0000}"/>
    <cellStyle name="Input 2 4 15" xfId="20396" xr:uid="{00000000-0005-0000-0000-0000AE4F0000}"/>
    <cellStyle name="Input 2 4 2" xfId="20397" xr:uid="{00000000-0005-0000-0000-0000AF4F0000}"/>
    <cellStyle name="Input 2 4 2 10" xfId="20398" xr:uid="{00000000-0005-0000-0000-0000B04F0000}"/>
    <cellStyle name="Input 2 4 2 11" xfId="20399" xr:uid="{00000000-0005-0000-0000-0000B14F0000}"/>
    <cellStyle name="Input 2 4 2 12" xfId="20400" xr:uid="{00000000-0005-0000-0000-0000B24F0000}"/>
    <cellStyle name="Input 2 4 2 13" xfId="20401" xr:uid="{00000000-0005-0000-0000-0000B34F0000}"/>
    <cellStyle name="Input 2 4 2 14" xfId="20402" xr:uid="{00000000-0005-0000-0000-0000B44F0000}"/>
    <cellStyle name="Input 2 4 2 2" xfId="20403" xr:uid="{00000000-0005-0000-0000-0000B54F0000}"/>
    <cellStyle name="Input 2 4 2 2 10" xfId="20404" xr:uid="{00000000-0005-0000-0000-0000B64F0000}"/>
    <cellStyle name="Input 2 4 2 2 11" xfId="20405" xr:uid="{00000000-0005-0000-0000-0000B74F0000}"/>
    <cellStyle name="Input 2 4 2 2 12" xfId="20406" xr:uid="{00000000-0005-0000-0000-0000B84F0000}"/>
    <cellStyle name="Input 2 4 2 2 13" xfId="20407" xr:uid="{00000000-0005-0000-0000-0000B94F0000}"/>
    <cellStyle name="Input 2 4 2 2 14" xfId="20408" xr:uid="{00000000-0005-0000-0000-0000BA4F0000}"/>
    <cellStyle name="Input 2 4 2 2 15" xfId="20409" xr:uid="{00000000-0005-0000-0000-0000BB4F0000}"/>
    <cellStyle name="Input 2 4 2 2 16" xfId="20410" xr:uid="{00000000-0005-0000-0000-0000BC4F0000}"/>
    <cellStyle name="Input 2 4 2 2 17" xfId="20411" xr:uid="{00000000-0005-0000-0000-0000BD4F0000}"/>
    <cellStyle name="Input 2 4 2 2 18" xfId="20412" xr:uid="{00000000-0005-0000-0000-0000BE4F0000}"/>
    <cellStyle name="Input 2 4 2 2 19" xfId="20413" xr:uid="{00000000-0005-0000-0000-0000BF4F0000}"/>
    <cellStyle name="Input 2 4 2 2 2" xfId="20414" xr:uid="{00000000-0005-0000-0000-0000C04F0000}"/>
    <cellStyle name="Input 2 4 2 2 2 2" xfId="20415" xr:uid="{00000000-0005-0000-0000-0000C14F0000}"/>
    <cellStyle name="Input 2 4 2 2 2 2 2" xfId="20416" xr:uid="{00000000-0005-0000-0000-0000C24F0000}"/>
    <cellStyle name="Input 2 4 2 2 2 2 3" xfId="20417" xr:uid="{00000000-0005-0000-0000-0000C34F0000}"/>
    <cellStyle name="Input 2 4 2 2 2 3" xfId="20418" xr:uid="{00000000-0005-0000-0000-0000C44F0000}"/>
    <cellStyle name="Input 2 4 2 2 2 3 2" xfId="20419" xr:uid="{00000000-0005-0000-0000-0000C54F0000}"/>
    <cellStyle name="Input 2 4 2 2 2 3 3" xfId="20420" xr:uid="{00000000-0005-0000-0000-0000C64F0000}"/>
    <cellStyle name="Input 2 4 2 2 2 4" xfId="20421" xr:uid="{00000000-0005-0000-0000-0000C74F0000}"/>
    <cellStyle name="Input 2 4 2 2 2 5" xfId="20422" xr:uid="{00000000-0005-0000-0000-0000C84F0000}"/>
    <cellStyle name="Input 2 4 2 2 20" xfId="20423" xr:uid="{00000000-0005-0000-0000-0000C94F0000}"/>
    <cellStyle name="Input 2 4 2 2 21" xfId="20424" xr:uid="{00000000-0005-0000-0000-0000CA4F0000}"/>
    <cellStyle name="Input 2 4 2 2 22" xfId="20425" xr:uid="{00000000-0005-0000-0000-0000CB4F0000}"/>
    <cellStyle name="Input 2 4 2 2 23" xfId="20426" xr:uid="{00000000-0005-0000-0000-0000CC4F0000}"/>
    <cellStyle name="Input 2 4 2 2 24" xfId="20427" xr:uid="{00000000-0005-0000-0000-0000CD4F0000}"/>
    <cellStyle name="Input 2 4 2 2 25" xfId="20428" xr:uid="{00000000-0005-0000-0000-0000CE4F0000}"/>
    <cellStyle name="Input 2 4 2 2 26" xfId="20429" xr:uid="{00000000-0005-0000-0000-0000CF4F0000}"/>
    <cellStyle name="Input 2 4 2 2 27" xfId="20430" xr:uid="{00000000-0005-0000-0000-0000D04F0000}"/>
    <cellStyle name="Input 2 4 2 2 28" xfId="20431" xr:uid="{00000000-0005-0000-0000-0000D14F0000}"/>
    <cellStyle name="Input 2 4 2 2 29" xfId="20432" xr:uid="{00000000-0005-0000-0000-0000D24F0000}"/>
    <cellStyle name="Input 2 4 2 2 3" xfId="20433" xr:uid="{00000000-0005-0000-0000-0000D34F0000}"/>
    <cellStyle name="Input 2 4 2 2 3 2" xfId="20434" xr:uid="{00000000-0005-0000-0000-0000D44F0000}"/>
    <cellStyle name="Input 2 4 2 2 3 2 2" xfId="20435" xr:uid="{00000000-0005-0000-0000-0000D54F0000}"/>
    <cellStyle name="Input 2 4 2 2 3 2 3" xfId="20436" xr:uid="{00000000-0005-0000-0000-0000D64F0000}"/>
    <cellStyle name="Input 2 4 2 2 3 3" xfId="20437" xr:uid="{00000000-0005-0000-0000-0000D74F0000}"/>
    <cellStyle name="Input 2 4 2 2 3 3 2" xfId="20438" xr:uid="{00000000-0005-0000-0000-0000D84F0000}"/>
    <cellStyle name="Input 2 4 2 2 3 3 3" xfId="20439" xr:uid="{00000000-0005-0000-0000-0000D94F0000}"/>
    <cellStyle name="Input 2 4 2 2 3 4" xfId="20440" xr:uid="{00000000-0005-0000-0000-0000DA4F0000}"/>
    <cellStyle name="Input 2 4 2 2 3 5" xfId="20441" xr:uid="{00000000-0005-0000-0000-0000DB4F0000}"/>
    <cellStyle name="Input 2 4 2 2 30" xfId="20442" xr:uid="{00000000-0005-0000-0000-0000DC4F0000}"/>
    <cellStyle name="Input 2 4 2 2 31" xfId="20443" xr:uid="{00000000-0005-0000-0000-0000DD4F0000}"/>
    <cellStyle name="Input 2 4 2 2 32" xfId="20444" xr:uid="{00000000-0005-0000-0000-0000DE4F0000}"/>
    <cellStyle name="Input 2 4 2 2 33" xfId="20445" xr:uid="{00000000-0005-0000-0000-0000DF4F0000}"/>
    <cellStyle name="Input 2 4 2 2 34" xfId="20446" xr:uid="{00000000-0005-0000-0000-0000E04F0000}"/>
    <cellStyle name="Input 2 4 2 2 35" xfId="20447" xr:uid="{00000000-0005-0000-0000-0000E14F0000}"/>
    <cellStyle name="Input 2 4 2 2 4" xfId="20448" xr:uid="{00000000-0005-0000-0000-0000E24F0000}"/>
    <cellStyle name="Input 2 4 2 2 4 2" xfId="20449" xr:uid="{00000000-0005-0000-0000-0000E34F0000}"/>
    <cellStyle name="Input 2 4 2 2 4 3" xfId="20450" xr:uid="{00000000-0005-0000-0000-0000E44F0000}"/>
    <cellStyle name="Input 2 4 2 2 5" xfId="20451" xr:uid="{00000000-0005-0000-0000-0000E54F0000}"/>
    <cellStyle name="Input 2 4 2 2 5 2" xfId="20452" xr:uid="{00000000-0005-0000-0000-0000E64F0000}"/>
    <cellStyle name="Input 2 4 2 2 5 3" xfId="20453" xr:uid="{00000000-0005-0000-0000-0000E74F0000}"/>
    <cellStyle name="Input 2 4 2 2 6" xfId="20454" xr:uid="{00000000-0005-0000-0000-0000E84F0000}"/>
    <cellStyle name="Input 2 4 2 2 7" xfId="20455" xr:uid="{00000000-0005-0000-0000-0000E94F0000}"/>
    <cellStyle name="Input 2 4 2 2 8" xfId="20456" xr:uid="{00000000-0005-0000-0000-0000EA4F0000}"/>
    <cellStyle name="Input 2 4 2 2 9" xfId="20457" xr:uid="{00000000-0005-0000-0000-0000EB4F0000}"/>
    <cellStyle name="Input 2 4 2 3" xfId="20458" xr:uid="{00000000-0005-0000-0000-0000EC4F0000}"/>
    <cellStyle name="Input 2 4 2 3 2" xfId="20459" xr:uid="{00000000-0005-0000-0000-0000ED4F0000}"/>
    <cellStyle name="Input 2 4 2 3 2 2" xfId="20460" xr:uid="{00000000-0005-0000-0000-0000EE4F0000}"/>
    <cellStyle name="Input 2 4 2 3 2 3" xfId="20461" xr:uid="{00000000-0005-0000-0000-0000EF4F0000}"/>
    <cellStyle name="Input 2 4 2 3 3" xfId="20462" xr:uid="{00000000-0005-0000-0000-0000F04F0000}"/>
    <cellStyle name="Input 2 4 2 3 3 2" xfId="20463" xr:uid="{00000000-0005-0000-0000-0000F14F0000}"/>
    <cellStyle name="Input 2 4 2 3 3 3" xfId="20464" xr:uid="{00000000-0005-0000-0000-0000F24F0000}"/>
    <cellStyle name="Input 2 4 2 3 4" xfId="20465" xr:uid="{00000000-0005-0000-0000-0000F34F0000}"/>
    <cellStyle name="Input 2 4 2 3 5" xfId="20466" xr:uid="{00000000-0005-0000-0000-0000F44F0000}"/>
    <cellStyle name="Input 2 4 2 4" xfId="20467" xr:uid="{00000000-0005-0000-0000-0000F54F0000}"/>
    <cellStyle name="Input 2 4 2 4 2" xfId="20468" xr:uid="{00000000-0005-0000-0000-0000F64F0000}"/>
    <cellStyle name="Input 2 4 2 4 3" xfId="20469" xr:uid="{00000000-0005-0000-0000-0000F74F0000}"/>
    <cellStyle name="Input 2 4 2 5" xfId="20470" xr:uid="{00000000-0005-0000-0000-0000F84F0000}"/>
    <cellStyle name="Input 2 4 2 5 2" xfId="20471" xr:uid="{00000000-0005-0000-0000-0000F94F0000}"/>
    <cellStyle name="Input 2 4 2 5 3" xfId="20472" xr:uid="{00000000-0005-0000-0000-0000FA4F0000}"/>
    <cellStyle name="Input 2 4 2 6" xfId="20473" xr:uid="{00000000-0005-0000-0000-0000FB4F0000}"/>
    <cellStyle name="Input 2 4 2 7" xfId="20474" xr:uid="{00000000-0005-0000-0000-0000FC4F0000}"/>
    <cellStyle name="Input 2 4 2 8" xfId="20475" xr:uid="{00000000-0005-0000-0000-0000FD4F0000}"/>
    <cellStyle name="Input 2 4 2 9" xfId="20476" xr:uid="{00000000-0005-0000-0000-0000FE4F0000}"/>
    <cellStyle name="Input 2 4 3" xfId="20477" xr:uid="{00000000-0005-0000-0000-0000FF4F0000}"/>
    <cellStyle name="Input 2 4 3 10" xfId="20478" xr:uid="{00000000-0005-0000-0000-000000500000}"/>
    <cellStyle name="Input 2 4 3 11" xfId="20479" xr:uid="{00000000-0005-0000-0000-000001500000}"/>
    <cellStyle name="Input 2 4 3 12" xfId="20480" xr:uid="{00000000-0005-0000-0000-000002500000}"/>
    <cellStyle name="Input 2 4 3 13" xfId="20481" xr:uid="{00000000-0005-0000-0000-000003500000}"/>
    <cellStyle name="Input 2 4 3 14" xfId="20482" xr:uid="{00000000-0005-0000-0000-000004500000}"/>
    <cellStyle name="Input 2 4 3 15" xfId="20483" xr:uid="{00000000-0005-0000-0000-000005500000}"/>
    <cellStyle name="Input 2 4 3 16" xfId="20484" xr:uid="{00000000-0005-0000-0000-000006500000}"/>
    <cellStyle name="Input 2 4 3 17" xfId="20485" xr:uid="{00000000-0005-0000-0000-000007500000}"/>
    <cellStyle name="Input 2 4 3 18" xfId="20486" xr:uid="{00000000-0005-0000-0000-000008500000}"/>
    <cellStyle name="Input 2 4 3 19" xfId="20487" xr:uid="{00000000-0005-0000-0000-000009500000}"/>
    <cellStyle name="Input 2 4 3 2" xfId="20488" xr:uid="{00000000-0005-0000-0000-00000A500000}"/>
    <cellStyle name="Input 2 4 3 2 2" xfId="20489" xr:uid="{00000000-0005-0000-0000-00000B500000}"/>
    <cellStyle name="Input 2 4 3 2 2 2" xfId="20490" xr:uid="{00000000-0005-0000-0000-00000C500000}"/>
    <cellStyle name="Input 2 4 3 2 2 3" xfId="20491" xr:uid="{00000000-0005-0000-0000-00000D500000}"/>
    <cellStyle name="Input 2 4 3 2 3" xfId="20492" xr:uid="{00000000-0005-0000-0000-00000E500000}"/>
    <cellStyle name="Input 2 4 3 2 3 2" xfId="20493" xr:uid="{00000000-0005-0000-0000-00000F500000}"/>
    <cellStyle name="Input 2 4 3 2 3 3" xfId="20494" xr:uid="{00000000-0005-0000-0000-000010500000}"/>
    <cellStyle name="Input 2 4 3 2 4" xfId="20495" xr:uid="{00000000-0005-0000-0000-000011500000}"/>
    <cellStyle name="Input 2 4 3 2 5" xfId="20496" xr:uid="{00000000-0005-0000-0000-000012500000}"/>
    <cellStyle name="Input 2 4 3 20" xfId="20497" xr:uid="{00000000-0005-0000-0000-000013500000}"/>
    <cellStyle name="Input 2 4 3 21" xfId="20498" xr:uid="{00000000-0005-0000-0000-000014500000}"/>
    <cellStyle name="Input 2 4 3 22" xfId="20499" xr:uid="{00000000-0005-0000-0000-000015500000}"/>
    <cellStyle name="Input 2 4 3 23" xfId="20500" xr:uid="{00000000-0005-0000-0000-000016500000}"/>
    <cellStyle name="Input 2 4 3 24" xfId="20501" xr:uid="{00000000-0005-0000-0000-000017500000}"/>
    <cellStyle name="Input 2 4 3 25" xfId="20502" xr:uid="{00000000-0005-0000-0000-000018500000}"/>
    <cellStyle name="Input 2 4 3 26" xfId="20503" xr:uid="{00000000-0005-0000-0000-000019500000}"/>
    <cellStyle name="Input 2 4 3 27" xfId="20504" xr:uid="{00000000-0005-0000-0000-00001A500000}"/>
    <cellStyle name="Input 2 4 3 28" xfId="20505" xr:uid="{00000000-0005-0000-0000-00001B500000}"/>
    <cellStyle name="Input 2 4 3 29" xfId="20506" xr:uid="{00000000-0005-0000-0000-00001C500000}"/>
    <cellStyle name="Input 2 4 3 3" xfId="20507" xr:uid="{00000000-0005-0000-0000-00001D500000}"/>
    <cellStyle name="Input 2 4 3 3 2" xfId="20508" xr:uid="{00000000-0005-0000-0000-00001E500000}"/>
    <cellStyle name="Input 2 4 3 3 2 2" xfId="20509" xr:uid="{00000000-0005-0000-0000-00001F500000}"/>
    <cellStyle name="Input 2 4 3 3 2 3" xfId="20510" xr:uid="{00000000-0005-0000-0000-000020500000}"/>
    <cellStyle name="Input 2 4 3 3 3" xfId="20511" xr:uid="{00000000-0005-0000-0000-000021500000}"/>
    <cellStyle name="Input 2 4 3 3 3 2" xfId="20512" xr:uid="{00000000-0005-0000-0000-000022500000}"/>
    <cellStyle name="Input 2 4 3 3 3 3" xfId="20513" xr:uid="{00000000-0005-0000-0000-000023500000}"/>
    <cellStyle name="Input 2 4 3 3 4" xfId="20514" xr:uid="{00000000-0005-0000-0000-000024500000}"/>
    <cellStyle name="Input 2 4 3 3 5" xfId="20515" xr:uid="{00000000-0005-0000-0000-000025500000}"/>
    <cellStyle name="Input 2 4 3 30" xfId="20516" xr:uid="{00000000-0005-0000-0000-000026500000}"/>
    <cellStyle name="Input 2 4 3 31" xfId="20517" xr:uid="{00000000-0005-0000-0000-000027500000}"/>
    <cellStyle name="Input 2 4 3 32" xfId="20518" xr:uid="{00000000-0005-0000-0000-000028500000}"/>
    <cellStyle name="Input 2 4 3 33" xfId="20519" xr:uid="{00000000-0005-0000-0000-000029500000}"/>
    <cellStyle name="Input 2 4 3 34" xfId="20520" xr:uid="{00000000-0005-0000-0000-00002A500000}"/>
    <cellStyle name="Input 2 4 3 35" xfId="20521" xr:uid="{00000000-0005-0000-0000-00002B500000}"/>
    <cellStyle name="Input 2 4 3 4" xfId="20522" xr:uid="{00000000-0005-0000-0000-00002C500000}"/>
    <cellStyle name="Input 2 4 3 4 2" xfId="20523" xr:uid="{00000000-0005-0000-0000-00002D500000}"/>
    <cellStyle name="Input 2 4 3 4 3" xfId="20524" xr:uid="{00000000-0005-0000-0000-00002E500000}"/>
    <cellStyle name="Input 2 4 3 5" xfId="20525" xr:uid="{00000000-0005-0000-0000-00002F500000}"/>
    <cellStyle name="Input 2 4 3 5 2" xfId="20526" xr:uid="{00000000-0005-0000-0000-000030500000}"/>
    <cellStyle name="Input 2 4 3 5 3" xfId="20527" xr:uid="{00000000-0005-0000-0000-000031500000}"/>
    <cellStyle name="Input 2 4 3 6" xfId="20528" xr:uid="{00000000-0005-0000-0000-000032500000}"/>
    <cellStyle name="Input 2 4 3 7" xfId="20529" xr:uid="{00000000-0005-0000-0000-000033500000}"/>
    <cellStyle name="Input 2 4 3 8" xfId="20530" xr:uid="{00000000-0005-0000-0000-000034500000}"/>
    <cellStyle name="Input 2 4 3 9" xfId="20531" xr:uid="{00000000-0005-0000-0000-000035500000}"/>
    <cellStyle name="Input 2 4 4" xfId="20532" xr:uid="{00000000-0005-0000-0000-000036500000}"/>
    <cellStyle name="Input 2 4 4 2" xfId="20533" xr:uid="{00000000-0005-0000-0000-000037500000}"/>
    <cellStyle name="Input 2 4 4 2 2" xfId="20534" xr:uid="{00000000-0005-0000-0000-000038500000}"/>
    <cellStyle name="Input 2 4 4 2 3" xfId="20535" xr:uid="{00000000-0005-0000-0000-000039500000}"/>
    <cellStyle name="Input 2 4 4 3" xfId="20536" xr:uid="{00000000-0005-0000-0000-00003A500000}"/>
    <cellStyle name="Input 2 4 4 3 2" xfId="20537" xr:uid="{00000000-0005-0000-0000-00003B500000}"/>
    <cellStyle name="Input 2 4 4 3 3" xfId="20538" xr:uid="{00000000-0005-0000-0000-00003C500000}"/>
    <cellStyle name="Input 2 4 4 4" xfId="20539" xr:uid="{00000000-0005-0000-0000-00003D500000}"/>
    <cellStyle name="Input 2 4 4 5" xfId="20540" xr:uid="{00000000-0005-0000-0000-00003E500000}"/>
    <cellStyle name="Input 2 4 5" xfId="20541" xr:uid="{00000000-0005-0000-0000-00003F500000}"/>
    <cellStyle name="Input 2 4 5 2" xfId="20542" xr:uid="{00000000-0005-0000-0000-000040500000}"/>
    <cellStyle name="Input 2 4 5 3" xfId="20543" xr:uid="{00000000-0005-0000-0000-000041500000}"/>
    <cellStyle name="Input 2 4 6" xfId="20544" xr:uid="{00000000-0005-0000-0000-000042500000}"/>
    <cellStyle name="Input 2 4 6 2" xfId="20545" xr:uid="{00000000-0005-0000-0000-000043500000}"/>
    <cellStyle name="Input 2 4 6 3" xfId="20546" xr:uid="{00000000-0005-0000-0000-000044500000}"/>
    <cellStyle name="Input 2 4 7" xfId="20547" xr:uid="{00000000-0005-0000-0000-000045500000}"/>
    <cellStyle name="Input 2 4 8" xfId="20548" xr:uid="{00000000-0005-0000-0000-000046500000}"/>
    <cellStyle name="Input 2 4 9" xfId="20549" xr:uid="{00000000-0005-0000-0000-000047500000}"/>
    <cellStyle name="Input 2 5" xfId="20550" xr:uid="{00000000-0005-0000-0000-000048500000}"/>
    <cellStyle name="Input 2 5 2" xfId="20551" xr:uid="{00000000-0005-0000-0000-000049500000}"/>
    <cellStyle name="Input 2 6" xfId="20552" xr:uid="{00000000-0005-0000-0000-00004A500000}"/>
    <cellStyle name="Input 2 6 2" xfId="20553" xr:uid="{00000000-0005-0000-0000-00004B500000}"/>
    <cellStyle name="Input 2 7" xfId="20554" xr:uid="{00000000-0005-0000-0000-00004C500000}"/>
    <cellStyle name="Input 2 7 2" xfId="20555" xr:uid="{00000000-0005-0000-0000-00004D500000}"/>
    <cellStyle name="Input 2 8" xfId="20556" xr:uid="{00000000-0005-0000-0000-00004E500000}"/>
    <cellStyle name="Input 2 8 2" xfId="20557" xr:uid="{00000000-0005-0000-0000-00004F500000}"/>
    <cellStyle name="Input 2 9" xfId="20558" xr:uid="{00000000-0005-0000-0000-000050500000}"/>
    <cellStyle name="Input 2 9 2" xfId="20559" xr:uid="{00000000-0005-0000-0000-000051500000}"/>
    <cellStyle name="Input 20" xfId="20560" xr:uid="{00000000-0005-0000-0000-000052500000}"/>
    <cellStyle name="Input 20 2" xfId="20561" xr:uid="{00000000-0005-0000-0000-000053500000}"/>
    <cellStyle name="Input 21" xfId="20562" xr:uid="{00000000-0005-0000-0000-000054500000}"/>
    <cellStyle name="Input 21 2" xfId="20563" xr:uid="{00000000-0005-0000-0000-000055500000}"/>
    <cellStyle name="Input 22" xfId="20564" xr:uid="{00000000-0005-0000-0000-000056500000}"/>
    <cellStyle name="Input 22 2" xfId="20565" xr:uid="{00000000-0005-0000-0000-000057500000}"/>
    <cellStyle name="Input 23" xfId="20566" xr:uid="{00000000-0005-0000-0000-000058500000}"/>
    <cellStyle name="Input 23 2" xfId="20567" xr:uid="{00000000-0005-0000-0000-000059500000}"/>
    <cellStyle name="Input 24" xfId="20568" xr:uid="{00000000-0005-0000-0000-00005A500000}"/>
    <cellStyle name="Input 24 2" xfId="20569" xr:uid="{00000000-0005-0000-0000-00005B500000}"/>
    <cellStyle name="Input 25" xfId="20570" xr:uid="{00000000-0005-0000-0000-00005C500000}"/>
    <cellStyle name="Input 25 2" xfId="20571" xr:uid="{00000000-0005-0000-0000-00005D500000}"/>
    <cellStyle name="Input 26" xfId="20572" xr:uid="{00000000-0005-0000-0000-00005E500000}"/>
    <cellStyle name="Input 26 2" xfId="20573" xr:uid="{00000000-0005-0000-0000-00005F500000}"/>
    <cellStyle name="Input 27" xfId="20574" xr:uid="{00000000-0005-0000-0000-000060500000}"/>
    <cellStyle name="Input 27 2" xfId="20575" xr:uid="{00000000-0005-0000-0000-000061500000}"/>
    <cellStyle name="Input 3" xfId="20576" xr:uid="{00000000-0005-0000-0000-000062500000}"/>
    <cellStyle name="Input 3 10" xfId="20577" xr:uid="{00000000-0005-0000-0000-000063500000}"/>
    <cellStyle name="Input 3 11" xfId="20578" xr:uid="{00000000-0005-0000-0000-000064500000}"/>
    <cellStyle name="Input 3 12" xfId="20579" xr:uid="{00000000-0005-0000-0000-000065500000}"/>
    <cellStyle name="Input 3 13" xfId="20580" xr:uid="{00000000-0005-0000-0000-000066500000}"/>
    <cellStyle name="Input 3 14" xfId="20581" xr:uid="{00000000-0005-0000-0000-000067500000}"/>
    <cellStyle name="Input 3 15" xfId="20582" xr:uid="{00000000-0005-0000-0000-000068500000}"/>
    <cellStyle name="Input 3 16" xfId="20583" xr:uid="{00000000-0005-0000-0000-000069500000}"/>
    <cellStyle name="Input 3 2" xfId="20584" xr:uid="{00000000-0005-0000-0000-00006A500000}"/>
    <cellStyle name="Input 3 2 10" xfId="20585" xr:uid="{00000000-0005-0000-0000-00006B500000}"/>
    <cellStyle name="Input 3 2 11" xfId="20586" xr:uid="{00000000-0005-0000-0000-00006C500000}"/>
    <cellStyle name="Input 3 2 12" xfId="20587" xr:uid="{00000000-0005-0000-0000-00006D500000}"/>
    <cellStyle name="Input 3 2 13" xfId="20588" xr:uid="{00000000-0005-0000-0000-00006E500000}"/>
    <cellStyle name="Input 3 2 14" xfId="20589" xr:uid="{00000000-0005-0000-0000-00006F500000}"/>
    <cellStyle name="Input 3 2 15" xfId="20590" xr:uid="{00000000-0005-0000-0000-000070500000}"/>
    <cellStyle name="Input 3 2 2" xfId="20591" xr:uid="{00000000-0005-0000-0000-000071500000}"/>
    <cellStyle name="Input 3 2 2 10" xfId="20592" xr:uid="{00000000-0005-0000-0000-000072500000}"/>
    <cellStyle name="Input 3 2 2 11" xfId="20593" xr:uid="{00000000-0005-0000-0000-000073500000}"/>
    <cellStyle name="Input 3 2 2 12" xfId="20594" xr:uid="{00000000-0005-0000-0000-000074500000}"/>
    <cellStyle name="Input 3 2 2 13" xfId="20595" xr:uid="{00000000-0005-0000-0000-000075500000}"/>
    <cellStyle name="Input 3 2 2 14" xfId="20596" xr:uid="{00000000-0005-0000-0000-000076500000}"/>
    <cellStyle name="Input 3 2 2 2" xfId="20597" xr:uid="{00000000-0005-0000-0000-000077500000}"/>
    <cellStyle name="Input 3 2 2 2 10" xfId="20598" xr:uid="{00000000-0005-0000-0000-000078500000}"/>
    <cellStyle name="Input 3 2 2 2 11" xfId="20599" xr:uid="{00000000-0005-0000-0000-000079500000}"/>
    <cellStyle name="Input 3 2 2 2 12" xfId="20600" xr:uid="{00000000-0005-0000-0000-00007A500000}"/>
    <cellStyle name="Input 3 2 2 2 13" xfId="20601" xr:uid="{00000000-0005-0000-0000-00007B500000}"/>
    <cellStyle name="Input 3 2 2 2 14" xfId="20602" xr:uid="{00000000-0005-0000-0000-00007C500000}"/>
    <cellStyle name="Input 3 2 2 2 15" xfId="20603" xr:uid="{00000000-0005-0000-0000-00007D500000}"/>
    <cellStyle name="Input 3 2 2 2 16" xfId="20604" xr:uid="{00000000-0005-0000-0000-00007E500000}"/>
    <cellStyle name="Input 3 2 2 2 17" xfId="20605" xr:uid="{00000000-0005-0000-0000-00007F500000}"/>
    <cellStyle name="Input 3 2 2 2 18" xfId="20606" xr:uid="{00000000-0005-0000-0000-000080500000}"/>
    <cellStyle name="Input 3 2 2 2 19" xfId="20607" xr:uid="{00000000-0005-0000-0000-000081500000}"/>
    <cellStyle name="Input 3 2 2 2 2" xfId="20608" xr:uid="{00000000-0005-0000-0000-000082500000}"/>
    <cellStyle name="Input 3 2 2 2 2 2" xfId="20609" xr:uid="{00000000-0005-0000-0000-000083500000}"/>
    <cellStyle name="Input 3 2 2 2 2 2 2" xfId="20610" xr:uid="{00000000-0005-0000-0000-000084500000}"/>
    <cellStyle name="Input 3 2 2 2 2 2 3" xfId="20611" xr:uid="{00000000-0005-0000-0000-000085500000}"/>
    <cellStyle name="Input 3 2 2 2 2 3" xfId="20612" xr:uid="{00000000-0005-0000-0000-000086500000}"/>
    <cellStyle name="Input 3 2 2 2 2 3 2" xfId="20613" xr:uid="{00000000-0005-0000-0000-000087500000}"/>
    <cellStyle name="Input 3 2 2 2 2 3 3" xfId="20614" xr:uid="{00000000-0005-0000-0000-000088500000}"/>
    <cellStyle name="Input 3 2 2 2 2 4" xfId="20615" xr:uid="{00000000-0005-0000-0000-000089500000}"/>
    <cellStyle name="Input 3 2 2 2 2 5" xfId="20616" xr:uid="{00000000-0005-0000-0000-00008A500000}"/>
    <cellStyle name="Input 3 2 2 2 20" xfId="20617" xr:uid="{00000000-0005-0000-0000-00008B500000}"/>
    <cellStyle name="Input 3 2 2 2 21" xfId="20618" xr:uid="{00000000-0005-0000-0000-00008C500000}"/>
    <cellStyle name="Input 3 2 2 2 22" xfId="20619" xr:uid="{00000000-0005-0000-0000-00008D500000}"/>
    <cellStyle name="Input 3 2 2 2 23" xfId="20620" xr:uid="{00000000-0005-0000-0000-00008E500000}"/>
    <cellStyle name="Input 3 2 2 2 24" xfId="20621" xr:uid="{00000000-0005-0000-0000-00008F500000}"/>
    <cellStyle name="Input 3 2 2 2 25" xfId="20622" xr:uid="{00000000-0005-0000-0000-000090500000}"/>
    <cellStyle name="Input 3 2 2 2 26" xfId="20623" xr:uid="{00000000-0005-0000-0000-000091500000}"/>
    <cellStyle name="Input 3 2 2 2 27" xfId="20624" xr:uid="{00000000-0005-0000-0000-000092500000}"/>
    <cellStyle name="Input 3 2 2 2 28" xfId="20625" xr:uid="{00000000-0005-0000-0000-000093500000}"/>
    <cellStyle name="Input 3 2 2 2 29" xfId="20626" xr:uid="{00000000-0005-0000-0000-000094500000}"/>
    <cellStyle name="Input 3 2 2 2 3" xfId="20627" xr:uid="{00000000-0005-0000-0000-000095500000}"/>
    <cellStyle name="Input 3 2 2 2 3 2" xfId="20628" xr:uid="{00000000-0005-0000-0000-000096500000}"/>
    <cellStyle name="Input 3 2 2 2 3 2 2" xfId="20629" xr:uid="{00000000-0005-0000-0000-000097500000}"/>
    <cellStyle name="Input 3 2 2 2 3 2 3" xfId="20630" xr:uid="{00000000-0005-0000-0000-000098500000}"/>
    <cellStyle name="Input 3 2 2 2 3 3" xfId="20631" xr:uid="{00000000-0005-0000-0000-000099500000}"/>
    <cellStyle name="Input 3 2 2 2 3 3 2" xfId="20632" xr:uid="{00000000-0005-0000-0000-00009A500000}"/>
    <cellStyle name="Input 3 2 2 2 3 3 3" xfId="20633" xr:uid="{00000000-0005-0000-0000-00009B500000}"/>
    <cellStyle name="Input 3 2 2 2 3 4" xfId="20634" xr:uid="{00000000-0005-0000-0000-00009C500000}"/>
    <cellStyle name="Input 3 2 2 2 3 5" xfId="20635" xr:uid="{00000000-0005-0000-0000-00009D500000}"/>
    <cellStyle name="Input 3 2 2 2 30" xfId="20636" xr:uid="{00000000-0005-0000-0000-00009E500000}"/>
    <cellStyle name="Input 3 2 2 2 31" xfId="20637" xr:uid="{00000000-0005-0000-0000-00009F500000}"/>
    <cellStyle name="Input 3 2 2 2 32" xfId="20638" xr:uid="{00000000-0005-0000-0000-0000A0500000}"/>
    <cellStyle name="Input 3 2 2 2 33" xfId="20639" xr:uid="{00000000-0005-0000-0000-0000A1500000}"/>
    <cellStyle name="Input 3 2 2 2 34" xfId="20640" xr:uid="{00000000-0005-0000-0000-0000A2500000}"/>
    <cellStyle name="Input 3 2 2 2 35" xfId="20641" xr:uid="{00000000-0005-0000-0000-0000A3500000}"/>
    <cellStyle name="Input 3 2 2 2 4" xfId="20642" xr:uid="{00000000-0005-0000-0000-0000A4500000}"/>
    <cellStyle name="Input 3 2 2 2 4 2" xfId="20643" xr:uid="{00000000-0005-0000-0000-0000A5500000}"/>
    <cellStyle name="Input 3 2 2 2 4 3" xfId="20644" xr:uid="{00000000-0005-0000-0000-0000A6500000}"/>
    <cellStyle name="Input 3 2 2 2 5" xfId="20645" xr:uid="{00000000-0005-0000-0000-0000A7500000}"/>
    <cellStyle name="Input 3 2 2 2 5 2" xfId="20646" xr:uid="{00000000-0005-0000-0000-0000A8500000}"/>
    <cellStyle name="Input 3 2 2 2 5 3" xfId="20647" xr:uid="{00000000-0005-0000-0000-0000A9500000}"/>
    <cellStyle name="Input 3 2 2 2 6" xfId="20648" xr:uid="{00000000-0005-0000-0000-0000AA500000}"/>
    <cellStyle name="Input 3 2 2 2 7" xfId="20649" xr:uid="{00000000-0005-0000-0000-0000AB500000}"/>
    <cellStyle name="Input 3 2 2 2 8" xfId="20650" xr:uid="{00000000-0005-0000-0000-0000AC500000}"/>
    <cellStyle name="Input 3 2 2 2 9" xfId="20651" xr:uid="{00000000-0005-0000-0000-0000AD500000}"/>
    <cellStyle name="Input 3 2 2 3" xfId="20652" xr:uid="{00000000-0005-0000-0000-0000AE500000}"/>
    <cellStyle name="Input 3 2 2 3 2" xfId="20653" xr:uid="{00000000-0005-0000-0000-0000AF500000}"/>
    <cellStyle name="Input 3 2 2 3 2 2" xfId="20654" xr:uid="{00000000-0005-0000-0000-0000B0500000}"/>
    <cellStyle name="Input 3 2 2 3 2 3" xfId="20655" xr:uid="{00000000-0005-0000-0000-0000B1500000}"/>
    <cellStyle name="Input 3 2 2 3 3" xfId="20656" xr:uid="{00000000-0005-0000-0000-0000B2500000}"/>
    <cellStyle name="Input 3 2 2 3 3 2" xfId="20657" xr:uid="{00000000-0005-0000-0000-0000B3500000}"/>
    <cellStyle name="Input 3 2 2 3 3 3" xfId="20658" xr:uid="{00000000-0005-0000-0000-0000B4500000}"/>
    <cellStyle name="Input 3 2 2 3 4" xfId="20659" xr:uid="{00000000-0005-0000-0000-0000B5500000}"/>
    <cellStyle name="Input 3 2 2 3 5" xfId="20660" xr:uid="{00000000-0005-0000-0000-0000B6500000}"/>
    <cellStyle name="Input 3 2 2 4" xfId="20661" xr:uid="{00000000-0005-0000-0000-0000B7500000}"/>
    <cellStyle name="Input 3 2 2 4 2" xfId="20662" xr:uid="{00000000-0005-0000-0000-0000B8500000}"/>
    <cellStyle name="Input 3 2 2 4 3" xfId="20663" xr:uid="{00000000-0005-0000-0000-0000B9500000}"/>
    <cellStyle name="Input 3 2 2 5" xfId="20664" xr:uid="{00000000-0005-0000-0000-0000BA500000}"/>
    <cellStyle name="Input 3 2 2 5 2" xfId="20665" xr:uid="{00000000-0005-0000-0000-0000BB500000}"/>
    <cellStyle name="Input 3 2 2 5 3" xfId="20666" xr:uid="{00000000-0005-0000-0000-0000BC500000}"/>
    <cellStyle name="Input 3 2 2 6" xfId="20667" xr:uid="{00000000-0005-0000-0000-0000BD500000}"/>
    <cellStyle name="Input 3 2 2 7" xfId="20668" xr:uid="{00000000-0005-0000-0000-0000BE500000}"/>
    <cellStyle name="Input 3 2 2 8" xfId="20669" xr:uid="{00000000-0005-0000-0000-0000BF500000}"/>
    <cellStyle name="Input 3 2 2 9" xfId="20670" xr:uid="{00000000-0005-0000-0000-0000C0500000}"/>
    <cellStyle name="Input 3 2 3" xfId="20671" xr:uid="{00000000-0005-0000-0000-0000C1500000}"/>
    <cellStyle name="Input 3 2 3 10" xfId="20672" xr:uid="{00000000-0005-0000-0000-0000C2500000}"/>
    <cellStyle name="Input 3 2 3 11" xfId="20673" xr:uid="{00000000-0005-0000-0000-0000C3500000}"/>
    <cellStyle name="Input 3 2 3 12" xfId="20674" xr:uid="{00000000-0005-0000-0000-0000C4500000}"/>
    <cellStyle name="Input 3 2 3 13" xfId="20675" xr:uid="{00000000-0005-0000-0000-0000C5500000}"/>
    <cellStyle name="Input 3 2 3 14" xfId="20676" xr:uid="{00000000-0005-0000-0000-0000C6500000}"/>
    <cellStyle name="Input 3 2 3 15" xfId="20677" xr:uid="{00000000-0005-0000-0000-0000C7500000}"/>
    <cellStyle name="Input 3 2 3 16" xfId="20678" xr:uid="{00000000-0005-0000-0000-0000C8500000}"/>
    <cellStyle name="Input 3 2 3 17" xfId="20679" xr:uid="{00000000-0005-0000-0000-0000C9500000}"/>
    <cellStyle name="Input 3 2 3 18" xfId="20680" xr:uid="{00000000-0005-0000-0000-0000CA500000}"/>
    <cellStyle name="Input 3 2 3 19" xfId="20681" xr:uid="{00000000-0005-0000-0000-0000CB500000}"/>
    <cellStyle name="Input 3 2 3 2" xfId="20682" xr:uid="{00000000-0005-0000-0000-0000CC500000}"/>
    <cellStyle name="Input 3 2 3 2 2" xfId="20683" xr:uid="{00000000-0005-0000-0000-0000CD500000}"/>
    <cellStyle name="Input 3 2 3 2 2 2" xfId="20684" xr:uid="{00000000-0005-0000-0000-0000CE500000}"/>
    <cellStyle name="Input 3 2 3 2 2 3" xfId="20685" xr:uid="{00000000-0005-0000-0000-0000CF500000}"/>
    <cellStyle name="Input 3 2 3 2 3" xfId="20686" xr:uid="{00000000-0005-0000-0000-0000D0500000}"/>
    <cellStyle name="Input 3 2 3 2 3 2" xfId="20687" xr:uid="{00000000-0005-0000-0000-0000D1500000}"/>
    <cellStyle name="Input 3 2 3 2 3 3" xfId="20688" xr:uid="{00000000-0005-0000-0000-0000D2500000}"/>
    <cellStyle name="Input 3 2 3 2 4" xfId="20689" xr:uid="{00000000-0005-0000-0000-0000D3500000}"/>
    <cellStyle name="Input 3 2 3 2 5" xfId="20690" xr:uid="{00000000-0005-0000-0000-0000D4500000}"/>
    <cellStyle name="Input 3 2 3 20" xfId="20691" xr:uid="{00000000-0005-0000-0000-0000D5500000}"/>
    <cellStyle name="Input 3 2 3 21" xfId="20692" xr:uid="{00000000-0005-0000-0000-0000D6500000}"/>
    <cellStyle name="Input 3 2 3 22" xfId="20693" xr:uid="{00000000-0005-0000-0000-0000D7500000}"/>
    <cellStyle name="Input 3 2 3 23" xfId="20694" xr:uid="{00000000-0005-0000-0000-0000D8500000}"/>
    <cellStyle name="Input 3 2 3 24" xfId="20695" xr:uid="{00000000-0005-0000-0000-0000D9500000}"/>
    <cellStyle name="Input 3 2 3 25" xfId="20696" xr:uid="{00000000-0005-0000-0000-0000DA500000}"/>
    <cellStyle name="Input 3 2 3 26" xfId="20697" xr:uid="{00000000-0005-0000-0000-0000DB500000}"/>
    <cellStyle name="Input 3 2 3 27" xfId="20698" xr:uid="{00000000-0005-0000-0000-0000DC500000}"/>
    <cellStyle name="Input 3 2 3 28" xfId="20699" xr:uid="{00000000-0005-0000-0000-0000DD500000}"/>
    <cellStyle name="Input 3 2 3 29" xfId="20700" xr:uid="{00000000-0005-0000-0000-0000DE500000}"/>
    <cellStyle name="Input 3 2 3 3" xfId="20701" xr:uid="{00000000-0005-0000-0000-0000DF500000}"/>
    <cellStyle name="Input 3 2 3 3 2" xfId="20702" xr:uid="{00000000-0005-0000-0000-0000E0500000}"/>
    <cellStyle name="Input 3 2 3 3 2 2" xfId="20703" xr:uid="{00000000-0005-0000-0000-0000E1500000}"/>
    <cellStyle name="Input 3 2 3 3 2 3" xfId="20704" xr:uid="{00000000-0005-0000-0000-0000E2500000}"/>
    <cellStyle name="Input 3 2 3 3 3" xfId="20705" xr:uid="{00000000-0005-0000-0000-0000E3500000}"/>
    <cellStyle name="Input 3 2 3 3 3 2" xfId="20706" xr:uid="{00000000-0005-0000-0000-0000E4500000}"/>
    <cellStyle name="Input 3 2 3 3 3 3" xfId="20707" xr:uid="{00000000-0005-0000-0000-0000E5500000}"/>
    <cellStyle name="Input 3 2 3 3 4" xfId="20708" xr:uid="{00000000-0005-0000-0000-0000E6500000}"/>
    <cellStyle name="Input 3 2 3 3 5" xfId="20709" xr:uid="{00000000-0005-0000-0000-0000E7500000}"/>
    <cellStyle name="Input 3 2 3 30" xfId="20710" xr:uid="{00000000-0005-0000-0000-0000E8500000}"/>
    <cellStyle name="Input 3 2 3 31" xfId="20711" xr:uid="{00000000-0005-0000-0000-0000E9500000}"/>
    <cellStyle name="Input 3 2 3 32" xfId="20712" xr:uid="{00000000-0005-0000-0000-0000EA500000}"/>
    <cellStyle name="Input 3 2 3 33" xfId="20713" xr:uid="{00000000-0005-0000-0000-0000EB500000}"/>
    <cellStyle name="Input 3 2 3 34" xfId="20714" xr:uid="{00000000-0005-0000-0000-0000EC500000}"/>
    <cellStyle name="Input 3 2 3 35" xfId="20715" xr:uid="{00000000-0005-0000-0000-0000ED500000}"/>
    <cellStyle name="Input 3 2 3 4" xfId="20716" xr:uid="{00000000-0005-0000-0000-0000EE500000}"/>
    <cellStyle name="Input 3 2 3 4 2" xfId="20717" xr:uid="{00000000-0005-0000-0000-0000EF500000}"/>
    <cellStyle name="Input 3 2 3 4 3" xfId="20718" xr:uid="{00000000-0005-0000-0000-0000F0500000}"/>
    <cellStyle name="Input 3 2 3 5" xfId="20719" xr:uid="{00000000-0005-0000-0000-0000F1500000}"/>
    <cellStyle name="Input 3 2 3 5 2" xfId="20720" xr:uid="{00000000-0005-0000-0000-0000F2500000}"/>
    <cellStyle name="Input 3 2 3 5 3" xfId="20721" xr:uid="{00000000-0005-0000-0000-0000F3500000}"/>
    <cellStyle name="Input 3 2 3 6" xfId="20722" xr:uid="{00000000-0005-0000-0000-0000F4500000}"/>
    <cellStyle name="Input 3 2 3 7" xfId="20723" xr:uid="{00000000-0005-0000-0000-0000F5500000}"/>
    <cellStyle name="Input 3 2 3 8" xfId="20724" xr:uid="{00000000-0005-0000-0000-0000F6500000}"/>
    <cellStyle name="Input 3 2 3 9" xfId="20725" xr:uid="{00000000-0005-0000-0000-0000F7500000}"/>
    <cellStyle name="Input 3 2 4" xfId="20726" xr:uid="{00000000-0005-0000-0000-0000F8500000}"/>
    <cellStyle name="Input 3 2 4 2" xfId="20727" xr:uid="{00000000-0005-0000-0000-0000F9500000}"/>
    <cellStyle name="Input 3 2 4 2 2" xfId="20728" xr:uid="{00000000-0005-0000-0000-0000FA500000}"/>
    <cellStyle name="Input 3 2 4 2 3" xfId="20729" xr:uid="{00000000-0005-0000-0000-0000FB500000}"/>
    <cellStyle name="Input 3 2 4 3" xfId="20730" xr:uid="{00000000-0005-0000-0000-0000FC500000}"/>
    <cellStyle name="Input 3 2 4 3 2" xfId="20731" xr:uid="{00000000-0005-0000-0000-0000FD500000}"/>
    <cellStyle name="Input 3 2 4 3 3" xfId="20732" xr:uid="{00000000-0005-0000-0000-0000FE500000}"/>
    <cellStyle name="Input 3 2 4 4" xfId="20733" xr:uid="{00000000-0005-0000-0000-0000FF500000}"/>
    <cellStyle name="Input 3 2 4 5" xfId="20734" xr:uid="{00000000-0005-0000-0000-000000510000}"/>
    <cellStyle name="Input 3 2 5" xfId="20735" xr:uid="{00000000-0005-0000-0000-000001510000}"/>
    <cellStyle name="Input 3 2 5 2" xfId="20736" xr:uid="{00000000-0005-0000-0000-000002510000}"/>
    <cellStyle name="Input 3 2 5 3" xfId="20737" xr:uid="{00000000-0005-0000-0000-000003510000}"/>
    <cellStyle name="Input 3 2 6" xfId="20738" xr:uid="{00000000-0005-0000-0000-000004510000}"/>
    <cellStyle name="Input 3 2 6 2" xfId="20739" xr:uid="{00000000-0005-0000-0000-000005510000}"/>
    <cellStyle name="Input 3 2 6 3" xfId="20740" xr:uid="{00000000-0005-0000-0000-000006510000}"/>
    <cellStyle name="Input 3 2 7" xfId="20741" xr:uid="{00000000-0005-0000-0000-000007510000}"/>
    <cellStyle name="Input 3 2 8" xfId="20742" xr:uid="{00000000-0005-0000-0000-000008510000}"/>
    <cellStyle name="Input 3 2 9" xfId="20743" xr:uid="{00000000-0005-0000-0000-000009510000}"/>
    <cellStyle name="Input 3 3" xfId="20744" xr:uid="{00000000-0005-0000-0000-00000A510000}"/>
    <cellStyle name="Input 3 3 10" xfId="20745" xr:uid="{00000000-0005-0000-0000-00000B510000}"/>
    <cellStyle name="Input 3 3 11" xfId="20746" xr:uid="{00000000-0005-0000-0000-00000C510000}"/>
    <cellStyle name="Input 3 3 12" xfId="20747" xr:uid="{00000000-0005-0000-0000-00000D510000}"/>
    <cellStyle name="Input 3 3 13" xfId="20748" xr:uid="{00000000-0005-0000-0000-00000E510000}"/>
    <cellStyle name="Input 3 3 14" xfId="20749" xr:uid="{00000000-0005-0000-0000-00000F510000}"/>
    <cellStyle name="Input 3 3 2" xfId="20750" xr:uid="{00000000-0005-0000-0000-000010510000}"/>
    <cellStyle name="Input 3 3 2 10" xfId="20751" xr:uid="{00000000-0005-0000-0000-000011510000}"/>
    <cellStyle name="Input 3 3 2 11" xfId="20752" xr:uid="{00000000-0005-0000-0000-000012510000}"/>
    <cellStyle name="Input 3 3 2 12" xfId="20753" xr:uid="{00000000-0005-0000-0000-000013510000}"/>
    <cellStyle name="Input 3 3 2 13" xfId="20754" xr:uid="{00000000-0005-0000-0000-000014510000}"/>
    <cellStyle name="Input 3 3 2 14" xfId="20755" xr:uid="{00000000-0005-0000-0000-000015510000}"/>
    <cellStyle name="Input 3 3 2 15" xfId="20756" xr:uid="{00000000-0005-0000-0000-000016510000}"/>
    <cellStyle name="Input 3 3 2 16" xfId="20757" xr:uid="{00000000-0005-0000-0000-000017510000}"/>
    <cellStyle name="Input 3 3 2 17" xfId="20758" xr:uid="{00000000-0005-0000-0000-000018510000}"/>
    <cellStyle name="Input 3 3 2 18" xfId="20759" xr:uid="{00000000-0005-0000-0000-000019510000}"/>
    <cellStyle name="Input 3 3 2 19" xfId="20760" xr:uid="{00000000-0005-0000-0000-00001A510000}"/>
    <cellStyle name="Input 3 3 2 2" xfId="20761" xr:uid="{00000000-0005-0000-0000-00001B510000}"/>
    <cellStyle name="Input 3 3 2 2 2" xfId="20762" xr:uid="{00000000-0005-0000-0000-00001C510000}"/>
    <cellStyle name="Input 3 3 2 2 2 2" xfId="20763" xr:uid="{00000000-0005-0000-0000-00001D510000}"/>
    <cellStyle name="Input 3 3 2 2 2 3" xfId="20764" xr:uid="{00000000-0005-0000-0000-00001E510000}"/>
    <cellStyle name="Input 3 3 2 2 3" xfId="20765" xr:uid="{00000000-0005-0000-0000-00001F510000}"/>
    <cellStyle name="Input 3 3 2 2 3 2" xfId="20766" xr:uid="{00000000-0005-0000-0000-000020510000}"/>
    <cellStyle name="Input 3 3 2 2 3 3" xfId="20767" xr:uid="{00000000-0005-0000-0000-000021510000}"/>
    <cellStyle name="Input 3 3 2 2 4" xfId="20768" xr:uid="{00000000-0005-0000-0000-000022510000}"/>
    <cellStyle name="Input 3 3 2 2 5" xfId="20769" xr:uid="{00000000-0005-0000-0000-000023510000}"/>
    <cellStyle name="Input 3 3 2 20" xfId="20770" xr:uid="{00000000-0005-0000-0000-000024510000}"/>
    <cellStyle name="Input 3 3 2 21" xfId="20771" xr:uid="{00000000-0005-0000-0000-000025510000}"/>
    <cellStyle name="Input 3 3 2 22" xfId="20772" xr:uid="{00000000-0005-0000-0000-000026510000}"/>
    <cellStyle name="Input 3 3 2 23" xfId="20773" xr:uid="{00000000-0005-0000-0000-000027510000}"/>
    <cellStyle name="Input 3 3 2 24" xfId="20774" xr:uid="{00000000-0005-0000-0000-000028510000}"/>
    <cellStyle name="Input 3 3 2 25" xfId="20775" xr:uid="{00000000-0005-0000-0000-000029510000}"/>
    <cellStyle name="Input 3 3 2 26" xfId="20776" xr:uid="{00000000-0005-0000-0000-00002A510000}"/>
    <cellStyle name="Input 3 3 2 27" xfId="20777" xr:uid="{00000000-0005-0000-0000-00002B510000}"/>
    <cellStyle name="Input 3 3 2 28" xfId="20778" xr:uid="{00000000-0005-0000-0000-00002C510000}"/>
    <cellStyle name="Input 3 3 2 29" xfId="20779" xr:uid="{00000000-0005-0000-0000-00002D510000}"/>
    <cellStyle name="Input 3 3 2 3" xfId="20780" xr:uid="{00000000-0005-0000-0000-00002E510000}"/>
    <cellStyle name="Input 3 3 2 3 2" xfId="20781" xr:uid="{00000000-0005-0000-0000-00002F510000}"/>
    <cellStyle name="Input 3 3 2 3 2 2" xfId="20782" xr:uid="{00000000-0005-0000-0000-000030510000}"/>
    <cellStyle name="Input 3 3 2 3 2 3" xfId="20783" xr:uid="{00000000-0005-0000-0000-000031510000}"/>
    <cellStyle name="Input 3 3 2 3 3" xfId="20784" xr:uid="{00000000-0005-0000-0000-000032510000}"/>
    <cellStyle name="Input 3 3 2 3 3 2" xfId="20785" xr:uid="{00000000-0005-0000-0000-000033510000}"/>
    <cellStyle name="Input 3 3 2 3 3 3" xfId="20786" xr:uid="{00000000-0005-0000-0000-000034510000}"/>
    <cellStyle name="Input 3 3 2 3 4" xfId="20787" xr:uid="{00000000-0005-0000-0000-000035510000}"/>
    <cellStyle name="Input 3 3 2 3 5" xfId="20788" xr:uid="{00000000-0005-0000-0000-000036510000}"/>
    <cellStyle name="Input 3 3 2 30" xfId="20789" xr:uid="{00000000-0005-0000-0000-000037510000}"/>
    <cellStyle name="Input 3 3 2 31" xfId="20790" xr:uid="{00000000-0005-0000-0000-000038510000}"/>
    <cellStyle name="Input 3 3 2 32" xfId="20791" xr:uid="{00000000-0005-0000-0000-000039510000}"/>
    <cellStyle name="Input 3 3 2 33" xfId="20792" xr:uid="{00000000-0005-0000-0000-00003A510000}"/>
    <cellStyle name="Input 3 3 2 34" xfId="20793" xr:uid="{00000000-0005-0000-0000-00003B510000}"/>
    <cellStyle name="Input 3 3 2 35" xfId="20794" xr:uid="{00000000-0005-0000-0000-00003C510000}"/>
    <cellStyle name="Input 3 3 2 4" xfId="20795" xr:uid="{00000000-0005-0000-0000-00003D510000}"/>
    <cellStyle name="Input 3 3 2 4 2" xfId="20796" xr:uid="{00000000-0005-0000-0000-00003E510000}"/>
    <cellStyle name="Input 3 3 2 4 3" xfId="20797" xr:uid="{00000000-0005-0000-0000-00003F510000}"/>
    <cellStyle name="Input 3 3 2 5" xfId="20798" xr:uid="{00000000-0005-0000-0000-000040510000}"/>
    <cellStyle name="Input 3 3 2 5 2" xfId="20799" xr:uid="{00000000-0005-0000-0000-000041510000}"/>
    <cellStyle name="Input 3 3 2 5 3" xfId="20800" xr:uid="{00000000-0005-0000-0000-000042510000}"/>
    <cellStyle name="Input 3 3 2 6" xfId="20801" xr:uid="{00000000-0005-0000-0000-000043510000}"/>
    <cellStyle name="Input 3 3 2 7" xfId="20802" xr:uid="{00000000-0005-0000-0000-000044510000}"/>
    <cellStyle name="Input 3 3 2 8" xfId="20803" xr:uid="{00000000-0005-0000-0000-000045510000}"/>
    <cellStyle name="Input 3 3 2 9" xfId="20804" xr:uid="{00000000-0005-0000-0000-000046510000}"/>
    <cellStyle name="Input 3 3 3" xfId="20805" xr:uid="{00000000-0005-0000-0000-000047510000}"/>
    <cellStyle name="Input 3 3 3 2" xfId="20806" xr:uid="{00000000-0005-0000-0000-000048510000}"/>
    <cellStyle name="Input 3 3 3 2 2" xfId="20807" xr:uid="{00000000-0005-0000-0000-000049510000}"/>
    <cellStyle name="Input 3 3 3 2 3" xfId="20808" xr:uid="{00000000-0005-0000-0000-00004A510000}"/>
    <cellStyle name="Input 3 3 3 3" xfId="20809" xr:uid="{00000000-0005-0000-0000-00004B510000}"/>
    <cellStyle name="Input 3 3 3 3 2" xfId="20810" xr:uid="{00000000-0005-0000-0000-00004C510000}"/>
    <cellStyle name="Input 3 3 3 3 3" xfId="20811" xr:uid="{00000000-0005-0000-0000-00004D510000}"/>
    <cellStyle name="Input 3 3 3 4" xfId="20812" xr:uid="{00000000-0005-0000-0000-00004E510000}"/>
    <cellStyle name="Input 3 3 3 5" xfId="20813" xr:uid="{00000000-0005-0000-0000-00004F510000}"/>
    <cellStyle name="Input 3 3 4" xfId="20814" xr:uid="{00000000-0005-0000-0000-000050510000}"/>
    <cellStyle name="Input 3 3 4 2" xfId="20815" xr:uid="{00000000-0005-0000-0000-000051510000}"/>
    <cellStyle name="Input 3 3 4 3" xfId="20816" xr:uid="{00000000-0005-0000-0000-000052510000}"/>
    <cellStyle name="Input 3 3 5" xfId="20817" xr:uid="{00000000-0005-0000-0000-000053510000}"/>
    <cellStyle name="Input 3 3 5 2" xfId="20818" xr:uid="{00000000-0005-0000-0000-000054510000}"/>
    <cellStyle name="Input 3 3 5 3" xfId="20819" xr:uid="{00000000-0005-0000-0000-000055510000}"/>
    <cellStyle name="Input 3 3 6" xfId="20820" xr:uid="{00000000-0005-0000-0000-000056510000}"/>
    <cellStyle name="Input 3 3 7" xfId="20821" xr:uid="{00000000-0005-0000-0000-000057510000}"/>
    <cellStyle name="Input 3 3 8" xfId="20822" xr:uid="{00000000-0005-0000-0000-000058510000}"/>
    <cellStyle name="Input 3 3 9" xfId="20823" xr:uid="{00000000-0005-0000-0000-000059510000}"/>
    <cellStyle name="Input 3 4" xfId="20824" xr:uid="{00000000-0005-0000-0000-00005A510000}"/>
    <cellStyle name="Input 3 4 10" xfId="20825" xr:uid="{00000000-0005-0000-0000-00005B510000}"/>
    <cellStyle name="Input 3 4 11" xfId="20826" xr:uid="{00000000-0005-0000-0000-00005C510000}"/>
    <cellStyle name="Input 3 4 12" xfId="20827" xr:uid="{00000000-0005-0000-0000-00005D510000}"/>
    <cellStyle name="Input 3 4 13" xfId="20828" xr:uid="{00000000-0005-0000-0000-00005E510000}"/>
    <cellStyle name="Input 3 4 14" xfId="20829" xr:uid="{00000000-0005-0000-0000-00005F510000}"/>
    <cellStyle name="Input 3 4 15" xfId="20830" xr:uid="{00000000-0005-0000-0000-000060510000}"/>
    <cellStyle name="Input 3 4 16" xfId="20831" xr:uid="{00000000-0005-0000-0000-000061510000}"/>
    <cellStyle name="Input 3 4 17" xfId="20832" xr:uid="{00000000-0005-0000-0000-000062510000}"/>
    <cellStyle name="Input 3 4 18" xfId="20833" xr:uid="{00000000-0005-0000-0000-000063510000}"/>
    <cellStyle name="Input 3 4 19" xfId="20834" xr:uid="{00000000-0005-0000-0000-000064510000}"/>
    <cellStyle name="Input 3 4 2" xfId="20835" xr:uid="{00000000-0005-0000-0000-000065510000}"/>
    <cellStyle name="Input 3 4 2 2" xfId="20836" xr:uid="{00000000-0005-0000-0000-000066510000}"/>
    <cellStyle name="Input 3 4 2 2 2" xfId="20837" xr:uid="{00000000-0005-0000-0000-000067510000}"/>
    <cellStyle name="Input 3 4 2 2 3" xfId="20838" xr:uid="{00000000-0005-0000-0000-000068510000}"/>
    <cellStyle name="Input 3 4 2 3" xfId="20839" xr:uid="{00000000-0005-0000-0000-000069510000}"/>
    <cellStyle name="Input 3 4 2 3 2" xfId="20840" xr:uid="{00000000-0005-0000-0000-00006A510000}"/>
    <cellStyle name="Input 3 4 2 3 3" xfId="20841" xr:uid="{00000000-0005-0000-0000-00006B510000}"/>
    <cellStyle name="Input 3 4 2 4" xfId="20842" xr:uid="{00000000-0005-0000-0000-00006C510000}"/>
    <cellStyle name="Input 3 4 2 5" xfId="20843" xr:uid="{00000000-0005-0000-0000-00006D510000}"/>
    <cellStyle name="Input 3 4 20" xfId="20844" xr:uid="{00000000-0005-0000-0000-00006E510000}"/>
    <cellStyle name="Input 3 4 21" xfId="20845" xr:uid="{00000000-0005-0000-0000-00006F510000}"/>
    <cellStyle name="Input 3 4 22" xfId="20846" xr:uid="{00000000-0005-0000-0000-000070510000}"/>
    <cellStyle name="Input 3 4 23" xfId="20847" xr:uid="{00000000-0005-0000-0000-000071510000}"/>
    <cellStyle name="Input 3 4 24" xfId="20848" xr:uid="{00000000-0005-0000-0000-000072510000}"/>
    <cellStyle name="Input 3 4 25" xfId="20849" xr:uid="{00000000-0005-0000-0000-000073510000}"/>
    <cellStyle name="Input 3 4 26" xfId="20850" xr:uid="{00000000-0005-0000-0000-000074510000}"/>
    <cellStyle name="Input 3 4 27" xfId="20851" xr:uid="{00000000-0005-0000-0000-000075510000}"/>
    <cellStyle name="Input 3 4 28" xfId="20852" xr:uid="{00000000-0005-0000-0000-000076510000}"/>
    <cellStyle name="Input 3 4 29" xfId="20853" xr:uid="{00000000-0005-0000-0000-000077510000}"/>
    <cellStyle name="Input 3 4 3" xfId="20854" xr:uid="{00000000-0005-0000-0000-000078510000}"/>
    <cellStyle name="Input 3 4 3 2" xfId="20855" xr:uid="{00000000-0005-0000-0000-000079510000}"/>
    <cellStyle name="Input 3 4 3 2 2" xfId="20856" xr:uid="{00000000-0005-0000-0000-00007A510000}"/>
    <cellStyle name="Input 3 4 3 2 3" xfId="20857" xr:uid="{00000000-0005-0000-0000-00007B510000}"/>
    <cellStyle name="Input 3 4 3 3" xfId="20858" xr:uid="{00000000-0005-0000-0000-00007C510000}"/>
    <cellStyle name="Input 3 4 3 3 2" xfId="20859" xr:uid="{00000000-0005-0000-0000-00007D510000}"/>
    <cellStyle name="Input 3 4 3 3 3" xfId="20860" xr:uid="{00000000-0005-0000-0000-00007E510000}"/>
    <cellStyle name="Input 3 4 3 4" xfId="20861" xr:uid="{00000000-0005-0000-0000-00007F510000}"/>
    <cellStyle name="Input 3 4 3 5" xfId="20862" xr:uid="{00000000-0005-0000-0000-000080510000}"/>
    <cellStyle name="Input 3 4 30" xfId="20863" xr:uid="{00000000-0005-0000-0000-000081510000}"/>
    <cellStyle name="Input 3 4 31" xfId="20864" xr:uid="{00000000-0005-0000-0000-000082510000}"/>
    <cellStyle name="Input 3 4 32" xfId="20865" xr:uid="{00000000-0005-0000-0000-000083510000}"/>
    <cellStyle name="Input 3 4 33" xfId="20866" xr:uid="{00000000-0005-0000-0000-000084510000}"/>
    <cellStyle name="Input 3 4 34" xfId="20867" xr:uid="{00000000-0005-0000-0000-000085510000}"/>
    <cellStyle name="Input 3 4 35" xfId="20868" xr:uid="{00000000-0005-0000-0000-000086510000}"/>
    <cellStyle name="Input 3 4 4" xfId="20869" xr:uid="{00000000-0005-0000-0000-000087510000}"/>
    <cellStyle name="Input 3 4 4 2" xfId="20870" xr:uid="{00000000-0005-0000-0000-000088510000}"/>
    <cellStyle name="Input 3 4 4 3" xfId="20871" xr:uid="{00000000-0005-0000-0000-000089510000}"/>
    <cellStyle name="Input 3 4 5" xfId="20872" xr:uid="{00000000-0005-0000-0000-00008A510000}"/>
    <cellStyle name="Input 3 4 5 2" xfId="20873" xr:uid="{00000000-0005-0000-0000-00008B510000}"/>
    <cellStyle name="Input 3 4 5 3" xfId="20874" xr:uid="{00000000-0005-0000-0000-00008C510000}"/>
    <cellStyle name="Input 3 4 6" xfId="20875" xr:uid="{00000000-0005-0000-0000-00008D510000}"/>
    <cellStyle name="Input 3 4 7" xfId="20876" xr:uid="{00000000-0005-0000-0000-00008E510000}"/>
    <cellStyle name="Input 3 4 8" xfId="20877" xr:uid="{00000000-0005-0000-0000-00008F510000}"/>
    <cellStyle name="Input 3 4 9" xfId="20878" xr:uid="{00000000-0005-0000-0000-000090510000}"/>
    <cellStyle name="Input 3 5" xfId="20879" xr:uid="{00000000-0005-0000-0000-000091510000}"/>
    <cellStyle name="Input 3 5 2" xfId="20880" xr:uid="{00000000-0005-0000-0000-000092510000}"/>
    <cellStyle name="Input 3 5 2 2" xfId="20881" xr:uid="{00000000-0005-0000-0000-000093510000}"/>
    <cellStyle name="Input 3 5 2 3" xfId="20882" xr:uid="{00000000-0005-0000-0000-000094510000}"/>
    <cellStyle name="Input 3 5 3" xfId="20883" xr:uid="{00000000-0005-0000-0000-000095510000}"/>
    <cellStyle name="Input 3 5 3 2" xfId="20884" xr:uid="{00000000-0005-0000-0000-000096510000}"/>
    <cellStyle name="Input 3 5 3 3" xfId="20885" xr:uid="{00000000-0005-0000-0000-000097510000}"/>
    <cellStyle name="Input 3 5 4" xfId="20886" xr:uid="{00000000-0005-0000-0000-000098510000}"/>
    <cellStyle name="Input 3 5 5" xfId="20887" xr:uid="{00000000-0005-0000-0000-000099510000}"/>
    <cellStyle name="Input 3 6" xfId="20888" xr:uid="{00000000-0005-0000-0000-00009A510000}"/>
    <cellStyle name="Input 3 6 2" xfId="20889" xr:uid="{00000000-0005-0000-0000-00009B510000}"/>
    <cellStyle name="Input 3 6 3" xfId="20890" xr:uid="{00000000-0005-0000-0000-00009C510000}"/>
    <cellStyle name="Input 3 7" xfId="20891" xr:uid="{00000000-0005-0000-0000-00009D510000}"/>
    <cellStyle name="Input 3 7 2" xfId="20892" xr:uid="{00000000-0005-0000-0000-00009E510000}"/>
    <cellStyle name="Input 3 7 3" xfId="20893" xr:uid="{00000000-0005-0000-0000-00009F510000}"/>
    <cellStyle name="Input 3 8" xfId="20894" xr:uid="{00000000-0005-0000-0000-0000A0510000}"/>
    <cellStyle name="Input 3 9" xfId="20895" xr:uid="{00000000-0005-0000-0000-0000A1510000}"/>
    <cellStyle name="Input 4" xfId="20896" xr:uid="{00000000-0005-0000-0000-0000A2510000}"/>
    <cellStyle name="Input 4 2" xfId="20897" xr:uid="{00000000-0005-0000-0000-0000A3510000}"/>
    <cellStyle name="Input 4 2 2" xfId="20898" xr:uid="{00000000-0005-0000-0000-0000A4510000}"/>
    <cellStyle name="Input 4 3" xfId="20899" xr:uid="{00000000-0005-0000-0000-0000A5510000}"/>
    <cellStyle name="Input 4 3 10" xfId="20900" xr:uid="{00000000-0005-0000-0000-0000A6510000}"/>
    <cellStyle name="Input 4 3 11" xfId="20901" xr:uid="{00000000-0005-0000-0000-0000A7510000}"/>
    <cellStyle name="Input 4 3 12" xfId="20902" xr:uid="{00000000-0005-0000-0000-0000A8510000}"/>
    <cellStyle name="Input 4 3 13" xfId="20903" xr:uid="{00000000-0005-0000-0000-0000A9510000}"/>
    <cellStyle name="Input 4 3 14" xfId="20904" xr:uid="{00000000-0005-0000-0000-0000AA510000}"/>
    <cellStyle name="Input 4 3 2" xfId="20905" xr:uid="{00000000-0005-0000-0000-0000AB510000}"/>
    <cellStyle name="Input 4 3 2 10" xfId="20906" xr:uid="{00000000-0005-0000-0000-0000AC510000}"/>
    <cellStyle name="Input 4 3 2 11" xfId="20907" xr:uid="{00000000-0005-0000-0000-0000AD510000}"/>
    <cellStyle name="Input 4 3 2 12" xfId="20908" xr:uid="{00000000-0005-0000-0000-0000AE510000}"/>
    <cellStyle name="Input 4 3 2 13" xfId="20909" xr:uid="{00000000-0005-0000-0000-0000AF510000}"/>
    <cellStyle name="Input 4 3 2 14" xfId="20910" xr:uid="{00000000-0005-0000-0000-0000B0510000}"/>
    <cellStyle name="Input 4 3 2 15" xfId="20911" xr:uid="{00000000-0005-0000-0000-0000B1510000}"/>
    <cellStyle name="Input 4 3 2 16" xfId="20912" xr:uid="{00000000-0005-0000-0000-0000B2510000}"/>
    <cellStyle name="Input 4 3 2 17" xfId="20913" xr:uid="{00000000-0005-0000-0000-0000B3510000}"/>
    <cellStyle name="Input 4 3 2 18" xfId="20914" xr:uid="{00000000-0005-0000-0000-0000B4510000}"/>
    <cellStyle name="Input 4 3 2 19" xfId="20915" xr:uid="{00000000-0005-0000-0000-0000B5510000}"/>
    <cellStyle name="Input 4 3 2 2" xfId="20916" xr:uid="{00000000-0005-0000-0000-0000B6510000}"/>
    <cellStyle name="Input 4 3 2 2 2" xfId="20917" xr:uid="{00000000-0005-0000-0000-0000B7510000}"/>
    <cellStyle name="Input 4 3 2 2 2 2" xfId="20918" xr:uid="{00000000-0005-0000-0000-0000B8510000}"/>
    <cellStyle name="Input 4 3 2 2 2 3" xfId="20919" xr:uid="{00000000-0005-0000-0000-0000B9510000}"/>
    <cellStyle name="Input 4 3 2 2 3" xfId="20920" xr:uid="{00000000-0005-0000-0000-0000BA510000}"/>
    <cellStyle name="Input 4 3 2 2 3 2" xfId="20921" xr:uid="{00000000-0005-0000-0000-0000BB510000}"/>
    <cellStyle name="Input 4 3 2 2 3 3" xfId="20922" xr:uid="{00000000-0005-0000-0000-0000BC510000}"/>
    <cellStyle name="Input 4 3 2 2 4" xfId="20923" xr:uid="{00000000-0005-0000-0000-0000BD510000}"/>
    <cellStyle name="Input 4 3 2 2 5" xfId="20924" xr:uid="{00000000-0005-0000-0000-0000BE510000}"/>
    <cellStyle name="Input 4 3 2 20" xfId="20925" xr:uid="{00000000-0005-0000-0000-0000BF510000}"/>
    <cellStyle name="Input 4 3 2 21" xfId="20926" xr:uid="{00000000-0005-0000-0000-0000C0510000}"/>
    <cellStyle name="Input 4 3 2 22" xfId="20927" xr:uid="{00000000-0005-0000-0000-0000C1510000}"/>
    <cellStyle name="Input 4 3 2 23" xfId="20928" xr:uid="{00000000-0005-0000-0000-0000C2510000}"/>
    <cellStyle name="Input 4 3 2 24" xfId="20929" xr:uid="{00000000-0005-0000-0000-0000C3510000}"/>
    <cellStyle name="Input 4 3 2 25" xfId="20930" xr:uid="{00000000-0005-0000-0000-0000C4510000}"/>
    <cellStyle name="Input 4 3 2 26" xfId="20931" xr:uid="{00000000-0005-0000-0000-0000C5510000}"/>
    <cellStyle name="Input 4 3 2 27" xfId="20932" xr:uid="{00000000-0005-0000-0000-0000C6510000}"/>
    <cellStyle name="Input 4 3 2 28" xfId="20933" xr:uid="{00000000-0005-0000-0000-0000C7510000}"/>
    <cellStyle name="Input 4 3 2 29" xfId="20934" xr:uid="{00000000-0005-0000-0000-0000C8510000}"/>
    <cellStyle name="Input 4 3 2 3" xfId="20935" xr:uid="{00000000-0005-0000-0000-0000C9510000}"/>
    <cellStyle name="Input 4 3 2 3 2" xfId="20936" xr:uid="{00000000-0005-0000-0000-0000CA510000}"/>
    <cellStyle name="Input 4 3 2 3 2 2" xfId="20937" xr:uid="{00000000-0005-0000-0000-0000CB510000}"/>
    <cellStyle name="Input 4 3 2 3 2 3" xfId="20938" xr:uid="{00000000-0005-0000-0000-0000CC510000}"/>
    <cellStyle name="Input 4 3 2 3 3" xfId="20939" xr:uid="{00000000-0005-0000-0000-0000CD510000}"/>
    <cellStyle name="Input 4 3 2 3 3 2" xfId="20940" xr:uid="{00000000-0005-0000-0000-0000CE510000}"/>
    <cellStyle name="Input 4 3 2 3 3 3" xfId="20941" xr:uid="{00000000-0005-0000-0000-0000CF510000}"/>
    <cellStyle name="Input 4 3 2 3 4" xfId="20942" xr:uid="{00000000-0005-0000-0000-0000D0510000}"/>
    <cellStyle name="Input 4 3 2 3 5" xfId="20943" xr:uid="{00000000-0005-0000-0000-0000D1510000}"/>
    <cellStyle name="Input 4 3 2 30" xfId="20944" xr:uid="{00000000-0005-0000-0000-0000D2510000}"/>
    <cellStyle name="Input 4 3 2 31" xfId="20945" xr:uid="{00000000-0005-0000-0000-0000D3510000}"/>
    <cellStyle name="Input 4 3 2 32" xfId="20946" xr:uid="{00000000-0005-0000-0000-0000D4510000}"/>
    <cellStyle name="Input 4 3 2 33" xfId="20947" xr:uid="{00000000-0005-0000-0000-0000D5510000}"/>
    <cellStyle name="Input 4 3 2 34" xfId="20948" xr:uid="{00000000-0005-0000-0000-0000D6510000}"/>
    <cellStyle name="Input 4 3 2 35" xfId="20949" xr:uid="{00000000-0005-0000-0000-0000D7510000}"/>
    <cellStyle name="Input 4 3 2 4" xfId="20950" xr:uid="{00000000-0005-0000-0000-0000D8510000}"/>
    <cellStyle name="Input 4 3 2 4 2" xfId="20951" xr:uid="{00000000-0005-0000-0000-0000D9510000}"/>
    <cellStyle name="Input 4 3 2 4 3" xfId="20952" xr:uid="{00000000-0005-0000-0000-0000DA510000}"/>
    <cellStyle name="Input 4 3 2 5" xfId="20953" xr:uid="{00000000-0005-0000-0000-0000DB510000}"/>
    <cellStyle name="Input 4 3 2 5 2" xfId="20954" xr:uid="{00000000-0005-0000-0000-0000DC510000}"/>
    <cellStyle name="Input 4 3 2 5 3" xfId="20955" xr:uid="{00000000-0005-0000-0000-0000DD510000}"/>
    <cellStyle name="Input 4 3 2 6" xfId="20956" xr:uid="{00000000-0005-0000-0000-0000DE510000}"/>
    <cellStyle name="Input 4 3 2 7" xfId="20957" xr:uid="{00000000-0005-0000-0000-0000DF510000}"/>
    <cellStyle name="Input 4 3 2 8" xfId="20958" xr:uid="{00000000-0005-0000-0000-0000E0510000}"/>
    <cellStyle name="Input 4 3 2 9" xfId="20959" xr:uid="{00000000-0005-0000-0000-0000E1510000}"/>
    <cellStyle name="Input 4 3 3" xfId="20960" xr:uid="{00000000-0005-0000-0000-0000E2510000}"/>
    <cellStyle name="Input 4 3 3 2" xfId="20961" xr:uid="{00000000-0005-0000-0000-0000E3510000}"/>
    <cellStyle name="Input 4 3 3 2 2" xfId="20962" xr:uid="{00000000-0005-0000-0000-0000E4510000}"/>
    <cellStyle name="Input 4 3 3 2 3" xfId="20963" xr:uid="{00000000-0005-0000-0000-0000E5510000}"/>
    <cellStyle name="Input 4 3 3 3" xfId="20964" xr:uid="{00000000-0005-0000-0000-0000E6510000}"/>
    <cellStyle name="Input 4 3 3 3 2" xfId="20965" xr:uid="{00000000-0005-0000-0000-0000E7510000}"/>
    <cellStyle name="Input 4 3 3 3 3" xfId="20966" xr:uid="{00000000-0005-0000-0000-0000E8510000}"/>
    <cellStyle name="Input 4 3 3 4" xfId="20967" xr:uid="{00000000-0005-0000-0000-0000E9510000}"/>
    <cellStyle name="Input 4 3 3 5" xfId="20968" xr:uid="{00000000-0005-0000-0000-0000EA510000}"/>
    <cellStyle name="Input 4 3 4" xfId="20969" xr:uid="{00000000-0005-0000-0000-0000EB510000}"/>
    <cellStyle name="Input 4 3 4 2" xfId="20970" xr:uid="{00000000-0005-0000-0000-0000EC510000}"/>
    <cellStyle name="Input 4 3 4 3" xfId="20971" xr:uid="{00000000-0005-0000-0000-0000ED510000}"/>
    <cellStyle name="Input 4 3 5" xfId="20972" xr:uid="{00000000-0005-0000-0000-0000EE510000}"/>
    <cellStyle name="Input 4 3 5 2" xfId="20973" xr:uid="{00000000-0005-0000-0000-0000EF510000}"/>
    <cellStyle name="Input 4 3 5 3" xfId="20974" xr:uid="{00000000-0005-0000-0000-0000F0510000}"/>
    <cellStyle name="Input 4 3 6" xfId="20975" xr:uid="{00000000-0005-0000-0000-0000F1510000}"/>
    <cellStyle name="Input 4 3 7" xfId="20976" xr:uid="{00000000-0005-0000-0000-0000F2510000}"/>
    <cellStyle name="Input 4 3 8" xfId="20977" xr:uid="{00000000-0005-0000-0000-0000F3510000}"/>
    <cellStyle name="Input 4 3 9" xfId="20978" xr:uid="{00000000-0005-0000-0000-0000F4510000}"/>
    <cellStyle name="Input 5" xfId="20979" xr:uid="{00000000-0005-0000-0000-0000F5510000}"/>
    <cellStyle name="Input 5 10" xfId="20980" xr:uid="{00000000-0005-0000-0000-0000F6510000}"/>
    <cellStyle name="Input 5 11" xfId="20981" xr:uid="{00000000-0005-0000-0000-0000F7510000}"/>
    <cellStyle name="Input 5 12" xfId="20982" xr:uid="{00000000-0005-0000-0000-0000F8510000}"/>
    <cellStyle name="Input 5 13" xfId="20983" xr:uid="{00000000-0005-0000-0000-0000F9510000}"/>
    <cellStyle name="Input 5 14" xfId="20984" xr:uid="{00000000-0005-0000-0000-0000FA510000}"/>
    <cellStyle name="Input 5 15" xfId="20985" xr:uid="{00000000-0005-0000-0000-0000FB510000}"/>
    <cellStyle name="Input 5 2" xfId="20986" xr:uid="{00000000-0005-0000-0000-0000FC510000}"/>
    <cellStyle name="Input 5 2 10" xfId="20987" xr:uid="{00000000-0005-0000-0000-0000FD510000}"/>
    <cellStyle name="Input 5 2 11" xfId="20988" xr:uid="{00000000-0005-0000-0000-0000FE510000}"/>
    <cellStyle name="Input 5 2 12" xfId="20989" xr:uid="{00000000-0005-0000-0000-0000FF510000}"/>
    <cellStyle name="Input 5 2 13" xfId="20990" xr:uid="{00000000-0005-0000-0000-000000520000}"/>
    <cellStyle name="Input 5 2 14" xfId="20991" xr:uid="{00000000-0005-0000-0000-000001520000}"/>
    <cellStyle name="Input 5 2 2" xfId="20992" xr:uid="{00000000-0005-0000-0000-000002520000}"/>
    <cellStyle name="Input 5 2 2 10" xfId="20993" xr:uid="{00000000-0005-0000-0000-000003520000}"/>
    <cellStyle name="Input 5 2 2 11" xfId="20994" xr:uid="{00000000-0005-0000-0000-000004520000}"/>
    <cellStyle name="Input 5 2 2 12" xfId="20995" xr:uid="{00000000-0005-0000-0000-000005520000}"/>
    <cellStyle name="Input 5 2 2 13" xfId="20996" xr:uid="{00000000-0005-0000-0000-000006520000}"/>
    <cellStyle name="Input 5 2 2 14" xfId="20997" xr:uid="{00000000-0005-0000-0000-000007520000}"/>
    <cellStyle name="Input 5 2 2 15" xfId="20998" xr:uid="{00000000-0005-0000-0000-000008520000}"/>
    <cellStyle name="Input 5 2 2 16" xfId="20999" xr:uid="{00000000-0005-0000-0000-000009520000}"/>
    <cellStyle name="Input 5 2 2 17" xfId="21000" xr:uid="{00000000-0005-0000-0000-00000A520000}"/>
    <cellStyle name="Input 5 2 2 18" xfId="21001" xr:uid="{00000000-0005-0000-0000-00000B520000}"/>
    <cellStyle name="Input 5 2 2 19" xfId="21002" xr:uid="{00000000-0005-0000-0000-00000C520000}"/>
    <cellStyle name="Input 5 2 2 2" xfId="21003" xr:uid="{00000000-0005-0000-0000-00000D520000}"/>
    <cellStyle name="Input 5 2 2 2 2" xfId="21004" xr:uid="{00000000-0005-0000-0000-00000E520000}"/>
    <cellStyle name="Input 5 2 2 2 2 2" xfId="21005" xr:uid="{00000000-0005-0000-0000-00000F520000}"/>
    <cellStyle name="Input 5 2 2 2 2 3" xfId="21006" xr:uid="{00000000-0005-0000-0000-000010520000}"/>
    <cellStyle name="Input 5 2 2 2 3" xfId="21007" xr:uid="{00000000-0005-0000-0000-000011520000}"/>
    <cellStyle name="Input 5 2 2 2 3 2" xfId="21008" xr:uid="{00000000-0005-0000-0000-000012520000}"/>
    <cellStyle name="Input 5 2 2 2 3 3" xfId="21009" xr:uid="{00000000-0005-0000-0000-000013520000}"/>
    <cellStyle name="Input 5 2 2 2 4" xfId="21010" xr:uid="{00000000-0005-0000-0000-000014520000}"/>
    <cellStyle name="Input 5 2 2 2 5" xfId="21011" xr:uid="{00000000-0005-0000-0000-000015520000}"/>
    <cellStyle name="Input 5 2 2 20" xfId="21012" xr:uid="{00000000-0005-0000-0000-000016520000}"/>
    <cellStyle name="Input 5 2 2 21" xfId="21013" xr:uid="{00000000-0005-0000-0000-000017520000}"/>
    <cellStyle name="Input 5 2 2 22" xfId="21014" xr:uid="{00000000-0005-0000-0000-000018520000}"/>
    <cellStyle name="Input 5 2 2 23" xfId="21015" xr:uid="{00000000-0005-0000-0000-000019520000}"/>
    <cellStyle name="Input 5 2 2 24" xfId="21016" xr:uid="{00000000-0005-0000-0000-00001A520000}"/>
    <cellStyle name="Input 5 2 2 25" xfId="21017" xr:uid="{00000000-0005-0000-0000-00001B520000}"/>
    <cellStyle name="Input 5 2 2 26" xfId="21018" xr:uid="{00000000-0005-0000-0000-00001C520000}"/>
    <cellStyle name="Input 5 2 2 27" xfId="21019" xr:uid="{00000000-0005-0000-0000-00001D520000}"/>
    <cellStyle name="Input 5 2 2 28" xfId="21020" xr:uid="{00000000-0005-0000-0000-00001E520000}"/>
    <cellStyle name="Input 5 2 2 29" xfId="21021" xr:uid="{00000000-0005-0000-0000-00001F520000}"/>
    <cellStyle name="Input 5 2 2 3" xfId="21022" xr:uid="{00000000-0005-0000-0000-000020520000}"/>
    <cellStyle name="Input 5 2 2 3 2" xfId="21023" xr:uid="{00000000-0005-0000-0000-000021520000}"/>
    <cellStyle name="Input 5 2 2 3 2 2" xfId="21024" xr:uid="{00000000-0005-0000-0000-000022520000}"/>
    <cellStyle name="Input 5 2 2 3 2 3" xfId="21025" xr:uid="{00000000-0005-0000-0000-000023520000}"/>
    <cellStyle name="Input 5 2 2 3 3" xfId="21026" xr:uid="{00000000-0005-0000-0000-000024520000}"/>
    <cellStyle name="Input 5 2 2 3 3 2" xfId="21027" xr:uid="{00000000-0005-0000-0000-000025520000}"/>
    <cellStyle name="Input 5 2 2 3 3 3" xfId="21028" xr:uid="{00000000-0005-0000-0000-000026520000}"/>
    <cellStyle name="Input 5 2 2 3 4" xfId="21029" xr:uid="{00000000-0005-0000-0000-000027520000}"/>
    <cellStyle name="Input 5 2 2 3 5" xfId="21030" xr:uid="{00000000-0005-0000-0000-000028520000}"/>
    <cellStyle name="Input 5 2 2 30" xfId="21031" xr:uid="{00000000-0005-0000-0000-000029520000}"/>
    <cellStyle name="Input 5 2 2 31" xfId="21032" xr:uid="{00000000-0005-0000-0000-00002A520000}"/>
    <cellStyle name="Input 5 2 2 32" xfId="21033" xr:uid="{00000000-0005-0000-0000-00002B520000}"/>
    <cellStyle name="Input 5 2 2 33" xfId="21034" xr:uid="{00000000-0005-0000-0000-00002C520000}"/>
    <cellStyle name="Input 5 2 2 34" xfId="21035" xr:uid="{00000000-0005-0000-0000-00002D520000}"/>
    <cellStyle name="Input 5 2 2 35" xfId="21036" xr:uid="{00000000-0005-0000-0000-00002E520000}"/>
    <cellStyle name="Input 5 2 2 4" xfId="21037" xr:uid="{00000000-0005-0000-0000-00002F520000}"/>
    <cellStyle name="Input 5 2 2 4 2" xfId="21038" xr:uid="{00000000-0005-0000-0000-000030520000}"/>
    <cellStyle name="Input 5 2 2 4 3" xfId="21039" xr:uid="{00000000-0005-0000-0000-000031520000}"/>
    <cellStyle name="Input 5 2 2 5" xfId="21040" xr:uid="{00000000-0005-0000-0000-000032520000}"/>
    <cellStyle name="Input 5 2 2 5 2" xfId="21041" xr:uid="{00000000-0005-0000-0000-000033520000}"/>
    <cellStyle name="Input 5 2 2 5 3" xfId="21042" xr:uid="{00000000-0005-0000-0000-000034520000}"/>
    <cellStyle name="Input 5 2 2 6" xfId="21043" xr:uid="{00000000-0005-0000-0000-000035520000}"/>
    <cellStyle name="Input 5 2 2 7" xfId="21044" xr:uid="{00000000-0005-0000-0000-000036520000}"/>
    <cellStyle name="Input 5 2 2 8" xfId="21045" xr:uid="{00000000-0005-0000-0000-000037520000}"/>
    <cellStyle name="Input 5 2 2 9" xfId="21046" xr:uid="{00000000-0005-0000-0000-000038520000}"/>
    <cellStyle name="Input 5 2 3" xfId="21047" xr:uid="{00000000-0005-0000-0000-000039520000}"/>
    <cellStyle name="Input 5 2 3 2" xfId="21048" xr:uid="{00000000-0005-0000-0000-00003A520000}"/>
    <cellStyle name="Input 5 2 3 2 2" xfId="21049" xr:uid="{00000000-0005-0000-0000-00003B520000}"/>
    <cellStyle name="Input 5 2 3 2 3" xfId="21050" xr:uid="{00000000-0005-0000-0000-00003C520000}"/>
    <cellStyle name="Input 5 2 3 3" xfId="21051" xr:uid="{00000000-0005-0000-0000-00003D520000}"/>
    <cellStyle name="Input 5 2 3 3 2" xfId="21052" xr:uid="{00000000-0005-0000-0000-00003E520000}"/>
    <cellStyle name="Input 5 2 3 3 3" xfId="21053" xr:uid="{00000000-0005-0000-0000-00003F520000}"/>
    <cellStyle name="Input 5 2 3 4" xfId="21054" xr:uid="{00000000-0005-0000-0000-000040520000}"/>
    <cellStyle name="Input 5 2 3 5" xfId="21055" xr:uid="{00000000-0005-0000-0000-000041520000}"/>
    <cellStyle name="Input 5 2 4" xfId="21056" xr:uid="{00000000-0005-0000-0000-000042520000}"/>
    <cellStyle name="Input 5 2 4 2" xfId="21057" xr:uid="{00000000-0005-0000-0000-000043520000}"/>
    <cellStyle name="Input 5 2 4 3" xfId="21058" xr:uid="{00000000-0005-0000-0000-000044520000}"/>
    <cellStyle name="Input 5 2 5" xfId="21059" xr:uid="{00000000-0005-0000-0000-000045520000}"/>
    <cellStyle name="Input 5 2 5 2" xfId="21060" xr:uid="{00000000-0005-0000-0000-000046520000}"/>
    <cellStyle name="Input 5 2 5 3" xfId="21061" xr:uid="{00000000-0005-0000-0000-000047520000}"/>
    <cellStyle name="Input 5 2 6" xfId="21062" xr:uid="{00000000-0005-0000-0000-000048520000}"/>
    <cellStyle name="Input 5 2 7" xfId="21063" xr:uid="{00000000-0005-0000-0000-000049520000}"/>
    <cellStyle name="Input 5 2 8" xfId="21064" xr:uid="{00000000-0005-0000-0000-00004A520000}"/>
    <cellStyle name="Input 5 2 9" xfId="21065" xr:uid="{00000000-0005-0000-0000-00004B520000}"/>
    <cellStyle name="Input 5 3" xfId="21066" xr:uid="{00000000-0005-0000-0000-00004C520000}"/>
    <cellStyle name="Input 5 3 10" xfId="21067" xr:uid="{00000000-0005-0000-0000-00004D520000}"/>
    <cellStyle name="Input 5 3 11" xfId="21068" xr:uid="{00000000-0005-0000-0000-00004E520000}"/>
    <cellStyle name="Input 5 3 12" xfId="21069" xr:uid="{00000000-0005-0000-0000-00004F520000}"/>
    <cellStyle name="Input 5 3 13" xfId="21070" xr:uid="{00000000-0005-0000-0000-000050520000}"/>
    <cellStyle name="Input 5 3 14" xfId="21071" xr:uid="{00000000-0005-0000-0000-000051520000}"/>
    <cellStyle name="Input 5 3 15" xfId="21072" xr:uid="{00000000-0005-0000-0000-000052520000}"/>
    <cellStyle name="Input 5 3 16" xfId="21073" xr:uid="{00000000-0005-0000-0000-000053520000}"/>
    <cellStyle name="Input 5 3 17" xfId="21074" xr:uid="{00000000-0005-0000-0000-000054520000}"/>
    <cellStyle name="Input 5 3 18" xfId="21075" xr:uid="{00000000-0005-0000-0000-000055520000}"/>
    <cellStyle name="Input 5 3 19" xfId="21076" xr:uid="{00000000-0005-0000-0000-000056520000}"/>
    <cellStyle name="Input 5 3 2" xfId="21077" xr:uid="{00000000-0005-0000-0000-000057520000}"/>
    <cellStyle name="Input 5 3 2 2" xfId="21078" xr:uid="{00000000-0005-0000-0000-000058520000}"/>
    <cellStyle name="Input 5 3 2 2 2" xfId="21079" xr:uid="{00000000-0005-0000-0000-000059520000}"/>
    <cellStyle name="Input 5 3 2 2 3" xfId="21080" xr:uid="{00000000-0005-0000-0000-00005A520000}"/>
    <cellStyle name="Input 5 3 2 3" xfId="21081" xr:uid="{00000000-0005-0000-0000-00005B520000}"/>
    <cellStyle name="Input 5 3 2 3 2" xfId="21082" xr:uid="{00000000-0005-0000-0000-00005C520000}"/>
    <cellStyle name="Input 5 3 2 3 3" xfId="21083" xr:uid="{00000000-0005-0000-0000-00005D520000}"/>
    <cellStyle name="Input 5 3 2 4" xfId="21084" xr:uid="{00000000-0005-0000-0000-00005E520000}"/>
    <cellStyle name="Input 5 3 2 5" xfId="21085" xr:uid="{00000000-0005-0000-0000-00005F520000}"/>
    <cellStyle name="Input 5 3 20" xfId="21086" xr:uid="{00000000-0005-0000-0000-000060520000}"/>
    <cellStyle name="Input 5 3 21" xfId="21087" xr:uid="{00000000-0005-0000-0000-000061520000}"/>
    <cellStyle name="Input 5 3 22" xfId="21088" xr:uid="{00000000-0005-0000-0000-000062520000}"/>
    <cellStyle name="Input 5 3 23" xfId="21089" xr:uid="{00000000-0005-0000-0000-000063520000}"/>
    <cellStyle name="Input 5 3 24" xfId="21090" xr:uid="{00000000-0005-0000-0000-000064520000}"/>
    <cellStyle name="Input 5 3 25" xfId="21091" xr:uid="{00000000-0005-0000-0000-000065520000}"/>
    <cellStyle name="Input 5 3 26" xfId="21092" xr:uid="{00000000-0005-0000-0000-000066520000}"/>
    <cellStyle name="Input 5 3 27" xfId="21093" xr:uid="{00000000-0005-0000-0000-000067520000}"/>
    <cellStyle name="Input 5 3 28" xfId="21094" xr:uid="{00000000-0005-0000-0000-000068520000}"/>
    <cellStyle name="Input 5 3 29" xfId="21095" xr:uid="{00000000-0005-0000-0000-000069520000}"/>
    <cellStyle name="Input 5 3 3" xfId="21096" xr:uid="{00000000-0005-0000-0000-00006A520000}"/>
    <cellStyle name="Input 5 3 3 2" xfId="21097" xr:uid="{00000000-0005-0000-0000-00006B520000}"/>
    <cellStyle name="Input 5 3 3 2 2" xfId="21098" xr:uid="{00000000-0005-0000-0000-00006C520000}"/>
    <cellStyle name="Input 5 3 3 2 3" xfId="21099" xr:uid="{00000000-0005-0000-0000-00006D520000}"/>
    <cellStyle name="Input 5 3 3 3" xfId="21100" xr:uid="{00000000-0005-0000-0000-00006E520000}"/>
    <cellStyle name="Input 5 3 3 3 2" xfId="21101" xr:uid="{00000000-0005-0000-0000-00006F520000}"/>
    <cellStyle name="Input 5 3 3 3 3" xfId="21102" xr:uid="{00000000-0005-0000-0000-000070520000}"/>
    <cellStyle name="Input 5 3 3 4" xfId="21103" xr:uid="{00000000-0005-0000-0000-000071520000}"/>
    <cellStyle name="Input 5 3 3 5" xfId="21104" xr:uid="{00000000-0005-0000-0000-000072520000}"/>
    <cellStyle name="Input 5 3 30" xfId="21105" xr:uid="{00000000-0005-0000-0000-000073520000}"/>
    <cellStyle name="Input 5 3 31" xfId="21106" xr:uid="{00000000-0005-0000-0000-000074520000}"/>
    <cellStyle name="Input 5 3 32" xfId="21107" xr:uid="{00000000-0005-0000-0000-000075520000}"/>
    <cellStyle name="Input 5 3 33" xfId="21108" xr:uid="{00000000-0005-0000-0000-000076520000}"/>
    <cellStyle name="Input 5 3 34" xfId="21109" xr:uid="{00000000-0005-0000-0000-000077520000}"/>
    <cellStyle name="Input 5 3 35" xfId="21110" xr:uid="{00000000-0005-0000-0000-000078520000}"/>
    <cellStyle name="Input 5 3 4" xfId="21111" xr:uid="{00000000-0005-0000-0000-000079520000}"/>
    <cellStyle name="Input 5 3 4 2" xfId="21112" xr:uid="{00000000-0005-0000-0000-00007A520000}"/>
    <cellStyle name="Input 5 3 4 3" xfId="21113" xr:uid="{00000000-0005-0000-0000-00007B520000}"/>
    <cellStyle name="Input 5 3 5" xfId="21114" xr:uid="{00000000-0005-0000-0000-00007C520000}"/>
    <cellStyle name="Input 5 3 5 2" xfId="21115" xr:uid="{00000000-0005-0000-0000-00007D520000}"/>
    <cellStyle name="Input 5 3 5 3" xfId="21116" xr:uid="{00000000-0005-0000-0000-00007E520000}"/>
    <cellStyle name="Input 5 3 6" xfId="21117" xr:uid="{00000000-0005-0000-0000-00007F520000}"/>
    <cellStyle name="Input 5 3 7" xfId="21118" xr:uid="{00000000-0005-0000-0000-000080520000}"/>
    <cellStyle name="Input 5 3 8" xfId="21119" xr:uid="{00000000-0005-0000-0000-000081520000}"/>
    <cellStyle name="Input 5 3 9" xfId="21120" xr:uid="{00000000-0005-0000-0000-000082520000}"/>
    <cellStyle name="Input 5 4" xfId="21121" xr:uid="{00000000-0005-0000-0000-000083520000}"/>
    <cellStyle name="Input 5 4 2" xfId="21122" xr:uid="{00000000-0005-0000-0000-000084520000}"/>
    <cellStyle name="Input 5 4 2 2" xfId="21123" xr:uid="{00000000-0005-0000-0000-000085520000}"/>
    <cellStyle name="Input 5 4 2 3" xfId="21124" xr:uid="{00000000-0005-0000-0000-000086520000}"/>
    <cellStyle name="Input 5 4 3" xfId="21125" xr:uid="{00000000-0005-0000-0000-000087520000}"/>
    <cellStyle name="Input 5 4 3 2" xfId="21126" xr:uid="{00000000-0005-0000-0000-000088520000}"/>
    <cellStyle name="Input 5 4 3 3" xfId="21127" xr:uid="{00000000-0005-0000-0000-000089520000}"/>
    <cellStyle name="Input 5 4 4" xfId="21128" xr:uid="{00000000-0005-0000-0000-00008A520000}"/>
    <cellStyle name="Input 5 4 5" xfId="21129" xr:uid="{00000000-0005-0000-0000-00008B520000}"/>
    <cellStyle name="Input 5 5" xfId="21130" xr:uid="{00000000-0005-0000-0000-00008C520000}"/>
    <cellStyle name="Input 5 5 2" xfId="21131" xr:uid="{00000000-0005-0000-0000-00008D520000}"/>
    <cellStyle name="Input 5 5 3" xfId="21132" xr:uid="{00000000-0005-0000-0000-00008E520000}"/>
    <cellStyle name="Input 5 6" xfId="21133" xr:uid="{00000000-0005-0000-0000-00008F520000}"/>
    <cellStyle name="Input 5 6 2" xfId="21134" xr:uid="{00000000-0005-0000-0000-000090520000}"/>
    <cellStyle name="Input 5 6 3" xfId="21135" xr:uid="{00000000-0005-0000-0000-000091520000}"/>
    <cellStyle name="Input 5 7" xfId="21136" xr:uid="{00000000-0005-0000-0000-000092520000}"/>
    <cellStyle name="Input 5 8" xfId="21137" xr:uid="{00000000-0005-0000-0000-000093520000}"/>
    <cellStyle name="Input 5 9" xfId="21138" xr:uid="{00000000-0005-0000-0000-000094520000}"/>
    <cellStyle name="Input 6" xfId="21139" xr:uid="{00000000-0005-0000-0000-000095520000}"/>
    <cellStyle name="Input 6 10" xfId="21140" xr:uid="{00000000-0005-0000-0000-000096520000}"/>
    <cellStyle name="Input 6 11" xfId="21141" xr:uid="{00000000-0005-0000-0000-000097520000}"/>
    <cellStyle name="Input 6 12" xfId="21142" xr:uid="{00000000-0005-0000-0000-000098520000}"/>
    <cellStyle name="Input 6 13" xfId="21143" xr:uid="{00000000-0005-0000-0000-000099520000}"/>
    <cellStyle name="Input 6 14" xfId="21144" xr:uid="{00000000-0005-0000-0000-00009A520000}"/>
    <cellStyle name="Input 6 15" xfId="21145" xr:uid="{00000000-0005-0000-0000-00009B520000}"/>
    <cellStyle name="Input 6 2" xfId="21146" xr:uid="{00000000-0005-0000-0000-00009C520000}"/>
    <cellStyle name="Input 6 2 10" xfId="21147" xr:uid="{00000000-0005-0000-0000-00009D520000}"/>
    <cellStyle name="Input 6 2 11" xfId="21148" xr:uid="{00000000-0005-0000-0000-00009E520000}"/>
    <cellStyle name="Input 6 2 12" xfId="21149" xr:uid="{00000000-0005-0000-0000-00009F520000}"/>
    <cellStyle name="Input 6 2 13" xfId="21150" xr:uid="{00000000-0005-0000-0000-0000A0520000}"/>
    <cellStyle name="Input 6 2 14" xfId="21151" xr:uid="{00000000-0005-0000-0000-0000A1520000}"/>
    <cellStyle name="Input 6 2 2" xfId="21152" xr:uid="{00000000-0005-0000-0000-0000A2520000}"/>
    <cellStyle name="Input 6 2 2 10" xfId="21153" xr:uid="{00000000-0005-0000-0000-0000A3520000}"/>
    <cellStyle name="Input 6 2 2 11" xfId="21154" xr:uid="{00000000-0005-0000-0000-0000A4520000}"/>
    <cellStyle name="Input 6 2 2 12" xfId="21155" xr:uid="{00000000-0005-0000-0000-0000A5520000}"/>
    <cellStyle name="Input 6 2 2 13" xfId="21156" xr:uid="{00000000-0005-0000-0000-0000A6520000}"/>
    <cellStyle name="Input 6 2 2 14" xfId="21157" xr:uid="{00000000-0005-0000-0000-0000A7520000}"/>
    <cellStyle name="Input 6 2 2 15" xfId="21158" xr:uid="{00000000-0005-0000-0000-0000A8520000}"/>
    <cellStyle name="Input 6 2 2 16" xfId="21159" xr:uid="{00000000-0005-0000-0000-0000A9520000}"/>
    <cellStyle name="Input 6 2 2 17" xfId="21160" xr:uid="{00000000-0005-0000-0000-0000AA520000}"/>
    <cellStyle name="Input 6 2 2 18" xfId="21161" xr:uid="{00000000-0005-0000-0000-0000AB520000}"/>
    <cellStyle name="Input 6 2 2 19" xfId="21162" xr:uid="{00000000-0005-0000-0000-0000AC520000}"/>
    <cellStyle name="Input 6 2 2 2" xfId="21163" xr:uid="{00000000-0005-0000-0000-0000AD520000}"/>
    <cellStyle name="Input 6 2 2 2 2" xfId="21164" xr:uid="{00000000-0005-0000-0000-0000AE520000}"/>
    <cellStyle name="Input 6 2 2 2 2 2" xfId="21165" xr:uid="{00000000-0005-0000-0000-0000AF520000}"/>
    <cellStyle name="Input 6 2 2 2 2 3" xfId="21166" xr:uid="{00000000-0005-0000-0000-0000B0520000}"/>
    <cellStyle name="Input 6 2 2 2 3" xfId="21167" xr:uid="{00000000-0005-0000-0000-0000B1520000}"/>
    <cellStyle name="Input 6 2 2 2 3 2" xfId="21168" xr:uid="{00000000-0005-0000-0000-0000B2520000}"/>
    <cellStyle name="Input 6 2 2 2 3 3" xfId="21169" xr:uid="{00000000-0005-0000-0000-0000B3520000}"/>
    <cellStyle name="Input 6 2 2 2 4" xfId="21170" xr:uid="{00000000-0005-0000-0000-0000B4520000}"/>
    <cellStyle name="Input 6 2 2 2 5" xfId="21171" xr:uid="{00000000-0005-0000-0000-0000B5520000}"/>
    <cellStyle name="Input 6 2 2 20" xfId="21172" xr:uid="{00000000-0005-0000-0000-0000B6520000}"/>
    <cellStyle name="Input 6 2 2 21" xfId="21173" xr:uid="{00000000-0005-0000-0000-0000B7520000}"/>
    <cellStyle name="Input 6 2 2 22" xfId="21174" xr:uid="{00000000-0005-0000-0000-0000B8520000}"/>
    <cellStyle name="Input 6 2 2 23" xfId="21175" xr:uid="{00000000-0005-0000-0000-0000B9520000}"/>
    <cellStyle name="Input 6 2 2 24" xfId="21176" xr:uid="{00000000-0005-0000-0000-0000BA520000}"/>
    <cellStyle name="Input 6 2 2 25" xfId="21177" xr:uid="{00000000-0005-0000-0000-0000BB520000}"/>
    <cellStyle name="Input 6 2 2 26" xfId="21178" xr:uid="{00000000-0005-0000-0000-0000BC520000}"/>
    <cellStyle name="Input 6 2 2 27" xfId="21179" xr:uid="{00000000-0005-0000-0000-0000BD520000}"/>
    <cellStyle name="Input 6 2 2 28" xfId="21180" xr:uid="{00000000-0005-0000-0000-0000BE520000}"/>
    <cellStyle name="Input 6 2 2 29" xfId="21181" xr:uid="{00000000-0005-0000-0000-0000BF520000}"/>
    <cellStyle name="Input 6 2 2 3" xfId="21182" xr:uid="{00000000-0005-0000-0000-0000C0520000}"/>
    <cellStyle name="Input 6 2 2 3 2" xfId="21183" xr:uid="{00000000-0005-0000-0000-0000C1520000}"/>
    <cellStyle name="Input 6 2 2 3 2 2" xfId="21184" xr:uid="{00000000-0005-0000-0000-0000C2520000}"/>
    <cellStyle name="Input 6 2 2 3 2 3" xfId="21185" xr:uid="{00000000-0005-0000-0000-0000C3520000}"/>
    <cellStyle name="Input 6 2 2 3 3" xfId="21186" xr:uid="{00000000-0005-0000-0000-0000C4520000}"/>
    <cellStyle name="Input 6 2 2 3 3 2" xfId="21187" xr:uid="{00000000-0005-0000-0000-0000C5520000}"/>
    <cellStyle name="Input 6 2 2 3 3 3" xfId="21188" xr:uid="{00000000-0005-0000-0000-0000C6520000}"/>
    <cellStyle name="Input 6 2 2 3 4" xfId="21189" xr:uid="{00000000-0005-0000-0000-0000C7520000}"/>
    <cellStyle name="Input 6 2 2 3 5" xfId="21190" xr:uid="{00000000-0005-0000-0000-0000C8520000}"/>
    <cellStyle name="Input 6 2 2 30" xfId="21191" xr:uid="{00000000-0005-0000-0000-0000C9520000}"/>
    <cellStyle name="Input 6 2 2 31" xfId="21192" xr:uid="{00000000-0005-0000-0000-0000CA520000}"/>
    <cellStyle name="Input 6 2 2 32" xfId="21193" xr:uid="{00000000-0005-0000-0000-0000CB520000}"/>
    <cellStyle name="Input 6 2 2 33" xfId="21194" xr:uid="{00000000-0005-0000-0000-0000CC520000}"/>
    <cellStyle name="Input 6 2 2 34" xfId="21195" xr:uid="{00000000-0005-0000-0000-0000CD520000}"/>
    <cellStyle name="Input 6 2 2 35" xfId="21196" xr:uid="{00000000-0005-0000-0000-0000CE520000}"/>
    <cellStyle name="Input 6 2 2 4" xfId="21197" xr:uid="{00000000-0005-0000-0000-0000CF520000}"/>
    <cellStyle name="Input 6 2 2 4 2" xfId="21198" xr:uid="{00000000-0005-0000-0000-0000D0520000}"/>
    <cellStyle name="Input 6 2 2 4 3" xfId="21199" xr:uid="{00000000-0005-0000-0000-0000D1520000}"/>
    <cellStyle name="Input 6 2 2 5" xfId="21200" xr:uid="{00000000-0005-0000-0000-0000D2520000}"/>
    <cellStyle name="Input 6 2 2 5 2" xfId="21201" xr:uid="{00000000-0005-0000-0000-0000D3520000}"/>
    <cellStyle name="Input 6 2 2 5 3" xfId="21202" xr:uid="{00000000-0005-0000-0000-0000D4520000}"/>
    <cellStyle name="Input 6 2 2 6" xfId="21203" xr:uid="{00000000-0005-0000-0000-0000D5520000}"/>
    <cellStyle name="Input 6 2 2 7" xfId="21204" xr:uid="{00000000-0005-0000-0000-0000D6520000}"/>
    <cellStyle name="Input 6 2 2 8" xfId="21205" xr:uid="{00000000-0005-0000-0000-0000D7520000}"/>
    <cellStyle name="Input 6 2 2 9" xfId="21206" xr:uid="{00000000-0005-0000-0000-0000D8520000}"/>
    <cellStyle name="Input 6 2 3" xfId="21207" xr:uid="{00000000-0005-0000-0000-0000D9520000}"/>
    <cellStyle name="Input 6 2 3 2" xfId="21208" xr:uid="{00000000-0005-0000-0000-0000DA520000}"/>
    <cellStyle name="Input 6 2 3 2 2" xfId="21209" xr:uid="{00000000-0005-0000-0000-0000DB520000}"/>
    <cellStyle name="Input 6 2 3 2 3" xfId="21210" xr:uid="{00000000-0005-0000-0000-0000DC520000}"/>
    <cellStyle name="Input 6 2 3 3" xfId="21211" xr:uid="{00000000-0005-0000-0000-0000DD520000}"/>
    <cellStyle name="Input 6 2 3 3 2" xfId="21212" xr:uid="{00000000-0005-0000-0000-0000DE520000}"/>
    <cellStyle name="Input 6 2 3 3 3" xfId="21213" xr:uid="{00000000-0005-0000-0000-0000DF520000}"/>
    <cellStyle name="Input 6 2 3 4" xfId="21214" xr:uid="{00000000-0005-0000-0000-0000E0520000}"/>
    <cellStyle name="Input 6 2 3 5" xfId="21215" xr:uid="{00000000-0005-0000-0000-0000E1520000}"/>
    <cellStyle name="Input 6 2 4" xfId="21216" xr:uid="{00000000-0005-0000-0000-0000E2520000}"/>
    <cellStyle name="Input 6 2 4 2" xfId="21217" xr:uid="{00000000-0005-0000-0000-0000E3520000}"/>
    <cellStyle name="Input 6 2 4 3" xfId="21218" xr:uid="{00000000-0005-0000-0000-0000E4520000}"/>
    <cellStyle name="Input 6 2 5" xfId="21219" xr:uid="{00000000-0005-0000-0000-0000E5520000}"/>
    <cellStyle name="Input 6 2 5 2" xfId="21220" xr:uid="{00000000-0005-0000-0000-0000E6520000}"/>
    <cellStyle name="Input 6 2 5 3" xfId="21221" xr:uid="{00000000-0005-0000-0000-0000E7520000}"/>
    <cellStyle name="Input 6 2 6" xfId="21222" xr:uid="{00000000-0005-0000-0000-0000E8520000}"/>
    <cellStyle name="Input 6 2 7" xfId="21223" xr:uid="{00000000-0005-0000-0000-0000E9520000}"/>
    <cellStyle name="Input 6 2 8" xfId="21224" xr:uid="{00000000-0005-0000-0000-0000EA520000}"/>
    <cellStyle name="Input 6 2 9" xfId="21225" xr:uid="{00000000-0005-0000-0000-0000EB520000}"/>
    <cellStyle name="Input 6 3" xfId="21226" xr:uid="{00000000-0005-0000-0000-0000EC520000}"/>
    <cellStyle name="Input 6 3 10" xfId="21227" xr:uid="{00000000-0005-0000-0000-0000ED520000}"/>
    <cellStyle name="Input 6 3 11" xfId="21228" xr:uid="{00000000-0005-0000-0000-0000EE520000}"/>
    <cellStyle name="Input 6 3 12" xfId="21229" xr:uid="{00000000-0005-0000-0000-0000EF520000}"/>
    <cellStyle name="Input 6 3 13" xfId="21230" xr:uid="{00000000-0005-0000-0000-0000F0520000}"/>
    <cellStyle name="Input 6 3 14" xfId="21231" xr:uid="{00000000-0005-0000-0000-0000F1520000}"/>
    <cellStyle name="Input 6 3 15" xfId="21232" xr:uid="{00000000-0005-0000-0000-0000F2520000}"/>
    <cellStyle name="Input 6 3 16" xfId="21233" xr:uid="{00000000-0005-0000-0000-0000F3520000}"/>
    <cellStyle name="Input 6 3 17" xfId="21234" xr:uid="{00000000-0005-0000-0000-0000F4520000}"/>
    <cellStyle name="Input 6 3 18" xfId="21235" xr:uid="{00000000-0005-0000-0000-0000F5520000}"/>
    <cellStyle name="Input 6 3 19" xfId="21236" xr:uid="{00000000-0005-0000-0000-0000F6520000}"/>
    <cellStyle name="Input 6 3 2" xfId="21237" xr:uid="{00000000-0005-0000-0000-0000F7520000}"/>
    <cellStyle name="Input 6 3 2 2" xfId="21238" xr:uid="{00000000-0005-0000-0000-0000F8520000}"/>
    <cellStyle name="Input 6 3 2 2 2" xfId="21239" xr:uid="{00000000-0005-0000-0000-0000F9520000}"/>
    <cellStyle name="Input 6 3 2 2 3" xfId="21240" xr:uid="{00000000-0005-0000-0000-0000FA520000}"/>
    <cellStyle name="Input 6 3 2 3" xfId="21241" xr:uid="{00000000-0005-0000-0000-0000FB520000}"/>
    <cellStyle name="Input 6 3 2 3 2" xfId="21242" xr:uid="{00000000-0005-0000-0000-0000FC520000}"/>
    <cellStyle name="Input 6 3 2 3 3" xfId="21243" xr:uid="{00000000-0005-0000-0000-0000FD520000}"/>
    <cellStyle name="Input 6 3 2 4" xfId="21244" xr:uid="{00000000-0005-0000-0000-0000FE520000}"/>
    <cellStyle name="Input 6 3 2 5" xfId="21245" xr:uid="{00000000-0005-0000-0000-0000FF520000}"/>
    <cellStyle name="Input 6 3 20" xfId="21246" xr:uid="{00000000-0005-0000-0000-000000530000}"/>
    <cellStyle name="Input 6 3 21" xfId="21247" xr:uid="{00000000-0005-0000-0000-000001530000}"/>
    <cellStyle name="Input 6 3 22" xfId="21248" xr:uid="{00000000-0005-0000-0000-000002530000}"/>
    <cellStyle name="Input 6 3 23" xfId="21249" xr:uid="{00000000-0005-0000-0000-000003530000}"/>
    <cellStyle name="Input 6 3 24" xfId="21250" xr:uid="{00000000-0005-0000-0000-000004530000}"/>
    <cellStyle name="Input 6 3 25" xfId="21251" xr:uid="{00000000-0005-0000-0000-000005530000}"/>
    <cellStyle name="Input 6 3 26" xfId="21252" xr:uid="{00000000-0005-0000-0000-000006530000}"/>
    <cellStyle name="Input 6 3 27" xfId="21253" xr:uid="{00000000-0005-0000-0000-000007530000}"/>
    <cellStyle name="Input 6 3 28" xfId="21254" xr:uid="{00000000-0005-0000-0000-000008530000}"/>
    <cellStyle name="Input 6 3 29" xfId="21255" xr:uid="{00000000-0005-0000-0000-000009530000}"/>
    <cellStyle name="Input 6 3 3" xfId="21256" xr:uid="{00000000-0005-0000-0000-00000A530000}"/>
    <cellStyle name="Input 6 3 3 2" xfId="21257" xr:uid="{00000000-0005-0000-0000-00000B530000}"/>
    <cellStyle name="Input 6 3 3 2 2" xfId="21258" xr:uid="{00000000-0005-0000-0000-00000C530000}"/>
    <cellStyle name="Input 6 3 3 2 3" xfId="21259" xr:uid="{00000000-0005-0000-0000-00000D530000}"/>
    <cellStyle name="Input 6 3 3 3" xfId="21260" xr:uid="{00000000-0005-0000-0000-00000E530000}"/>
    <cellStyle name="Input 6 3 3 3 2" xfId="21261" xr:uid="{00000000-0005-0000-0000-00000F530000}"/>
    <cellStyle name="Input 6 3 3 3 3" xfId="21262" xr:uid="{00000000-0005-0000-0000-000010530000}"/>
    <cellStyle name="Input 6 3 3 4" xfId="21263" xr:uid="{00000000-0005-0000-0000-000011530000}"/>
    <cellStyle name="Input 6 3 3 5" xfId="21264" xr:uid="{00000000-0005-0000-0000-000012530000}"/>
    <cellStyle name="Input 6 3 30" xfId="21265" xr:uid="{00000000-0005-0000-0000-000013530000}"/>
    <cellStyle name="Input 6 3 31" xfId="21266" xr:uid="{00000000-0005-0000-0000-000014530000}"/>
    <cellStyle name="Input 6 3 32" xfId="21267" xr:uid="{00000000-0005-0000-0000-000015530000}"/>
    <cellStyle name="Input 6 3 33" xfId="21268" xr:uid="{00000000-0005-0000-0000-000016530000}"/>
    <cellStyle name="Input 6 3 34" xfId="21269" xr:uid="{00000000-0005-0000-0000-000017530000}"/>
    <cellStyle name="Input 6 3 35" xfId="21270" xr:uid="{00000000-0005-0000-0000-000018530000}"/>
    <cellStyle name="Input 6 3 4" xfId="21271" xr:uid="{00000000-0005-0000-0000-000019530000}"/>
    <cellStyle name="Input 6 3 4 2" xfId="21272" xr:uid="{00000000-0005-0000-0000-00001A530000}"/>
    <cellStyle name="Input 6 3 4 3" xfId="21273" xr:uid="{00000000-0005-0000-0000-00001B530000}"/>
    <cellStyle name="Input 6 3 5" xfId="21274" xr:uid="{00000000-0005-0000-0000-00001C530000}"/>
    <cellStyle name="Input 6 3 5 2" xfId="21275" xr:uid="{00000000-0005-0000-0000-00001D530000}"/>
    <cellStyle name="Input 6 3 5 3" xfId="21276" xr:uid="{00000000-0005-0000-0000-00001E530000}"/>
    <cellStyle name="Input 6 3 6" xfId="21277" xr:uid="{00000000-0005-0000-0000-00001F530000}"/>
    <cellStyle name="Input 6 3 7" xfId="21278" xr:uid="{00000000-0005-0000-0000-000020530000}"/>
    <cellStyle name="Input 6 3 8" xfId="21279" xr:uid="{00000000-0005-0000-0000-000021530000}"/>
    <cellStyle name="Input 6 3 9" xfId="21280" xr:uid="{00000000-0005-0000-0000-000022530000}"/>
    <cellStyle name="Input 6 4" xfId="21281" xr:uid="{00000000-0005-0000-0000-000023530000}"/>
    <cellStyle name="Input 6 4 2" xfId="21282" xr:uid="{00000000-0005-0000-0000-000024530000}"/>
    <cellStyle name="Input 6 4 2 2" xfId="21283" xr:uid="{00000000-0005-0000-0000-000025530000}"/>
    <cellStyle name="Input 6 4 2 3" xfId="21284" xr:uid="{00000000-0005-0000-0000-000026530000}"/>
    <cellStyle name="Input 6 4 3" xfId="21285" xr:uid="{00000000-0005-0000-0000-000027530000}"/>
    <cellStyle name="Input 6 4 3 2" xfId="21286" xr:uid="{00000000-0005-0000-0000-000028530000}"/>
    <cellStyle name="Input 6 4 3 3" xfId="21287" xr:uid="{00000000-0005-0000-0000-000029530000}"/>
    <cellStyle name="Input 6 4 4" xfId="21288" xr:uid="{00000000-0005-0000-0000-00002A530000}"/>
    <cellStyle name="Input 6 4 5" xfId="21289" xr:uid="{00000000-0005-0000-0000-00002B530000}"/>
    <cellStyle name="Input 6 5" xfId="21290" xr:uid="{00000000-0005-0000-0000-00002C530000}"/>
    <cellStyle name="Input 6 5 2" xfId="21291" xr:uid="{00000000-0005-0000-0000-00002D530000}"/>
    <cellStyle name="Input 6 5 3" xfId="21292" xr:uid="{00000000-0005-0000-0000-00002E530000}"/>
    <cellStyle name="Input 6 6" xfId="21293" xr:uid="{00000000-0005-0000-0000-00002F530000}"/>
    <cellStyle name="Input 6 6 2" xfId="21294" xr:uid="{00000000-0005-0000-0000-000030530000}"/>
    <cellStyle name="Input 6 6 3" xfId="21295" xr:uid="{00000000-0005-0000-0000-000031530000}"/>
    <cellStyle name="Input 6 7" xfId="21296" xr:uid="{00000000-0005-0000-0000-000032530000}"/>
    <cellStyle name="Input 6 8" xfId="21297" xr:uid="{00000000-0005-0000-0000-000033530000}"/>
    <cellStyle name="Input 6 9" xfId="21298" xr:uid="{00000000-0005-0000-0000-000034530000}"/>
    <cellStyle name="Input 7" xfId="21299" xr:uid="{00000000-0005-0000-0000-000035530000}"/>
    <cellStyle name="Input 7 2" xfId="21300" xr:uid="{00000000-0005-0000-0000-000036530000}"/>
    <cellStyle name="Input 8" xfId="21301" xr:uid="{00000000-0005-0000-0000-000037530000}"/>
    <cellStyle name="Input 8 2" xfId="21302" xr:uid="{00000000-0005-0000-0000-000038530000}"/>
    <cellStyle name="Input 9" xfId="21303" xr:uid="{00000000-0005-0000-0000-000039530000}"/>
    <cellStyle name="Input 9 2" xfId="21304" xr:uid="{00000000-0005-0000-0000-00003A530000}"/>
    <cellStyle name="Input calculation" xfId="21305" xr:uid="{00000000-0005-0000-0000-00003B530000}"/>
    <cellStyle name="Input Cells" xfId="21306" xr:uid="{00000000-0005-0000-0000-00003C530000}"/>
    <cellStyle name="Input Currency" xfId="21307" xr:uid="{00000000-0005-0000-0000-00003D530000}"/>
    <cellStyle name="Input data" xfId="21308" xr:uid="{00000000-0005-0000-0000-00003E530000}"/>
    <cellStyle name="Input data 10" xfId="21309" xr:uid="{00000000-0005-0000-0000-00003F530000}"/>
    <cellStyle name="Input data 11" xfId="21310" xr:uid="{00000000-0005-0000-0000-000040530000}"/>
    <cellStyle name="Input data 12" xfId="21311" xr:uid="{00000000-0005-0000-0000-000041530000}"/>
    <cellStyle name="Input data 13" xfId="21312" xr:uid="{00000000-0005-0000-0000-000042530000}"/>
    <cellStyle name="Input data 14" xfId="21313" xr:uid="{00000000-0005-0000-0000-000043530000}"/>
    <cellStyle name="Input data 15" xfId="21314" xr:uid="{00000000-0005-0000-0000-000044530000}"/>
    <cellStyle name="Input data 16" xfId="21315" xr:uid="{00000000-0005-0000-0000-000045530000}"/>
    <cellStyle name="Input data 17" xfId="21316" xr:uid="{00000000-0005-0000-0000-000046530000}"/>
    <cellStyle name="Input data 18" xfId="21317" xr:uid="{00000000-0005-0000-0000-000047530000}"/>
    <cellStyle name="Input data 19" xfId="21318" xr:uid="{00000000-0005-0000-0000-000048530000}"/>
    <cellStyle name="Input data 2" xfId="21319" xr:uid="{00000000-0005-0000-0000-000049530000}"/>
    <cellStyle name="Input data 2 10" xfId="21320" xr:uid="{00000000-0005-0000-0000-00004A530000}"/>
    <cellStyle name="Input data 2 11" xfId="21321" xr:uid="{00000000-0005-0000-0000-00004B530000}"/>
    <cellStyle name="Input data 2 12" xfId="21322" xr:uid="{00000000-0005-0000-0000-00004C530000}"/>
    <cellStyle name="Input data 2 13" xfId="21323" xr:uid="{00000000-0005-0000-0000-00004D530000}"/>
    <cellStyle name="Input data 2 14" xfId="21324" xr:uid="{00000000-0005-0000-0000-00004E530000}"/>
    <cellStyle name="Input data 2 15" xfId="21325" xr:uid="{00000000-0005-0000-0000-00004F530000}"/>
    <cellStyle name="Input data 2 16" xfId="21326" xr:uid="{00000000-0005-0000-0000-000050530000}"/>
    <cellStyle name="Input data 2 17" xfId="21327" xr:uid="{00000000-0005-0000-0000-000051530000}"/>
    <cellStyle name="Input data 2 18" xfId="21328" xr:uid="{00000000-0005-0000-0000-000052530000}"/>
    <cellStyle name="Input data 2 19" xfId="21329" xr:uid="{00000000-0005-0000-0000-000053530000}"/>
    <cellStyle name="Input data 2 2" xfId="21330" xr:uid="{00000000-0005-0000-0000-000054530000}"/>
    <cellStyle name="Input data 2 20" xfId="21331" xr:uid="{00000000-0005-0000-0000-000055530000}"/>
    <cellStyle name="Input data 2 21" xfId="21332" xr:uid="{00000000-0005-0000-0000-000056530000}"/>
    <cellStyle name="Input data 2 22" xfId="21333" xr:uid="{00000000-0005-0000-0000-000057530000}"/>
    <cellStyle name="Input data 2 23" xfId="21334" xr:uid="{00000000-0005-0000-0000-000058530000}"/>
    <cellStyle name="Input data 2 24" xfId="21335" xr:uid="{00000000-0005-0000-0000-000059530000}"/>
    <cellStyle name="Input data 2 25" xfId="21336" xr:uid="{00000000-0005-0000-0000-00005A530000}"/>
    <cellStyle name="Input data 2 26" xfId="21337" xr:uid="{00000000-0005-0000-0000-00005B530000}"/>
    <cellStyle name="Input data 2 27" xfId="21338" xr:uid="{00000000-0005-0000-0000-00005C530000}"/>
    <cellStyle name="Input data 2 28" xfId="21339" xr:uid="{00000000-0005-0000-0000-00005D530000}"/>
    <cellStyle name="Input data 2 29" xfId="21340" xr:uid="{00000000-0005-0000-0000-00005E530000}"/>
    <cellStyle name="Input data 2 3" xfId="21341" xr:uid="{00000000-0005-0000-0000-00005F530000}"/>
    <cellStyle name="Input data 2 30" xfId="21342" xr:uid="{00000000-0005-0000-0000-000060530000}"/>
    <cellStyle name="Input data 2 31" xfId="21343" xr:uid="{00000000-0005-0000-0000-000061530000}"/>
    <cellStyle name="Input data 2 32" xfId="21344" xr:uid="{00000000-0005-0000-0000-000062530000}"/>
    <cellStyle name="Input data 2 33" xfId="21345" xr:uid="{00000000-0005-0000-0000-000063530000}"/>
    <cellStyle name="Input data 2 34" xfId="21346" xr:uid="{00000000-0005-0000-0000-000064530000}"/>
    <cellStyle name="Input data 2 4" xfId="21347" xr:uid="{00000000-0005-0000-0000-000065530000}"/>
    <cellStyle name="Input data 2 5" xfId="21348" xr:uid="{00000000-0005-0000-0000-000066530000}"/>
    <cellStyle name="Input data 2 6" xfId="21349" xr:uid="{00000000-0005-0000-0000-000067530000}"/>
    <cellStyle name="Input data 2 7" xfId="21350" xr:uid="{00000000-0005-0000-0000-000068530000}"/>
    <cellStyle name="Input data 2 8" xfId="21351" xr:uid="{00000000-0005-0000-0000-000069530000}"/>
    <cellStyle name="Input data 2 9" xfId="21352" xr:uid="{00000000-0005-0000-0000-00006A530000}"/>
    <cellStyle name="Input data 3" xfId="21353" xr:uid="{00000000-0005-0000-0000-00006B530000}"/>
    <cellStyle name="Input data 3 2" xfId="21354" xr:uid="{00000000-0005-0000-0000-00006C530000}"/>
    <cellStyle name="Input data 3 3" xfId="21355" xr:uid="{00000000-0005-0000-0000-00006D530000}"/>
    <cellStyle name="Input data 4" xfId="21356" xr:uid="{00000000-0005-0000-0000-00006E530000}"/>
    <cellStyle name="Input data 5" xfId="21357" xr:uid="{00000000-0005-0000-0000-00006F530000}"/>
    <cellStyle name="Input data 6" xfId="21358" xr:uid="{00000000-0005-0000-0000-000070530000}"/>
    <cellStyle name="Input data 7" xfId="21359" xr:uid="{00000000-0005-0000-0000-000071530000}"/>
    <cellStyle name="Input data 8" xfId="21360" xr:uid="{00000000-0005-0000-0000-000072530000}"/>
    <cellStyle name="Input data 9" xfId="21361" xr:uid="{00000000-0005-0000-0000-000073530000}"/>
    <cellStyle name="Input Date" xfId="21362" xr:uid="{00000000-0005-0000-0000-000074530000}"/>
    <cellStyle name="Input estimate" xfId="21363" xr:uid="{00000000-0005-0000-0000-000075530000}"/>
    <cellStyle name="Input estimate 10" xfId="21364" xr:uid="{00000000-0005-0000-0000-000076530000}"/>
    <cellStyle name="Input estimate 11" xfId="21365" xr:uid="{00000000-0005-0000-0000-000077530000}"/>
    <cellStyle name="Input estimate 12" xfId="21366" xr:uid="{00000000-0005-0000-0000-000078530000}"/>
    <cellStyle name="Input estimate 13" xfId="21367" xr:uid="{00000000-0005-0000-0000-000079530000}"/>
    <cellStyle name="Input estimate 14" xfId="21368" xr:uid="{00000000-0005-0000-0000-00007A530000}"/>
    <cellStyle name="Input estimate 15" xfId="21369" xr:uid="{00000000-0005-0000-0000-00007B530000}"/>
    <cellStyle name="Input estimate 16" xfId="21370" xr:uid="{00000000-0005-0000-0000-00007C530000}"/>
    <cellStyle name="Input estimate 17" xfId="21371" xr:uid="{00000000-0005-0000-0000-00007D530000}"/>
    <cellStyle name="Input estimate 18" xfId="21372" xr:uid="{00000000-0005-0000-0000-00007E530000}"/>
    <cellStyle name="Input estimate 19" xfId="21373" xr:uid="{00000000-0005-0000-0000-00007F530000}"/>
    <cellStyle name="Input estimate 2" xfId="21374" xr:uid="{00000000-0005-0000-0000-000080530000}"/>
    <cellStyle name="Input estimate 2 10" xfId="21375" xr:uid="{00000000-0005-0000-0000-000081530000}"/>
    <cellStyle name="Input estimate 2 11" xfId="21376" xr:uid="{00000000-0005-0000-0000-000082530000}"/>
    <cellStyle name="Input estimate 2 12" xfId="21377" xr:uid="{00000000-0005-0000-0000-000083530000}"/>
    <cellStyle name="Input estimate 2 13" xfId="21378" xr:uid="{00000000-0005-0000-0000-000084530000}"/>
    <cellStyle name="Input estimate 2 14" xfId="21379" xr:uid="{00000000-0005-0000-0000-000085530000}"/>
    <cellStyle name="Input estimate 2 15" xfId="21380" xr:uid="{00000000-0005-0000-0000-000086530000}"/>
    <cellStyle name="Input estimate 2 16" xfId="21381" xr:uid="{00000000-0005-0000-0000-000087530000}"/>
    <cellStyle name="Input estimate 2 17" xfId="21382" xr:uid="{00000000-0005-0000-0000-000088530000}"/>
    <cellStyle name="Input estimate 2 18" xfId="21383" xr:uid="{00000000-0005-0000-0000-000089530000}"/>
    <cellStyle name="Input estimate 2 19" xfId="21384" xr:uid="{00000000-0005-0000-0000-00008A530000}"/>
    <cellStyle name="Input estimate 2 2" xfId="21385" xr:uid="{00000000-0005-0000-0000-00008B530000}"/>
    <cellStyle name="Input estimate 2 20" xfId="21386" xr:uid="{00000000-0005-0000-0000-00008C530000}"/>
    <cellStyle name="Input estimate 2 21" xfId="21387" xr:uid="{00000000-0005-0000-0000-00008D530000}"/>
    <cellStyle name="Input estimate 2 22" xfId="21388" xr:uid="{00000000-0005-0000-0000-00008E530000}"/>
    <cellStyle name="Input estimate 2 23" xfId="21389" xr:uid="{00000000-0005-0000-0000-00008F530000}"/>
    <cellStyle name="Input estimate 2 24" xfId="21390" xr:uid="{00000000-0005-0000-0000-000090530000}"/>
    <cellStyle name="Input estimate 2 25" xfId="21391" xr:uid="{00000000-0005-0000-0000-000091530000}"/>
    <cellStyle name="Input estimate 2 26" xfId="21392" xr:uid="{00000000-0005-0000-0000-000092530000}"/>
    <cellStyle name="Input estimate 2 27" xfId="21393" xr:uid="{00000000-0005-0000-0000-000093530000}"/>
    <cellStyle name="Input estimate 2 28" xfId="21394" xr:uid="{00000000-0005-0000-0000-000094530000}"/>
    <cellStyle name="Input estimate 2 29" xfId="21395" xr:uid="{00000000-0005-0000-0000-000095530000}"/>
    <cellStyle name="Input estimate 2 3" xfId="21396" xr:uid="{00000000-0005-0000-0000-000096530000}"/>
    <cellStyle name="Input estimate 2 30" xfId="21397" xr:uid="{00000000-0005-0000-0000-000097530000}"/>
    <cellStyle name="Input estimate 2 31" xfId="21398" xr:uid="{00000000-0005-0000-0000-000098530000}"/>
    <cellStyle name="Input estimate 2 32" xfId="21399" xr:uid="{00000000-0005-0000-0000-000099530000}"/>
    <cellStyle name="Input estimate 2 33" xfId="21400" xr:uid="{00000000-0005-0000-0000-00009A530000}"/>
    <cellStyle name="Input estimate 2 34" xfId="21401" xr:uid="{00000000-0005-0000-0000-00009B530000}"/>
    <cellStyle name="Input estimate 2 4" xfId="21402" xr:uid="{00000000-0005-0000-0000-00009C530000}"/>
    <cellStyle name="Input estimate 2 5" xfId="21403" xr:uid="{00000000-0005-0000-0000-00009D530000}"/>
    <cellStyle name="Input estimate 2 6" xfId="21404" xr:uid="{00000000-0005-0000-0000-00009E530000}"/>
    <cellStyle name="Input estimate 2 7" xfId="21405" xr:uid="{00000000-0005-0000-0000-00009F530000}"/>
    <cellStyle name="Input estimate 2 8" xfId="21406" xr:uid="{00000000-0005-0000-0000-0000A0530000}"/>
    <cellStyle name="Input estimate 2 9" xfId="21407" xr:uid="{00000000-0005-0000-0000-0000A1530000}"/>
    <cellStyle name="Input estimate 3" xfId="21408" xr:uid="{00000000-0005-0000-0000-0000A2530000}"/>
    <cellStyle name="Input estimate 3 2" xfId="21409" xr:uid="{00000000-0005-0000-0000-0000A3530000}"/>
    <cellStyle name="Input estimate 3 3" xfId="21410" xr:uid="{00000000-0005-0000-0000-0000A4530000}"/>
    <cellStyle name="Input estimate 4" xfId="21411" xr:uid="{00000000-0005-0000-0000-0000A5530000}"/>
    <cellStyle name="Input estimate 5" xfId="21412" xr:uid="{00000000-0005-0000-0000-0000A6530000}"/>
    <cellStyle name="Input estimate 6" xfId="21413" xr:uid="{00000000-0005-0000-0000-0000A7530000}"/>
    <cellStyle name="Input estimate 7" xfId="21414" xr:uid="{00000000-0005-0000-0000-0000A8530000}"/>
    <cellStyle name="Input estimate 8" xfId="21415" xr:uid="{00000000-0005-0000-0000-0000A9530000}"/>
    <cellStyle name="Input estimate 9" xfId="21416" xr:uid="{00000000-0005-0000-0000-0000AA530000}"/>
    <cellStyle name="Input Fixed [0]" xfId="21417" xr:uid="{00000000-0005-0000-0000-0000AB530000}"/>
    <cellStyle name="Input link" xfId="21418" xr:uid="{00000000-0005-0000-0000-0000AC530000}"/>
    <cellStyle name="Input link (different workbook)" xfId="21419" xr:uid="{00000000-0005-0000-0000-0000AD530000}"/>
    <cellStyle name="Input Link_MobileV12" xfId="21420" xr:uid="{00000000-0005-0000-0000-0000AE530000}"/>
    <cellStyle name="Input Normal" xfId="21421" xr:uid="{00000000-0005-0000-0000-0000AF530000}"/>
    <cellStyle name="Input other Worksheet" xfId="21422" xr:uid="{00000000-0005-0000-0000-0000B0530000}"/>
    <cellStyle name="Input parameter" xfId="21423" xr:uid="{00000000-0005-0000-0000-0000B1530000}"/>
    <cellStyle name="Input parameter 10" xfId="21424" xr:uid="{00000000-0005-0000-0000-0000B2530000}"/>
    <cellStyle name="Input parameter 11" xfId="21425" xr:uid="{00000000-0005-0000-0000-0000B3530000}"/>
    <cellStyle name="Input parameter 12" xfId="21426" xr:uid="{00000000-0005-0000-0000-0000B4530000}"/>
    <cellStyle name="Input parameter 13" xfId="21427" xr:uid="{00000000-0005-0000-0000-0000B5530000}"/>
    <cellStyle name="Input parameter 14" xfId="21428" xr:uid="{00000000-0005-0000-0000-0000B6530000}"/>
    <cellStyle name="Input parameter 15" xfId="21429" xr:uid="{00000000-0005-0000-0000-0000B7530000}"/>
    <cellStyle name="Input parameter 16" xfId="21430" xr:uid="{00000000-0005-0000-0000-0000B8530000}"/>
    <cellStyle name="Input parameter 17" xfId="21431" xr:uid="{00000000-0005-0000-0000-0000B9530000}"/>
    <cellStyle name="Input parameter 18" xfId="21432" xr:uid="{00000000-0005-0000-0000-0000BA530000}"/>
    <cellStyle name="Input parameter 19" xfId="21433" xr:uid="{00000000-0005-0000-0000-0000BB530000}"/>
    <cellStyle name="Input parameter 2" xfId="21434" xr:uid="{00000000-0005-0000-0000-0000BC530000}"/>
    <cellStyle name="Input parameter 2 10" xfId="21435" xr:uid="{00000000-0005-0000-0000-0000BD530000}"/>
    <cellStyle name="Input parameter 2 11" xfId="21436" xr:uid="{00000000-0005-0000-0000-0000BE530000}"/>
    <cellStyle name="Input parameter 2 12" xfId="21437" xr:uid="{00000000-0005-0000-0000-0000BF530000}"/>
    <cellStyle name="Input parameter 2 13" xfId="21438" xr:uid="{00000000-0005-0000-0000-0000C0530000}"/>
    <cellStyle name="Input parameter 2 14" xfId="21439" xr:uid="{00000000-0005-0000-0000-0000C1530000}"/>
    <cellStyle name="Input parameter 2 15" xfId="21440" xr:uid="{00000000-0005-0000-0000-0000C2530000}"/>
    <cellStyle name="Input parameter 2 16" xfId="21441" xr:uid="{00000000-0005-0000-0000-0000C3530000}"/>
    <cellStyle name="Input parameter 2 17" xfId="21442" xr:uid="{00000000-0005-0000-0000-0000C4530000}"/>
    <cellStyle name="Input parameter 2 18" xfId="21443" xr:uid="{00000000-0005-0000-0000-0000C5530000}"/>
    <cellStyle name="Input parameter 2 19" xfId="21444" xr:uid="{00000000-0005-0000-0000-0000C6530000}"/>
    <cellStyle name="Input parameter 2 2" xfId="21445" xr:uid="{00000000-0005-0000-0000-0000C7530000}"/>
    <cellStyle name="Input parameter 2 2 2" xfId="21446" xr:uid="{00000000-0005-0000-0000-0000C8530000}"/>
    <cellStyle name="Input parameter 2 2 3" xfId="21447" xr:uid="{00000000-0005-0000-0000-0000C9530000}"/>
    <cellStyle name="Input parameter 2 20" xfId="21448" xr:uid="{00000000-0005-0000-0000-0000CA530000}"/>
    <cellStyle name="Input parameter 2 21" xfId="21449" xr:uid="{00000000-0005-0000-0000-0000CB530000}"/>
    <cellStyle name="Input parameter 2 22" xfId="21450" xr:uid="{00000000-0005-0000-0000-0000CC530000}"/>
    <cellStyle name="Input parameter 2 23" xfId="21451" xr:uid="{00000000-0005-0000-0000-0000CD530000}"/>
    <cellStyle name="Input parameter 2 24" xfId="21452" xr:uid="{00000000-0005-0000-0000-0000CE530000}"/>
    <cellStyle name="Input parameter 2 25" xfId="21453" xr:uid="{00000000-0005-0000-0000-0000CF530000}"/>
    <cellStyle name="Input parameter 2 26" xfId="21454" xr:uid="{00000000-0005-0000-0000-0000D0530000}"/>
    <cellStyle name="Input parameter 2 27" xfId="21455" xr:uid="{00000000-0005-0000-0000-0000D1530000}"/>
    <cellStyle name="Input parameter 2 28" xfId="21456" xr:uid="{00000000-0005-0000-0000-0000D2530000}"/>
    <cellStyle name="Input parameter 2 29" xfId="21457" xr:uid="{00000000-0005-0000-0000-0000D3530000}"/>
    <cellStyle name="Input parameter 2 3" xfId="21458" xr:uid="{00000000-0005-0000-0000-0000D4530000}"/>
    <cellStyle name="Input parameter 2 30" xfId="21459" xr:uid="{00000000-0005-0000-0000-0000D5530000}"/>
    <cellStyle name="Input parameter 2 31" xfId="21460" xr:uid="{00000000-0005-0000-0000-0000D6530000}"/>
    <cellStyle name="Input parameter 2 32" xfId="21461" xr:uid="{00000000-0005-0000-0000-0000D7530000}"/>
    <cellStyle name="Input parameter 2 33" xfId="21462" xr:uid="{00000000-0005-0000-0000-0000D8530000}"/>
    <cellStyle name="Input parameter 2 34" xfId="21463" xr:uid="{00000000-0005-0000-0000-0000D9530000}"/>
    <cellStyle name="Input parameter 2 35" xfId="21464" xr:uid="{00000000-0005-0000-0000-0000DA530000}"/>
    <cellStyle name="Input parameter 2 4" xfId="21465" xr:uid="{00000000-0005-0000-0000-0000DB530000}"/>
    <cellStyle name="Input parameter 2 5" xfId="21466" xr:uid="{00000000-0005-0000-0000-0000DC530000}"/>
    <cellStyle name="Input parameter 2 6" xfId="21467" xr:uid="{00000000-0005-0000-0000-0000DD530000}"/>
    <cellStyle name="Input parameter 2 7" xfId="21468" xr:uid="{00000000-0005-0000-0000-0000DE530000}"/>
    <cellStyle name="Input parameter 2 8" xfId="21469" xr:uid="{00000000-0005-0000-0000-0000DF530000}"/>
    <cellStyle name="Input parameter 2 9" xfId="21470" xr:uid="{00000000-0005-0000-0000-0000E0530000}"/>
    <cellStyle name="Input parameter 20" xfId="21471" xr:uid="{00000000-0005-0000-0000-0000E1530000}"/>
    <cellStyle name="Input parameter 21" xfId="21472" xr:uid="{00000000-0005-0000-0000-0000E2530000}"/>
    <cellStyle name="Input parameter 22" xfId="21473" xr:uid="{00000000-0005-0000-0000-0000E3530000}"/>
    <cellStyle name="Input parameter 23" xfId="21474" xr:uid="{00000000-0005-0000-0000-0000E4530000}"/>
    <cellStyle name="Input parameter 24" xfId="21475" xr:uid="{00000000-0005-0000-0000-0000E5530000}"/>
    <cellStyle name="Input parameter 25" xfId="21476" xr:uid="{00000000-0005-0000-0000-0000E6530000}"/>
    <cellStyle name="Input parameter 26" xfId="21477" xr:uid="{00000000-0005-0000-0000-0000E7530000}"/>
    <cellStyle name="Input parameter 27" xfId="21478" xr:uid="{00000000-0005-0000-0000-0000E8530000}"/>
    <cellStyle name="Input parameter 28" xfId="21479" xr:uid="{00000000-0005-0000-0000-0000E9530000}"/>
    <cellStyle name="Input parameter 29" xfId="21480" xr:uid="{00000000-0005-0000-0000-0000EA530000}"/>
    <cellStyle name="Input parameter 3" xfId="21481" xr:uid="{00000000-0005-0000-0000-0000EB530000}"/>
    <cellStyle name="Input parameter 3 2" xfId="21482" xr:uid="{00000000-0005-0000-0000-0000EC530000}"/>
    <cellStyle name="Input parameter 3 3" xfId="21483" xr:uid="{00000000-0005-0000-0000-0000ED530000}"/>
    <cellStyle name="Input parameter 30" xfId="21484" xr:uid="{00000000-0005-0000-0000-0000EE530000}"/>
    <cellStyle name="Input parameter 31" xfId="21485" xr:uid="{00000000-0005-0000-0000-0000EF530000}"/>
    <cellStyle name="Input parameter 32" xfId="21486" xr:uid="{00000000-0005-0000-0000-0000F0530000}"/>
    <cellStyle name="Input parameter 33" xfId="21487" xr:uid="{00000000-0005-0000-0000-0000F1530000}"/>
    <cellStyle name="Input parameter 34" xfId="21488" xr:uid="{00000000-0005-0000-0000-0000F2530000}"/>
    <cellStyle name="Input parameter 4" xfId="21489" xr:uid="{00000000-0005-0000-0000-0000F3530000}"/>
    <cellStyle name="Input parameter 4 2" xfId="21490" xr:uid="{00000000-0005-0000-0000-0000F4530000}"/>
    <cellStyle name="Input parameter 4 3" xfId="21491" xr:uid="{00000000-0005-0000-0000-0000F5530000}"/>
    <cellStyle name="Input parameter 5" xfId="21492" xr:uid="{00000000-0005-0000-0000-0000F6530000}"/>
    <cellStyle name="Input parameter 6" xfId="21493" xr:uid="{00000000-0005-0000-0000-0000F7530000}"/>
    <cellStyle name="Input parameter 7" xfId="21494" xr:uid="{00000000-0005-0000-0000-0000F8530000}"/>
    <cellStyle name="Input parameter 8" xfId="21495" xr:uid="{00000000-0005-0000-0000-0000F9530000}"/>
    <cellStyle name="Input parameter 9" xfId="21496" xr:uid="{00000000-0005-0000-0000-0000FA530000}"/>
    <cellStyle name="Input Percent" xfId="21497" xr:uid="{00000000-0005-0000-0000-0000FB530000}"/>
    <cellStyle name="Input Percent [2]" xfId="21498" xr:uid="{00000000-0005-0000-0000-0000FC530000}"/>
    <cellStyle name="Input Percent_Internet Demand &amp; Revenues" xfId="21499" xr:uid="{00000000-0005-0000-0000-0000FD530000}"/>
    <cellStyle name="Input Titles" xfId="21500" xr:uid="{00000000-0005-0000-0000-0000FE530000}"/>
    <cellStyle name="Insatisfaisant" xfId="21501" xr:uid="{00000000-0005-0000-0000-0000FF530000}"/>
    <cellStyle name="Insatisfaisant 2" xfId="21502" xr:uid="{00000000-0005-0000-0000-000000540000}"/>
    <cellStyle name="Italic" xfId="21503" xr:uid="{00000000-0005-0000-0000-000001540000}"/>
    <cellStyle name="Italicbold" xfId="21504" xr:uid="{00000000-0005-0000-0000-000002540000}"/>
    <cellStyle name="item2" xfId="21505" xr:uid="{00000000-0005-0000-0000-000003540000}"/>
    <cellStyle name="item2 2" xfId="21506" xr:uid="{00000000-0005-0000-0000-000004540000}"/>
    <cellStyle name="item2 2 2" xfId="21507" xr:uid="{00000000-0005-0000-0000-000005540000}"/>
    <cellStyle name="item2 2 2 2" xfId="21508" xr:uid="{00000000-0005-0000-0000-000006540000}"/>
    <cellStyle name="item2 2 2 2 2" xfId="21509" xr:uid="{00000000-0005-0000-0000-000007540000}"/>
    <cellStyle name="item2 2 2 2 3" xfId="21510" xr:uid="{00000000-0005-0000-0000-000008540000}"/>
    <cellStyle name="item2 2 2 3" xfId="21511" xr:uid="{00000000-0005-0000-0000-000009540000}"/>
    <cellStyle name="item2 2 3" xfId="21512" xr:uid="{00000000-0005-0000-0000-00000A540000}"/>
    <cellStyle name="item2 2 3 2" xfId="21513" xr:uid="{00000000-0005-0000-0000-00000B540000}"/>
    <cellStyle name="item2 2 3 3" xfId="21514" xr:uid="{00000000-0005-0000-0000-00000C540000}"/>
    <cellStyle name="item2 2 4" xfId="21515" xr:uid="{00000000-0005-0000-0000-00000D540000}"/>
    <cellStyle name="item2 3" xfId="21516" xr:uid="{00000000-0005-0000-0000-00000E540000}"/>
    <cellStyle name="item2 3 2" xfId="21517" xr:uid="{00000000-0005-0000-0000-00000F540000}"/>
    <cellStyle name="item2 3 2 2" xfId="21518" xr:uid="{00000000-0005-0000-0000-000010540000}"/>
    <cellStyle name="item2 3 2 2 2" xfId="21519" xr:uid="{00000000-0005-0000-0000-000011540000}"/>
    <cellStyle name="item2 3 2 2 3" xfId="21520" xr:uid="{00000000-0005-0000-0000-000012540000}"/>
    <cellStyle name="item2 3 2 3" xfId="21521" xr:uid="{00000000-0005-0000-0000-000013540000}"/>
    <cellStyle name="item2 3 3" xfId="21522" xr:uid="{00000000-0005-0000-0000-000014540000}"/>
    <cellStyle name="item2 3 3 2" xfId="21523" xr:uid="{00000000-0005-0000-0000-000015540000}"/>
    <cellStyle name="item2 3 3 3" xfId="21524" xr:uid="{00000000-0005-0000-0000-000016540000}"/>
    <cellStyle name="item2 3 4" xfId="21525" xr:uid="{00000000-0005-0000-0000-000017540000}"/>
    <cellStyle name="item2 4" xfId="21526" xr:uid="{00000000-0005-0000-0000-000018540000}"/>
    <cellStyle name="item2 4 2" xfId="21527" xr:uid="{00000000-0005-0000-0000-000019540000}"/>
    <cellStyle name="item2 4 2 2" xfId="21528" xr:uid="{00000000-0005-0000-0000-00001A540000}"/>
    <cellStyle name="item2 4 2 3" xfId="21529" xr:uid="{00000000-0005-0000-0000-00001B540000}"/>
    <cellStyle name="item2 4 3" xfId="21530" xr:uid="{00000000-0005-0000-0000-00001C540000}"/>
    <cellStyle name="item2 5" xfId="21531" xr:uid="{00000000-0005-0000-0000-00001D540000}"/>
    <cellStyle name="item2 5 2" xfId="21532" xr:uid="{00000000-0005-0000-0000-00001E540000}"/>
    <cellStyle name="item2 5 3" xfId="21533" xr:uid="{00000000-0005-0000-0000-00001F540000}"/>
    <cellStyle name="item2 6" xfId="21534" xr:uid="{00000000-0005-0000-0000-000020540000}"/>
    <cellStyle name="jesmin" xfId="21535" xr:uid="{00000000-0005-0000-0000-000021540000}"/>
    <cellStyle name="jesmin 2" xfId="21536" xr:uid="{00000000-0005-0000-0000-000022540000}"/>
    <cellStyle name="jesmin 2 2" xfId="21537" xr:uid="{00000000-0005-0000-0000-000023540000}"/>
    <cellStyle name="jesmin 3" xfId="21538" xr:uid="{00000000-0005-0000-0000-000024540000}"/>
    <cellStyle name="Jun" xfId="21539" xr:uid="{00000000-0005-0000-0000-000025540000}"/>
    <cellStyle name="Jun 2" xfId="21540" xr:uid="{00000000-0005-0000-0000-000026540000}"/>
    <cellStyle name="Jun 2 2" xfId="21541" xr:uid="{00000000-0005-0000-0000-000027540000}"/>
    <cellStyle name="Jun 2 2 2" xfId="21542" xr:uid="{00000000-0005-0000-0000-000028540000}"/>
    <cellStyle name="Jun 2 3" xfId="21543" xr:uid="{00000000-0005-0000-0000-000029540000}"/>
    <cellStyle name="Jun 2 3 2" xfId="21544" xr:uid="{00000000-0005-0000-0000-00002A540000}"/>
    <cellStyle name="Jun 2 4" xfId="21545" xr:uid="{00000000-0005-0000-0000-00002B540000}"/>
    <cellStyle name="Jun 3" xfId="21546" xr:uid="{00000000-0005-0000-0000-00002C540000}"/>
    <cellStyle name="Jun 3 2" xfId="21547" xr:uid="{00000000-0005-0000-0000-00002D540000}"/>
    <cellStyle name="Jun 3 2 2" xfId="21548" xr:uid="{00000000-0005-0000-0000-00002E540000}"/>
    <cellStyle name="Jun 3 3" xfId="21549" xr:uid="{00000000-0005-0000-0000-00002F540000}"/>
    <cellStyle name="Jun 4" xfId="21550" xr:uid="{00000000-0005-0000-0000-000030540000}"/>
    <cellStyle name="Jun 4 2" xfId="21551" xr:uid="{00000000-0005-0000-0000-000031540000}"/>
    <cellStyle name="Jun 5" xfId="21552" xr:uid="{00000000-0005-0000-0000-000032540000}"/>
    <cellStyle name="Jun 5 2" xfId="21553" xr:uid="{00000000-0005-0000-0000-000033540000}"/>
    <cellStyle name="Jun 6" xfId="21554" xr:uid="{00000000-0005-0000-0000-000034540000}"/>
    <cellStyle name="Jun 6 2" xfId="21555" xr:uid="{00000000-0005-0000-0000-000035540000}"/>
    <cellStyle name="Jun 7" xfId="21556" xr:uid="{00000000-0005-0000-0000-000036540000}"/>
    <cellStyle name="Jun 7 2" xfId="21557" xr:uid="{00000000-0005-0000-0000-000037540000}"/>
    <cellStyle name="Jun 8" xfId="21558" xr:uid="{00000000-0005-0000-0000-000038540000}"/>
    <cellStyle name="Jun 9" xfId="21559" xr:uid="{00000000-0005-0000-0000-000039540000}"/>
    <cellStyle name="Jun_Discounts(Core)" xfId="21560" xr:uid="{00000000-0005-0000-0000-00003A540000}"/>
    <cellStyle name="k$" xfId="21561" xr:uid="{00000000-0005-0000-0000-00003B540000}"/>
    <cellStyle name="kECU" xfId="21562" xr:uid="{00000000-0005-0000-0000-00003C540000}"/>
    <cellStyle name="kECU 2" xfId="21563" xr:uid="{00000000-0005-0000-0000-00003D540000}"/>
    <cellStyle name="kHUF" xfId="21564" xr:uid="{00000000-0005-0000-0000-00003E540000}"/>
    <cellStyle name="kLE" xfId="21565" xr:uid="{00000000-0005-0000-0000-00003F540000}"/>
    <cellStyle name="Komma [0]_Jaarplan-2002" xfId="21566" xr:uid="{00000000-0005-0000-0000-000040540000}"/>
    <cellStyle name="Komma_Jaarplan-2002" xfId="21567" xr:uid="{00000000-0005-0000-0000-000041540000}"/>
    <cellStyle name="Legal 8½ x 14 in" xfId="21568" xr:uid="{00000000-0005-0000-0000-000042540000}"/>
    <cellStyle name="Legal 8½ x 14 in 2" xfId="21569" xr:uid="{00000000-0005-0000-0000-000043540000}"/>
    <cellStyle name="Legal 8½ x 14 in 2 2" xfId="21570" xr:uid="{00000000-0005-0000-0000-000044540000}"/>
    <cellStyle name="Legal 8½ x 14 in 3" xfId="21571" xr:uid="{00000000-0005-0000-0000-000045540000}"/>
    <cellStyle name="Legal 8½ x 14 in_????????04081800" xfId="21572" xr:uid="{00000000-0005-0000-0000-000046540000}"/>
    <cellStyle name="Link Currency (0)" xfId="21573" xr:uid="{00000000-0005-0000-0000-000047540000}"/>
    <cellStyle name="Link Currency (0) 2" xfId="21574" xr:uid="{00000000-0005-0000-0000-000048540000}"/>
    <cellStyle name="Link Currency (0) 2 2" xfId="21575" xr:uid="{00000000-0005-0000-0000-000049540000}"/>
    <cellStyle name="Link Currency (0) 3" xfId="21576" xr:uid="{00000000-0005-0000-0000-00004A540000}"/>
    <cellStyle name="Link Currency (2)" xfId="21577" xr:uid="{00000000-0005-0000-0000-00004B540000}"/>
    <cellStyle name="Link Units (0)" xfId="21578" xr:uid="{00000000-0005-0000-0000-00004C540000}"/>
    <cellStyle name="Link Units (0) 2" xfId="21579" xr:uid="{00000000-0005-0000-0000-00004D540000}"/>
    <cellStyle name="Link Units (0) 2 2" xfId="21580" xr:uid="{00000000-0005-0000-0000-00004E540000}"/>
    <cellStyle name="Link Units (0) 3" xfId="21581" xr:uid="{00000000-0005-0000-0000-00004F540000}"/>
    <cellStyle name="Link Units (1)" xfId="21582" xr:uid="{00000000-0005-0000-0000-000050540000}"/>
    <cellStyle name="Link Units (1) 2" xfId="21583" xr:uid="{00000000-0005-0000-0000-000051540000}"/>
    <cellStyle name="Link Units (1) 3" xfId="21584" xr:uid="{00000000-0005-0000-0000-000052540000}"/>
    <cellStyle name="Link Units (2)" xfId="21585" xr:uid="{00000000-0005-0000-0000-000053540000}"/>
    <cellStyle name="Linked Cell 10" xfId="21586" xr:uid="{00000000-0005-0000-0000-000054540000}"/>
    <cellStyle name="Linked Cell 10 2" xfId="21587" xr:uid="{00000000-0005-0000-0000-000055540000}"/>
    <cellStyle name="Linked Cell 11" xfId="21588" xr:uid="{00000000-0005-0000-0000-000056540000}"/>
    <cellStyle name="Linked Cell 11 2" xfId="21589" xr:uid="{00000000-0005-0000-0000-000057540000}"/>
    <cellStyle name="Linked Cell 12" xfId="21590" xr:uid="{00000000-0005-0000-0000-000058540000}"/>
    <cellStyle name="Linked Cell 12 2" xfId="21591" xr:uid="{00000000-0005-0000-0000-000059540000}"/>
    <cellStyle name="Linked Cell 13" xfId="21592" xr:uid="{00000000-0005-0000-0000-00005A540000}"/>
    <cellStyle name="Linked Cell 13 2" xfId="21593" xr:uid="{00000000-0005-0000-0000-00005B540000}"/>
    <cellStyle name="Linked Cell 14" xfId="21594" xr:uid="{00000000-0005-0000-0000-00005C540000}"/>
    <cellStyle name="Linked Cell 14 2" xfId="21595" xr:uid="{00000000-0005-0000-0000-00005D540000}"/>
    <cellStyle name="Linked Cell 15" xfId="21596" xr:uid="{00000000-0005-0000-0000-00005E540000}"/>
    <cellStyle name="Linked Cell 15 2" xfId="21597" xr:uid="{00000000-0005-0000-0000-00005F540000}"/>
    <cellStyle name="Linked Cell 16" xfId="21598" xr:uid="{00000000-0005-0000-0000-000060540000}"/>
    <cellStyle name="Linked Cell 16 2" xfId="21599" xr:uid="{00000000-0005-0000-0000-000061540000}"/>
    <cellStyle name="Linked Cell 17" xfId="21600" xr:uid="{00000000-0005-0000-0000-000062540000}"/>
    <cellStyle name="Linked Cell 17 2" xfId="21601" xr:uid="{00000000-0005-0000-0000-000063540000}"/>
    <cellStyle name="Linked Cell 18" xfId="21602" xr:uid="{00000000-0005-0000-0000-000064540000}"/>
    <cellStyle name="Linked Cell 18 2" xfId="21603" xr:uid="{00000000-0005-0000-0000-000065540000}"/>
    <cellStyle name="Linked Cell 19" xfId="21604" xr:uid="{00000000-0005-0000-0000-000066540000}"/>
    <cellStyle name="Linked Cell 19 2" xfId="21605" xr:uid="{00000000-0005-0000-0000-000067540000}"/>
    <cellStyle name="Linked Cell 2" xfId="21606" xr:uid="{00000000-0005-0000-0000-000068540000}"/>
    <cellStyle name="Linked Cell 2 10" xfId="21607" xr:uid="{00000000-0005-0000-0000-000069540000}"/>
    <cellStyle name="Linked Cell 2 10 2" xfId="21608" xr:uid="{00000000-0005-0000-0000-00006A540000}"/>
    <cellStyle name="Linked Cell 2 11" xfId="21609" xr:uid="{00000000-0005-0000-0000-00006B540000}"/>
    <cellStyle name="Linked Cell 2 11 2" xfId="21610" xr:uid="{00000000-0005-0000-0000-00006C540000}"/>
    <cellStyle name="Linked Cell 2 12" xfId="21611" xr:uid="{00000000-0005-0000-0000-00006D540000}"/>
    <cellStyle name="Linked Cell 2 12 2" xfId="21612" xr:uid="{00000000-0005-0000-0000-00006E540000}"/>
    <cellStyle name="Linked Cell 2 13" xfId="21613" xr:uid="{00000000-0005-0000-0000-00006F540000}"/>
    <cellStyle name="Linked Cell 2 13 2" xfId="21614" xr:uid="{00000000-0005-0000-0000-000070540000}"/>
    <cellStyle name="Linked Cell 2 14" xfId="21615" xr:uid="{00000000-0005-0000-0000-000071540000}"/>
    <cellStyle name="Linked Cell 2 14 2" xfId="21616" xr:uid="{00000000-0005-0000-0000-000072540000}"/>
    <cellStyle name="Linked Cell 2 15" xfId="21617" xr:uid="{00000000-0005-0000-0000-000073540000}"/>
    <cellStyle name="Linked Cell 2 15 2" xfId="21618" xr:uid="{00000000-0005-0000-0000-000074540000}"/>
    <cellStyle name="Linked Cell 2 16" xfId="21619" xr:uid="{00000000-0005-0000-0000-000075540000}"/>
    <cellStyle name="Linked Cell 2 16 2" xfId="21620" xr:uid="{00000000-0005-0000-0000-000076540000}"/>
    <cellStyle name="Linked Cell 2 17" xfId="21621" xr:uid="{00000000-0005-0000-0000-000077540000}"/>
    <cellStyle name="Linked Cell 2 17 2" xfId="21622" xr:uid="{00000000-0005-0000-0000-000078540000}"/>
    <cellStyle name="Linked Cell 2 18" xfId="21623" xr:uid="{00000000-0005-0000-0000-000079540000}"/>
    <cellStyle name="Linked Cell 2 18 2" xfId="21624" xr:uid="{00000000-0005-0000-0000-00007A540000}"/>
    <cellStyle name="Linked Cell 2 19" xfId="21625" xr:uid="{00000000-0005-0000-0000-00007B540000}"/>
    <cellStyle name="Linked Cell 2 19 2" xfId="21626" xr:uid="{00000000-0005-0000-0000-00007C540000}"/>
    <cellStyle name="Linked Cell 2 2" xfId="21627" xr:uid="{00000000-0005-0000-0000-00007D540000}"/>
    <cellStyle name="Linked Cell 2 2 2" xfId="21628" xr:uid="{00000000-0005-0000-0000-00007E540000}"/>
    <cellStyle name="Linked Cell 2 2 2 2" xfId="21629" xr:uid="{00000000-0005-0000-0000-00007F540000}"/>
    <cellStyle name="Linked Cell 2 2 3" xfId="21630" xr:uid="{00000000-0005-0000-0000-000080540000}"/>
    <cellStyle name="Linked Cell 2 20" xfId="21631" xr:uid="{00000000-0005-0000-0000-000081540000}"/>
    <cellStyle name="Linked Cell 2 3" xfId="21632" xr:uid="{00000000-0005-0000-0000-000082540000}"/>
    <cellStyle name="Linked Cell 2 3 2" xfId="21633" xr:uid="{00000000-0005-0000-0000-000083540000}"/>
    <cellStyle name="Linked Cell 2 4" xfId="21634" xr:uid="{00000000-0005-0000-0000-000084540000}"/>
    <cellStyle name="Linked Cell 2 4 2" xfId="21635" xr:uid="{00000000-0005-0000-0000-000085540000}"/>
    <cellStyle name="Linked Cell 2 5" xfId="21636" xr:uid="{00000000-0005-0000-0000-000086540000}"/>
    <cellStyle name="Linked Cell 2 5 2" xfId="21637" xr:uid="{00000000-0005-0000-0000-000087540000}"/>
    <cellStyle name="Linked Cell 2 6" xfId="21638" xr:uid="{00000000-0005-0000-0000-000088540000}"/>
    <cellStyle name="Linked Cell 2 6 2" xfId="21639" xr:uid="{00000000-0005-0000-0000-000089540000}"/>
    <cellStyle name="Linked Cell 2 7" xfId="21640" xr:uid="{00000000-0005-0000-0000-00008A540000}"/>
    <cellStyle name="Linked Cell 2 7 2" xfId="21641" xr:uid="{00000000-0005-0000-0000-00008B540000}"/>
    <cellStyle name="Linked Cell 2 8" xfId="21642" xr:uid="{00000000-0005-0000-0000-00008C540000}"/>
    <cellStyle name="Linked Cell 2 8 2" xfId="21643" xr:uid="{00000000-0005-0000-0000-00008D540000}"/>
    <cellStyle name="Linked Cell 2 9" xfId="21644" xr:uid="{00000000-0005-0000-0000-00008E540000}"/>
    <cellStyle name="Linked Cell 2 9 2" xfId="21645" xr:uid="{00000000-0005-0000-0000-00008F540000}"/>
    <cellStyle name="Linked Cell 20" xfId="21646" xr:uid="{00000000-0005-0000-0000-000090540000}"/>
    <cellStyle name="Linked Cell 20 2" xfId="21647" xr:uid="{00000000-0005-0000-0000-000091540000}"/>
    <cellStyle name="Linked Cell 21" xfId="21648" xr:uid="{00000000-0005-0000-0000-000092540000}"/>
    <cellStyle name="Linked Cell 21 2" xfId="21649" xr:uid="{00000000-0005-0000-0000-000093540000}"/>
    <cellStyle name="Linked Cell 22" xfId="21650" xr:uid="{00000000-0005-0000-0000-000094540000}"/>
    <cellStyle name="Linked Cell 22 2" xfId="21651" xr:uid="{00000000-0005-0000-0000-000095540000}"/>
    <cellStyle name="Linked Cell 23" xfId="21652" xr:uid="{00000000-0005-0000-0000-000096540000}"/>
    <cellStyle name="Linked Cell 23 2" xfId="21653" xr:uid="{00000000-0005-0000-0000-000097540000}"/>
    <cellStyle name="Linked Cell 24" xfId="21654" xr:uid="{00000000-0005-0000-0000-000098540000}"/>
    <cellStyle name="Linked Cell 24 2" xfId="21655" xr:uid="{00000000-0005-0000-0000-000099540000}"/>
    <cellStyle name="Linked Cell 25" xfId="21656" xr:uid="{00000000-0005-0000-0000-00009A540000}"/>
    <cellStyle name="Linked Cell 25 2" xfId="21657" xr:uid="{00000000-0005-0000-0000-00009B540000}"/>
    <cellStyle name="Linked Cell 26" xfId="21658" xr:uid="{00000000-0005-0000-0000-00009C540000}"/>
    <cellStyle name="Linked Cell 26 2" xfId="21659" xr:uid="{00000000-0005-0000-0000-00009D540000}"/>
    <cellStyle name="Linked Cell 27" xfId="21660" xr:uid="{00000000-0005-0000-0000-00009E540000}"/>
    <cellStyle name="Linked Cell 27 2" xfId="21661" xr:uid="{00000000-0005-0000-0000-00009F540000}"/>
    <cellStyle name="Linked Cell 3" xfId="21662" xr:uid="{00000000-0005-0000-0000-0000A0540000}"/>
    <cellStyle name="Linked Cell 3 2" xfId="21663" xr:uid="{00000000-0005-0000-0000-0000A1540000}"/>
    <cellStyle name="Linked Cell 3 2 2" xfId="21664" xr:uid="{00000000-0005-0000-0000-0000A2540000}"/>
    <cellStyle name="Linked Cell 3 3" xfId="21665" xr:uid="{00000000-0005-0000-0000-0000A3540000}"/>
    <cellStyle name="Linked Cell 4" xfId="21666" xr:uid="{00000000-0005-0000-0000-0000A4540000}"/>
    <cellStyle name="Linked Cell 4 2" xfId="21667" xr:uid="{00000000-0005-0000-0000-0000A5540000}"/>
    <cellStyle name="Linked Cell 4 2 2" xfId="21668" xr:uid="{00000000-0005-0000-0000-0000A6540000}"/>
    <cellStyle name="Linked Cell 4 3" xfId="21669" xr:uid="{00000000-0005-0000-0000-0000A7540000}"/>
    <cellStyle name="Linked Cell 5" xfId="21670" xr:uid="{00000000-0005-0000-0000-0000A8540000}"/>
    <cellStyle name="Linked Cell 5 2" xfId="21671" xr:uid="{00000000-0005-0000-0000-0000A9540000}"/>
    <cellStyle name="Linked Cell 6" xfId="21672" xr:uid="{00000000-0005-0000-0000-0000AA540000}"/>
    <cellStyle name="Linked Cell 6 2" xfId="21673" xr:uid="{00000000-0005-0000-0000-0000AB540000}"/>
    <cellStyle name="Linked Cell 7" xfId="21674" xr:uid="{00000000-0005-0000-0000-0000AC540000}"/>
    <cellStyle name="Linked Cell 7 2" xfId="21675" xr:uid="{00000000-0005-0000-0000-0000AD540000}"/>
    <cellStyle name="Linked Cell 8" xfId="21676" xr:uid="{00000000-0005-0000-0000-0000AE540000}"/>
    <cellStyle name="Linked Cell 8 2" xfId="21677" xr:uid="{00000000-0005-0000-0000-0000AF540000}"/>
    <cellStyle name="Linked Cell 9" xfId="21678" xr:uid="{00000000-0005-0000-0000-0000B0540000}"/>
    <cellStyle name="Linked Cell 9 2" xfId="21679" xr:uid="{00000000-0005-0000-0000-0000B1540000}"/>
    <cellStyle name="Linked Cells" xfId="21680" xr:uid="{00000000-0005-0000-0000-0000B2540000}"/>
    <cellStyle name="load" xfId="21681" xr:uid="{00000000-0005-0000-0000-0000B3540000}"/>
    <cellStyle name="load 2" xfId="21682" xr:uid="{00000000-0005-0000-0000-0000B4540000}"/>
    <cellStyle name="load 2 10" xfId="21683" xr:uid="{00000000-0005-0000-0000-0000B5540000}"/>
    <cellStyle name="load 2 11" xfId="21684" xr:uid="{00000000-0005-0000-0000-0000B6540000}"/>
    <cellStyle name="load 2 12" xfId="21685" xr:uid="{00000000-0005-0000-0000-0000B7540000}"/>
    <cellStyle name="load 2 13" xfId="21686" xr:uid="{00000000-0005-0000-0000-0000B8540000}"/>
    <cellStyle name="load 2 14" xfId="21687" xr:uid="{00000000-0005-0000-0000-0000B9540000}"/>
    <cellStyle name="load 2 15" xfId="21688" xr:uid="{00000000-0005-0000-0000-0000BA540000}"/>
    <cellStyle name="load 2 16" xfId="21689" xr:uid="{00000000-0005-0000-0000-0000BB540000}"/>
    <cellStyle name="load 2 17" xfId="21690" xr:uid="{00000000-0005-0000-0000-0000BC540000}"/>
    <cellStyle name="load 2 18" xfId="21691" xr:uid="{00000000-0005-0000-0000-0000BD540000}"/>
    <cellStyle name="load 2 19" xfId="21692" xr:uid="{00000000-0005-0000-0000-0000BE540000}"/>
    <cellStyle name="load 2 2" xfId="21693" xr:uid="{00000000-0005-0000-0000-0000BF540000}"/>
    <cellStyle name="load 2 2 2" xfId="21694" xr:uid="{00000000-0005-0000-0000-0000C0540000}"/>
    <cellStyle name="load 2 2 2 2" xfId="21695" xr:uid="{00000000-0005-0000-0000-0000C1540000}"/>
    <cellStyle name="load 2 2 2 3" xfId="21696" xr:uid="{00000000-0005-0000-0000-0000C2540000}"/>
    <cellStyle name="load 2 2 2 4" xfId="21697" xr:uid="{00000000-0005-0000-0000-0000C3540000}"/>
    <cellStyle name="load 2 2 2 5" xfId="21698" xr:uid="{00000000-0005-0000-0000-0000C4540000}"/>
    <cellStyle name="load 2 2 3" xfId="21699" xr:uid="{00000000-0005-0000-0000-0000C5540000}"/>
    <cellStyle name="load 2 2 3 2" xfId="21700" xr:uid="{00000000-0005-0000-0000-0000C6540000}"/>
    <cellStyle name="load 2 2 3 3" xfId="21701" xr:uid="{00000000-0005-0000-0000-0000C7540000}"/>
    <cellStyle name="load 2 2 3 4" xfId="21702" xr:uid="{00000000-0005-0000-0000-0000C8540000}"/>
    <cellStyle name="load 2 2 3 5" xfId="21703" xr:uid="{00000000-0005-0000-0000-0000C9540000}"/>
    <cellStyle name="load 2 2 4" xfId="21704" xr:uid="{00000000-0005-0000-0000-0000CA540000}"/>
    <cellStyle name="load 2 2 5" xfId="21705" xr:uid="{00000000-0005-0000-0000-0000CB540000}"/>
    <cellStyle name="load 2 2 6" xfId="21706" xr:uid="{00000000-0005-0000-0000-0000CC540000}"/>
    <cellStyle name="load 2 2 7" xfId="21707" xr:uid="{00000000-0005-0000-0000-0000CD540000}"/>
    <cellStyle name="load 2 20" xfId="21708" xr:uid="{00000000-0005-0000-0000-0000CE540000}"/>
    <cellStyle name="load 2 3" xfId="21709" xr:uid="{00000000-0005-0000-0000-0000CF540000}"/>
    <cellStyle name="load 2 3 2" xfId="21710" xr:uid="{00000000-0005-0000-0000-0000D0540000}"/>
    <cellStyle name="load 2 3 2 2" xfId="21711" xr:uid="{00000000-0005-0000-0000-0000D1540000}"/>
    <cellStyle name="load 2 3 2 3" xfId="21712" xr:uid="{00000000-0005-0000-0000-0000D2540000}"/>
    <cellStyle name="load 2 3 2 4" xfId="21713" xr:uid="{00000000-0005-0000-0000-0000D3540000}"/>
    <cellStyle name="load 2 3 2 5" xfId="21714" xr:uid="{00000000-0005-0000-0000-0000D4540000}"/>
    <cellStyle name="load 2 3 3" xfId="21715" xr:uid="{00000000-0005-0000-0000-0000D5540000}"/>
    <cellStyle name="load 2 3 3 2" xfId="21716" xr:uid="{00000000-0005-0000-0000-0000D6540000}"/>
    <cellStyle name="load 2 3 3 3" xfId="21717" xr:uid="{00000000-0005-0000-0000-0000D7540000}"/>
    <cellStyle name="load 2 3 3 4" xfId="21718" xr:uid="{00000000-0005-0000-0000-0000D8540000}"/>
    <cellStyle name="load 2 3 3 5" xfId="21719" xr:uid="{00000000-0005-0000-0000-0000D9540000}"/>
    <cellStyle name="load 2 3 4" xfId="21720" xr:uid="{00000000-0005-0000-0000-0000DA540000}"/>
    <cellStyle name="load 2 3 5" xfId="21721" xr:uid="{00000000-0005-0000-0000-0000DB540000}"/>
    <cellStyle name="load 2 3 6" xfId="21722" xr:uid="{00000000-0005-0000-0000-0000DC540000}"/>
    <cellStyle name="load 2 3 7" xfId="21723" xr:uid="{00000000-0005-0000-0000-0000DD540000}"/>
    <cellStyle name="load 2 4" xfId="21724" xr:uid="{00000000-0005-0000-0000-0000DE540000}"/>
    <cellStyle name="load 2 4 2" xfId="21725" xr:uid="{00000000-0005-0000-0000-0000DF540000}"/>
    <cellStyle name="load 2 4 2 2" xfId="21726" xr:uid="{00000000-0005-0000-0000-0000E0540000}"/>
    <cellStyle name="load 2 4 2 3" xfId="21727" xr:uid="{00000000-0005-0000-0000-0000E1540000}"/>
    <cellStyle name="load 2 4 2 4" xfId="21728" xr:uid="{00000000-0005-0000-0000-0000E2540000}"/>
    <cellStyle name="load 2 4 2 5" xfId="21729" xr:uid="{00000000-0005-0000-0000-0000E3540000}"/>
    <cellStyle name="load 2 4 3" xfId="21730" xr:uid="{00000000-0005-0000-0000-0000E4540000}"/>
    <cellStyle name="load 2 4 3 2" xfId="21731" xr:uid="{00000000-0005-0000-0000-0000E5540000}"/>
    <cellStyle name="load 2 4 3 3" xfId="21732" xr:uid="{00000000-0005-0000-0000-0000E6540000}"/>
    <cellStyle name="load 2 4 3 4" xfId="21733" xr:uid="{00000000-0005-0000-0000-0000E7540000}"/>
    <cellStyle name="load 2 4 3 5" xfId="21734" xr:uid="{00000000-0005-0000-0000-0000E8540000}"/>
    <cellStyle name="load 2 4 4" xfId="21735" xr:uid="{00000000-0005-0000-0000-0000E9540000}"/>
    <cellStyle name="load 2 4 5" xfId="21736" xr:uid="{00000000-0005-0000-0000-0000EA540000}"/>
    <cellStyle name="load 2 4 6" xfId="21737" xr:uid="{00000000-0005-0000-0000-0000EB540000}"/>
    <cellStyle name="load 2 4 7" xfId="21738" xr:uid="{00000000-0005-0000-0000-0000EC540000}"/>
    <cellStyle name="load 2 5" xfId="21739" xr:uid="{00000000-0005-0000-0000-0000ED540000}"/>
    <cellStyle name="load 2 5 2" xfId="21740" xr:uid="{00000000-0005-0000-0000-0000EE540000}"/>
    <cellStyle name="load 2 5 3" xfId="21741" xr:uid="{00000000-0005-0000-0000-0000EF540000}"/>
    <cellStyle name="load 2 5 4" xfId="21742" xr:uid="{00000000-0005-0000-0000-0000F0540000}"/>
    <cellStyle name="load 2 5 5" xfId="21743" xr:uid="{00000000-0005-0000-0000-0000F1540000}"/>
    <cellStyle name="load 2 6" xfId="21744" xr:uid="{00000000-0005-0000-0000-0000F2540000}"/>
    <cellStyle name="load 2 6 2" xfId="21745" xr:uid="{00000000-0005-0000-0000-0000F3540000}"/>
    <cellStyle name="load 2 6 3" xfId="21746" xr:uid="{00000000-0005-0000-0000-0000F4540000}"/>
    <cellStyle name="load 2 6 4" xfId="21747" xr:uid="{00000000-0005-0000-0000-0000F5540000}"/>
    <cellStyle name="load 2 6 5" xfId="21748" xr:uid="{00000000-0005-0000-0000-0000F6540000}"/>
    <cellStyle name="load 2 7" xfId="21749" xr:uid="{00000000-0005-0000-0000-0000F7540000}"/>
    <cellStyle name="load 2 8" xfId="21750" xr:uid="{00000000-0005-0000-0000-0000F8540000}"/>
    <cellStyle name="load 2 9" xfId="21751" xr:uid="{00000000-0005-0000-0000-0000F9540000}"/>
    <cellStyle name="load 3" xfId="21752" xr:uid="{00000000-0005-0000-0000-0000FA540000}"/>
    <cellStyle name="load 3 2" xfId="21753" xr:uid="{00000000-0005-0000-0000-0000FB540000}"/>
    <cellStyle name="load 3 3" xfId="21754" xr:uid="{00000000-0005-0000-0000-0000FC540000}"/>
    <cellStyle name="load 3 4" xfId="21755" xr:uid="{00000000-0005-0000-0000-0000FD540000}"/>
    <cellStyle name="load 3 5" xfId="21756" xr:uid="{00000000-0005-0000-0000-0000FE540000}"/>
    <cellStyle name="load 4" xfId="21757" xr:uid="{00000000-0005-0000-0000-0000FF540000}"/>
    <cellStyle name="load 4 2" xfId="21758" xr:uid="{00000000-0005-0000-0000-000000550000}"/>
    <cellStyle name="load 4 3" xfId="21759" xr:uid="{00000000-0005-0000-0000-000001550000}"/>
    <cellStyle name="load 4 4" xfId="21760" xr:uid="{00000000-0005-0000-0000-000002550000}"/>
    <cellStyle name="load 4 5" xfId="21761" xr:uid="{00000000-0005-0000-0000-000003550000}"/>
    <cellStyle name="load 5" xfId="21762" xr:uid="{00000000-0005-0000-0000-000004550000}"/>
    <cellStyle name="load 6" xfId="21763" xr:uid="{00000000-0005-0000-0000-000005550000}"/>
    <cellStyle name="load 7" xfId="21764" xr:uid="{00000000-0005-0000-0000-000006550000}"/>
    <cellStyle name="load 8" xfId="21765" xr:uid="{00000000-0005-0000-0000-000007550000}"/>
    <cellStyle name="LongDesc" xfId="21766" xr:uid="{00000000-0005-0000-0000-000008550000}"/>
    <cellStyle name="LongDesc 10" xfId="21767" xr:uid="{00000000-0005-0000-0000-000009550000}"/>
    <cellStyle name="LongDesc 11" xfId="21768" xr:uid="{00000000-0005-0000-0000-00000A550000}"/>
    <cellStyle name="LongDesc 12" xfId="21769" xr:uid="{00000000-0005-0000-0000-00000B550000}"/>
    <cellStyle name="LongDesc 13" xfId="21770" xr:uid="{00000000-0005-0000-0000-00000C550000}"/>
    <cellStyle name="LongDesc 14" xfId="21771" xr:uid="{00000000-0005-0000-0000-00000D550000}"/>
    <cellStyle name="LongDesc 15" xfId="21772" xr:uid="{00000000-0005-0000-0000-00000E550000}"/>
    <cellStyle name="LongDesc 16" xfId="21773" xr:uid="{00000000-0005-0000-0000-00000F550000}"/>
    <cellStyle name="LongDesc 17" xfId="21774" xr:uid="{00000000-0005-0000-0000-000010550000}"/>
    <cellStyle name="LongDesc 18" xfId="21775" xr:uid="{00000000-0005-0000-0000-000011550000}"/>
    <cellStyle name="LongDesc 19" xfId="21776" xr:uid="{00000000-0005-0000-0000-000012550000}"/>
    <cellStyle name="LongDesc 2" xfId="21777" xr:uid="{00000000-0005-0000-0000-000013550000}"/>
    <cellStyle name="LongDesc 2 10" xfId="21778" xr:uid="{00000000-0005-0000-0000-000014550000}"/>
    <cellStyle name="LongDesc 2 11" xfId="21779" xr:uid="{00000000-0005-0000-0000-000015550000}"/>
    <cellStyle name="LongDesc 2 12" xfId="21780" xr:uid="{00000000-0005-0000-0000-000016550000}"/>
    <cellStyle name="LongDesc 2 13" xfId="21781" xr:uid="{00000000-0005-0000-0000-000017550000}"/>
    <cellStyle name="LongDesc 2 14" xfId="21782" xr:uid="{00000000-0005-0000-0000-000018550000}"/>
    <cellStyle name="LongDesc 2 15" xfId="21783" xr:uid="{00000000-0005-0000-0000-000019550000}"/>
    <cellStyle name="LongDesc 2 16" xfId="21784" xr:uid="{00000000-0005-0000-0000-00001A550000}"/>
    <cellStyle name="LongDesc 2 17" xfId="21785" xr:uid="{00000000-0005-0000-0000-00001B550000}"/>
    <cellStyle name="LongDesc 2 18" xfId="21786" xr:uid="{00000000-0005-0000-0000-00001C550000}"/>
    <cellStyle name="LongDesc 2 19" xfId="21787" xr:uid="{00000000-0005-0000-0000-00001D550000}"/>
    <cellStyle name="LongDesc 2 2" xfId="21788" xr:uid="{00000000-0005-0000-0000-00001E550000}"/>
    <cellStyle name="LongDesc 2 2 2" xfId="21789" xr:uid="{00000000-0005-0000-0000-00001F550000}"/>
    <cellStyle name="LongDesc 2 2 3" xfId="21790" xr:uid="{00000000-0005-0000-0000-000020550000}"/>
    <cellStyle name="LongDesc 2 20" xfId="21791" xr:uid="{00000000-0005-0000-0000-000021550000}"/>
    <cellStyle name="LongDesc 2 21" xfId="21792" xr:uid="{00000000-0005-0000-0000-000022550000}"/>
    <cellStyle name="LongDesc 2 22" xfId="21793" xr:uid="{00000000-0005-0000-0000-000023550000}"/>
    <cellStyle name="LongDesc 2 23" xfId="21794" xr:uid="{00000000-0005-0000-0000-000024550000}"/>
    <cellStyle name="LongDesc 2 24" xfId="21795" xr:uid="{00000000-0005-0000-0000-000025550000}"/>
    <cellStyle name="LongDesc 2 25" xfId="21796" xr:uid="{00000000-0005-0000-0000-000026550000}"/>
    <cellStyle name="LongDesc 2 26" xfId="21797" xr:uid="{00000000-0005-0000-0000-000027550000}"/>
    <cellStyle name="LongDesc 2 27" xfId="21798" xr:uid="{00000000-0005-0000-0000-000028550000}"/>
    <cellStyle name="LongDesc 2 28" xfId="21799" xr:uid="{00000000-0005-0000-0000-000029550000}"/>
    <cellStyle name="LongDesc 2 29" xfId="21800" xr:uid="{00000000-0005-0000-0000-00002A550000}"/>
    <cellStyle name="LongDesc 2 3" xfId="21801" xr:uid="{00000000-0005-0000-0000-00002B550000}"/>
    <cellStyle name="LongDesc 2 30" xfId="21802" xr:uid="{00000000-0005-0000-0000-00002C550000}"/>
    <cellStyle name="LongDesc 2 31" xfId="21803" xr:uid="{00000000-0005-0000-0000-00002D550000}"/>
    <cellStyle name="LongDesc 2 32" xfId="21804" xr:uid="{00000000-0005-0000-0000-00002E550000}"/>
    <cellStyle name="LongDesc 2 33" xfId="21805" xr:uid="{00000000-0005-0000-0000-00002F550000}"/>
    <cellStyle name="LongDesc 2 34" xfId="21806" xr:uid="{00000000-0005-0000-0000-000030550000}"/>
    <cellStyle name="LongDesc 2 35" xfId="21807" xr:uid="{00000000-0005-0000-0000-000031550000}"/>
    <cellStyle name="LongDesc 2 36" xfId="21808" xr:uid="{00000000-0005-0000-0000-000032550000}"/>
    <cellStyle name="LongDesc 2 4" xfId="21809" xr:uid="{00000000-0005-0000-0000-000033550000}"/>
    <cellStyle name="LongDesc 2 5" xfId="21810" xr:uid="{00000000-0005-0000-0000-000034550000}"/>
    <cellStyle name="LongDesc 2 6" xfId="21811" xr:uid="{00000000-0005-0000-0000-000035550000}"/>
    <cellStyle name="LongDesc 2 7" xfId="21812" xr:uid="{00000000-0005-0000-0000-000036550000}"/>
    <cellStyle name="LongDesc 2 8" xfId="21813" xr:uid="{00000000-0005-0000-0000-000037550000}"/>
    <cellStyle name="LongDesc 2 9" xfId="21814" xr:uid="{00000000-0005-0000-0000-000038550000}"/>
    <cellStyle name="LongDesc 20" xfId="21815" xr:uid="{00000000-0005-0000-0000-000039550000}"/>
    <cellStyle name="LongDesc 21" xfId="21816" xr:uid="{00000000-0005-0000-0000-00003A550000}"/>
    <cellStyle name="LongDesc 22" xfId="21817" xr:uid="{00000000-0005-0000-0000-00003B550000}"/>
    <cellStyle name="LongDesc 23" xfId="21818" xr:uid="{00000000-0005-0000-0000-00003C550000}"/>
    <cellStyle name="LongDesc 24" xfId="21819" xr:uid="{00000000-0005-0000-0000-00003D550000}"/>
    <cellStyle name="LongDesc 25" xfId="21820" xr:uid="{00000000-0005-0000-0000-00003E550000}"/>
    <cellStyle name="LongDesc 26" xfId="21821" xr:uid="{00000000-0005-0000-0000-00003F550000}"/>
    <cellStyle name="LongDesc 27" xfId="21822" xr:uid="{00000000-0005-0000-0000-000040550000}"/>
    <cellStyle name="LongDesc 28" xfId="21823" xr:uid="{00000000-0005-0000-0000-000041550000}"/>
    <cellStyle name="LongDesc 29" xfId="21824" xr:uid="{00000000-0005-0000-0000-000042550000}"/>
    <cellStyle name="LongDesc 3" xfId="21825" xr:uid="{00000000-0005-0000-0000-000043550000}"/>
    <cellStyle name="LongDesc 3 2" xfId="21826" xr:uid="{00000000-0005-0000-0000-000044550000}"/>
    <cellStyle name="LongDesc 3 2 2" xfId="21827" xr:uid="{00000000-0005-0000-0000-000045550000}"/>
    <cellStyle name="LongDesc 3 2 3" xfId="21828" xr:uid="{00000000-0005-0000-0000-000046550000}"/>
    <cellStyle name="LongDesc 3 3" xfId="21829" xr:uid="{00000000-0005-0000-0000-000047550000}"/>
    <cellStyle name="LongDesc 3 3 2" xfId="21830" xr:uid="{00000000-0005-0000-0000-000048550000}"/>
    <cellStyle name="LongDesc 3 3 3" xfId="21831" xr:uid="{00000000-0005-0000-0000-000049550000}"/>
    <cellStyle name="LongDesc 3 4" xfId="21832" xr:uid="{00000000-0005-0000-0000-00004A550000}"/>
    <cellStyle name="LongDesc 3 5" xfId="21833" xr:uid="{00000000-0005-0000-0000-00004B550000}"/>
    <cellStyle name="LongDesc 30" xfId="21834" xr:uid="{00000000-0005-0000-0000-00004C550000}"/>
    <cellStyle name="LongDesc 31" xfId="21835" xr:uid="{00000000-0005-0000-0000-00004D550000}"/>
    <cellStyle name="LongDesc 32" xfId="21836" xr:uid="{00000000-0005-0000-0000-00004E550000}"/>
    <cellStyle name="LongDesc 33" xfId="21837" xr:uid="{00000000-0005-0000-0000-00004F550000}"/>
    <cellStyle name="LongDesc 34" xfId="21838" xr:uid="{00000000-0005-0000-0000-000050550000}"/>
    <cellStyle name="LongDesc 35" xfId="21839" xr:uid="{00000000-0005-0000-0000-000051550000}"/>
    <cellStyle name="LongDesc 36" xfId="21840" xr:uid="{00000000-0005-0000-0000-000052550000}"/>
    <cellStyle name="LongDesc 4" xfId="21841" xr:uid="{00000000-0005-0000-0000-000053550000}"/>
    <cellStyle name="LongDesc 4 2" xfId="21842" xr:uid="{00000000-0005-0000-0000-000054550000}"/>
    <cellStyle name="LongDesc 4 2 2" xfId="21843" xr:uid="{00000000-0005-0000-0000-000055550000}"/>
    <cellStyle name="LongDesc 4 2 3" xfId="21844" xr:uid="{00000000-0005-0000-0000-000056550000}"/>
    <cellStyle name="LongDesc 4 3" xfId="21845" xr:uid="{00000000-0005-0000-0000-000057550000}"/>
    <cellStyle name="LongDesc 4 3 2" xfId="21846" xr:uid="{00000000-0005-0000-0000-000058550000}"/>
    <cellStyle name="LongDesc 4 3 3" xfId="21847" xr:uid="{00000000-0005-0000-0000-000059550000}"/>
    <cellStyle name="LongDesc 4 4" xfId="21848" xr:uid="{00000000-0005-0000-0000-00005A550000}"/>
    <cellStyle name="LongDesc 4 5" xfId="21849" xr:uid="{00000000-0005-0000-0000-00005B550000}"/>
    <cellStyle name="LongDesc 5" xfId="21850" xr:uid="{00000000-0005-0000-0000-00005C550000}"/>
    <cellStyle name="LongDesc 5 2" xfId="21851" xr:uid="{00000000-0005-0000-0000-00005D550000}"/>
    <cellStyle name="LongDesc 5 3" xfId="21852" xr:uid="{00000000-0005-0000-0000-00005E550000}"/>
    <cellStyle name="LongDesc 6" xfId="21853" xr:uid="{00000000-0005-0000-0000-00005F550000}"/>
    <cellStyle name="LongDesc 7" xfId="21854" xr:uid="{00000000-0005-0000-0000-000060550000}"/>
    <cellStyle name="LongDesc 8" xfId="21855" xr:uid="{00000000-0005-0000-0000-000061550000}"/>
    <cellStyle name="LongDesc 9" xfId="21856" xr:uid="{00000000-0005-0000-0000-000062550000}"/>
    <cellStyle name="LP0" xfId="21857" xr:uid="{00000000-0005-0000-0000-000063550000}"/>
    <cellStyle name="LÜ_geändert" xfId="21858" xr:uid="{00000000-0005-0000-0000-000064550000}"/>
    <cellStyle name="Main Title" xfId="21859" xr:uid="{00000000-0005-0000-0000-000065550000}"/>
    <cellStyle name="MANKAD" xfId="21860" xr:uid="{00000000-0005-0000-0000-000066550000}"/>
    <cellStyle name="Matrice" xfId="21861" xr:uid="{00000000-0005-0000-0000-000067550000}"/>
    <cellStyle name="Matrice 2" xfId="21862" xr:uid="{00000000-0005-0000-0000-000068550000}"/>
    <cellStyle name="Matrice 2 2" xfId="21863" xr:uid="{00000000-0005-0000-0000-000069550000}"/>
    <cellStyle name="Matrice 3" xfId="21864" xr:uid="{00000000-0005-0000-0000-00006A550000}"/>
    <cellStyle name="Migliaia (0)_Budget 2003 vers L" xfId="21865" xr:uid="{00000000-0005-0000-0000-00006B550000}"/>
    <cellStyle name="Millares [0]_!!!GO" xfId="21866" xr:uid="{00000000-0005-0000-0000-00006C550000}"/>
    <cellStyle name="Millares_!!!GO" xfId="21867" xr:uid="{00000000-0005-0000-0000-00006D550000}"/>
    <cellStyle name="Milliers [0]_!!!GO" xfId="21868" xr:uid="{00000000-0005-0000-0000-00006E550000}"/>
    <cellStyle name="Milliers_!!!GO" xfId="21869" xr:uid="{00000000-0005-0000-0000-00006F550000}"/>
    <cellStyle name="Model" xfId="21870" xr:uid="{00000000-0005-0000-0000-000070550000}"/>
    <cellStyle name="Model 2" xfId="21871" xr:uid="{00000000-0005-0000-0000-000071550000}"/>
    <cellStyle name="Model 2 2" xfId="21872" xr:uid="{00000000-0005-0000-0000-000072550000}"/>
    <cellStyle name="Model 2 2 2" xfId="21873" xr:uid="{00000000-0005-0000-0000-000073550000}"/>
    <cellStyle name="Model 2 2 2 2" xfId="21874" xr:uid="{00000000-0005-0000-0000-000074550000}"/>
    <cellStyle name="Model 2 2 3" xfId="21875" xr:uid="{00000000-0005-0000-0000-000075550000}"/>
    <cellStyle name="Model 2 3" xfId="21876" xr:uid="{00000000-0005-0000-0000-000076550000}"/>
    <cellStyle name="Model 2 3 2" xfId="21877" xr:uid="{00000000-0005-0000-0000-000077550000}"/>
    <cellStyle name="Model 2 4" xfId="21878" xr:uid="{00000000-0005-0000-0000-000078550000}"/>
    <cellStyle name="Model 3" xfId="21879" xr:uid="{00000000-0005-0000-0000-000079550000}"/>
    <cellStyle name="Model 3 2" xfId="21880" xr:uid="{00000000-0005-0000-0000-00007A550000}"/>
    <cellStyle name="Model 3 2 2" xfId="21881" xr:uid="{00000000-0005-0000-0000-00007B550000}"/>
    <cellStyle name="Model 3 3" xfId="21882" xr:uid="{00000000-0005-0000-0000-00007C550000}"/>
    <cellStyle name="Model 4" xfId="21883" xr:uid="{00000000-0005-0000-0000-00007D550000}"/>
    <cellStyle name="Model 4 2" xfId="21884" xr:uid="{00000000-0005-0000-0000-00007E550000}"/>
    <cellStyle name="Model 4 2 2" xfId="21885" xr:uid="{00000000-0005-0000-0000-00007F550000}"/>
    <cellStyle name="Model 4 3" xfId="21886" xr:uid="{00000000-0005-0000-0000-000080550000}"/>
    <cellStyle name="Model 5" xfId="21887" xr:uid="{00000000-0005-0000-0000-000081550000}"/>
    <cellStyle name="Model 5 2" xfId="21888" xr:uid="{00000000-0005-0000-0000-000082550000}"/>
    <cellStyle name="Model 5 2 2" xfId="21889" xr:uid="{00000000-0005-0000-0000-000083550000}"/>
    <cellStyle name="Model 5 3" xfId="21890" xr:uid="{00000000-0005-0000-0000-000084550000}"/>
    <cellStyle name="Model 6" xfId="21891" xr:uid="{00000000-0005-0000-0000-000085550000}"/>
    <cellStyle name="Model 6 2" xfId="21892" xr:uid="{00000000-0005-0000-0000-000086550000}"/>
    <cellStyle name="Model 6 2 2" xfId="21893" xr:uid="{00000000-0005-0000-0000-000087550000}"/>
    <cellStyle name="Model 6 3" xfId="21894" xr:uid="{00000000-0005-0000-0000-000088550000}"/>
    <cellStyle name="Model 7" xfId="21895" xr:uid="{00000000-0005-0000-0000-000089550000}"/>
    <cellStyle name="Model 7 2" xfId="21896" xr:uid="{00000000-0005-0000-0000-00008A550000}"/>
    <cellStyle name="Model 7 2 2" xfId="21897" xr:uid="{00000000-0005-0000-0000-00008B550000}"/>
    <cellStyle name="Model 7 3" xfId="21898" xr:uid="{00000000-0005-0000-0000-00008C550000}"/>
    <cellStyle name="Model 8" xfId="21899" xr:uid="{00000000-0005-0000-0000-00008D550000}"/>
    <cellStyle name="Model 8 2" xfId="21900" xr:uid="{00000000-0005-0000-0000-00008E550000}"/>
    <cellStyle name="Model 9" xfId="21901" xr:uid="{00000000-0005-0000-0000-00008F550000}"/>
    <cellStyle name="Moneda [0]_!!!GO" xfId="21902" xr:uid="{00000000-0005-0000-0000-000090550000}"/>
    <cellStyle name="Moneda_!!!GO" xfId="21903" xr:uid="{00000000-0005-0000-0000-000091550000}"/>
    <cellStyle name="Monetaire [0]_!!!GO" xfId="21904" xr:uid="{00000000-0005-0000-0000-000092550000}"/>
    <cellStyle name="Monétaire [0]_!!!GO" xfId="21905" xr:uid="{00000000-0005-0000-0000-000093550000}"/>
    <cellStyle name="Monetaire [0]_!!!GO 2" xfId="21906" xr:uid="{00000000-0005-0000-0000-000094550000}"/>
    <cellStyle name="Monétaire [0]_!!!GO 2" xfId="21907" xr:uid="{00000000-0005-0000-0000-000095550000}"/>
    <cellStyle name="Monetaire [0]_!!!GO 2 2" xfId="21908" xr:uid="{00000000-0005-0000-0000-000096550000}"/>
    <cellStyle name="Monétaire [0]_!!!GO 2 2" xfId="21909" xr:uid="{00000000-0005-0000-0000-000097550000}"/>
    <cellStyle name="Monetaire [0]_!!!GO 3" xfId="21910" xr:uid="{00000000-0005-0000-0000-000098550000}"/>
    <cellStyle name="Monétaire [0]_!!!GO 3" xfId="21911" xr:uid="{00000000-0005-0000-0000-000099550000}"/>
    <cellStyle name="Monetaire [0]_!!!GO 3 2" xfId="21912" xr:uid="{00000000-0005-0000-0000-00009A550000}"/>
    <cellStyle name="Monétaire [0]_!!!GO 3 2" xfId="21913" xr:uid="{00000000-0005-0000-0000-00009B550000}"/>
    <cellStyle name="Monetaire [0]_!!!GO 4" xfId="21914" xr:uid="{00000000-0005-0000-0000-00009C550000}"/>
    <cellStyle name="Monétaire [0]_!!!GO 4" xfId="21915" xr:uid="{00000000-0005-0000-0000-00009D550000}"/>
    <cellStyle name="Monetaire [0]_!!!GO_1" xfId="21916" xr:uid="{00000000-0005-0000-0000-00009E550000}"/>
    <cellStyle name="Monétaire [0]_!!!GO_1" xfId="21917" xr:uid="{00000000-0005-0000-0000-00009F550000}"/>
    <cellStyle name="Monetaire [0]_!!!GO_1 2" xfId="21918" xr:uid="{00000000-0005-0000-0000-0000A0550000}"/>
    <cellStyle name="Monétaire [0]_!!!GO_1 2" xfId="21919" xr:uid="{00000000-0005-0000-0000-0000A1550000}"/>
    <cellStyle name="Monetaire [0]_!!!GO_1 3" xfId="21920" xr:uid="{00000000-0005-0000-0000-0000A2550000}"/>
    <cellStyle name="Monétaire [0]_!!!GO_1 3" xfId="21921" xr:uid="{00000000-0005-0000-0000-0000A3550000}"/>
    <cellStyle name="Monetaire [0]_CTC" xfId="21922" xr:uid="{00000000-0005-0000-0000-0000A4550000}"/>
    <cellStyle name="Monétaire [0]_CTC" xfId="21923" xr:uid="{00000000-0005-0000-0000-0000A5550000}"/>
    <cellStyle name="Monetaire [0]_CTC 2" xfId="21924" xr:uid="{00000000-0005-0000-0000-0000A6550000}"/>
    <cellStyle name="Monétaire [0]_CTC 2" xfId="21925" xr:uid="{00000000-0005-0000-0000-0000A7550000}"/>
    <cellStyle name="Monetaire [0]_CTC 2 2" xfId="21926" xr:uid="{00000000-0005-0000-0000-0000A8550000}"/>
    <cellStyle name="Monétaire [0]_CTC 2 2" xfId="21927" xr:uid="{00000000-0005-0000-0000-0000A9550000}"/>
    <cellStyle name="Monetaire [0]_CTC 3" xfId="21928" xr:uid="{00000000-0005-0000-0000-0000AA550000}"/>
    <cellStyle name="Monétaire [0]_CTC 3" xfId="21929" xr:uid="{00000000-0005-0000-0000-0000AB550000}"/>
    <cellStyle name="Monetaire [0]_CTC 3 2" xfId="21930" xr:uid="{00000000-0005-0000-0000-0000AC550000}"/>
    <cellStyle name="Monétaire [0]_CTC 3 2" xfId="21931" xr:uid="{00000000-0005-0000-0000-0000AD550000}"/>
    <cellStyle name="Monetaire [0]_CTC 4" xfId="21932" xr:uid="{00000000-0005-0000-0000-0000AE550000}"/>
    <cellStyle name="Monétaire [0]_CTC 4" xfId="21933" xr:uid="{00000000-0005-0000-0000-0000AF550000}"/>
    <cellStyle name="Monetaire [0]_CTC_!!!GO" xfId="21934" xr:uid="{00000000-0005-0000-0000-0000B0550000}"/>
    <cellStyle name="Monétaire [0]_CTC_!!!GO" xfId="21935" xr:uid="{00000000-0005-0000-0000-0000B1550000}"/>
    <cellStyle name="Monetaire [0]_CTC_!!!GO 2" xfId="21936" xr:uid="{00000000-0005-0000-0000-0000B2550000}"/>
    <cellStyle name="Monétaire [0]_CTC_!!!GO 2" xfId="21937" xr:uid="{00000000-0005-0000-0000-0000B3550000}"/>
    <cellStyle name="Monetaire [0]_CTC_!!!GO 2 2" xfId="21938" xr:uid="{00000000-0005-0000-0000-0000B4550000}"/>
    <cellStyle name="Monétaire [0]_CTC_!!!GO 2 2" xfId="21939" xr:uid="{00000000-0005-0000-0000-0000B5550000}"/>
    <cellStyle name="Monetaire [0]_CTC_!!!GO 3" xfId="21940" xr:uid="{00000000-0005-0000-0000-0000B6550000}"/>
    <cellStyle name="Monétaire [0]_CTC_!!!GO 3" xfId="21941" xr:uid="{00000000-0005-0000-0000-0000B7550000}"/>
    <cellStyle name="Monetaire [0]_CTC_!!!GO 3 2" xfId="21942" xr:uid="{00000000-0005-0000-0000-0000B8550000}"/>
    <cellStyle name="Monétaire [0]_CTC_!!!GO 3 2" xfId="21943" xr:uid="{00000000-0005-0000-0000-0000B9550000}"/>
    <cellStyle name="Monetaire [0]_CTC_!!!GO 4" xfId="21944" xr:uid="{00000000-0005-0000-0000-0000BA550000}"/>
    <cellStyle name="Monétaire [0]_CTC_!!!GO 4" xfId="21945" xr:uid="{00000000-0005-0000-0000-0000BB550000}"/>
    <cellStyle name="Monetaire [0]_DIRECTIONS" xfId="21946" xr:uid="{00000000-0005-0000-0000-0000BC550000}"/>
    <cellStyle name="Monétaire [0]_DIRECTIONS" xfId="21947" xr:uid="{00000000-0005-0000-0000-0000BD550000}"/>
    <cellStyle name="Monetaire [0]_DIRECTIONS 2" xfId="21948" xr:uid="{00000000-0005-0000-0000-0000BE550000}"/>
    <cellStyle name="Monétaire [0]_DIRECTIONS 2" xfId="21949" xr:uid="{00000000-0005-0000-0000-0000BF550000}"/>
    <cellStyle name="Monetaire [0]_DIRECTIONS 2 2" xfId="21950" xr:uid="{00000000-0005-0000-0000-0000C0550000}"/>
    <cellStyle name="Monétaire [0]_DIRECTIONS 2 2" xfId="21951" xr:uid="{00000000-0005-0000-0000-0000C1550000}"/>
    <cellStyle name="Monetaire [0]_DIRECTIONS 3" xfId="21952" xr:uid="{00000000-0005-0000-0000-0000C2550000}"/>
    <cellStyle name="Monétaire [0]_DIRECTIONS 3" xfId="21953" xr:uid="{00000000-0005-0000-0000-0000C3550000}"/>
    <cellStyle name="Monetaire [0]_DIRECTIONS 3 2" xfId="21954" xr:uid="{00000000-0005-0000-0000-0000C4550000}"/>
    <cellStyle name="Monétaire [0]_DIRECTIONS 3 2" xfId="21955" xr:uid="{00000000-0005-0000-0000-0000C5550000}"/>
    <cellStyle name="Monetaire [0]_DIRECTIONS 4" xfId="21956" xr:uid="{00000000-0005-0000-0000-0000C6550000}"/>
    <cellStyle name="Monétaire [0]_DIRECTIONS 4" xfId="21957" xr:uid="{00000000-0005-0000-0000-0000C7550000}"/>
    <cellStyle name="Monetaire [0]_DIRECTIONS_!!!GO" xfId="21958" xr:uid="{00000000-0005-0000-0000-0000C8550000}"/>
    <cellStyle name="Monétaire [0]_DIRECTIONS_!!!GO" xfId="21959" xr:uid="{00000000-0005-0000-0000-0000C9550000}"/>
    <cellStyle name="Monetaire [0]_DIRECTIONS_!!!GO 2" xfId="21960" xr:uid="{00000000-0005-0000-0000-0000CA550000}"/>
    <cellStyle name="Monétaire [0]_DIRECTIONS_!!!GO 2" xfId="21961" xr:uid="{00000000-0005-0000-0000-0000CB550000}"/>
    <cellStyle name="Monetaire [0]_DIRECTIONS_!!!GO 2 2" xfId="21962" xr:uid="{00000000-0005-0000-0000-0000CC550000}"/>
    <cellStyle name="Monétaire [0]_DIRECTIONS_!!!GO 2 2" xfId="21963" xr:uid="{00000000-0005-0000-0000-0000CD550000}"/>
    <cellStyle name="Monetaire [0]_DIRECTIONS_!!!GO 3" xfId="21964" xr:uid="{00000000-0005-0000-0000-0000CE550000}"/>
    <cellStyle name="Monétaire [0]_DIRECTIONS_!!!GO 3" xfId="21965" xr:uid="{00000000-0005-0000-0000-0000CF550000}"/>
    <cellStyle name="Monetaire [0]_DIRECTIONS_!!!GO 3 2" xfId="21966" xr:uid="{00000000-0005-0000-0000-0000D0550000}"/>
    <cellStyle name="Monétaire [0]_DIRECTIONS_!!!GO 3 2" xfId="21967" xr:uid="{00000000-0005-0000-0000-0000D1550000}"/>
    <cellStyle name="Monetaire [0]_DIRECTIONS_!!!GO 4" xfId="21968" xr:uid="{00000000-0005-0000-0000-0000D2550000}"/>
    <cellStyle name="Monétaire [0]_DIRECTIONS_!!!GO 4" xfId="21969" xr:uid="{00000000-0005-0000-0000-0000D3550000}"/>
    <cellStyle name="Monetaire [0]_laroux" xfId="21970" xr:uid="{00000000-0005-0000-0000-0000D4550000}"/>
    <cellStyle name="Monétaire [0]_laroux" xfId="21971" xr:uid="{00000000-0005-0000-0000-0000D5550000}"/>
    <cellStyle name="Monetaire [0]_laroux 2" xfId="21972" xr:uid="{00000000-0005-0000-0000-0000D6550000}"/>
    <cellStyle name="Monétaire [0]_laroux 2" xfId="21973" xr:uid="{00000000-0005-0000-0000-0000D7550000}"/>
    <cellStyle name="Monetaire [0]_laroux 2 2" xfId="21974" xr:uid="{00000000-0005-0000-0000-0000D8550000}"/>
    <cellStyle name="Monétaire [0]_laroux 2 2" xfId="21975" xr:uid="{00000000-0005-0000-0000-0000D9550000}"/>
    <cellStyle name="Monetaire [0]_laroux 3" xfId="21976" xr:uid="{00000000-0005-0000-0000-0000DA550000}"/>
    <cellStyle name="Monétaire [0]_laroux 3" xfId="21977" xr:uid="{00000000-0005-0000-0000-0000DB550000}"/>
    <cellStyle name="Monetaire [0]_laroux 3 2" xfId="21978" xr:uid="{00000000-0005-0000-0000-0000DC550000}"/>
    <cellStyle name="Monétaire [0]_laroux 3 2" xfId="21979" xr:uid="{00000000-0005-0000-0000-0000DD550000}"/>
    <cellStyle name="Monetaire [0]_laroux 4" xfId="21980" xr:uid="{00000000-0005-0000-0000-0000DE550000}"/>
    <cellStyle name="Monétaire [0]_laroux 4" xfId="21981" xr:uid="{00000000-0005-0000-0000-0000DF550000}"/>
    <cellStyle name="Monetaire [0]_laroux_1" xfId="21982" xr:uid="{00000000-0005-0000-0000-0000E0550000}"/>
    <cellStyle name="Monétaire [0]_laroux_1" xfId="21983" xr:uid="{00000000-0005-0000-0000-0000E1550000}"/>
    <cellStyle name="Monetaire [0]_laroux_1 2" xfId="21984" xr:uid="{00000000-0005-0000-0000-0000E2550000}"/>
    <cellStyle name="Monétaire [0]_laroux_1 2" xfId="21985" xr:uid="{00000000-0005-0000-0000-0000E3550000}"/>
    <cellStyle name="Monetaire [0]_laroux_1 3" xfId="21986" xr:uid="{00000000-0005-0000-0000-0000E4550000}"/>
    <cellStyle name="Monétaire [0]_laroux_1 3" xfId="21987" xr:uid="{00000000-0005-0000-0000-0000E5550000}"/>
    <cellStyle name="Monetaire [0]_liste principale 1998" xfId="21988" xr:uid="{00000000-0005-0000-0000-0000E6550000}"/>
    <cellStyle name="Monétaire [0]_liste principale 1998" xfId="21989" xr:uid="{00000000-0005-0000-0000-0000E7550000}"/>
    <cellStyle name="Monetaire [0]_liste principale 1998 2" xfId="21990" xr:uid="{00000000-0005-0000-0000-0000E8550000}"/>
    <cellStyle name="Monétaire [0]_liste principale 1998 2" xfId="21991" xr:uid="{00000000-0005-0000-0000-0000E9550000}"/>
    <cellStyle name="Monetaire [0]_liste principale 1998 2 2" xfId="21992" xr:uid="{00000000-0005-0000-0000-0000EA550000}"/>
    <cellStyle name="Monétaire [0]_liste principale 1998 2 2" xfId="21993" xr:uid="{00000000-0005-0000-0000-0000EB550000}"/>
    <cellStyle name="Monetaire [0]_liste principale 1998 3" xfId="21994" xr:uid="{00000000-0005-0000-0000-0000EC550000}"/>
    <cellStyle name="Monétaire [0]_liste principale 1998 3" xfId="21995" xr:uid="{00000000-0005-0000-0000-0000ED550000}"/>
    <cellStyle name="Monetaire [0]_liste principale 1998 3 2" xfId="21996" xr:uid="{00000000-0005-0000-0000-0000EE550000}"/>
    <cellStyle name="Monétaire [0]_liste principale 1998 3 2" xfId="21997" xr:uid="{00000000-0005-0000-0000-0000EF550000}"/>
    <cellStyle name="Monetaire [0]_liste principale 1998 4" xfId="21998" xr:uid="{00000000-0005-0000-0000-0000F0550000}"/>
    <cellStyle name="Monétaire [0]_liste principale 1998 4" xfId="21999" xr:uid="{00000000-0005-0000-0000-0000F1550000}"/>
    <cellStyle name="Monetaire [0]_liste principale 1998_!!!GO" xfId="22000" xr:uid="{00000000-0005-0000-0000-0000F2550000}"/>
    <cellStyle name="Monétaire [0]_liste principale 1998_!!!GO" xfId="22001" xr:uid="{00000000-0005-0000-0000-0000F3550000}"/>
    <cellStyle name="Monetaire [0]_liste principale 1998_!!!GO 2" xfId="22002" xr:uid="{00000000-0005-0000-0000-0000F4550000}"/>
    <cellStyle name="Monétaire [0]_liste principale 1998_!!!GO 2" xfId="22003" xr:uid="{00000000-0005-0000-0000-0000F5550000}"/>
    <cellStyle name="Monetaire [0]_liste principale 1998_!!!GO 2 2" xfId="22004" xr:uid="{00000000-0005-0000-0000-0000F6550000}"/>
    <cellStyle name="Monétaire [0]_liste principale 1998_!!!GO 2 2" xfId="22005" xr:uid="{00000000-0005-0000-0000-0000F7550000}"/>
    <cellStyle name="Monetaire [0]_liste principale 1998_!!!GO 3" xfId="22006" xr:uid="{00000000-0005-0000-0000-0000F8550000}"/>
    <cellStyle name="Monétaire [0]_liste principale 1998_!!!GO 3" xfId="22007" xr:uid="{00000000-0005-0000-0000-0000F9550000}"/>
    <cellStyle name="Monetaire [0]_liste principale 1998_!!!GO 3 2" xfId="22008" xr:uid="{00000000-0005-0000-0000-0000FA550000}"/>
    <cellStyle name="Monétaire [0]_liste principale 1998_!!!GO 3 2" xfId="22009" xr:uid="{00000000-0005-0000-0000-0000FB550000}"/>
    <cellStyle name="Monetaire [0]_liste principale 1998_!!!GO 4" xfId="22010" xr:uid="{00000000-0005-0000-0000-0000FC550000}"/>
    <cellStyle name="Monétaire [0]_liste principale 1998_!!!GO 4" xfId="22011" xr:uid="{00000000-0005-0000-0000-0000FD550000}"/>
    <cellStyle name="Monetaire [0]_pldt" xfId="22012" xr:uid="{00000000-0005-0000-0000-0000FE550000}"/>
    <cellStyle name="Monétaire [0]_pldt" xfId="22013" xr:uid="{00000000-0005-0000-0000-0000FF550000}"/>
    <cellStyle name="Monetaire [0]_pldt 2" xfId="22014" xr:uid="{00000000-0005-0000-0000-000000560000}"/>
    <cellStyle name="Monétaire [0]_pldt 2" xfId="22015" xr:uid="{00000000-0005-0000-0000-000001560000}"/>
    <cellStyle name="Monetaire [0]_pldt 3" xfId="22016" xr:uid="{00000000-0005-0000-0000-000002560000}"/>
    <cellStyle name="Monétaire [0]_pldt 3" xfId="22017" xr:uid="{00000000-0005-0000-0000-000003560000}"/>
    <cellStyle name="Monetaire [0]_pldt_1" xfId="22018" xr:uid="{00000000-0005-0000-0000-000004560000}"/>
    <cellStyle name="Monétaire [0]_pldt_1" xfId="22019" xr:uid="{00000000-0005-0000-0000-000005560000}"/>
    <cellStyle name="Monetaire [0]_pldt_1 2" xfId="22020" xr:uid="{00000000-0005-0000-0000-000006560000}"/>
    <cellStyle name="Monétaire [0]_pldt_1 2" xfId="22021" xr:uid="{00000000-0005-0000-0000-000007560000}"/>
    <cellStyle name="Monetaire [0]_pldt_1 3" xfId="22022" xr:uid="{00000000-0005-0000-0000-000008560000}"/>
    <cellStyle name="Monétaire [0]_pldt_1 3" xfId="22023" xr:uid="{00000000-0005-0000-0000-000009560000}"/>
    <cellStyle name="Monetaire_!!!GO" xfId="22024" xr:uid="{00000000-0005-0000-0000-00000A560000}"/>
    <cellStyle name="Monétaire_!!!GO" xfId="22025" xr:uid="{00000000-0005-0000-0000-00000B560000}"/>
    <cellStyle name="Monetaire_!!!GO 2" xfId="22026" xr:uid="{00000000-0005-0000-0000-00000C560000}"/>
    <cellStyle name="Monétaire_!!!GO 2" xfId="22027" xr:uid="{00000000-0005-0000-0000-00000D560000}"/>
    <cellStyle name="Monetaire_!!!GO 2 2" xfId="22028" xr:uid="{00000000-0005-0000-0000-00000E560000}"/>
    <cellStyle name="Monétaire_!!!GO 2 2" xfId="22029" xr:uid="{00000000-0005-0000-0000-00000F560000}"/>
    <cellStyle name="Monetaire_!!!GO 3" xfId="22030" xr:uid="{00000000-0005-0000-0000-000010560000}"/>
    <cellStyle name="Monétaire_!!!GO 3" xfId="22031" xr:uid="{00000000-0005-0000-0000-000011560000}"/>
    <cellStyle name="Monetaire_!!!GO 3 2" xfId="22032" xr:uid="{00000000-0005-0000-0000-000012560000}"/>
    <cellStyle name="Monétaire_!!!GO 3 2" xfId="22033" xr:uid="{00000000-0005-0000-0000-000013560000}"/>
    <cellStyle name="Monetaire_!!!GO 4" xfId="22034" xr:uid="{00000000-0005-0000-0000-000014560000}"/>
    <cellStyle name="Monétaire_!!!GO 4" xfId="22035" xr:uid="{00000000-0005-0000-0000-000015560000}"/>
    <cellStyle name="Monetaire_!!!GO_1" xfId="22036" xr:uid="{00000000-0005-0000-0000-000016560000}"/>
    <cellStyle name="Monétaire_!!!GO_1" xfId="22037" xr:uid="{00000000-0005-0000-0000-000017560000}"/>
    <cellStyle name="Monetaire_!!!GO_1 2" xfId="22038" xr:uid="{00000000-0005-0000-0000-000018560000}"/>
    <cellStyle name="Monétaire_!!!GO_1 2" xfId="22039" xr:uid="{00000000-0005-0000-0000-000019560000}"/>
    <cellStyle name="Monetaire_!!!GO_1 3" xfId="22040" xr:uid="{00000000-0005-0000-0000-00001A560000}"/>
    <cellStyle name="Monétaire_!!!GO_1 3" xfId="22041" xr:uid="{00000000-0005-0000-0000-00001B560000}"/>
    <cellStyle name="Monetaire_CTC" xfId="22042" xr:uid="{00000000-0005-0000-0000-00001C560000}"/>
    <cellStyle name="Monétaire_CTC" xfId="22043" xr:uid="{00000000-0005-0000-0000-00001D560000}"/>
    <cellStyle name="Monetaire_CTC 2" xfId="22044" xr:uid="{00000000-0005-0000-0000-00001E560000}"/>
    <cellStyle name="Monétaire_CTC 2" xfId="22045" xr:uid="{00000000-0005-0000-0000-00001F560000}"/>
    <cellStyle name="Monetaire_CTC 2 2" xfId="22046" xr:uid="{00000000-0005-0000-0000-000020560000}"/>
    <cellStyle name="Monétaire_CTC 2 2" xfId="22047" xr:uid="{00000000-0005-0000-0000-000021560000}"/>
    <cellStyle name="Monetaire_CTC 3" xfId="22048" xr:uid="{00000000-0005-0000-0000-000022560000}"/>
    <cellStyle name="Monétaire_CTC 3" xfId="22049" xr:uid="{00000000-0005-0000-0000-000023560000}"/>
    <cellStyle name="Monetaire_CTC 3 2" xfId="22050" xr:uid="{00000000-0005-0000-0000-000024560000}"/>
    <cellStyle name="Monétaire_CTC 3 2" xfId="22051" xr:uid="{00000000-0005-0000-0000-000025560000}"/>
    <cellStyle name="Monetaire_CTC 4" xfId="22052" xr:uid="{00000000-0005-0000-0000-000026560000}"/>
    <cellStyle name="Monétaire_CTC 4" xfId="22053" xr:uid="{00000000-0005-0000-0000-000027560000}"/>
    <cellStyle name="Monetaire_CTC_!!!GO" xfId="22054" xr:uid="{00000000-0005-0000-0000-000028560000}"/>
    <cellStyle name="Monétaire_CTC_!!!GO" xfId="22055" xr:uid="{00000000-0005-0000-0000-000029560000}"/>
    <cellStyle name="Monetaire_CTC_!!!GO 2" xfId="22056" xr:uid="{00000000-0005-0000-0000-00002A560000}"/>
    <cellStyle name="Monétaire_CTC_!!!GO 2" xfId="22057" xr:uid="{00000000-0005-0000-0000-00002B560000}"/>
    <cellStyle name="Monetaire_CTC_!!!GO 2 2" xfId="22058" xr:uid="{00000000-0005-0000-0000-00002C560000}"/>
    <cellStyle name="Monétaire_CTC_!!!GO 2 2" xfId="22059" xr:uid="{00000000-0005-0000-0000-00002D560000}"/>
    <cellStyle name="Monetaire_CTC_!!!GO 3" xfId="22060" xr:uid="{00000000-0005-0000-0000-00002E560000}"/>
    <cellStyle name="Monétaire_CTC_!!!GO 3" xfId="22061" xr:uid="{00000000-0005-0000-0000-00002F560000}"/>
    <cellStyle name="Monetaire_CTC_!!!GO 3 2" xfId="22062" xr:uid="{00000000-0005-0000-0000-000030560000}"/>
    <cellStyle name="Monétaire_CTC_!!!GO 3 2" xfId="22063" xr:uid="{00000000-0005-0000-0000-000031560000}"/>
    <cellStyle name="Monetaire_CTC_!!!GO 4" xfId="22064" xr:uid="{00000000-0005-0000-0000-000032560000}"/>
    <cellStyle name="Monétaire_CTC_!!!GO 4" xfId="22065" xr:uid="{00000000-0005-0000-0000-000033560000}"/>
    <cellStyle name="Monetaire_DIRECTIONS" xfId="22066" xr:uid="{00000000-0005-0000-0000-000034560000}"/>
    <cellStyle name="Monétaire_DIRECTIONS" xfId="22067" xr:uid="{00000000-0005-0000-0000-000035560000}"/>
    <cellStyle name="Monetaire_DIRECTIONS 2" xfId="22068" xr:uid="{00000000-0005-0000-0000-000036560000}"/>
    <cellStyle name="Monétaire_DIRECTIONS 2" xfId="22069" xr:uid="{00000000-0005-0000-0000-000037560000}"/>
    <cellStyle name="Monetaire_DIRECTIONS 2 2" xfId="22070" xr:uid="{00000000-0005-0000-0000-000038560000}"/>
    <cellStyle name="Monétaire_DIRECTIONS 2 2" xfId="22071" xr:uid="{00000000-0005-0000-0000-000039560000}"/>
    <cellStyle name="Monetaire_DIRECTIONS 3" xfId="22072" xr:uid="{00000000-0005-0000-0000-00003A560000}"/>
    <cellStyle name="Monétaire_DIRECTIONS 3" xfId="22073" xr:uid="{00000000-0005-0000-0000-00003B560000}"/>
    <cellStyle name="Monetaire_DIRECTIONS 3 2" xfId="22074" xr:uid="{00000000-0005-0000-0000-00003C560000}"/>
    <cellStyle name="Monétaire_DIRECTIONS 3 2" xfId="22075" xr:uid="{00000000-0005-0000-0000-00003D560000}"/>
    <cellStyle name="Monetaire_DIRECTIONS 4" xfId="22076" xr:uid="{00000000-0005-0000-0000-00003E560000}"/>
    <cellStyle name="Monétaire_DIRECTIONS 4" xfId="22077" xr:uid="{00000000-0005-0000-0000-00003F560000}"/>
    <cellStyle name="Monetaire_DIRECTIONS_!!!GO" xfId="22078" xr:uid="{00000000-0005-0000-0000-000040560000}"/>
    <cellStyle name="Monétaire_DIRECTIONS_!!!GO" xfId="22079" xr:uid="{00000000-0005-0000-0000-000041560000}"/>
    <cellStyle name="Monetaire_DIRECTIONS_!!!GO 2" xfId="22080" xr:uid="{00000000-0005-0000-0000-000042560000}"/>
    <cellStyle name="Monétaire_DIRECTIONS_!!!GO 2" xfId="22081" xr:uid="{00000000-0005-0000-0000-000043560000}"/>
    <cellStyle name="Monetaire_DIRECTIONS_!!!GO 2 2" xfId="22082" xr:uid="{00000000-0005-0000-0000-000044560000}"/>
    <cellStyle name="Monétaire_DIRECTIONS_!!!GO 2 2" xfId="22083" xr:uid="{00000000-0005-0000-0000-000045560000}"/>
    <cellStyle name="Monetaire_DIRECTIONS_!!!GO 3" xfId="22084" xr:uid="{00000000-0005-0000-0000-000046560000}"/>
    <cellStyle name="Monétaire_DIRECTIONS_!!!GO 3" xfId="22085" xr:uid="{00000000-0005-0000-0000-000047560000}"/>
    <cellStyle name="Monetaire_DIRECTIONS_!!!GO 3 2" xfId="22086" xr:uid="{00000000-0005-0000-0000-000048560000}"/>
    <cellStyle name="Monétaire_DIRECTIONS_!!!GO 3 2" xfId="22087" xr:uid="{00000000-0005-0000-0000-000049560000}"/>
    <cellStyle name="Monetaire_DIRECTIONS_!!!GO 4" xfId="22088" xr:uid="{00000000-0005-0000-0000-00004A560000}"/>
    <cellStyle name="Monétaire_DIRECTIONS_!!!GO 4" xfId="22089" xr:uid="{00000000-0005-0000-0000-00004B560000}"/>
    <cellStyle name="Monetaire_laroux" xfId="22090" xr:uid="{00000000-0005-0000-0000-00004C560000}"/>
    <cellStyle name="Monétaire_laroux" xfId="22091" xr:uid="{00000000-0005-0000-0000-00004D560000}"/>
    <cellStyle name="Monetaire_laroux 2" xfId="22092" xr:uid="{00000000-0005-0000-0000-00004E560000}"/>
    <cellStyle name="Monétaire_laroux 2" xfId="22093" xr:uid="{00000000-0005-0000-0000-00004F560000}"/>
    <cellStyle name="Monetaire_laroux 2 2" xfId="22094" xr:uid="{00000000-0005-0000-0000-000050560000}"/>
    <cellStyle name="Monétaire_laroux 2 2" xfId="22095" xr:uid="{00000000-0005-0000-0000-000051560000}"/>
    <cellStyle name="Monetaire_laroux 3" xfId="22096" xr:uid="{00000000-0005-0000-0000-000052560000}"/>
    <cellStyle name="Monétaire_laroux 3" xfId="22097" xr:uid="{00000000-0005-0000-0000-000053560000}"/>
    <cellStyle name="Monetaire_laroux 3 2" xfId="22098" xr:uid="{00000000-0005-0000-0000-000054560000}"/>
    <cellStyle name="Monétaire_laroux 3 2" xfId="22099" xr:uid="{00000000-0005-0000-0000-000055560000}"/>
    <cellStyle name="Monetaire_laroux 4" xfId="22100" xr:uid="{00000000-0005-0000-0000-000056560000}"/>
    <cellStyle name="Monétaire_laroux 4" xfId="22101" xr:uid="{00000000-0005-0000-0000-000057560000}"/>
    <cellStyle name="Monetaire_laroux_1" xfId="22102" xr:uid="{00000000-0005-0000-0000-000058560000}"/>
    <cellStyle name="Monétaire_laroux_1" xfId="22103" xr:uid="{00000000-0005-0000-0000-000059560000}"/>
    <cellStyle name="Monetaire_laroux_1 2" xfId="22104" xr:uid="{00000000-0005-0000-0000-00005A560000}"/>
    <cellStyle name="Monétaire_laroux_1 2" xfId="22105" xr:uid="{00000000-0005-0000-0000-00005B560000}"/>
    <cellStyle name="Monetaire_laroux_1 3" xfId="22106" xr:uid="{00000000-0005-0000-0000-00005C560000}"/>
    <cellStyle name="Monétaire_laroux_1 3" xfId="22107" xr:uid="{00000000-0005-0000-0000-00005D560000}"/>
    <cellStyle name="Monetaire_liste principale 1998" xfId="22108" xr:uid="{00000000-0005-0000-0000-00005E560000}"/>
    <cellStyle name="Monétaire_liste principale 1998" xfId="22109" xr:uid="{00000000-0005-0000-0000-00005F560000}"/>
    <cellStyle name="Monetaire_liste principale 1998 2" xfId="22110" xr:uid="{00000000-0005-0000-0000-000060560000}"/>
    <cellStyle name="Monétaire_liste principale 1998 2" xfId="22111" xr:uid="{00000000-0005-0000-0000-000061560000}"/>
    <cellStyle name="Monetaire_liste principale 1998 2 2" xfId="22112" xr:uid="{00000000-0005-0000-0000-000062560000}"/>
    <cellStyle name="Monétaire_liste principale 1998 2 2" xfId="22113" xr:uid="{00000000-0005-0000-0000-000063560000}"/>
    <cellStyle name="Monetaire_liste principale 1998 3" xfId="22114" xr:uid="{00000000-0005-0000-0000-000064560000}"/>
    <cellStyle name="Monétaire_liste principale 1998 3" xfId="22115" xr:uid="{00000000-0005-0000-0000-000065560000}"/>
    <cellStyle name="Monetaire_liste principale 1998 3 2" xfId="22116" xr:uid="{00000000-0005-0000-0000-000066560000}"/>
    <cellStyle name="Monétaire_liste principale 1998 3 2" xfId="22117" xr:uid="{00000000-0005-0000-0000-000067560000}"/>
    <cellStyle name="Monetaire_liste principale 1998 4" xfId="22118" xr:uid="{00000000-0005-0000-0000-000068560000}"/>
    <cellStyle name="Monétaire_liste principale 1998 4" xfId="22119" xr:uid="{00000000-0005-0000-0000-000069560000}"/>
    <cellStyle name="Monetaire_liste principale 1998_!!!GO" xfId="22120" xr:uid="{00000000-0005-0000-0000-00006A560000}"/>
    <cellStyle name="Monétaire_liste principale 1998_!!!GO" xfId="22121" xr:uid="{00000000-0005-0000-0000-00006B560000}"/>
    <cellStyle name="Monetaire_liste principale 1998_!!!GO 2" xfId="22122" xr:uid="{00000000-0005-0000-0000-00006C560000}"/>
    <cellStyle name="Monétaire_liste principale 1998_!!!GO 2" xfId="22123" xr:uid="{00000000-0005-0000-0000-00006D560000}"/>
    <cellStyle name="Monetaire_liste principale 1998_!!!GO 2 2" xfId="22124" xr:uid="{00000000-0005-0000-0000-00006E560000}"/>
    <cellStyle name="Monétaire_liste principale 1998_!!!GO 2 2" xfId="22125" xr:uid="{00000000-0005-0000-0000-00006F560000}"/>
    <cellStyle name="Monetaire_liste principale 1998_!!!GO 3" xfId="22126" xr:uid="{00000000-0005-0000-0000-000070560000}"/>
    <cellStyle name="Monétaire_liste principale 1998_!!!GO 3" xfId="22127" xr:uid="{00000000-0005-0000-0000-000071560000}"/>
    <cellStyle name="Monetaire_liste principale 1998_!!!GO 3 2" xfId="22128" xr:uid="{00000000-0005-0000-0000-000072560000}"/>
    <cellStyle name="Monétaire_liste principale 1998_!!!GO 3 2" xfId="22129" xr:uid="{00000000-0005-0000-0000-000073560000}"/>
    <cellStyle name="Monetaire_liste principale 1998_!!!GO 4" xfId="22130" xr:uid="{00000000-0005-0000-0000-000074560000}"/>
    <cellStyle name="Monétaire_liste principale 1998_!!!GO 4" xfId="22131" xr:uid="{00000000-0005-0000-0000-000075560000}"/>
    <cellStyle name="Monetaire_pldt" xfId="22132" xr:uid="{00000000-0005-0000-0000-000076560000}"/>
    <cellStyle name="Monétaire_pldt" xfId="22133" xr:uid="{00000000-0005-0000-0000-000077560000}"/>
    <cellStyle name="Monetaire_pldt 2" xfId="22134" xr:uid="{00000000-0005-0000-0000-000078560000}"/>
    <cellStyle name="Monétaire_pldt 2" xfId="22135" xr:uid="{00000000-0005-0000-0000-000079560000}"/>
    <cellStyle name="Monetaire_pldt 3" xfId="22136" xr:uid="{00000000-0005-0000-0000-00007A560000}"/>
    <cellStyle name="Monétaire_pldt 3" xfId="22137" xr:uid="{00000000-0005-0000-0000-00007B560000}"/>
    <cellStyle name="Monetaire_pldt_1" xfId="22138" xr:uid="{00000000-0005-0000-0000-00007C560000}"/>
    <cellStyle name="Monétaire_pldt_1" xfId="22139" xr:uid="{00000000-0005-0000-0000-00007D560000}"/>
    <cellStyle name="Monetaire_pldt_1 2" xfId="22140" xr:uid="{00000000-0005-0000-0000-00007E560000}"/>
    <cellStyle name="Monétaire_pldt_1 2" xfId="22141" xr:uid="{00000000-0005-0000-0000-00007F560000}"/>
    <cellStyle name="Monetaire_pldt_1 3" xfId="22142" xr:uid="{00000000-0005-0000-0000-000080560000}"/>
    <cellStyle name="Monétaire_pldt_1 3" xfId="22143" xr:uid="{00000000-0005-0000-0000-000081560000}"/>
    <cellStyle name="Monétaire0" xfId="22144" xr:uid="{00000000-0005-0000-0000-000082560000}"/>
    <cellStyle name="Monétaire0 2" xfId="22145" xr:uid="{00000000-0005-0000-0000-000083560000}"/>
    <cellStyle name="Monétaire0 2 2" xfId="22146" xr:uid="{00000000-0005-0000-0000-000084560000}"/>
    <cellStyle name="Monétaire0 3" xfId="22147" xr:uid="{00000000-0005-0000-0000-000085560000}"/>
    <cellStyle name="Monetario" xfId="22148" xr:uid="{00000000-0005-0000-0000-000086560000}"/>
    <cellStyle name="Monetario 2" xfId="22149" xr:uid="{00000000-0005-0000-0000-000087560000}"/>
    <cellStyle name="Monetario 2 2" xfId="22150" xr:uid="{00000000-0005-0000-0000-000088560000}"/>
    <cellStyle name="Monetario 3" xfId="22151" xr:uid="{00000000-0005-0000-0000-000089560000}"/>
    <cellStyle name="Monetario 3 2" xfId="22152" xr:uid="{00000000-0005-0000-0000-00008A560000}"/>
    <cellStyle name="Monetario 4" xfId="22153" xr:uid="{00000000-0005-0000-0000-00008B560000}"/>
    <cellStyle name="MOT Hardware" xfId="22154" xr:uid="{00000000-0005-0000-0000-00008C560000}"/>
    <cellStyle name="MS_Arabic" xfId="22155" xr:uid="{00000000-0005-0000-0000-00008D560000}"/>
    <cellStyle name="N0" xfId="22156" xr:uid="{00000000-0005-0000-0000-00008E560000}"/>
    <cellStyle name="N0 2" xfId="22157" xr:uid="{00000000-0005-0000-0000-00008F560000}"/>
    <cellStyle name="N0 2 2" xfId="22158" xr:uid="{00000000-0005-0000-0000-000090560000}"/>
    <cellStyle name="N0 2 2 2" xfId="22159" xr:uid="{00000000-0005-0000-0000-000091560000}"/>
    <cellStyle name="N0 2 3" xfId="22160" xr:uid="{00000000-0005-0000-0000-000092560000}"/>
    <cellStyle name="N0 3" xfId="22161" xr:uid="{00000000-0005-0000-0000-000093560000}"/>
    <cellStyle name="N0 3 2" xfId="22162" xr:uid="{00000000-0005-0000-0000-000094560000}"/>
    <cellStyle name="N0 4" xfId="22163" xr:uid="{00000000-0005-0000-0000-000095560000}"/>
    <cellStyle name="N0 4 2" xfId="22164" xr:uid="{00000000-0005-0000-0000-000096560000}"/>
    <cellStyle name="N0 5" xfId="22165" xr:uid="{00000000-0005-0000-0000-000097560000}"/>
    <cellStyle name="N0 5 2" xfId="22166" xr:uid="{00000000-0005-0000-0000-000098560000}"/>
    <cellStyle name="N0 6" xfId="22167" xr:uid="{00000000-0005-0000-0000-000099560000}"/>
    <cellStyle name="N0 6 2" xfId="22168" xr:uid="{00000000-0005-0000-0000-00009A560000}"/>
    <cellStyle name="N0 7" xfId="22169" xr:uid="{00000000-0005-0000-0000-00009B560000}"/>
    <cellStyle name="N0 7 2" xfId="22170" xr:uid="{00000000-0005-0000-0000-00009C560000}"/>
    <cellStyle name="N0 8" xfId="22171" xr:uid="{00000000-0005-0000-0000-00009D560000}"/>
    <cellStyle name="N1" xfId="22172" xr:uid="{00000000-0005-0000-0000-00009E560000}"/>
    <cellStyle name="N1 2" xfId="22173" xr:uid="{00000000-0005-0000-0000-00009F560000}"/>
    <cellStyle name="N1 2 2" xfId="22174" xr:uid="{00000000-0005-0000-0000-0000A0560000}"/>
    <cellStyle name="N1 2 2 2" xfId="22175" xr:uid="{00000000-0005-0000-0000-0000A1560000}"/>
    <cellStyle name="N1 2 3" xfId="22176" xr:uid="{00000000-0005-0000-0000-0000A2560000}"/>
    <cellStyle name="N1 3" xfId="22177" xr:uid="{00000000-0005-0000-0000-0000A3560000}"/>
    <cellStyle name="N1 3 2" xfId="22178" xr:uid="{00000000-0005-0000-0000-0000A4560000}"/>
    <cellStyle name="N1 4" xfId="22179" xr:uid="{00000000-0005-0000-0000-0000A5560000}"/>
    <cellStyle name="N1 4 2" xfId="22180" xr:uid="{00000000-0005-0000-0000-0000A6560000}"/>
    <cellStyle name="N1 5" xfId="22181" xr:uid="{00000000-0005-0000-0000-0000A7560000}"/>
    <cellStyle name="N1 5 2" xfId="22182" xr:uid="{00000000-0005-0000-0000-0000A8560000}"/>
    <cellStyle name="N1 6" xfId="22183" xr:uid="{00000000-0005-0000-0000-0000A9560000}"/>
    <cellStyle name="N1 6 2" xfId="22184" xr:uid="{00000000-0005-0000-0000-0000AA560000}"/>
    <cellStyle name="N1 7" xfId="22185" xr:uid="{00000000-0005-0000-0000-0000AB560000}"/>
    <cellStyle name="N1 7 2" xfId="22186" xr:uid="{00000000-0005-0000-0000-0000AC560000}"/>
    <cellStyle name="N1 8" xfId="22187" xr:uid="{00000000-0005-0000-0000-0000AD560000}"/>
    <cellStyle name="N2" xfId="22188" xr:uid="{00000000-0005-0000-0000-0000AE560000}"/>
    <cellStyle name="N2 2" xfId="22189" xr:uid="{00000000-0005-0000-0000-0000AF560000}"/>
    <cellStyle name="N2 2 2" xfId="22190" xr:uid="{00000000-0005-0000-0000-0000B0560000}"/>
    <cellStyle name="N2 2 2 2" xfId="22191" xr:uid="{00000000-0005-0000-0000-0000B1560000}"/>
    <cellStyle name="N2 2 3" xfId="22192" xr:uid="{00000000-0005-0000-0000-0000B2560000}"/>
    <cellStyle name="N2 3" xfId="22193" xr:uid="{00000000-0005-0000-0000-0000B3560000}"/>
    <cellStyle name="N2 3 2" xfId="22194" xr:uid="{00000000-0005-0000-0000-0000B4560000}"/>
    <cellStyle name="N2 4" xfId="22195" xr:uid="{00000000-0005-0000-0000-0000B5560000}"/>
    <cellStyle name="N2 4 2" xfId="22196" xr:uid="{00000000-0005-0000-0000-0000B6560000}"/>
    <cellStyle name="N2 5" xfId="22197" xr:uid="{00000000-0005-0000-0000-0000B7560000}"/>
    <cellStyle name="N2 5 2" xfId="22198" xr:uid="{00000000-0005-0000-0000-0000B8560000}"/>
    <cellStyle name="N2 6" xfId="22199" xr:uid="{00000000-0005-0000-0000-0000B9560000}"/>
    <cellStyle name="N2 6 2" xfId="22200" xr:uid="{00000000-0005-0000-0000-0000BA560000}"/>
    <cellStyle name="N2 7" xfId="22201" xr:uid="{00000000-0005-0000-0000-0000BB560000}"/>
    <cellStyle name="N2 7 2" xfId="22202" xr:uid="{00000000-0005-0000-0000-0000BC560000}"/>
    <cellStyle name="N2 8" xfId="22203" xr:uid="{00000000-0005-0000-0000-0000BD560000}"/>
    <cellStyle name="N3" xfId="22204" xr:uid="{00000000-0005-0000-0000-0000BE560000}"/>
    <cellStyle name="N3 2" xfId="22205" xr:uid="{00000000-0005-0000-0000-0000BF560000}"/>
    <cellStyle name="N3 2 2" xfId="22206" xr:uid="{00000000-0005-0000-0000-0000C0560000}"/>
    <cellStyle name="N3 2 2 2" xfId="22207" xr:uid="{00000000-0005-0000-0000-0000C1560000}"/>
    <cellStyle name="N3 2 3" xfId="22208" xr:uid="{00000000-0005-0000-0000-0000C2560000}"/>
    <cellStyle name="N3 3" xfId="22209" xr:uid="{00000000-0005-0000-0000-0000C3560000}"/>
    <cellStyle name="N3 3 2" xfId="22210" xr:uid="{00000000-0005-0000-0000-0000C4560000}"/>
    <cellStyle name="N3 4" xfId="22211" xr:uid="{00000000-0005-0000-0000-0000C5560000}"/>
    <cellStyle name="N3 4 2" xfId="22212" xr:uid="{00000000-0005-0000-0000-0000C6560000}"/>
    <cellStyle name="N3 5" xfId="22213" xr:uid="{00000000-0005-0000-0000-0000C7560000}"/>
    <cellStyle name="N3 5 2" xfId="22214" xr:uid="{00000000-0005-0000-0000-0000C8560000}"/>
    <cellStyle name="N3 6" xfId="22215" xr:uid="{00000000-0005-0000-0000-0000C9560000}"/>
    <cellStyle name="N3 6 2" xfId="22216" xr:uid="{00000000-0005-0000-0000-0000CA560000}"/>
    <cellStyle name="N3 7" xfId="22217" xr:uid="{00000000-0005-0000-0000-0000CB560000}"/>
    <cellStyle name="N3 7 2" xfId="22218" xr:uid="{00000000-0005-0000-0000-0000CC560000}"/>
    <cellStyle name="N3 8" xfId="22219" xr:uid="{00000000-0005-0000-0000-0000CD560000}"/>
    <cellStyle name="N4" xfId="22220" xr:uid="{00000000-0005-0000-0000-0000CE560000}"/>
    <cellStyle name="N4 10" xfId="22221" xr:uid="{00000000-0005-0000-0000-0000CF560000}"/>
    <cellStyle name="N4 10 2" xfId="22222" xr:uid="{00000000-0005-0000-0000-0000D0560000}"/>
    <cellStyle name="N4 11" xfId="22223" xr:uid="{00000000-0005-0000-0000-0000D1560000}"/>
    <cellStyle name="N4 2" xfId="22224" xr:uid="{00000000-0005-0000-0000-0000D2560000}"/>
    <cellStyle name="N4 2 2" xfId="22225" xr:uid="{00000000-0005-0000-0000-0000D3560000}"/>
    <cellStyle name="N4 3" xfId="22226" xr:uid="{00000000-0005-0000-0000-0000D4560000}"/>
    <cellStyle name="N4 3 2" xfId="22227" xr:uid="{00000000-0005-0000-0000-0000D5560000}"/>
    <cellStyle name="N4 4" xfId="22228" xr:uid="{00000000-0005-0000-0000-0000D6560000}"/>
    <cellStyle name="N4 4 2" xfId="22229" xr:uid="{00000000-0005-0000-0000-0000D7560000}"/>
    <cellStyle name="N4 5" xfId="22230" xr:uid="{00000000-0005-0000-0000-0000D8560000}"/>
    <cellStyle name="N4 5 2" xfId="22231" xr:uid="{00000000-0005-0000-0000-0000D9560000}"/>
    <cellStyle name="N4 5 2 2" xfId="22232" xr:uid="{00000000-0005-0000-0000-0000DA560000}"/>
    <cellStyle name="N4 5 3" xfId="22233" xr:uid="{00000000-0005-0000-0000-0000DB560000}"/>
    <cellStyle name="N4 6" xfId="22234" xr:uid="{00000000-0005-0000-0000-0000DC560000}"/>
    <cellStyle name="N4 6 2" xfId="22235" xr:uid="{00000000-0005-0000-0000-0000DD560000}"/>
    <cellStyle name="N4 7" xfId="22236" xr:uid="{00000000-0005-0000-0000-0000DE560000}"/>
    <cellStyle name="N4 7 2" xfId="22237" xr:uid="{00000000-0005-0000-0000-0000DF560000}"/>
    <cellStyle name="N4 8" xfId="22238" xr:uid="{00000000-0005-0000-0000-0000E0560000}"/>
    <cellStyle name="N4 8 2" xfId="22239" xr:uid="{00000000-0005-0000-0000-0000E1560000}"/>
    <cellStyle name="N4 9" xfId="22240" xr:uid="{00000000-0005-0000-0000-0000E2560000}"/>
    <cellStyle name="N4 9 2" xfId="22241" xr:uid="{00000000-0005-0000-0000-0000E3560000}"/>
    <cellStyle name="NA is zero" xfId="22242" xr:uid="{00000000-0005-0000-0000-0000E4560000}"/>
    <cellStyle name="Name" xfId="22243" xr:uid="{00000000-0005-0000-0000-0000E5560000}"/>
    <cellStyle name="Neutra" xfId="22244" xr:uid="{00000000-0005-0000-0000-0000E6560000}"/>
    <cellStyle name="Neutral 10" xfId="22245" xr:uid="{00000000-0005-0000-0000-0000E7560000}"/>
    <cellStyle name="Neutral 10 2" xfId="22246" xr:uid="{00000000-0005-0000-0000-0000E8560000}"/>
    <cellStyle name="Neutral 11" xfId="22247" xr:uid="{00000000-0005-0000-0000-0000E9560000}"/>
    <cellStyle name="Neutral 11 2" xfId="22248" xr:uid="{00000000-0005-0000-0000-0000EA560000}"/>
    <cellStyle name="Neutral 12" xfId="22249" xr:uid="{00000000-0005-0000-0000-0000EB560000}"/>
    <cellStyle name="Neutral 12 2" xfId="22250" xr:uid="{00000000-0005-0000-0000-0000EC560000}"/>
    <cellStyle name="Neutral 13" xfId="22251" xr:uid="{00000000-0005-0000-0000-0000ED560000}"/>
    <cellStyle name="Neutral 13 2" xfId="22252" xr:uid="{00000000-0005-0000-0000-0000EE560000}"/>
    <cellStyle name="Neutral 14" xfId="22253" xr:uid="{00000000-0005-0000-0000-0000EF560000}"/>
    <cellStyle name="Neutral 14 2" xfId="22254" xr:uid="{00000000-0005-0000-0000-0000F0560000}"/>
    <cellStyle name="Neutral 15" xfId="22255" xr:uid="{00000000-0005-0000-0000-0000F1560000}"/>
    <cellStyle name="Neutral 15 2" xfId="22256" xr:uid="{00000000-0005-0000-0000-0000F2560000}"/>
    <cellStyle name="Neutral 16" xfId="22257" xr:uid="{00000000-0005-0000-0000-0000F3560000}"/>
    <cellStyle name="Neutral 16 2" xfId="22258" xr:uid="{00000000-0005-0000-0000-0000F4560000}"/>
    <cellStyle name="Neutral 17" xfId="22259" xr:uid="{00000000-0005-0000-0000-0000F5560000}"/>
    <cellStyle name="Neutral 17 2" xfId="22260" xr:uid="{00000000-0005-0000-0000-0000F6560000}"/>
    <cellStyle name="Neutral 18" xfId="22261" xr:uid="{00000000-0005-0000-0000-0000F7560000}"/>
    <cellStyle name="Neutral 18 2" xfId="22262" xr:uid="{00000000-0005-0000-0000-0000F8560000}"/>
    <cellStyle name="Neutral 19" xfId="22263" xr:uid="{00000000-0005-0000-0000-0000F9560000}"/>
    <cellStyle name="Neutral 19 2" xfId="22264" xr:uid="{00000000-0005-0000-0000-0000FA560000}"/>
    <cellStyle name="Neutral 2" xfId="22265" xr:uid="{00000000-0005-0000-0000-0000FB560000}"/>
    <cellStyle name="Neutral 2 10" xfId="22266" xr:uid="{00000000-0005-0000-0000-0000FC560000}"/>
    <cellStyle name="Neutral 2 10 2" xfId="22267" xr:uid="{00000000-0005-0000-0000-0000FD560000}"/>
    <cellStyle name="Neutral 2 11" xfId="22268" xr:uid="{00000000-0005-0000-0000-0000FE560000}"/>
    <cellStyle name="Neutral 2 11 2" xfId="22269" xr:uid="{00000000-0005-0000-0000-0000FF560000}"/>
    <cellStyle name="Neutral 2 12" xfId="22270" xr:uid="{00000000-0005-0000-0000-000000570000}"/>
    <cellStyle name="Neutral 2 12 2" xfId="22271" xr:uid="{00000000-0005-0000-0000-000001570000}"/>
    <cellStyle name="Neutral 2 13" xfId="22272" xr:uid="{00000000-0005-0000-0000-000002570000}"/>
    <cellStyle name="Neutral 2 13 2" xfId="22273" xr:uid="{00000000-0005-0000-0000-000003570000}"/>
    <cellStyle name="Neutral 2 14" xfId="22274" xr:uid="{00000000-0005-0000-0000-000004570000}"/>
    <cellStyle name="Neutral 2 14 2" xfId="22275" xr:uid="{00000000-0005-0000-0000-000005570000}"/>
    <cellStyle name="Neutral 2 15" xfId="22276" xr:uid="{00000000-0005-0000-0000-000006570000}"/>
    <cellStyle name="Neutral 2 15 2" xfId="22277" xr:uid="{00000000-0005-0000-0000-000007570000}"/>
    <cellStyle name="Neutral 2 16" xfId="22278" xr:uid="{00000000-0005-0000-0000-000008570000}"/>
    <cellStyle name="Neutral 2 16 2" xfId="22279" xr:uid="{00000000-0005-0000-0000-000009570000}"/>
    <cellStyle name="Neutral 2 17" xfId="22280" xr:uid="{00000000-0005-0000-0000-00000A570000}"/>
    <cellStyle name="Neutral 2 17 2" xfId="22281" xr:uid="{00000000-0005-0000-0000-00000B570000}"/>
    <cellStyle name="Neutral 2 18" xfId="22282" xr:uid="{00000000-0005-0000-0000-00000C570000}"/>
    <cellStyle name="Neutral 2 18 2" xfId="22283" xr:uid="{00000000-0005-0000-0000-00000D570000}"/>
    <cellStyle name="Neutral 2 19" xfId="22284" xr:uid="{00000000-0005-0000-0000-00000E570000}"/>
    <cellStyle name="Neutral 2 19 2" xfId="22285" xr:uid="{00000000-0005-0000-0000-00000F570000}"/>
    <cellStyle name="Neutral 2 2" xfId="22286" xr:uid="{00000000-0005-0000-0000-000010570000}"/>
    <cellStyle name="Neutral 2 2 2" xfId="22287" xr:uid="{00000000-0005-0000-0000-000011570000}"/>
    <cellStyle name="Neutral 2 2 2 2" xfId="22288" xr:uid="{00000000-0005-0000-0000-000012570000}"/>
    <cellStyle name="Neutral 2 2 3" xfId="22289" xr:uid="{00000000-0005-0000-0000-000013570000}"/>
    <cellStyle name="Neutral 2 20" xfId="22290" xr:uid="{00000000-0005-0000-0000-000014570000}"/>
    <cellStyle name="Neutral 2 3" xfId="22291" xr:uid="{00000000-0005-0000-0000-000015570000}"/>
    <cellStyle name="Neutral 2 3 2" xfId="22292" xr:uid="{00000000-0005-0000-0000-000016570000}"/>
    <cellStyle name="Neutral 2 4" xfId="22293" xr:uid="{00000000-0005-0000-0000-000017570000}"/>
    <cellStyle name="Neutral 2 4 2" xfId="22294" xr:uid="{00000000-0005-0000-0000-000018570000}"/>
    <cellStyle name="Neutral 2 5" xfId="22295" xr:uid="{00000000-0005-0000-0000-000019570000}"/>
    <cellStyle name="Neutral 2 5 2" xfId="22296" xr:uid="{00000000-0005-0000-0000-00001A570000}"/>
    <cellStyle name="Neutral 2 6" xfId="22297" xr:uid="{00000000-0005-0000-0000-00001B570000}"/>
    <cellStyle name="Neutral 2 6 2" xfId="22298" xr:uid="{00000000-0005-0000-0000-00001C570000}"/>
    <cellStyle name="Neutral 2 7" xfId="22299" xr:uid="{00000000-0005-0000-0000-00001D570000}"/>
    <cellStyle name="Neutral 2 7 2" xfId="22300" xr:uid="{00000000-0005-0000-0000-00001E570000}"/>
    <cellStyle name="Neutral 2 8" xfId="22301" xr:uid="{00000000-0005-0000-0000-00001F570000}"/>
    <cellStyle name="Neutral 2 8 2" xfId="22302" xr:uid="{00000000-0005-0000-0000-000020570000}"/>
    <cellStyle name="Neutral 2 9" xfId="22303" xr:uid="{00000000-0005-0000-0000-000021570000}"/>
    <cellStyle name="Neutral 2 9 2" xfId="22304" xr:uid="{00000000-0005-0000-0000-000022570000}"/>
    <cellStyle name="Neutral 20" xfId="22305" xr:uid="{00000000-0005-0000-0000-000023570000}"/>
    <cellStyle name="Neutral 20 2" xfId="22306" xr:uid="{00000000-0005-0000-0000-000024570000}"/>
    <cellStyle name="Neutral 21" xfId="22307" xr:uid="{00000000-0005-0000-0000-000025570000}"/>
    <cellStyle name="Neutral 21 2" xfId="22308" xr:uid="{00000000-0005-0000-0000-000026570000}"/>
    <cellStyle name="Neutral 22" xfId="22309" xr:uid="{00000000-0005-0000-0000-000027570000}"/>
    <cellStyle name="Neutral 22 2" xfId="22310" xr:uid="{00000000-0005-0000-0000-000028570000}"/>
    <cellStyle name="Neutral 23" xfId="22311" xr:uid="{00000000-0005-0000-0000-000029570000}"/>
    <cellStyle name="Neutral 23 2" xfId="22312" xr:uid="{00000000-0005-0000-0000-00002A570000}"/>
    <cellStyle name="Neutral 24" xfId="22313" xr:uid="{00000000-0005-0000-0000-00002B570000}"/>
    <cellStyle name="Neutral 24 2" xfId="22314" xr:uid="{00000000-0005-0000-0000-00002C570000}"/>
    <cellStyle name="Neutral 25" xfId="22315" xr:uid="{00000000-0005-0000-0000-00002D570000}"/>
    <cellStyle name="Neutral 25 2" xfId="22316" xr:uid="{00000000-0005-0000-0000-00002E570000}"/>
    <cellStyle name="Neutral 26" xfId="22317" xr:uid="{00000000-0005-0000-0000-00002F570000}"/>
    <cellStyle name="Neutral 26 2" xfId="22318" xr:uid="{00000000-0005-0000-0000-000030570000}"/>
    <cellStyle name="Neutral 27" xfId="22319" xr:uid="{00000000-0005-0000-0000-000031570000}"/>
    <cellStyle name="Neutral 27 2" xfId="22320" xr:uid="{00000000-0005-0000-0000-000032570000}"/>
    <cellStyle name="Neutral 3" xfId="22321" xr:uid="{00000000-0005-0000-0000-000033570000}"/>
    <cellStyle name="Neutral 3 2" xfId="22322" xr:uid="{00000000-0005-0000-0000-000034570000}"/>
    <cellStyle name="Neutral 3 2 2" xfId="22323" xr:uid="{00000000-0005-0000-0000-000035570000}"/>
    <cellStyle name="Neutral 3 3" xfId="22324" xr:uid="{00000000-0005-0000-0000-000036570000}"/>
    <cellStyle name="Neutral 4" xfId="22325" xr:uid="{00000000-0005-0000-0000-000037570000}"/>
    <cellStyle name="Neutral 4 2" xfId="22326" xr:uid="{00000000-0005-0000-0000-000038570000}"/>
    <cellStyle name="Neutral 4 2 2" xfId="22327" xr:uid="{00000000-0005-0000-0000-000039570000}"/>
    <cellStyle name="Neutral 4 3" xfId="22328" xr:uid="{00000000-0005-0000-0000-00003A570000}"/>
    <cellStyle name="Neutral 5" xfId="22329" xr:uid="{00000000-0005-0000-0000-00003B570000}"/>
    <cellStyle name="Neutral 5 2" xfId="22330" xr:uid="{00000000-0005-0000-0000-00003C570000}"/>
    <cellStyle name="Neutral 6" xfId="22331" xr:uid="{00000000-0005-0000-0000-00003D570000}"/>
    <cellStyle name="Neutral 6 2" xfId="22332" xr:uid="{00000000-0005-0000-0000-00003E570000}"/>
    <cellStyle name="Neutral 7" xfId="22333" xr:uid="{00000000-0005-0000-0000-00003F570000}"/>
    <cellStyle name="Neutral 7 2" xfId="22334" xr:uid="{00000000-0005-0000-0000-000040570000}"/>
    <cellStyle name="Neutral 8" xfId="22335" xr:uid="{00000000-0005-0000-0000-000041570000}"/>
    <cellStyle name="Neutral 8 2" xfId="22336" xr:uid="{00000000-0005-0000-0000-000042570000}"/>
    <cellStyle name="Neutral 9" xfId="22337" xr:uid="{00000000-0005-0000-0000-000043570000}"/>
    <cellStyle name="Neutral 9 2" xfId="22338" xr:uid="{00000000-0005-0000-0000-000044570000}"/>
    <cellStyle name="Neutre" xfId="22339" xr:uid="{00000000-0005-0000-0000-000045570000}"/>
    <cellStyle name="Neutre 2" xfId="22340" xr:uid="{00000000-0005-0000-0000-000046570000}"/>
    <cellStyle name="nill" xfId="22341" xr:uid="{00000000-0005-0000-0000-000047570000}"/>
    <cellStyle name="nill 10" xfId="22342" xr:uid="{00000000-0005-0000-0000-000048570000}"/>
    <cellStyle name="nill 11" xfId="22343" xr:uid="{00000000-0005-0000-0000-000049570000}"/>
    <cellStyle name="nill 12" xfId="22344" xr:uid="{00000000-0005-0000-0000-00004A570000}"/>
    <cellStyle name="nill 2" xfId="22345" xr:uid="{00000000-0005-0000-0000-00004B570000}"/>
    <cellStyle name="nill 2 10" xfId="22346" xr:uid="{00000000-0005-0000-0000-00004C570000}"/>
    <cellStyle name="nill 2 11" xfId="22347" xr:uid="{00000000-0005-0000-0000-00004D570000}"/>
    <cellStyle name="nill 2 12" xfId="22348" xr:uid="{00000000-0005-0000-0000-00004E570000}"/>
    <cellStyle name="nill 2 13" xfId="22349" xr:uid="{00000000-0005-0000-0000-00004F570000}"/>
    <cellStyle name="nill 2 14" xfId="22350" xr:uid="{00000000-0005-0000-0000-000050570000}"/>
    <cellStyle name="nill 2 15" xfId="22351" xr:uid="{00000000-0005-0000-0000-000051570000}"/>
    <cellStyle name="nill 2 16" xfId="22352" xr:uid="{00000000-0005-0000-0000-000052570000}"/>
    <cellStyle name="nill 2 17" xfId="22353" xr:uid="{00000000-0005-0000-0000-000053570000}"/>
    <cellStyle name="nill 2 18" xfId="22354" xr:uid="{00000000-0005-0000-0000-000054570000}"/>
    <cellStyle name="nill 2 19" xfId="22355" xr:uid="{00000000-0005-0000-0000-000055570000}"/>
    <cellStyle name="nill 2 2" xfId="22356" xr:uid="{00000000-0005-0000-0000-000056570000}"/>
    <cellStyle name="nill 2 2 2" xfId="22357" xr:uid="{00000000-0005-0000-0000-000057570000}"/>
    <cellStyle name="nill 2 20" xfId="22358" xr:uid="{00000000-0005-0000-0000-000058570000}"/>
    <cellStyle name="nill 2 21" xfId="22359" xr:uid="{00000000-0005-0000-0000-000059570000}"/>
    <cellStyle name="nill 2 22" xfId="22360" xr:uid="{00000000-0005-0000-0000-00005A570000}"/>
    <cellStyle name="nill 2 23" xfId="22361" xr:uid="{00000000-0005-0000-0000-00005B570000}"/>
    <cellStyle name="nill 2 24" xfId="22362" xr:uid="{00000000-0005-0000-0000-00005C570000}"/>
    <cellStyle name="nill 2 25" xfId="22363" xr:uid="{00000000-0005-0000-0000-00005D570000}"/>
    <cellStyle name="nill 2 26" xfId="22364" xr:uid="{00000000-0005-0000-0000-00005E570000}"/>
    <cellStyle name="nill 2 27" xfId="22365" xr:uid="{00000000-0005-0000-0000-00005F570000}"/>
    <cellStyle name="nill 2 28" xfId="22366" xr:uid="{00000000-0005-0000-0000-000060570000}"/>
    <cellStyle name="nill 2 29" xfId="22367" xr:uid="{00000000-0005-0000-0000-000061570000}"/>
    <cellStyle name="nill 2 3" xfId="22368" xr:uid="{00000000-0005-0000-0000-000062570000}"/>
    <cellStyle name="nill 2 30" xfId="22369" xr:uid="{00000000-0005-0000-0000-000063570000}"/>
    <cellStyle name="nill 2 31" xfId="22370" xr:uid="{00000000-0005-0000-0000-000064570000}"/>
    <cellStyle name="nill 2 32" xfId="22371" xr:uid="{00000000-0005-0000-0000-000065570000}"/>
    <cellStyle name="nill 2 33" xfId="22372" xr:uid="{00000000-0005-0000-0000-000066570000}"/>
    <cellStyle name="nill 2 34" xfId="22373" xr:uid="{00000000-0005-0000-0000-000067570000}"/>
    <cellStyle name="nill 2 4" xfId="22374" xr:uid="{00000000-0005-0000-0000-000068570000}"/>
    <cellStyle name="nill 2 5" xfId="22375" xr:uid="{00000000-0005-0000-0000-000069570000}"/>
    <cellStyle name="nill 2 6" xfId="22376" xr:uid="{00000000-0005-0000-0000-00006A570000}"/>
    <cellStyle name="nill 2 7" xfId="22377" xr:uid="{00000000-0005-0000-0000-00006B570000}"/>
    <cellStyle name="nill 2 8" xfId="22378" xr:uid="{00000000-0005-0000-0000-00006C570000}"/>
    <cellStyle name="nill 2 9" xfId="22379" xr:uid="{00000000-0005-0000-0000-00006D570000}"/>
    <cellStyle name="nill 3" xfId="22380" xr:uid="{00000000-0005-0000-0000-00006E570000}"/>
    <cellStyle name="nill 3 2" xfId="22381" xr:uid="{00000000-0005-0000-0000-00006F570000}"/>
    <cellStyle name="nill 4" xfId="22382" xr:uid="{00000000-0005-0000-0000-000070570000}"/>
    <cellStyle name="nill 4 2" xfId="22383" xr:uid="{00000000-0005-0000-0000-000071570000}"/>
    <cellStyle name="nill 5" xfId="22384" xr:uid="{00000000-0005-0000-0000-000072570000}"/>
    <cellStyle name="nill 6" xfId="22385" xr:uid="{00000000-0005-0000-0000-000073570000}"/>
    <cellStyle name="nill 7" xfId="22386" xr:uid="{00000000-0005-0000-0000-000074570000}"/>
    <cellStyle name="nill 8" xfId="22387" xr:uid="{00000000-0005-0000-0000-000075570000}"/>
    <cellStyle name="nill 9" xfId="22388" xr:uid="{00000000-0005-0000-0000-000076570000}"/>
    <cellStyle name="no dec" xfId="22389" xr:uid="{00000000-0005-0000-0000-000077570000}"/>
    <cellStyle name="NorALL-HC" xfId="22390" xr:uid="{00000000-0005-0000-0000-000078570000}"/>
    <cellStyle name="Normaali_Aikataulu1" xfId="22391" xr:uid="{00000000-0005-0000-0000-000079570000}"/>
    <cellStyle name="Normal" xfId="0" builtinId="0"/>
    <cellStyle name="Normal - Style1" xfId="22392" xr:uid="{00000000-0005-0000-0000-00007B570000}"/>
    <cellStyle name="Normal - Style1 2" xfId="22393" xr:uid="{00000000-0005-0000-0000-00007C570000}"/>
    <cellStyle name="Normal - Style1 2 2" xfId="22394" xr:uid="{00000000-0005-0000-0000-00007D570000}"/>
    <cellStyle name="Normal - Style1 2 2 2" xfId="22395" xr:uid="{00000000-0005-0000-0000-00007E570000}"/>
    <cellStyle name="Normal - Style1 2 2 2 2" xfId="22396" xr:uid="{00000000-0005-0000-0000-00007F570000}"/>
    <cellStyle name="Normal - Style1 2 2 3" xfId="22397" xr:uid="{00000000-0005-0000-0000-000080570000}"/>
    <cellStyle name="Normal - Style1 2 3" xfId="22398" xr:uid="{00000000-0005-0000-0000-000081570000}"/>
    <cellStyle name="Normal - Style1 2 3 2" xfId="22399" xr:uid="{00000000-0005-0000-0000-000082570000}"/>
    <cellStyle name="Normal - Style1 2 4" xfId="22400" xr:uid="{00000000-0005-0000-0000-000083570000}"/>
    <cellStyle name="Normal - Style1 3" xfId="22401" xr:uid="{00000000-0005-0000-0000-000084570000}"/>
    <cellStyle name="Normal - Style1 3 2" xfId="22402" xr:uid="{00000000-0005-0000-0000-000085570000}"/>
    <cellStyle name="Normal - Style1 3 2 2" xfId="22403" xr:uid="{00000000-0005-0000-0000-000086570000}"/>
    <cellStyle name="Normal - Style1 3 3" xfId="22404" xr:uid="{00000000-0005-0000-0000-000087570000}"/>
    <cellStyle name="Normal - Style1 4" xfId="22405" xr:uid="{00000000-0005-0000-0000-000088570000}"/>
    <cellStyle name="Normal - Style1 4 2" xfId="22406" xr:uid="{00000000-0005-0000-0000-000089570000}"/>
    <cellStyle name="Normal - Style1 4 2 2" xfId="22407" xr:uid="{00000000-0005-0000-0000-00008A570000}"/>
    <cellStyle name="Normal - Style1 4 3" xfId="22408" xr:uid="{00000000-0005-0000-0000-00008B570000}"/>
    <cellStyle name="Normal - Style1 5" xfId="22409" xr:uid="{00000000-0005-0000-0000-00008C570000}"/>
    <cellStyle name="Normal - Style1 5 2" xfId="22410" xr:uid="{00000000-0005-0000-0000-00008D570000}"/>
    <cellStyle name="Normal - Style1 5 2 2" xfId="22411" xr:uid="{00000000-0005-0000-0000-00008E570000}"/>
    <cellStyle name="Normal - Style1 5 3" xfId="22412" xr:uid="{00000000-0005-0000-0000-00008F570000}"/>
    <cellStyle name="Normal - Style1 6" xfId="22413" xr:uid="{00000000-0005-0000-0000-000090570000}"/>
    <cellStyle name="Normal - Style1 6 2" xfId="22414" xr:uid="{00000000-0005-0000-0000-000091570000}"/>
    <cellStyle name="Normal - Style1 6 2 2" xfId="22415" xr:uid="{00000000-0005-0000-0000-000092570000}"/>
    <cellStyle name="Normal - Style1 6 3" xfId="22416" xr:uid="{00000000-0005-0000-0000-000093570000}"/>
    <cellStyle name="Normal - Style1 7" xfId="22417" xr:uid="{00000000-0005-0000-0000-000094570000}"/>
    <cellStyle name="Normal - Style1 7 2" xfId="22418" xr:uid="{00000000-0005-0000-0000-000095570000}"/>
    <cellStyle name="Normal - Style1 7 2 2" xfId="22419" xr:uid="{00000000-0005-0000-0000-000096570000}"/>
    <cellStyle name="Normal - Style1 7 3" xfId="22420" xr:uid="{00000000-0005-0000-0000-000097570000}"/>
    <cellStyle name="Normal [0]" xfId="22421" xr:uid="{00000000-0005-0000-0000-000098570000}"/>
    <cellStyle name="Normal [1]" xfId="22422" xr:uid="{00000000-0005-0000-0000-000099570000}"/>
    <cellStyle name="Normal [2]" xfId="22423" xr:uid="{00000000-0005-0000-0000-00009A570000}"/>
    <cellStyle name="Normal [3]" xfId="22424" xr:uid="{00000000-0005-0000-0000-00009B570000}"/>
    <cellStyle name="Normal 10" xfId="22425" xr:uid="{00000000-0005-0000-0000-00009C570000}"/>
    <cellStyle name="Normal 10 2" xfId="22426" xr:uid="{00000000-0005-0000-0000-00009D570000}"/>
    <cellStyle name="Normal 10 2 2" xfId="22427" xr:uid="{00000000-0005-0000-0000-00009E570000}"/>
    <cellStyle name="Normal 10 2 2 2" xfId="22428" xr:uid="{00000000-0005-0000-0000-00009F570000}"/>
    <cellStyle name="Normal 10 2 2 2 2" xfId="22429" xr:uid="{00000000-0005-0000-0000-0000A0570000}"/>
    <cellStyle name="Normal 10 2 3" xfId="22430" xr:uid="{00000000-0005-0000-0000-0000A1570000}"/>
    <cellStyle name="Normal 10 2 3 2" xfId="22431" xr:uid="{00000000-0005-0000-0000-0000A2570000}"/>
    <cellStyle name="Normal 10 2 4" xfId="22432" xr:uid="{00000000-0005-0000-0000-0000A3570000}"/>
    <cellStyle name="Normal 10 3" xfId="22433" xr:uid="{00000000-0005-0000-0000-0000A4570000}"/>
    <cellStyle name="Normal 10 3 2" xfId="22434" xr:uid="{00000000-0005-0000-0000-0000A5570000}"/>
    <cellStyle name="Normal 10 3 2 2" xfId="22435" xr:uid="{00000000-0005-0000-0000-0000A6570000}"/>
    <cellStyle name="Normal 10 3 3" xfId="22436" xr:uid="{00000000-0005-0000-0000-0000A7570000}"/>
    <cellStyle name="Normal 10 3 3 2" xfId="22437" xr:uid="{00000000-0005-0000-0000-0000A8570000}"/>
    <cellStyle name="Normal 10 3 4" xfId="22438" xr:uid="{00000000-0005-0000-0000-0000A9570000}"/>
    <cellStyle name="Normal 10 4" xfId="22439" xr:uid="{00000000-0005-0000-0000-0000AA570000}"/>
    <cellStyle name="Normal 10 4 2" xfId="22440" xr:uid="{00000000-0005-0000-0000-0000AB570000}"/>
    <cellStyle name="Normal 10 5" xfId="22441" xr:uid="{00000000-0005-0000-0000-0000AC570000}"/>
    <cellStyle name="Normal 10 5 2" xfId="22442" xr:uid="{00000000-0005-0000-0000-0000AD570000}"/>
    <cellStyle name="Normal 10 6" xfId="22443" xr:uid="{00000000-0005-0000-0000-0000AE570000}"/>
    <cellStyle name="Normal 10 7" xfId="22444" xr:uid="{00000000-0005-0000-0000-0000AF570000}"/>
    <cellStyle name="Normal 10 7 2" xfId="22445" xr:uid="{00000000-0005-0000-0000-0000B0570000}"/>
    <cellStyle name="Normal 10 7 3" xfId="22446" xr:uid="{00000000-0005-0000-0000-0000B1570000}"/>
    <cellStyle name="Normal 100" xfId="22447" xr:uid="{00000000-0005-0000-0000-0000B2570000}"/>
    <cellStyle name="Normal 100 3 2 2" xfId="22448" xr:uid="{00000000-0005-0000-0000-0000B3570000}"/>
    <cellStyle name="Normal 100 3 2 2 2" xfId="22449" xr:uid="{00000000-0005-0000-0000-0000B4570000}"/>
    <cellStyle name="Normal 100 3 2 2 2 2" xfId="22450" xr:uid="{00000000-0005-0000-0000-0000B5570000}"/>
    <cellStyle name="Normal 100 3 2 2 2 2 3" xfId="22451" xr:uid="{00000000-0005-0000-0000-0000B6570000}"/>
    <cellStyle name="Normal 100 3 2 2 2 3" xfId="22452" xr:uid="{00000000-0005-0000-0000-0000B7570000}"/>
    <cellStyle name="Normal 100 3 2 2 2 3 2" xfId="22453" xr:uid="{00000000-0005-0000-0000-0000B8570000}"/>
    <cellStyle name="Normal 100 3 2 2 3" xfId="22454" xr:uid="{00000000-0005-0000-0000-0000B9570000}"/>
    <cellStyle name="Normal 100 3 2 2 3 2" xfId="22455" xr:uid="{00000000-0005-0000-0000-0000BA570000}"/>
    <cellStyle name="Normal 101" xfId="22456" xr:uid="{00000000-0005-0000-0000-0000BB570000}"/>
    <cellStyle name="Normal 102" xfId="22457" xr:uid="{00000000-0005-0000-0000-0000BC570000}"/>
    <cellStyle name="Normal 103" xfId="22458" xr:uid="{00000000-0005-0000-0000-0000BD570000}"/>
    <cellStyle name="Normal 104" xfId="22459" xr:uid="{00000000-0005-0000-0000-0000BE570000}"/>
    <cellStyle name="Normal 105" xfId="22460" xr:uid="{00000000-0005-0000-0000-0000BF570000}"/>
    <cellStyle name="Normal 106" xfId="22461" xr:uid="{00000000-0005-0000-0000-0000C0570000}"/>
    <cellStyle name="Normal 107" xfId="22462" xr:uid="{00000000-0005-0000-0000-0000C1570000}"/>
    <cellStyle name="Normal 108" xfId="22463" xr:uid="{00000000-0005-0000-0000-0000C2570000}"/>
    <cellStyle name="Normal 109" xfId="22464" xr:uid="{00000000-0005-0000-0000-0000C3570000}"/>
    <cellStyle name="Normal 11" xfId="22465" xr:uid="{00000000-0005-0000-0000-0000C4570000}"/>
    <cellStyle name="Normal 11 2" xfId="22466" xr:uid="{00000000-0005-0000-0000-0000C5570000}"/>
    <cellStyle name="Normal 11 2 2" xfId="22467" xr:uid="{00000000-0005-0000-0000-0000C6570000}"/>
    <cellStyle name="Normal 11 2 2 2" xfId="22468" xr:uid="{00000000-0005-0000-0000-0000C7570000}"/>
    <cellStyle name="Normal 11 2 3" xfId="22469" xr:uid="{00000000-0005-0000-0000-0000C8570000}"/>
    <cellStyle name="Normal 11 2 3 2" xfId="22470" xr:uid="{00000000-0005-0000-0000-0000C9570000}"/>
    <cellStyle name="Normal 11 2 4" xfId="22471" xr:uid="{00000000-0005-0000-0000-0000CA570000}"/>
    <cellStyle name="Normal 11 3" xfId="22472" xr:uid="{00000000-0005-0000-0000-0000CB570000}"/>
    <cellStyle name="Normal 11 3 2" xfId="22473" xr:uid="{00000000-0005-0000-0000-0000CC570000}"/>
    <cellStyle name="Normal 11 3 2 2" xfId="22474" xr:uid="{00000000-0005-0000-0000-0000CD570000}"/>
    <cellStyle name="Normal 11 3 3" xfId="22475" xr:uid="{00000000-0005-0000-0000-0000CE570000}"/>
    <cellStyle name="Normal 11 3 3 2" xfId="22476" xr:uid="{00000000-0005-0000-0000-0000CF570000}"/>
    <cellStyle name="Normal 11 3 4" xfId="22477" xr:uid="{00000000-0005-0000-0000-0000D0570000}"/>
    <cellStyle name="Normal 11 4" xfId="22478" xr:uid="{00000000-0005-0000-0000-0000D1570000}"/>
    <cellStyle name="Normal 11 4 2" xfId="22479" xr:uid="{00000000-0005-0000-0000-0000D2570000}"/>
    <cellStyle name="Normal 11 5" xfId="22480" xr:uid="{00000000-0005-0000-0000-0000D3570000}"/>
    <cellStyle name="Normal 11 5 2" xfId="22481" xr:uid="{00000000-0005-0000-0000-0000D4570000}"/>
    <cellStyle name="Normal 11 6" xfId="22482" xr:uid="{00000000-0005-0000-0000-0000D5570000}"/>
    <cellStyle name="Normal 110" xfId="22483" xr:uid="{00000000-0005-0000-0000-0000D6570000}"/>
    <cellStyle name="Normal 111" xfId="22484" xr:uid="{00000000-0005-0000-0000-0000D7570000}"/>
    <cellStyle name="Normal 112" xfId="22485" xr:uid="{00000000-0005-0000-0000-0000D8570000}"/>
    <cellStyle name="Normal 113" xfId="22486" xr:uid="{00000000-0005-0000-0000-0000D9570000}"/>
    <cellStyle name="Normal 114" xfId="22487" xr:uid="{00000000-0005-0000-0000-0000DA570000}"/>
    <cellStyle name="Normal 115" xfId="22488" xr:uid="{00000000-0005-0000-0000-0000DB570000}"/>
    <cellStyle name="Normal 116" xfId="22489" xr:uid="{00000000-0005-0000-0000-0000DC570000}"/>
    <cellStyle name="Normal 117" xfId="22490" xr:uid="{00000000-0005-0000-0000-0000DD570000}"/>
    <cellStyle name="Normal 118" xfId="22491" xr:uid="{00000000-0005-0000-0000-0000DE570000}"/>
    <cellStyle name="Normal 119" xfId="22492" xr:uid="{00000000-0005-0000-0000-0000DF570000}"/>
    <cellStyle name="Normal 12" xfId="22493" xr:uid="{00000000-0005-0000-0000-0000E0570000}"/>
    <cellStyle name="Normal 12 2" xfId="22494" xr:uid="{00000000-0005-0000-0000-0000E1570000}"/>
    <cellStyle name="Normal 12 2 2" xfId="22495" xr:uid="{00000000-0005-0000-0000-0000E2570000}"/>
    <cellStyle name="Normal 12 3" xfId="22496" xr:uid="{00000000-0005-0000-0000-0000E3570000}"/>
    <cellStyle name="Normal 12 3 2" xfId="22497" xr:uid="{00000000-0005-0000-0000-0000E4570000}"/>
    <cellStyle name="Normal 12 4" xfId="22498" xr:uid="{00000000-0005-0000-0000-0000E5570000}"/>
    <cellStyle name="Normal 12 5" xfId="22499" xr:uid="{00000000-0005-0000-0000-0000E6570000}"/>
    <cellStyle name="Normal 12 6" xfId="22500" xr:uid="{00000000-0005-0000-0000-0000E7570000}"/>
    <cellStyle name="Normal 120" xfId="22501" xr:uid="{00000000-0005-0000-0000-0000E8570000}"/>
    <cellStyle name="Normal 121" xfId="22502" xr:uid="{00000000-0005-0000-0000-0000E9570000}"/>
    <cellStyle name="Normal 122" xfId="22503" xr:uid="{00000000-0005-0000-0000-0000EA570000}"/>
    <cellStyle name="Normal 123" xfId="22504" xr:uid="{00000000-0005-0000-0000-0000EB570000}"/>
    <cellStyle name="Normal 124" xfId="22505" xr:uid="{00000000-0005-0000-0000-0000EC570000}"/>
    <cellStyle name="Normal 125" xfId="22506" xr:uid="{00000000-0005-0000-0000-0000ED570000}"/>
    <cellStyle name="Normal 126" xfId="22507" xr:uid="{00000000-0005-0000-0000-0000EE570000}"/>
    <cellStyle name="Normal 127" xfId="22508" xr:uid="{00000000-0005-0000-0000-0000EF570000}"/>
    <cellStyle name="Normal 128" xfId="22509" xr:uid="{00000000-0005-0000-0000-0000F0570000}"/>
    <cellStyle name="Normal 129" xfId="22510" xr:uid="{00000000-0005-0000-0000-0000F1570000}"/>
    <cellStyle name="Normal 13" xfId="22511" xr:uid="{00000000-0005-0000-0000-0000F2570000}"/>
    <cellStyle name="Normal 13 2" xfId="22512" xr:uid="{00000000-0005-0000-0000-0000F3570000}"/>
    <cellStyle name="Normal 13 2 2" xfId="22513" xr:uid="{00000000-0005-0000-0000-0000F4570000}"/>
    <cellStyle name="Normal 13 2 2 2" xfId="22514" xr:uid="{00000000-0005-0000-0000-0000F5570000}"/>
    <cellStyle name="Normal 13 2 3" xfId="22515" xr:uid="{00000000-0005-0000-0000-0000F6570000}"/>
    <cellStyle name="Normal 13 2 3 2" xfId="22516" xr:uid="{00000000-0005-0000-0000-0000F7570000}"/>
    <cellStyle name="Normal 13 2 4" xfId="22517" xr:uid="{00000000-0005-0000-0000-0000F8570000}"/>
    <cellStyle name="Normal 13 3" xfId="22518" xr:uid="{00000000-0005-0000-0000-0000F9570000}"/>
    <cellStyle name="Normal 13 3 2" xfId="22519" xr:uid="{00000000-0005-0000-0000-0000FA570000}"/>
    <cellStyle name="Normal 13 4" xfId="22520" xr:uid="{00000000-0005-0000-0000-0000FB570000}"/>
    <cellStyle name="Normal 13 4 2" xfId="22521" xr:uid="{00000000-0005-0000-0000-0000FC570000}"/>
    <cellStyle name="Normal 13 5" xfId="22522" xr:uid="{00000000-0005-0000-0000-0000FD570000}"/>
    <cellStyle name="Normal 130" xfId="22523" xr:uid="{00000000-0005-0000-0000-0000FE570000}"/>
    <cellStyle name="Normal 131" xfId="22524" xr:uid="{00000000-0005-0000-0000-0000FF570000}"/>
    <cellStyle name="Normal 132" xfId="22525" xr:uid="{00000000-0005-0000-0000-000000580000}"/>
    <cellStyle name="Normal 133" xfId="22526" xr:uid="{00000000-0005-0000-0000-000001580000}"/>
    <cellStyle name="Normal 134" xfId="22527" xr:uid="{00000000-0005-0000-0000-000002580000}"/>
    <cellStyle name="Normal 135" xfId="22528" xr:uid="{00000000-0005-0000-0000-000003580000}"/>
    <cellStyle name="Normal 136" xfId="22529" xr:uid="{00000000-0005-0000-0000-000004580000}"/>
    <cellStyle name="Normal 137" xfId="22530" xr:uid="{00000000-0005-0000-0000-000005580000}"/>
    <cellStyle name="Normal 138" xfId="22531" xr:uid="{00000000-0005-0000-0000-000006580000}"/>
    <cellStyle name="Normal 139" xfId="22532" xr:uid="{00000000-0005-0000-0000-000007580000}"/>
    <cellStyle name="Normal 14" xfId="22533" xr:uid="{00000000-0005-0000-0000-000008580000}"/>
    <cellStyle name="Normal 14 2" xfId="22534" xr:uid="{00000000-0005-0000-0000-000009580000}"/>
    <cellStyle name="Normal 14 2 2" xfId="22535" xr:uid="{00000000-0005-0000-0000-00000A580000}"/>
    <cellStyle name="Normal 14 2 2 2" xfId="22536" xr:uid="{00000000-0005-0000-0000-00000B580000}"/>
    <cellStyle name="Normal 14 2 3" xfId="22537" xr:uid="{00000000-0005-0000-0000-00000C580000}"/>
    <cellStyle name="Normal 14 2 3 2" xfId="22538" xr:uid="{00000000-0005-0000-0000-00000D580000}"/>
    <cellStyle name="Normal 14 2 4" xfId="22539" xr:uid="{00000000-0005-0000-0000-00000E580000}"/>
    <cellStyle name="Normal 14 3" xfId="22540" xr:uid="{00000000-0005-0000-0000-00000F580000}"/>
    <cellStyle name="Normal 14 3 2" xfId="22541" xr:uid="{00000000-0005-0000-0000-000010580000}"/>
    <cellStyle name="Normal 14 4" xfId="22542" xr:uid="{00000000-0005-0000-0000-000011580000}"/>
    <cellStyle name="Normal 14 4 2" xfId="22543" xr:uid="{00000000-0005-0000-0000-000012580000}"/>
    <cellStyle name="Normal 14 5" xfId="22544" xr:uid="{00000000-0005-0000-0000-000013580000}"/>
    <cellStyle name="Normal 14 6" xfId="22545" xr:uid="{00000000-0005-0000-0000-000014580000}"/>
    <cellStyle name="Normal 140" xfId="22546" xr:uid="{00000000-0005-0000-0000-000015580000}"/>
    <cellStyle name="Normal 141" xfId="22547" xr:uid="{00000000-0005-0000-0000-000016580000}"/>
    <cellStyle name="Normal 142" xfId="22548" xr:uid="{00000000-0005-0000-0000-000017580000}"/>
    <cellStyle name="Normal 143" xfId="22549" xr:uid="{00000000-0005-0000-0000-000018580000}"/>
    <cellStyle name="Normal 144" xfId="22550" xr:uid="{00000000-0005-0000-0000-000019580000}"/>
    <cellStyle name="Normal 145" xfId="22551" xr:uid="{00000000-0005-0000-0000-00001A580000}"/>
    <cellStyle name="Normal 146" xfId="22552" xr:uid="{00000000-0005-0000-0000-00001B580000}"/>
    <cellStyle name="Normal 147" xfId="22553" xr:uid="{00000000-0005-0000-0000-00001C580000}"/>
    <cellStyle name="Normal 148" xfId="22554" xr:uid="{00000000-0005-0000-0000-00001D580000}"/>
    <cellStyle name="Normal 149" xfId="22555" xr:uid="{00000000-0005-0000-0000-00001E580000}"/>
    <cellStyle name="Normal 15" xfId="22556" xr:uid="{00000000-0005-0000-0000-00001F580000}"/>
    <cellStyle name="Normal 15 2" xfId="22557" xr:uid="{00000000-0005-0000-0000-000020580000}"/>
    <cellStyle name="Normal 15 2 2" xfId="22558" xr:uid="{00000000-0005-0000-0000-000021580000}"/>
    <cellStyle name="Normal 15 2 2 2" xfId="22559" xr:uid="{00000000-0005-0000-0000-000022580000}"/>
    <cellStyle name="Normal 15 2 3" xfId="22560" xr:uid="{00000000-0005-0000-0000-000023580000}"/>
    <cellStyle name="Normal 15 2 3 2" xfId="22561" xr:uid="{00000000-0005-0000-0000-000024580000}"/>
    <cellStyle name="Normal 15 2 4" xfId="22562" xr:uid="{00000000-0005-0000-0000-000025580000}"/>
    <cellStyle name="Normal 15 3" xfId="22563" xr:uid="{00000000-0005-0000-0000-000026580000}"/>
    <cellStyle name="Normal 15 3 2" xfId="22564" xr:uid="{00000000-0005-0000-0000-000027580000}"/>
    <cellStyle name="Normal 15 4" xfId="22565" xr:uid="{00000000-0005-0000-0000-000028580000}"/>
    <cellStyle name="Normal 15 4 2" xfId="22566" xr:uid="{00000000-0005-0000-0000-000029580000}"/>
    <cellStyle name="Normal 15 5" xfId="22567" xr:uid="{00000000-0005-0000-0000-00002A580000}"/>
    <cellStyle name="Normal 150" xfId="22568" xr:uid="{00000000-0005-0000-0000-00002B580000}"/>
    <cellStyle name="Normal 151" xfId="22569" xr:uid="{00000000-0005-0000-0000-00002C580000}"/>
    <cellStyle name="Normal 152" xfId="22570" xr:uid="{00000000-0005-0000-0000-00002D580000}"/>
    <cellStyle name="Normal 153" xfId="22571" xr:uid="{00000000-0005-0000-0000-00002E580000}"/>
    <cellStyle name="Normal 154" xfId="22572" xr:uid="{00000000-0005-0000-0000-00002F580000}"/>
    <cellStyle name="Normal 155" xfId="22573" xr:uid="{00000000-0005-0000-0000-000030580000}"/>
    <cellStyle name="Normal 156" xfId="22574" xr:uid="{00000000-0005-0000-0000-000031580000}"/>
    <cellStyle name="Normal 157" xfId="22575" xr:uid="{00000000-0005-0000-0000-000032580000}"/>
    <cellStyle name="Normal 158" xfId="22576" xr:uid="{00000000-0005-0000-0000-000033580000}"/>
    <cellStyle name="Normal 159" xfId="22577" xr:uid="{00000000-0005-0000-0000-000034580000}"/>
    <cellStyle name="Normal 16" xfId="22578" xr:uid="{00000000-0005-0000-0000-000035580000}"/>
    <cellStyle name="Normal 16 2" xfId="22579" xr:uid="{00000000-0005-0000-0000-000036580000}"/>
    <cellStyle name="Normal 16 2 2" xfId="22580" xr:uid="{00000000-0005-0000-0000-000037580000}"/>
    <cellStyle name="Normal 16 2 2 2" xfId="22581" xr:uid="{00000000-0005-0000-0000-000038580000}"/>
    <cellStyle name="Normal 16 2 2 2 2" xfId="22582" xr:uid="{00000000-0005-0000-0000-000039580000}"/>
    <cellStyle name="Normal 16 2 3" xfId="22583" xr:uid="{00000000-0005-0000-0000-00003A580000}"/>
    <cellStyle name="Normal 16 2 3 2" xfId="22584" xr:uid="{00000000-0005-0000-0000-00003B580000}"/>
    <cellStyle name="Normal 16 2 4" xfId="22585" xr:uid="{00000000-0005-0000-0000-00003C580000}"/>
    <cellStyle name="Normal 16 3" xfId="22586" xr:uid="{00000000-0005-0000-0000-00003D580000}"/>
    <cellStyle name="Normal 16 3 2" xfId="22587" xr:uid="{00000000-0005-0000-0000-00003E580000}"/>
    <cellStyle name="Normal 16 4" xfId="22588" xr:uid="{00000000-0005-0000-0000-00003F580000}"/>
    <cellStyle name="Normal 16 4 2" xfId="22589" xr:uid="{00000000-0005-0000-0000-000040580000}"/>
    <cellStyle name="Normal 16 5" xfId="22590" xr:uid="{00000000-0005-0000-0000-000041580000}"/>
    <cellStyle name="Normal 160" xfId="22591" xr:uid="{00000000-0005-0000-0000-000042580000}"/>
    <cellStyle name="Normal 161" xfId="22592" xr:uid="{00000000-0005-0000-0000-000043580000}"/>
    <cellStyle name="Normal 162" xfId="22593" xr:uid="{00000000-0005-0000-0000-000044580000}"/>
    <cellStyle name="Normal 163" xfId="22594" xr:uid="{00000000-0005-0000-0000-000045580000}"/>
    <cellStyle name="Normal 164" xfId="22595" xr:uid="{00000000-0005-0000-0000-000046580000}"/>
    <cellStyle name="Normal 165" xfId="22596" xr:uid="{00000000-0005-0000-0000-000047580000}"/>
    <cellStyle name="Normal 166" xfId="22597" xr:uid="{00000000-0005-0000-0000-000048580000}"/>
    <cellStyle name="Normal 167" xfId="22598" xr:uid="{00000000-0005-0000-0000-000049580000}"/>
    <cellStyle name="Normal 168" xfId="22599" xr:uid="{00000000-0005-0000-0000-00004A580000}"/>
    <cellStyle name="Normal 169" xfId="22600" xr:uid="{00000000-0005-0000-0000-00004B580000}"/>
    <cellStyle name="Normal 17" xfId="22601" xr:uid="{00000000-0005-0000-0000-00004C580000}"/>
    <cellStyle name="Normal 17 2" xfId="22602" xr:uid="{00000000-0005-0000-0000-00004D580000}"/>
    <cellStyle name="Normal 17 2 2" xfId="22603" xr:uid="{00000000-0005-0000-0000-00004E580000}"/>
    <cellStyle name="Normal 17 2 2 2" xfId="22604" xr:uid="{00000000-0005-0000-0000-00004F580000}"/>
    <cellStyle name="Normal 17 2 3" xfId="22605" xr:uid="{00000000-0005-0000-0000-000050580000}"/>
    <cellStyle name="Normal 17 2 3 2" xfId="22606" xr:uid="{00000000-0005-0000-0000-000051580000}"/>
    <cellStyle name="Normal 17 2 4" xfId="22607" xr:uid="{00000000-0005-0000-0000-000052580000}"/>
    <cellStyle name="Normal 17 3" xfId="22608" xr:uid="{00000000-0005-0000-0000-000053580000}"/>
    <cellStyle name="Normal 17 3 2" xfId="22609" xr:uid="{00000000-0005-0000-0000-000054580000}"/>
    <cellStyle name="Normal 17 4" xfId="22610" xr:uid="{00000000-0005-0000-0000-000055580000}"/>
    <cellStyle name="Normal 17 4 2" xfId="22611" xr:uid="{00000000-0005-0000-0000-000056580000}"/>
    <cellStyle name="Normal 17 5" xfId="22612" xr:uid="{00000000-0005-0000-0000-000057580000}"/>
    <cellStyle name="Normal 170" xfId="22613" xr:uid="{00000000-0005-0000-0000-000058580000}"/>
    <cellStyle name="Normal 171" xfId="22614" xr:uid="{00000000-0005-0000-0000-000059580000}"/>
    <cellStyle name="Normal 172" xfId="22615" xr:uid="{00000000-0005-0000-0000-00005A580000}"/>
    <cellStyle name="Normal 173" xfId="22616" xr:uid="{00000000-0005-0000-0000-00005B580000}"/>
    <cellStyle name="Normal 174" xfId="22617" xr:uid="{00000000-0005-0000-0000-00005C580000}"/>
    <cellStyle name="Normal 175" xfId="22618" xr:uid="{00000000-0005-0000-0000-00005D580000}"/>
    <cellStyle name="Normal 176" xfId="22619" xr:uid="{00000000-0005-0000-0000-00005E580000}"/>
    <cellStyle name="Normal 177" xfId="22620" xr:uid="{00000000-0005-0000-0000-00005F580000}"/>
    <cellStyle name="Normal 178" xfId="22621" xr:uid="{00000000-0005-0000-0000-000060580000}"/>
    <cellStyle name="Normal 179" xfId="22622" xr:uid="{00000000-0005-0000-0000-000061580000}"/>
    <cellStyle name="Normal 18" xfId="22623" xr:uid="{00000000-0005-0000-0000-000062580000}"/>
    <cellStyle name="Normal 18 2" xfId="22624" xr:uid="{00000000-0005-0000-0000-000063580000}"/>
    <cellStyle name="Normal 18 2 2" xfId="22625" xr:uid="{00000000-0005-0000-0000-000064580000}"/>
    <cellStyle name="Normal 18 2 3" xfId="22626" xr:uid="{00000000-0005-0000-0000-000065580000}"/>
    <cellStyle name="Normal 18 3" xfId="22627" xr:uid="{00000000-0005-0000-0000-000066580000}"/>
    <cellStyle name="Normal 180" xfId="22628" xr:uid="{00000000-0005-0000-0000-000067580000}"/>
    <cellStyle name="Normal 181" xfId="22629" xr:uid="{00000000-0005-0000-0000-000068580000}"/>
    <cellStyle name="Normal 182" xfId="22630" xr:uid="{00000000-0005-0000-0000-000069580000}"/>
    <cellStyle name="Normal 183" xfId="22631" xr:uid="{00000000-0005-0000-0000-00006A580000}"/>
    <cellStyle name="Normal 184" xfId="22632" xr:uid="{00000000-0005-0000-0000-00006B580000}"/>
    <cellStyle name="Normal 185" xfId="22633" xr:uid="{00000000-0005-0000-0000-00006C580000}"/>
    <cellStyle name="Normal 186" xfId="22634" xr:uid="{00000000-0005-0000-0000-00006D580000}"/>
    <cellStyle name="Normal 187" xfId="22635" xr:uid="{00000000-0005-0000-0000-00006E580000}"/>
    <cellStyle name="Normal 188" xfId="22636" xr:uid="{00000000-0005-0000-0000-00006F580000}"/>
    <cellStyle name="Normal 189" xfId="22637" xr:uid="{00000000-0005-0000-0000-000070580000}"/>
    <cellStyle name="Normal 19" xfId="22638" xr:uid="{00000000-0005-0000-0000-000071580000}"/>
    <cellStyle name="Normal 19 2" xfId="22639" xr:uid="{00000000-0005-0000-0000-000072580000}"/>
    <cellStyle name="Normal 19 2 2" xfId="22640" xr:uid="{00000000-0005-0000-0000-000073580000}"/>
    <cellStyle name="Normal 19 2 2 2" xfId="22641" xr:uid="{00000000-0005-0000-0000-000074580000}"/>
    <cellStyle name="Normal 19 2 3" xfId="22642" xr:uid="{00000000-0005-0000-0000-000075580000}"/>
    <cellStyle name="Normal 19 2 3 2" xfId="22643" xr:uid="{00000000-0005-0000-0000-000076580000}"/>
    <cellStyle name="Normal 19 2 4" xfId="22644" xr:uid="{00000000-0005-0000-0000-000077580000}"/>
    <cellStyle name="Normal 19 3" xfId="22645" xr:uid="{00000000-0005-0000-0000-000078580000}"/>
    <cellStyle name="Normal 19 3 2" xfId="22646" xr:uid="{00000000-0005-0000-0000-000079580000}"/>
    <cellStyle name="Normal 19 4" xfId="22647" xr:uid="{00000000-0005-0000-0000-00007A580000}"/>
    <cellStyle name="Normal 19 4 2" xfId="22648" xr:uid="{00000000-0005-0000-0000-00007B580000}"/>
    <cellStyle name="Normal 19 5" xfId="22649" xr:uid="{00000000-0005-0000-0000-00007C580000}"/>
    <cellStyle name="Normal 190" xfId="22650" xr:uid="{00000000-0005-0000-0000-00007D580000}"/>
    <cellStyle name="Normal 191" xfId="22651" xr:uid="{00000000-0005-0000-0000-00007E580000}"/>
    <cellStyle name="Normal 191 2" xfId="22652" xr:uid="{00000000-0005-0000-0000-00007F580000}"/>
    <cellStyle name="Normal 191 3" xfId="22653" xr:uid="{00000000-0005-0000-0000-000080580000}"/>
    <cellStyle name="Normal 191 4" xfId="22654" xr:uid="{00000000-0005-0000-0000-000081580000}"/>
    <cellStyle name="Normal 191 5" xfId="22655" xr:uid="{00000000-0005-0000-0000-000082580000}"/>
    <cellStyle name="Normal 192" xfId="22656" xr:uid="{00000000-0005-0000-0000-000083580000}"/>
    <cellStyle name="Normal 193" xfId="22657" xr:uid="{00000000-0005-0000-0000-000084580000}"/>
    <cellStyle name="Normal 194" xfId="22658" xr:uid="{00000000-0005-0000-0000-000085580000}"/>
    <cellStyle name="Normal 195" xfId="22659" xr:uid="{00000000-0005-0000-0000-000086580000}"/>
    <cellStyle name="Normal 196" xfId="22660" xr:uid="{00000000-0005-0000-0000-000087580000}"/>
    <cellStyle name="Normal 197" xfId="22661" xr:uid="{00000000-0005-0000-0000-000088580000}"/>
    <cellStyle name="Normal 198" xfId="22662" xr:uid="{00000000-0005-0000-0000-000089580000}"/>
    <cellStyle name="Normal 199" xfId="22663" xr:uid="{00000000-0005-0000-0000-00008A580000}"/>
    <cellStyle name="Normal 2" xfId="22664" xr:uid="{00000000-0005-0000-0000-00008B580000}"/>
    <cellStyle name="Normal 2 10" xfId="22665" xr:uid="{00000000-0005-0000-0000-00008C580000}"/>
    <cellStyle name="Normal 2 10 2" xfId="22666" xr:uid="{00000000-0005-0000-0000-00008D580000}"/>
    <cellStyle name="Normal 2 11" xfId="22667" xr:uid="{00000000-0005-0000-0000-00008E580000}"/>
    <cellStyle name="Normal 2 11 2" xfId="22668" xr:uid="{00000000-0005-0000-0000-00008F580000}"/>
    <cellStyle name="Normal 2 12" xfId="22669" xr:uid="{00000000-0005-0000-0000-000090580000}"/>
    <cellStyle name="Normal 2 12 2" xfId="22670" xr:uid="{00000000-0005-0000-0000-000091580000}"/>
    <cellStyle name="Normal 2 13" xfId="22671" xr:uid="{00000000-0005-0000-0000-000092580000}"/>
    <cellStyle name="Normal 2 13 2" xfId="22672" xr:uid="{00000000-0005-0000-0000-000093580000}"/>
    <cellStyle name="Normal 2 14" xfId="22673" xr:uid="{00000000-0005-0000-0000-000094580000}"/>
    <cellStyle name="Normal 2 14 2" xfId="22674" xr:uid="{00000000-0005-0000-0000-000095580000}"/>
    <cellStyle name="Normal 2 15" xfId="22675" xr:uid="{00000000-0005-0000-0000-000096580000}"/>
    <cellStyle name="Normal 2 15 2" xfId="22676" xr:uid="{00000000-0005-0000-0000-000097580000}"/>
    <cellStyle name="Normal 2 16" xfId="22677" xr:uid="{00000000-0005-0000-0000-000098580000}"/>
    <cellStyle name="Normal 2 16 2" xfId="22678" xr:uid="{00000000-0005-0000-0000-000099580000}"/>
    <cellStyle name="Normal 2 17" xfId="22679" xr:uid="{00000000-0005-0000-0000-00009A580000}"/>
    <cellStyle name="Normal 2 17 2" xfId="22680" xr:uid="{00000000-0005-0000-0000-00009B580000}"/>
    <cellStyle name="Normal 2 18" xfId="22681" xr:uid="{00000000-0005-0000-0000-00009C580000}"/>
    <cellStyle name="Normal 2 18 2" xfId="22682" xr:uid="{00000000-0005-0000-0000-00009D580000}"/>
    <cellStyle name="Normal 2 19" xfId="22683" xr:uid="{00000000-0005-0000-0000-00009E580000}"/>
    <cellStyle name="Normal 2 19 2" xfId="22684" xr:uid="{00000000-0005-0000-0000-00009F580000}"/>
    <cellStyle name="Normal 2 2" xfId="22685" xr:uid="{00000000-0005-0000-0000-0000A0580000}"/>
    <cellStyle name="Normal 2 2 10" xfId="22686" xr:uid="{00000000-0005-0000-0000-0000A1580000}"/>
    <cellStyle name="Normal 2 2 10 2" xfId="22687" xr:uid="{00000000-0005-0000-0000-0000A2580000}"/>
    <cellStyle name="Normal 2 2 11" xfId="22688" xr:uid="{00000000-0005-0000-0000-0000A3580000}"/>
    <cellStyle name="Normal 2 2 11 2" xfId="22689" xr:uid="{00000000-0005-0000-0000-0000A4580000}"/>
    <cellStyle name="Normal 2 2 12" xfId="22690" xr:uid="{00000000-0005-0000-0000-0000A5580000}"/>
    <cellStyle name="Normal 2 2 12 2" xfId="22691" xr:uid="{00000000-0005-0000-0000-0000A6580000}"/>
    <cellStyle name="Normal 2 2 13" xfId="22692" xr:uid="{00000000-0005-0000-0000-0000A7580000}"/>
    <cellStyle name="Normal 2 2 13 2" xfId="22693" xr:uid="{00000000-0005-0000-0000-0000A8580000}"/>
    <cellStyle name="Normal 2 2 14" xfId="22694" xr:uid="{00000000-0005-0000-0000-0000A9580000}"/>
    <cellStyle name="Normal 2 2 14 2" xfId="22695" xr:uid="{00000000-0005-0000-0000-0000AA580000}"/>
    <cellStyle name="Normal 2 2 15" xfId="22696" xr:uid="{00000000-0005-0000-0000-0000AB580000}"/>
    <cellStyle name="Normal 2 2 15 2" xfId="22697" xr:uid="{00000000-0005-0000-0000-0000AC580000}"/>
    <cellStyle name="Normal 2 2 16" xfId="22698" xr:uid="{00000000-0005-0000-0000-0000AD580000}"/>
    <cellStyle name="Normal 2 2 16 2" xfId="22699" xr:uid="{00000000-0005-0000-0000-0000AE580000}"/>
    <cellStyle name="Normal 2 2 17" xfId="22700" xr:uid="{00000000-0005-0000-0000-0000AF580000}"/>
    <cellStyle name="Normal 2 2 17 2" xfId="22701" xr:uid="{00000000-0005-0000-0000-0000B0580000}"/>
    <cellStyle name="Normal 2 2 18" xfId="22702" xr:uid="{00000000-0005-0000-0000-0000B1580000}"/>
    <cellStyle name="Normal 2 2 18 2" xfId="22703" xr:uid="{00000000-0005-0000-0000-0000B2580000}"/>
    <cellStyle name="Normal 2 2 19" xfId="22704" xr:uid="{00000000-0005-0000-0000-0000B3580000}"/>
    <cellStyle name="Normal 2 2 19 2" xfId="22705" xr:uid="{00000000-0005-0000-0000-0000B4580000}"/>
    <cellStyle name="Normal 2 2 2" xfId="22706" xr:uid="{00000000-0005-0000-0000-0000B5580000}"/>
    <cellStyle name="Normal 2 2 2 10" xfId="22707" xr:uid="{00000000-0005-0000-0000-0000B6580000}"/>
    <cellStyle name="Normal 2 2 2 10 2" xfId="22708" xr:uid="{00000000-0005-0000-0000-0000B7580000}"/>
    <cellStyle name="Normal 2 2 2 11" xfId="22709" xr:uid="{00000000-0005-0000-0000-0000B8580000}"/>
    <cellStyle name="Normal 2 2 2 11 2" xfId="22710" xr:uid="{00000000-0005-0000-0000-0000B9580000}"/>
    <cellStyle name="Normal 2 2 2 12" xfId="22711" xr:uid="{00000000-0005-0000-0000-0000BA580000}"/>
    <cellStyle name="Normal 2 2 2 12 2" xfId="22712" xr:uid="{00000000-0005-0000-0000-0000BB580000}"/>
    <cellStyle name="Normal 2 2 2 13" xfId="22713" xr:uid="{00000000-0005-0000-0000-0000BC580000}"/>
    <cellStyle name="Normal 2 2 2 13 2" xfId="22714" xr:uid="{00000000-0005-0000-0000-0000BD580000}"/>
    <cellStyle name="Normal 2 2 2 14" xfId="22715" xr:uid="{00000000-0005-0000-0000-0000BE580000}"/>
    <cellStyle name="Normal 2 2 2 14 2" xfId="22716" xr:uid="{00000000-0005-0000-0000-0000BF580000}"/>
    <cellStyle name="Normal 2 2 2 15" xfId="22717" xr:uid="{00000000-0005-0000-0000-0000C0580000}"/>
    <cellStyle name="Normal 2 2 2 15 2" xfId="22718" xr:uid="{00000000-0005-0000-0000-0000C1580000}"/>
    <cellStyle name="Normal 2 2 2 16" xfId="22719" xr:uid="{00000000-0005-0000-0000-0000C2580000}"/>
    <cellStyle name="Normal 2 2 2 16 2" xfId="22720" xr:uid="{00000000-0005-0000-0000-0000C3580000}"/>
    <cellStyle name="Normal 2 2 2 17" xfId="22721" xr:uid="{00000000-0005-0000-0000-0000C4580000}"/>
    <cellStyle name="Normal 2 2 2 17 2" xfId="22722" xr:uid="{00000000-0005-0000-0000-0000C5580000}"/>
    <cellStyle name="Normal 2 2 2 18" xfId="22723" xr:uid="{00000000-0005-0000-0000-0000C6580000}"/>
    <cellStyle name="Normal 2 2 2 18 2" xfId="22724" xr:uid="{00000000-0005-0000-0000-0000C7580000}"/>
    <cellStyle name="Normal 2 2 2 19" xfId="22725" xr:uid="{00000000-0005-0000-0000-0000C8580000}"/>
    <cellStyle name="Normal 2 2 2 19 2" xfId="22726" xr:uid="{00000000-0005-0000-0000-0000C9580000}"/>
    <cellStyle name="Normal 2 2 2 2" xfId="22727" xr:uid="{00000000-0005-0000-0000-0000CA580000}"/>
    <cellStyle name="Normal 2 2 2 2 10" xfId="22728" xr:uid="{00000000-0005-0000-0000-0000CB580000}"/>
    <cellStyle name="Normal 2 2 2 2 10 2" xfId="22729" xr:uid="{00000000-0005-0000-0000-0000CC580000}"/>
    <cellStyle name="Normal 2 2 2 2 11" xfId="22730" xr:uid="{00000000-0005-0000-0000-0000CD580000}"/>
    <cellStyle name="Normal 2 2 2 2 11 2" xfId="22731" xr:uid="{00000000-0005-0000-0000-0000CE580000}"/>
    <cellStyle name="Normal 2 2 2 2 12" xfId="22732" xr:uid="{00000000-0005-0000-0000-0000CF580000}"/>
    <cellStyle name="Normal 2 2 2 2 12 2" xfId="22733" xr:uid="{00000000-0005-0000-0000-0000D0580000}"/>
    <cellStyle name="Normal 2 2 2 2 13" xfId="22734" xr:uid="{00000000-0005-0000-0000-0000D1580000}"/>
    <cellStyle name="Normal 2 2 2 2 13 2" xfId="22735" xr:uid="{00000000-0005-0000-0000-0000D2580000}"/>
    <cellStyle name="Normal 2 2 2 2 14" xfId="22736" xr:uid="{00000000-0005-0000-0000-0000D3580000}"/>
    <cellStyle name="Normal 2 2 2 2 14 2" xfId="22737" xr:uid="{00000000-0005-0000-0000-0000D4580000}"/>
    <cellStyle name="Normal 2 2 2 2 15" xfId="22738" xr:uid="{00000000-0005-0000-0000-0000D5580000}"/>
    <cellStyle name="Normal 2 2 2 2 15 2" xfId="22739" xr:uid="{00000000-0005-0000-0000-0000D6580000}"/>
    <cellStyle name="Normal 2 2 2 2 16" xfId="22740" xr:uid="{00000000-0005-0000-0000-0000D7580000}"/>
    <cellStyle name="Normal 2 2 2 2 16 2" xfId="22741" xr:uid="{00000000-0005-0000-0000-0000D8580000}"/>
    <cellStyle name="Normal 2 2 2 2 17" xfId="22742" xr:uid="{00000000-0005-0000-0000-0000D9580000}"/>
    <cellStyle name="Normal 2 2 2 2 17 2" xfId="22743" xr:uid="{00000000-0005-0000-0000-0000DA580000}"/>
    <cellStyle name="Normal 2 2 2 2 18" xfId="22744" xr:uid="{00000000-0005-0000-0000-0000DB580000}"/>
    <cellStyle name="Normal 2 2 2 2 18 2" xfId="22745" xr:uid="{00000000-0005-0000-0000-0000DC580000}"/>
    <cellStyle name="Normal 2 2 2 2 19" xfId="22746" xr:uid="{00000000-0005-0000-0000-0000DD580000}"/>
    <cellStyle name="Normal 2 2 2 2 19 2" xfId="22747" xr:uid="{00000000-0005-0000-0000-0000DE580000}"/>
    <cellStyle name="Normal 2 2 2 2 2" xfId="22748" xr:uid="{00000000-0005-0000-0000-0000DF580000}"/>
    <cellStyle name="Normal 2 2 2 2 2 2" xfId="22749" xr:uid="{00000000-0005-0000-0000-0000E0580000}"/>
    <cellStyle name="Normal 2 2 2 2 2 2 2" xfId="22750" xr:uid="{00000000-0005-0000-0000-0000E1580000}"/>
    <cellStyle name="Normal 2 2 2 2 2 3" xfId="22751" xr:uid="{00000000-0005-0000-0000-0000E2580000}"/>
    <cellStyle name="Normal 2 2 2 2 20" xfId="22752" xr:uid="{00000000-0005-0000-0000-0000E3580000}"/>
    <cellStyle name="Normal 2 2 2 2 3" xfId="22753" xr:uid="{00000000-0005-0000-0000-0000E4580000}"/>
    <cellStyle name="Normal 2 2 2 2 3 2" xfId="22754" xr:uid="{00000000-0005-0000-0000-0000E5580000}"/>
    <cellStyle name="Normal 2 2 2 2 4" xfId="22755" xr:uid="{00000000-0005-0000-0000-0000E6580000}"/>
    <cellStyle name="Normal 2 2 2 2 4 2" xfId="22756" xr:uid="{00000000-0005-0000-0000-0000E7580000}"/>
    <cellStyle name="Normal 2 2 2 2 5" xfId="22757" xr:uid="{00000000-0005-0000-0000-0000E8580000}"/>
    <cellStyle name="Normal 2 2 2 2 5 2" xfId="22758" xr:uid="{00000000-0005-0000-0000-0000E9580000}"/>
    <cellStyle name="Normal 2 2 2 2 6" xfId="22759" xr:uid="{00000000-0005-0000-0000-0000EA580000}"/>
    <cellStyle name="Normal 2 2 2 2 6 2" xfId="22760" xr:uid="{00000000-0005-0000-0000-0000EB580000}"/>
    <cellStyle name="Normal 2 2 2 2 7" xfId="22761" xr:uid="{00000000-0005-0000-0000-0000EC580000}"/>
    <cellStyle name="Normal 2 2 2 2 7 2" xfId="22762" xr:uid="{00000000-0005-0000-0000-0000ED580000}"/>
    <cellStyle name="Normal 2 2 2 2 8" xfId="22763" xr:uid="{00000000-0005-0000-0000-0000EE580000}"/>
    <cellStyle name="Normal 2 2 2 2 8 2" xfId="22764" xr:uid="{00000000-0005-0000-0000-0000EF580000}"/>
    <cellStyle name="Normal 2 2 2 2 9" xfId="22765" xr:uid="{00000000-0005-0000-0000-0000F0580000}"/>
    <cellStyle name="Normal 2 2 2 2 9 2" xfId="22766" xr:uid="{00000000-0005-0000-0000-0000F1580000}"/>
    <cellStyle name="Normal 2 2 2 20" xfId="22767" xr:uid="{00000000-0005-0000-0000-0000F2580000}"/>
    <cellStyle name="Normal 2 2 2 21" xfId="22768" xr:uid="{00000000-0005-0000-0000-0000F3580000}"/>
    <cellStyle name="Normal 2 2 2 22" xfId="22769" xr:uid="{00000000-0005-0000-0000-0000F4580000}"/>
    <cellStyle name="Normal 2 2 2 23" xfId="22770" xr:uid="{00000000-0005-0000-0000-0000F5580000}"/>
    <cellStyle name="Normal 2 2 2 24" xfId="22771" xr:uid="{00000000-0005-0000-0000-0000F6580000}"/>
    <cellStyle name="Normal 2 2 2 24 2" xfId="22772" xr:uid="{00000000-0005-0000-0000-0000F7580000}"/>
    <cellStyle name="Normal 2 2 2 25" xfId="22773" xr:uid="{00000000-0005-0000-0000-0000F8580000}"/>
    <cellStyle name="Normal 2 2 2 26" xfId="22774" xr:uid="{00000000-0005-0000-0000-0000F9580000}"/>
    <cellStyle name="Normal 2 2 2 27" xfId="22775" xr:uid="{00000000-0005-0000-0000-0000FA580000}"/>
    <cellStyle name="Normal 2 2 2 28" xfId="22776" xr:uid="{00000000-0005-0000-0000-0000FB580000}"/>
    <cellStyle name="Normal 2 2 2 29" xfId="22777" xr:uid="{00000000-0005-0000-0000-0000FC580000}"/>
    <cellStyle name="Normal 2 2 2 3" xfId="22778" xr:uid="{00000000-0005-0000-0000-0000FD580000}"/>
    <cellStyle name="Normal 2 2 2 3 2" xfId="22779" xr:uid="{00000000-0005-0000-0000-0000FE580000}"/>
    <cellStyle name="Normal 2 2 2 30" xfId="22780" xr:uid="{00000000-0005-0000-0000-0000FF580000}"/>
    <cellStyle name="Normal 2 2 2 31" xfId="22781" xr:uid="{00000000-0005-0000-0000-000000590000}"/>
    <cellStyle name="Normal 2 2 2 32" xfId="22782" xr:uid="{00000000-0005-0000-0000-000001590000}"/>
    <cellStyle name="Normal 2 2 2 33" xfId="22783" xr:uid="{00000000-0005-0000-0000-000002590000}"/>
    <cellStyle name="Normal 2 2 2 34" xfId="22784" xr:uid="{00000000-0005-0000-0000-000003590000}"/>
    <cellStyle name="Normal 2 2 2 35" xfId="22785" xr:uid="{00000000-0005-0000-0000-000004590000}"/>
    <cellStyle name="Normal 2 2 2 36" xfId="22786" xr:uid="{00000000-0005-0000-0000-000005590000}"/>
    <cellStyle name="Normal 2 2 2 37" xfId="22787" xr:uid="{00000000-0005-0000-0000-000006590000}"/>
    <cellStyle name="Normal 2 2 2 38" xfId="22788" xr:uid="{00000000-0005-0000-0000-000007590000}"/>
    <cellStyle name="Normal 2 2 2 39" xfId="22789" xr:uid="{00000000-0005-0000-0000-000008590000}"/>
    <cellStyle name="Normal 2 2 2 4" xfId="22790" xr:uid="{00000000-0005-0000-0000-000009590000}"/>
    <cellStyle name="Normal 2 2 2 4 2" xfId="22791" xr:uid="{00000000-0005-0000-0000-00000A590000}"/>
    <cellStyle name="Normal 2 2 2 40" xfId="22792" xr:uid="{00000000-0005-0000-0000-00000B590000}"/>
    <cellStyle name="Normal 2 2 2 41" xfId="22793" xr:uid="{00000000-0005-0000-0000-00000C590000}"/>
    <cellStyle name="Normal 2 2 2 42" xfId="22794" xr:uid="{00000000-0005-0000-0000-00000D590000}"/>
    <cellStyle name="Normal 2 2 2 43" xfId="22795" xr:uid="{00000000-0005-0000-0000-00000E590000}"/>
    <cellStyle name="Normal 2 2 2 44" xfId="22796" xr:uid="{00000000-0005-0000-0000-00000F590000}"/>
    <cellStyle name="Normal 2 2 2 45" xfId="22797" xr:uid="{00000000-0005-0000-0000-000010590000}"/>
    <cellStyle name="Normal 2 2 2 46" xfId="22798" xr:uid="{00000000-0005-0000-0000-000011590000}"/>
    <cellStyle name="Normal 2 2 2 47" xfId="22799" xr:uid="{00000000-0005-0000-0000-000012590000}"/>
    <cellStyle name="Normal 2 2 2 48" xfId="22800" xr:uid="{00000000-0005-0000-0000-000013590000}"/>
    <cellStyle name="Normal 2 2 2 49" xfId="22801" xr:uid="{00000000-0005-0000-0000-000014590000}"/>
    <cellStyle name="Normal 2 2 2 5" xfId="22802" xr:uid="{00000000-0005-0000-0000-000015590000}"/>
    <cellStyle name="Normal 2 2 2 5 2" xfId="22803" xr:uid="{00000000-0005-0000-0000-000016590000}"/>
    <cellStyle name="Normal 2 2 2 50" xfId="22804" xr:uid="{00000000-0005-0000-0000-000017590000}"/>
    <cellStyle name="Normal 2 2 2 51" xfId="22805" xr:uid="{00000000-0005-0000-0000-000018590000}"/>
    <cellStyle name="Normal 2 2 2 52" xfId="22806" xr:uid="{00000000-0005-0000-0000-000019590000}"/>
    <cellStyle name="Normal 2 2 2 53" xfId="22807" xr:uid="{00000000-0005-0000-0000-00001A590000}"/>
    <cellStyle name="Normal 2 2 2 54" xfId="22808" xr:uid="{00000000-0005-0000-0000-00001B590000}"/>
    <cellStyle name="Normal 2 2 2 55" xfId="22809" xr:uid="{00000000-0005-0000-0000-00001C590000}"/>
    <cellStyle name="Normal 2 2 2 56" xfId="22810" xr:uid="{00000000-0005-0000-0000-00001D590000}"/>
    <cellStyle name="Normal 2 2 2 57" xfId="22811" xr:uid="{00000000-0005-0000-0000-00001E590000}"/>
    <cellStyle name="Normal 2 2 2 58" xfId="22812" xr:uid="{00000000-0005-0000-0000-00001F590000}"/>
    <cellStyle name="Normal 2 2 2 59" xfId="22813" xr:uid="{00000000-0005-0000-0000-000020590000}"/>
    <cellStyle name="Normal 2 2 2 6" xfId="22814" xr:uid="{00000000-0005-0000-0000-000021590000}"/>
    <cellStyle name="Normal 2 2 2 6 2" xfId="22815" xr:uid="{00000000-0005-0000-0000-000022590000}"/>
    <cellStyle name="Normal 2 2 2 60" xfId="22816" xr:uid="{00000000-0005-0000-0000-000023590000}"/>
    <cellStyle name="Normal 2 2 2 61" xfId="22817" xr:uid="{00000000-0005-0000-0000-000024590000}"/>
    <cellStyle name="Normal 2 2 2 62" xfId="22818" xr:uid="{00000000-0005-0000-0000-000025590000}"/>
    <cellStyle name="Normal 2 2 2 63" xfId="22819" xr:uid="{00000000-0005-0000-0000-000026590000}"/>
    <cellStyle name="Normal 2 2 2 64" xfId="22820" xr:uid="{00000000-0005-0000-0000-000027590000}"/>
    <cellStyle name="Normal 2 2 2 65" xfId="22821" xr:uid="{00000000-0005-0000-0000-000028590000}"/>
    <cellStyle name="Normal 2 2 2 66" xfId="22822" xr:uid="{00000000-0005-0000-0000-000029590000}"/>
    <cellStyle name="Normal 2 2 2 67" xfId="22823" xr:uid="{00000000-0005-0000-0000-00002A590000}"/>
    <cellStyle name="Normal 2 2 2 68" xfId="22824" xr:uid="{00000000-0005-0000-0000-00002B590000}"/>
    <cellStyle name="Normal 2 2 2 69" xfId="22825" xr:uid="{00000000-0005-0000-0000-00002C590000}"/>
    <cellStyle name="Normal 2 2 2 7" xfId="22826" xr:uid="{00000000-0005-0000-0000-00002D590000}"/>
    <cellStyle name="Normal 2 2 2 7 2" xfId="22827" xr:uid="{00000000-0005-0000-0000-00002E590000}"/>
    <cellStyle name="Normal 2 2 2 70" xfId="22828" xr:uid="{00000000-0005-0000-0000-00002F590000}"/>
    <cellStyle name="Normal 2 2 2 71" xfId="22829" xr:uid="{00000000-0005-0000-0000-000030590000}"/>
    <cellStyle name="Normal 2 2 2 8" xfId="22830" xr:uid="{00000000-0005-0000-0000-000031590000}"/>
    <cellStyle name="Normal 2 2 2 8 2" xfId="22831" xr:uid="{00000000-0005-0000-0000-000032590000}"/>
    <cellStyle name="Normal 2 2 2 9" xfId="22832" xr:uid="{00000000-0005-0000-0000-000033590000}"/>
    <cellStyle name="Normal 2 2 2 9 2" xfId="22833" xr:uid="{00000000-0005-0000-0000-000034590000}"/>
    <cellStyle name="Normal 2 2 20" xfId="22834" xr:uid="{00000000-0005-0000-0000-000035590000}"/>
    <cellStyle name="Normal 2 2 20 2" xfId="22835" xr:uid="{00000000-0005-0000-0000-000036590000}"/>
    <cellStyle name="Normal 2 2 21" xfId="22836" xr:uid="{00000000-0005-0000-0000-000037590000}"/>
    <cellStyle name="Normal 2 2 21 2" xfId="22837" xr:uid="{00000000-0005-0000-0000-000038590000}"/>
    <cellStyle name="Normal 2 2 22" xfId="22838" xr:uid="{00000000-0005-0000-0000-000039590000}"/>
    <cellStyle name="Normal 2 2 22 2" xfId="22839" xr:uid="{00000000-0005-0000-0000-00003A590000}"/>
    <cellStyle name="Normal 2 2 23" xfId="22840" xr:uid="{00000000-0005-0000-0000-00003B590000}"/>
    <cellStyle name="Normal 2 2 23 2" xfId="22841" xr:uid="{00000000-0005-0000-0000-00003C590000}"/>
    <cellStyle name="Normal 2 2 24" xfId="22842" xr:uid="{00000000-0005-0000-0000-00003D590000}"/>
    <cellStyle name="Normal 2 2 24 2" xfId="22843" xr:uid="{00000000-0005-0000-0000-00003E590000}"/>
    <cellStyle name="Normal 2 2 25" xfId="22844" xr:uid="{00000000-0005-0000-0000-00003F590000}"/>
    <cellStyle name="Normal 2 2 25 2" xfId="22845" xr:uid="{00000000-0005-0000-0000-000040590000}"/>
    <cellStyle name="Normal 2 2 26" xfId="22846" xr:uid="{00000000-0005-0000-0000-000041590000}"/>
    <cellStyle name="Normal 2 2 26 2" xfId="22847" xr:uid="{00000000-0005-0000-0000-000042590000}"/>
    <cellStyle name="Normal 2 2 27" xfId="22848" xr:uid="{00000000-0005-0000-0000-000043590000}"/>
    <cellStyle name="Normal 2 2 27 2" xfId="22849" xr:uid="{00000000-0005-0000-0000-000044590000}"/>
    <cellStyle name="Normal 2 2 28" xfId="22850" xr:uid="{00000000-0005-0000-0000-000045590000}"/>
    <cellStyle name="Normal 2 2 28 2" xfId="22851" xr:uid="{00000000-0005-0000-0000-000046590000}"/>
    <cellStyle name="Normal 2 2 29" xfId="22852" xr:uid="{00000000-0005-0000-0000-000047590000}"/>
    <cellStyle name="Normal 2 2 29 2" xfId="22853" xr:uid="{00000000-0005-0000-0000-000048590000}"/>
    <cellStyle name="Normal 2 2 3" xfId="22854" xr:uid="{00000000-0005-0000-0000-000049590000}"/>
    <cellStyle name="Normal 2 2 3 2" xfId="22855" xr:uid="{00000000-0005-0000-0000-00004A590000}"/>
    <cellStyle name="Normal 2 2 30" xfId="22856" xr:uid="{00000000-0005-0000-0000-00004B590000}"/>
    <cellStyle name="Normal 2 2 30 2" xfId="22857" xr:uid="{00000000-0005-0000-0000-00004C590000}"/>
    <cellStyle name="Normal 2 2 31" xfId="22858" xr:uid="{00000000-0005-0000-0000-00004D590000}"/>
    <cellStyle name="Normal 2 2 31 2" xfId="22859" xr:uid="{00000000-0005-0000-0000-00004E590000}"/>
    <cellStyle name="Normal 2 2 32" xfId="22860" xr:uid="{00000000-0005-0000-0000-00004F590000}"/>
    <cellStyle name="Normal 2 2 32 2" xfId="22861" xr:uid="{00000000-0005-0000-0000-000050590000}"/>
    <cellStyle name="Normal 2 2 33" xfId="22862" xr:uid="{00000000-0005-0000-0000-000051590000}"/>
    <cellStyle name="Normal 2 2 33 2" xfId="22863" xr:uid="{00000000-0005-0000-0000-000052590000}"/>
    <cellStyle name="Normal 2 2 34" xfId="22864" xr:uid="{00000000-0005-0000-0000-000053590000}"/>
    <cellStyle name="Normal 2 2 34 2" xfId="22865" xr:uid="{00000000-0005-0000-0000-000054590000}"/>
    <cellStyle name="Normal 2 2 35" xfId="22866" xr:uid="{00000000-0005-0000-0000-000055590000}"/>
    <cellStyle name="Normal 2 2 35 2" xfId="22867" xr:uid="{00000000-0005-0000-0000-000056590000}"/>
    <cellStyle name="Normal 2 2 36" xfId="22868" xr:uid="{00000000-0005-0000-0000-000057590000}"/>
    <cellStyle name="Normal 2 2 36 2" xfId="22869" xr:uid="{00000000-0005-0000-0000-000058590000}"/>
    <cellStyle name="Normal 2 2 37" xfId="22870" xr:uid="{00000000-0005-0000-0000-000059590000}"/>
    <cellStyle name="Normal 2 2 37 2" xfId="22871" xr:uid="{00000000-0005-0000-0000-00005A590000}"/>
    <cellStyle name="Normal 2 2 38" xfId="22872" xr:uid="{00000000-0005-0000-0000-00005B590000}"/>
    <cellStyle name="Normal 2 2 38 2" xfId="22873" xr:uid="{00000000-0005-0000-0000-00005C590000}"/>
    <cellStyle name="Normal 2 2 39" xfId="22874" xr:uid="{00000000-0005-0000-0000-00005D590000}"/>
    <cellStyle name="Normal 2 2 39 2" xfId="22875" xr:uid="{00000000-0005-0000-0000-00005E590000}"/>
    <cellStyle name="Normal 2 2 4" xfId="22876" xr:uid="{00000000-0005-0000-0000-00005F590000}"/>
    <cellStyle name="Normal 2 2 4 2" xfId="22877" xr:uid="{00000000-0005-0000-0000-000060590000}"/>
    <cellStyle name="Normal 2 2 4 3" xfId="22878" xr:uid="{00000000-0005-0000-0000-000061590000}"/>
    <cellStyle name="Normal 2 2 4 4" xfId="22879" xr:uid="{00000000-0005-0000-0000-000062590000}"/>
    <cellStyle name="Normal 2 2 40" xfId="22880" xr:uid="{00000000-0005-0000-0000-000063590000}"/>
    <cellStyle name="Normal 2 2 40 2" xfId="22881" xr:uid="{00000000-0005-0000-0000-000064590000}"/>
    <cellStyle name="Normal 2 2 41" xfId="22882" xr:uid="{00000000-0005-0000-0000-000065590000}"/>
    <cellStyle name="Normal 2 2 41 2" xfId="22883" xr:uid="{00000000-0005-0000-0000-000066590000}"/>
    <cellStyle name="Normal 2 2 42" xfId="22884" xr:uid="{00000000-0005-0000-0000-000067590000}"/>
    <cellStyle name="Normal 2 2 42 2" xfId="22885" xr:uid="{00000000-0005-0000-0000-000068590000}"/>
    <cellStyle name="Normal 2 2 43" xfId="22886" xr:uid="{00000000-0005-0000-0000-000069590000}"/>
    <cellStyle name="Normal 2 2 43 2" xfId="22887" xr:uid="{00000000-0005-0000-0000-00006A590000}"/>
    <cellStyle name="Normal 2 2 44" xfId="22888" xr:uid="{00000000-0005-0000-0000-00006B590000}"/>
    <cellStyle name="Normal 2 2 44 2" xfId="22889" xr:uid="{00000000-0005-0000-0000-00006C590000}"/>
    <cellStyle name="Normal 2 2 45" xfId="22890" xr:uid="{00000000-0005-0000-0000-00006D590000}"/>
    <cellStyle name="Normal 2 2 45 2" xfId="22891" xr:uid="{00000000-0005-0000-0000-00006E590000}"/>
    <cellStyle name="Normal 2 2 46" xfId="22892" xr:uid="{00000000-0005-0000-0000-00006F590000}"/>
    <cellStyle name="Normal 2 2 46 2" xfId="22893" xr:uid="{00000000-0005-0000-0000-000070590000}"/>
    <cellStyle name="Normal 2 2 47" xfId="22894" xr:uid="{00000000-0005-0000-0000-000071590000}"/>
    <cellStyle name="Normal 2 2 47 2" xfId="22895" xr:uid="{00000000-0005-0000-0000-000072590000}"/>
    <cellStyle name="Normal 2 2 48" xfId="22896" xr:uid="{00000000-0005-0000-0000-000073590000}"/>
    <cellStyle name="Normal 2 2 48 2" xfId="22897" xr:uid="{00000000-0005-0000-0000-000074590000}"/>
    <cellStyle name="Normal 2 2 49" xfId="22898" xr:uid="{00000000-0005-0000-0000-000075590000}"/>
    <cellStyle name="Normal 2 2 49 2" xfId="22899" xr:uid="{00000000-0005-0000-0000-000076590000}"/>
    <cellStyle name="Normal 2 2 5" xfId="22900" xr:uid="{00000000-0005-0000-0000-000077590000}"/>
    <cellStyle name="Normal 2 2 5 2" xfId="22901" xr:uid="{00000000-0005-0000-0000-000078590000}"/>
    <cellStyle name="Normal 2 2 50" xfId="22902" xr:uid="{00000000-0005-0000-0000-000079590000}"/>
    <cellStyle name="Normal 2 2 50 2" xfId="22903" xr:uid="{00000000-0005-0000-0000-00007A590000}"/>
    <cellStyle name="Normal 2 2 51" xfId="22904" xr:uid="{00000000-0005-0000-0000-00007B590000}"/>
    <cellStyle name="Normal 2 2 51 2" xfId="22905" xr:uid="{00000000-0005-0000-0000-00007C590000}"/>
    <cellStyle name="Normal 2 2 52" xfId="22906" xr:uid="{00000000-0005-0000-0000-00007D590000}"/>
    <cellStyle name="Normal 2 2 52 2" xfId="22907" xr:uid="{00000000-0005-0000-0000-00007E590000}"/>
    <cellStyle name="Normal 2 2 53" xfId="22908" xr:uid="{00000000-0005-0000-0000-00007F590000}"/>
    <cellStyle name="Normal 2 2 53 2" xfId="22909" xr:uid="{00000000-0005-0000-0000-000080590000}"/>
    <cellStyle name="Normal 2 2 54" xfId="22910" xr:uid="{00000000-0005-0000-0000-000081590000}"/>
    <cellStyle name="Normal 2 2 54 2" xfId="22911" xr:uid="{00000000-0005-0000-0000-000082590000}"/>
    <cellStyle name="Normal 2 2 55" xfId="22912" xr:uid="{00000000-0005-0000-0000-000083590000}"/>
    <cellStyle name="Normal 2 2 55 2" xfId="22913" xr:uid="{00000000-0005-0000-0000-000084590000}"/>
    <cellStyle name="Normal 2 2 56" xfId="22914" xr:uid="{00000000-0005-0000-0000-000085590000}"/>
    <cellStyle name="Normal 2 2 56 2" xfId="22915" xr:uid="{00000000-0005-0000-0000-000086590000}"/>
    <cellStyle name="Normal 2 2 57" xfId="22916" xr:uid="{00000000-0005-0000-0000-000087590000}"/>
    <cellStyle name="Normal 2 2 57 2" xfId="22917" xr:uid="{00000000-0005-0000-0000-000088590000}"/>
    <cellStyle name="Normal 2 2 58" xfId="22918" xr:uid="{00000000-0005-0000-0000-000089590000}"/>
    <cellStyle name="Normal 2 2 58 2" xfId="22919" xr:uid="{00000000-0005-0000-0000-00008A590000}"/>
    <cellStyle name="Normal 2 2 59" xfId="22920" xr:uid="{00000000-0005-0000-0000-00008B590000}"/>
    <cellStyle name="Normal 2 2 59 2" xfId="22921" xr:uid="{00000000-0005-0000-0000-00008C590000}"/>
    <cellStyle name="Normal 2 2 6" xfId="22922" xr:uid="{00000000-0005-0000-0000-00008D590000}"/>
    <cellStyle name="Normal 2 2 6 2" xfId="22923" xr:uid="{00000000-0005-0000-0000-00008E590000}"/>
    <cellStyle name="Normal 2 2 60" xfId="22924" xr:uid="{00000000-0005-0000-0000-00008F590000}"/>
    <cellStyle name="Normal 2 2 60 2" xfId="22925" xr:uid="{00000000-0005-0000-0000-000090590000}"/>
    <cellStyle name="Normal 2 2 61" xfId="22926" xr:uid="{00000000-0005-0000-0000-000091590000}"/>
    <cellStyle name="Normal 2 2 61 2" xfId="22927" xr:uid="{00000000-0005-0000-0000-000092590000}"/>
    <cellStyle name="Normal 2 2 62" xfId="22928" xr:uid="{00000000-0005-0000-0000-000093590000}"/>
    <cellStyle name="Normal 2 2 62 2" xfId="22929" xr:uid="{00000000-0005-0000-0000-000094590000}"/>
    <cellStyle name="Normal 2 2 63" xfId="22930" xr:uid="{00000000-0005-0000-0000-000095590000}"/>
    <cellStyle name="Normal 2 2 63 2" xfId="22931" xr:uid="{00000000-0005-0000-0000-000096590000}"/>
    <cellStyle name="Normal 2 2 64" xfId="22932" xr:uid="{00000000-0005-0000-0000-000097590000}"/>
    <cellStyle name="Normal 2 2 64 2" xfId="22933" xr:uid="{00000000-0005-0000-0000-000098590000}"/>
    <cellStyle name="Normal 2 2 65" xfId="22934" xr:uid="{00000000-0005-0000-0000-000099590000}"/>
    <cellStyle name="Normal 2 2 65 2" xfId="22935" xr:uid="{00000000-0005-0000-0000-00009A590000}"/>
    <cellStyle name="Normal 2 2 66" xfId="22936" xr:uid="{00000000-0005-0000-0000-00009B590000}"/>
    <cellStyle name="Normal 2 2 66 2" xfId="22937" xr:uid="{00000000-0005-0000-0000-00009C590000}"/>
    <cellStyle name="Normal 2 2 67" xfId="22938" xr:uid="{00000000-0005-0000-0000-00009D590000}"/>
    <cellStyle name="Normal 2 2 67 2" xfId="22939" xr:uid="{00000000-0005-0000-0000-00009E590000}"/>
    <cellStyle name="Normal 2 2 68" xfId="22940" xr:uid="{00000000-0005-0000-0000-00009F590000}"/>
    <cellStyle name="Normal 2 2 68 2" xfId="22941" xr:uid="{00000000-0005-0000-0000-0000A0590000}"/>
    <cellStyle name="Normal 2 2 69" xfId="22942" xr:uid="{00000000-0005-0000-0000-0000A1590000}"/>
    <cellStyle name="Normal 2 2 69 2" xfId="22943" xr:uid="{00000000-0005-0000-0000-0000A2590000}"/>
    <cellStyle name="Normal 2 2 7" xfId="22944" xr:uid="{00000000-0005-0000-0000-0000A3590000}"/>
    <cellStyle name="Normal 2 2 7 2" xfId="22945" xr:uid="{00000000-0005-0000-0000-0000A4590000}"/>
    <cellStyle name="Normal 2 2 70" xfId="22946" xr:uid="{00000000-0005-0000-0000-0000A5590000}"/>
    <cellStyle name="Normal 2 2 70 2" xfId="22947" xr:uid="{00000000-0005-0000-0000-0000A6590000}"/>
    <cellStyle name="Normal 2 2 71" xfId="22948" xr:uid="{00000000-0005-0000-0000-0000A7590000}"/>
    <cellStyle name="Normal 2 2 71 2" xfId="22949" xr:uid="{00000000-0005-0000-0000-0000A8590000}"/>
    <cellStyle name="Normal 2 2 72" xfId="22950" xr:uid="{00000000-0005-0000-0000-0000A9590000}"/>
    <cellStyle name="Normal 2 2 8" xfId="22951" xr:uid="{00000000-0005-0000-0000-0000AA590000}"/>
    <cellStyle name="Normal 2 2 8 2" xfId="22952" xr:uid="{00000000-0005-0000-0000-0000AB590000}"/>
    <cellStyle name="Normal 2 2 9" xfId="22953" xr:uid="{00000000-0005-0000-0000-0000AC590000}"/>
    <cellStyle name="Normal 2 2 9 2" xfId="22954" xr:uid="{00000000-0005-0000-0000-0000AD590000}"/>
    <cellStyle name="Normal 2 20" xfId="22955" xr:uid="{00000000-0005-0000-0000-0000AE590000}"/>
    <cellStyle name="Normal 2 20 2" xfId="22956" xr:uid="{00000000-0005-0000-0000-0000AF590000}"/>
    <cellStyle name="Normal 2 21" xfId="22957" xr:uid="{00000000-0005-0000-0000-0000B0590000}"/>
    <cellStyle name="Normal 2 21 2" xfId="22958" xr:uid="{00000000-0005-0000-0000-0000B1590000}"/>
    <cellStyle name="Normal 2 22" xfId="22959" xr:uid="{00000000-0005-0000-0000-0000B2590000}"/>
    <cellStyle name="Normal 2 22 2" xfId="22960" xr:uid="{00000000-0005-0000-0000-0000B3590000}"/>
    <cellStyle name="Normal 2 23" xfId="22961" xr:uid="{00000000-0005-0000-0000-0000B4590000}"/>
    <cellStyle name="Normal 2 23 2" xfId="22962" xr:uid="{00000000-0005-0000-0000-0000B5590000}"/>
    <cellStyle name="Normal 2 24" xfId="22963" xr:uid="{00000000-0005-0000-0000-0000B6590000}"/>
    <cellStyle name="Normal 2 24 2" xfId="22964" xr:uid="{00000000-0005-0000-0000-0000B7590000}"/>
    <cellStyle name="Normal 2 25" xfId="22965" xr:uid="{00000000-0005-0000-0000-0000B8590000}"/>
    <cellStyle name="Normal 2 25 2" xfId="22966" xr:uid="{00000000-0005-0000-0000-0000B9590000}"/>
    <cellStyle name="Normal 2 26" xfId="22967" xr:uid="{00000000-0005-0000-0000-0000BA590000}"/>
    <cellStyle name="Normal 2 26 2" xfId="22968" xr:uid="{00000000-0005-0000-0000-0000BB590000}"/>
    <cellStyle name="Normal 2 27" xfId="22969" xr:uid="{00000000-0005-0000-0000-0000BC590000}"/>
    <cellStyle name="Normal 2 27 2" xfId="22970" xr:uid="{00000000-0005-0000-0000-0000BD590000}"/>
    <cellStyle name="Normal 2 28" xfId="22971" xr:uid="{00000000-0005-0000-0000-0000BE590000}"/>
    <cellStyle name="Normal 2 28 2" xfId="22972" xr:uid="{00000000-0005-0000-0000-0000BF590000}"/>
    <cellStyle name="Normal 2 28 3" xfId="22973" xr:uid="{00000000-0005-0000-0000-0000C0590000}"/>
    <cellStyle name="Normal 2 29" xfId="22974" xr:uid="{00000000-0005-0000-0000-0000C1590000}"/>
    <cellStyle name="Normal 2 29 2" xfId="22975" xr:uid="{00000000-0005-0000-0000-0000C2590000}"/>
    <cellStyle name="Normal 2 3" xfId="22976" xr:uid="{00000000-0005-0000-0000-0000C3590000}"/>
    <cellStyle name="Normal 2 3 10" xfId="22977" xr:uid="{00000000-0005-0000-0000-0000C4590000}"/>
    <cellStyle name="Normal 2 3 10 2" xfId="22978" xr:uid="{00000000-0005-0000-0000-0000C5590000}"/>
    <cellStyle name="Normal 2 3 11" xfId="22979" xr:uid="{00000000-0005-0000-0000-0000C6590000}"/>
    <cellStyle name="Normal 2 3 11 2" xfId="22980" xr:uid="{00000000-0005-0000-0000-0000C7590000}"/>
    <cellStyle name="Normal 2 3 12" xfId="22981" xr:uid="{00000000-0005-0000-0000-0000C8590000}"/>
    <cellStyle name="Normal 2 3 12 2" xfId="22982" xr:uid="{00000000-0005-0000-0000-0000C9590000}"/>
    <cellStyle name="Normal 2 3 13" xfId="22983" xr:uid="{00000000-0005-0000-0000-0000CA590000}"/>
    <cellStyle name="Normal 2 3 13 2" xfId="22984" xr:uid="{00000000-0005-0000-0000-0000CB590000}"/>
    <cellStyle name="Normal 2 3 14" xfId="22985" xr:uid="{00000000-0005-0000-0000-0000CC590000}"/>
    <cellStyle name="Normal 2 3 14 2" xfId="22986" xr:uid="{00000000-0005-0000-0000-0000CD590000}"/>
    <cellStyle name="Normal 2 3 15" xfId="22987" xr:uid="{00000000-0005-0000-0000-0000CE590000}"/>
    <cellStyle name="Normal 2 3 15 2" xfId="22988" xr:uid="{00000000-0005-0000-0000-0000CF590000}"/>
    <cellStyle name="Normal 2 3 16" xfId="22989" xr:uid="{00000000-0005-0000-0000-0000D0590000}"/>
    <cellStyle name="Normal 2 3 16 2" xfId="22990" xr:uid="{00000000-0005-0000-0000-0000D1590000}"/>
    <cellStyle name="Normal 2 3 17" xfId="22991" xr:uid="{00000000-0005-0000-0000-0000D2590000}"/>
    <cellStyle name="Normal 2 3 17 2" xfId="22992" xr:uid="{00000000-0005-0000-0000-0000D3590000}"/>
    <cellStyle name="Normal 2 3 18" xfId="22993" xr:uid="{00000000-0005-0000-0000-0000D4590000}"/>
    <cellStyle name="Normal 2 3 18 2" xfId="22994" xr:uid="{00000000-0005-0000-0000-0000D5590000}"/>
    <cellStyle name="Normal 2 3 19" xfId="22995" xr:uid="{00000000-0005-0000-0000-0000D6590000}"/>
    <cellStyle name="Normal 2 3 19 2" xfId="22996" xr:uid="{00000000-0005-0000-0000-0000D7590000}"/>
    <cellStyle name="Normal 2 3 2" xfId="22997" xr:uid="{00000000-0005-0000-0000-0000D8590000}"/>
    <cellStyle name="Normal 2 3 2 2" xfId="22998" xr:uid="{00000000-0005-0000-0000-0000D9590000}"/>
    <cellStyle name="Normal 2 3 2 2 2" xfId="22999" xr:uid="{00000000-0005-0000-0000-0000DA590000}"/>
    <cellStyle name="Normal 2 3 2 2 2 2" xfId="23000" xr:uid="{00000000-0005-0000-0000-0000DB590000}"/>
    <cellStyle name="Normal 2 3 2 2 3" xfId="23001" xr:uid="{00000000-0005-0000-0000-0000DC590000}"/>
    <cellStyle name="Normal 2 3 2 3" xfId="23002" xr:uid="{00000000-0005-0000-0000-0000DD590000}"/>
    <cellStyle name="Normal 2 3 2 3 2" xfId="23003" xr:uid="{00000000-0005-0000-0000-0000DE590000}"/>
    <cellStyle name="Normal 2 3 2 4" xfId="23004" xr:uid="{00000000-0005-0000-0000-0000DF590000}"/>
    <cellStyle name="Normal 2 3 20" xfId="23005" xr:uid="{00000000-0005-0000-0000-0000E0590000}"/>
    <cellStyle name="Normal 2 3 20 2" xfId="23006" xr:uid="{00000000-0005-0000-0000-0000E1590000}"/>
    <cellStyle name="Normal 2 3 21" xfId="23007" xr:uid="{00000000-0005-0000-0000-0000E2590000}"/>
    <cellStyle name="Normal 2 3 21 2" xfId="23008" xr:uid="{00000000-0005-0000-0000-0000E3590000}"/>
    <cellStyle name="Normal 2 3 22" xfId="23009" xr:uid="{00000000-0005-0000-0000-0000E4590000}"/>
    <cellStyle name="Normal 2 3 22 2" xfId="23010" xr:uid="{00000000-0005-0000-0000-0000E5590000}"/>
    <cellStyle name="Normal 2 3 23" xfId="23011" xr:uid="{00000000-0005-0000-0000-0000E6590000}"/>
    <cellStyle name="Normal 2 3 23 2" xfId="23012" xr:uid="{00000000-0005-0000-0000-0000E7590000}"/>
    <cellStyle name="Normal 2 3 24" xfId="23013" xr:uid="{00000000-0005-0000-0000-0000E8590000}"/>
    <cellStyle name="Normal 2 3 24 2" xfId="23014" xr:uid="{00000000-0005-0000-0000-0000E9590000}"/>
    <cellStyle name="Normal 2 3 25" xfId="23015" xr:uid="{00000000-0005-0000-0000-0000EA590000}"/>
    <cellStyle name="Normal 2 3 25 2" xfId="23016" xr:uid="{00000000-0005-0000-0000-0000EB590000}"/>
    <cellStyle name="Normal 2 3 26" xfId="23017" xr:uid="{00000000-0005-0000-0000-0000EC590000}"/>
    <cellStyle name="Normal 2 3 26 2" xfId="23018" xr:uid="{00000000-0005-0000-0000-0000ED590000}"/>
    <cellStyle name="Normal 2 3 27" xfId="23019" xr:uid="{00000000-0005-0000-0000-0000EE590000}"/>
    <cellStyle name="Normal 2 3 27 2" xfId="23020" xr:uid="{00000000-0005-0000-0000-0000EF590000}"/>
    <cellStyle name="Normal 2 3 28" xfId="23021" xr:uid="{00000000-0005-0000-0000-0000F0590000}"/>
    <cellStyle name="Normal 2 3 28 2" xfId="23022" xr:uid="{00000000-0005-0000-0000-0000F1590000}"/>
    <cellStyle name="Normal 2 3 29" xfId="23023" xr:uid="{00000000-0005-0000-0000-0000F2590000}"/>
    <cellStyle name="Normal 2 3 29 2" xfId="23024" xr:uid="{00000000-0005-0000-0000-0000F3590000}"/>
    <cellStyle name="Normal 2 3 3" xfId="23025" xr:uid="{00000000-0005-0000-0000-0000F4590000}"/>
    <cellStyle name="Normal 2 3 3 2" xfId="23026" xr:uid="{00000000-0005-0000-0000-0000F5590000}"/>
    <cellStyle name="Normal 2 3 3 2 2" xfId="23027" xr:uid="{00000000-0005-0000-0000-0000F6590000}"/>
    <cellStyle name="Normal 2 3 3 3" xfId="23028" xr:uid="{00000000-0005-0000-0000-0000F7590000}"/>
    <cellStyle name="Normal 2 3 30" xfId="23029" xr:uid="{00000000-0005-0000-0000-0000F8590000}"/>
    <cellStyle name="Normal 2 3 30 2" xfId="23030" xr:uid="{00000000-0005-0000-0000-0000F9590000}"/>
    <cellStyle name="Normal 2 3 31" xfId="23031" xr:uid="{00000000-0005-0000-0000-0000FA590000}"/>
    <cellStyle name="Normal 2 3 31 2" xfId="23032" xr:uid="{00000000-0005-0000-0000-0000FB590000}"/>
    <cellStyle name="Normal 2 3 32" xfId="23033" xr:uid="{00000000-0005-0000-0000-0000FC590000}"/>
    <cellStyle name="Normal 2 3 32 2" xfId="23034" xr:uid="{00000000-0005-0000-0000-0000FD590000}"/>
    <cellStyle name="Normal 2 3 33" xfId="23035" xr:uid="{00000000-0005-0000-0000-0000FE590000}"/>
    <cellStyle name="Normal 2 3 33 2" xfId="23036" xr:uid="{00000000-0005-0000-0000-0000FF590000}"/>
    <cellStyle name="Normal 2 3 34" xfId="23037" xr:uid="{00000000-0005-0000-0000-0000005A0000}"/>
    <cellStyle name="Normal 2 3 34 2" xfId="23038" xr:uid="{00000000-0005-0000-0000-0000015A0000}"/>
    <cellStyle name="Normal 2 3 35" xfId="23039" xr:uid="{00000000-0005-0000-0000-0000025A0000}"/>
    <cellStyle name="Normal 2 3 35 2" xfId="23040" xr:uid="{00000000-0005-0000-0000-0000035A0000}"/>
    <cellStyle name="Normal 2 3 36" xfId="23041" xr:uid="{00000000-0005-0000-0000-0000045A0000}"/>
    <cellStyle name="Normal 2 3 36 2" xfId="23042" xr:uid="{00000000-0005-0000-0000-0000055A0000}"/>
    <cellStyle name="Normal 2 3 37" xfId="23043" xr:uid="{00000000-0005-0000-0000-0000065A0000}"/>
    <cellStyle name="Normal 2 3 37 2" xfId="23044" xr:uid="{00000000-0005-0000-0000-0000075A0000}"/>
    <cellStyle name="Normal 2 3 38" xfId="23045" xr:uid="{00000000-0005-0000-0000-0000085A0000}"/>
    <cellStyle name="Normal 2 3 38 2" xfId="23046" xr:uid="{00000000-0005-0000-0000-0000095A0000}"/>
    <cellStyle name="Normal 2 3 39" xfId="23047" xr:uid="{00000000-0005-0000-0000-00000A5A0000}"/>
    <cellStyle name="Normal 2 3 39 2" xfId="23048" xr:uid="{00000000-0005-0000-0000-00000B5A0000}"/>
    <cellStyle name="Normal 2 3 4" xfId="23049" xr:uid="{00000000-0005-0000-0000-00000C5A0000}"/>
    <cellStyle name="Normal 2 3 4 2" xfId="23050" xr:uid="{00000000-0005-0000-0000-00000D5A0000}"/>
    <cellStyle name="Normal 2 3 40" xfId="23051" xr:uid="{00000000-0005-0000-0000-00000E5A0000}"/>
    <cellStyle name="Normal 2 3 40 2" xfId="23052" xr:uid="{00000000-0005-0000-0000-00000F5A0000}"/>
    <cellStyle name="Normal 2 3 41" xfId="23053" xr:uid="{00000000-0005-0000-0000-0000105A0000}"/>
    <cellStyle name="Normal 2 3 41 2" xfId="23054" xr:uid="{00000000-0005-0000-0000-0000115A0000}"/>
    <cellStyle name="Normal 2 3 42" xfId="23055" xr:uid="{00000000-0005-0000-0000-0000125A0000}"/>
    <cellStyle name="Normal 2 3 42 2" xfId="23056" xr:uid="{00000000-0005-0000-0000-0000135A0000}"/>
    <cellStyle name="Normal 2 3 43" xfId="23057" xr:uid="{00000000-0005-0000-0000-0000145A0000}"/>
    <cellStyle name="Normal 2 3 43 2" xfId="23058" xr:uid="{00000000-0005-0000-0000-0000155A0000}"/>
    <cellStyle name="Normal 2 3 44" xfId="23059" xr:uid="{00000000-0005-0000-0000-0000165A0000}"/>
    <cellStyle name="Normal 2 3 44 2" xfId="23060" xr:uid="{00000000-0005-0000-0000-0000175A0000}"/>
    <cellStyle name="Normal 2 3 45" xfId="23061" xr:uid="{00000000-0005-0000-0000-0000185A0000}"/>
    <cellStyle name="Normal 2 3 45 2" xfId="23062" xr:uid="{00000000-0005-0000-0000-0000195A0000}"/>
    <cellStyle name="Normal 2 3 46" xfId="23063" xr:uid="{00000000-0005-0000-0000-00001A5A0000}"/>
    <cellStyle name="Normal 2 3 46 2" xfId="23064" xr:uid="{00000000-0005-0000-0000-00001B5A0000}"/>
    <cellStyle name="Normal 2 3 47" xfId="23065" xr:uid="{00000000-0005-0000-0000-00001C5A0000}"/>
    <cellStyle name="Normal 2 3 47 2" xfId="23066" xr:uid="{00000000-0005-0000-0000-00001D5A0000}"/>
    <cellStyle name="Normal 2 3 48" xfId="23067" xr:uid="{00000000-0005-0000-0000-00001E5A0000}"/>
    <cellStyle name="Normal 2 3 48 2" xfId="23068" xr:uid="{00000000-0005-0000-0000-00001F5A0000}"/>
    <cellStyle name="Normal 2 3 49" xfId="23069" xr:uid="{00000000-0005-0000-0000-0000205A0000}"/>
    <cellStyle name="Normal 2 3 49 2" xfId="23070" xr:uid="{00000000-0005-0000-0000-0000215A0000}"/>
    <cellStyle name="Normal 2 3 5" xfId="23071" xr:uid="{00000000-0005-0000-0000-0000225A0000}"/>
    <cellStyle name="Normal 2 3 5 2" xfId="23072" xr:uid="{00000000-0005-0000-0000-0000235A0000}"/>
    <cellStyle name="Normal 2 3 50" xfId="23073" xr:uid="{00000000-0005-0000-0000-0000245A0000}"/>
    <cellStyle name="Normal 2 3 50 2" xfId="23074" xr:uid="{00000000-0005-0000-0000-0000255A0000}"/>
    <cellStyle name="Normal 2 3 51" xfId="23075" xr:uid="{00000000-0005-0000-0000-0000265A0000}"/>
    <cellStyle name="Normal 2 3 51 2" xfId="23076" xr:uid="{00000000-0005-0000-0000-0000275A0000}"/>
    <cellStyle name="Normal 2 3 52" xfId="23077" xr:uid="{00000000-0005-0000-0000-0000285A0000}"/>
    <cellStyle name="Normal 2 3 52 2" xfId="23078" xr:uid="{00000000-0005-0000-0000-0000295A0000}"/>
    <cellStyle name="Normal 2 3 53" xfId="23079" xr:uid="{00000000-0005-0000-0000-00002A5A0000}"/>
    <cellStyle name="Normal 2 3 53 2" xfId="23080" xr:uid="{00000000-0005-0000-0000-00002B5A0000}"/>
    <cellStyle name="Normal 2 3 54" xfId="23081" xr:uid="{00000000-0005-0000-0000-00002C5A0000}"/>
    <cellStyle name="Normal 2 3 54 2" xfId="23082" xr:uid="{00000000-0005-0000-0000-00002D5A0000}"/>
    <cellStyle name="Normal 2 3 55" xfId="23083" xr:uid="{00000000-0005-0000-0000-00002E5A0000}"/>
    <cellStyle name="Normal 2 3 55 2" xfId="23084" xr:uid="{00000000-0005-0000-0000-00002F5A0000}"/>
    <cellStyle name="Normal 2 3 56" xfId="23085" xr:uid="{00000000-0005-0000-0000-0000305A0000}"/>
    <cellStyle name="Normal 2 3 56 2" xfId="23086" xr:uid="{00000000-0005-0000-0000-0000315A0000}"/>
    <cellStyle name="Normal 2 3 57" xfId="23087" xr:uid="{00000000-0005-0000-0000-0000325A0000}"/>
    <cellStyle name="Normal 2 3 57 2" xfId="23088" xr:uid="{00000000-0005-0000-0000-0000335A0000}"/>
    <cellStyle name="Normal 2 3 58" xfId="23089" xr:uid="{00000000-0005-0000-0000-0000345A0000}"/>
    <cellStyle name="Normal 2 3 58 2" xfId="23090" xr:uid="{00000000-0005-0000-0000-0000355A0000}"/>
    <cellStyle name="Normal 2 3 59" xfId="23091" xr:uid="{00000000-0005-0000-0000-0000365A0000}"/>
    <cellStyle name="Normal 2 3 59 2" xfId="23092" xr:uid="{00000000-0005-0000-0000-0000375A0000}"/>
    <cellStyle name="Normal 2 3 6" xfId="23093" xr:uid="{00000000-0005-0000-0000-0000385A0000}"/>
    <cellStyle name="Normal 2 3 6 2" xfId="23094" xr:uid="{00000000-0005-0000-0000-0000395A0000}"/>
    <cellStyle name="Normal 2 3 60" xfId="23095" xr:uid="{00000000-0005-0000-0000-00003A5A0000}"/>
    <cellStyle name="Normal 2 3 60 2" xfId="23096" xr:uid="{00000000-0005-0000-0000-00003B5A0000}"/>
    <cellStyle name="Normal 2 3 61" xfId="23097" xr:uid="{00000000-0005-0000-0000-00003C5A0000}"/>
    <cellStyle name="Normal 2 3 61 2" xfId="23098" xr:uid="{00000000-0005-0000-0000-00003D5A0000}"/>
    <cellStyle name="Normal 2 3 62" xfId="23099" xr:uid="{00000000-0005-0000-0000-00003E5A0000}"/>
    <cellStyle name="Normal 2 3 62 2" xfId="23100" xr:uid="{00000000-0005-0000-0000-00003F5A0000}"/>
    <cellStyle name="Normal 2 3 63" xfId="23101" xr:uid="{00000000-0005-0000-0000-0000405A0000}"/>
    <cellStyle name="Normal 2 3 63 2" xfId="23102" xr:uid="{00000000-0005-0000-0000-0000415A0000}"/>
    <cellStyle name="Normal 2 3 64" xfId="23103" xr:uid="{00000000-0005-0000-0000-0000425A0000}"/>
    <cellStyle name="Normal 2 3 64 2" xfId="23104" xr:uid="{00000000-0005-0000-0000-0000435A0000}"/>
    <cellStyle name="Normal 2 3 65" xfId="23105" xr:uid="{00000000-0005-0000-0000-0000445A0000}"/>
    <cellStyle name="Normal 2 3 65 2" xfId="23106" xr:uid="{00000000-0005-0000-0000-0000455A0000}"/>
    <cellStyle name="Normal 2 3 66" xfId="23107" xr:uid="{00000000-0005-0000-0000-0000465A0000}"/>
    <cellStyle name="Normal 2 3 66 2" xfId="23108" xr:uid="{00000000-0005-0000-0000-0000475A0000}"/>
    <cellStyle name="Normal 2 3 67" xfId="23109" xr:uid="{00000000-0005-0000-0000-0000485A0000}"/>
    <cellStyle name="Normal 2 3 67 2" xfId="23110" xr:uid="{00000000-0005-0000-0000-0000495A0000}"/>
    <cellStyle name="Normal 2 3 68" xfId="23111" xr:uid="{00000000-0005-0000-0000-00004A5A0000}"/>
    <cellStyle name="Normal 2 3 68 2" xfId="23112" xr:uid="{00000000-0005-0000-0000-00004B5A0000}"/>
    <cellStyle name="Normal 2 3 69" xfId="23113" xr:uid="{00000000-0005-0000-0000-00004C5A0000}"/>
    <cellStyle name="Normal 2 3 69 2" xfId="23114" xr:uid="{00000000-0005-0000-0000-00004D5A0000}"/>
    <cellStyle name="Normal 2 3 7" xfId="23115" xr:uid="{00000000-0005-0000-0000-00004E5A0000}"/>
    <cellStyle name="Normal 2 3 7 2" xfId="23116" xr:uid="{00000000-0005-0000-0000-00004F5A0000}"/>
    <cellStyle name="Normal 2 3 70" xfId="23117" xr:uid="{00000000-0005-0000-0000-0000505A0000}"/>
    <cellStyle name="Normal 2 3 70 2" xfId="23118" xr:uid="{00000000-0005-0000-0000-0000515A0000}"/>
    <cellStyle name="Normal 2 3 71" xfId="23119" xr:uid="{00000000-0005-0000-0000-0000525A0000}"/>
    <cellStyle name="Normal 2 3 71 2" xfId="23120" xr:uid="{00000000-0005-0000-0000-0000535A0000}"/>
    <cellStyle name="Normal 2 3 8" xfId="23121" xr:uid="{00000000-0005-0000-0000-0000545A0000}"/>
    <cellStyle name="Normal 2 3 8 2" xfId="23122" xr:uid="{00000000-0005-0000-0000-0000555A0000}"/>
    <cellStyle name="Normal 2 3 9" xfId="23123" xr:uid="{00000000-0005-0000-0000-0000565A0000}"/>
    <cellStyle name="Normal 2 3 9 2" xfId="23124" xr:uid="{00000000-0005-0000-0000-0000575A0000}"/>
    <cellStyle name="Normal 2 30" xfId="23125" xr:uid="{00000000-0005-0000-0000-0000585A0000}"/>
    <cellStyle name="Normal 2 30 2" xfId="23126" xr:uid="{00000000-0005-0000-0000-0000595A0000}"/>
    <cellStyle name="Normal 2 31" xfId="23127" xr:uid="{00000000-0005-0000-0000-00005A5A0000}"/>
    <cellStyle name="Normal 2 31 2" xfId="23128" xr:uid="{00000000-0005-0000-0000-00005B5A0000}"/>
    <cellStyle name="Normal 2 32" xfId="23129" xr:uid="{00000000-0005-0000-0000-00005C5A0000}"/>
    <cellStyle name="Normal 2 32 2" xfId="23130" xr:uid="{00000000-0005-0000-0000-00005D5A0000}"/>
    <cellStyle name="Normal 2 33" xfId="23131" xr:uid="{00000000-0005-0000-0000-00005E5A0000}"/>
    <cellStyle name="Normal 2 34" xfId="23132" xr:uid="{00000000-0005-0000-0000-00005F5A0000}"/>
    <cellStyle name="Normal 2 35" xfId="23133" xr:uid="{00000000-0005-0000-0000-0000605A0000}"/>
    <cellStyle name="Normal 2 36" xfId="23134" xr:uid="{00000000-0005-0000-0000-0000615A0000}"/>
    <cellStyle name="Normal 2 37" xfId="23135" xr:uid="{00000000-0005-0000-0000-0000625A0000}"/>
    <cellStyle name="Normal 2 38" xfId="23136" xr:uid="{00000000-0005-0000-0000-0000635A0000}"/>
    <cellStyle name="Normal 2 39" xfId="23137" xr:uid="{00000000-0005-0000-0000-0000645A0000}"/>
    <cellStyle name="Normal 2 4" xfId="23138" xr:uid="{00000000-0005-0000-0000-0000655A0000}"/>
    <cellStyle name="Normal 2 4 2" xfId="23139" xr:uid="{00000000-0005-0000-0000-0000665A0000}"/>
    <cellStyle name="Normal 2 4 2 2" xfId="23140" xr:uid="{00000000-0005-0000-0000-0000675A0000}"/>
    <cellStyle name="Normal 2 4 3" xfId="23141" xr:uid="{00000000-0005-0000-0000-0000685A0000}"/>
    <cellStyle name="Normal 2 4 4" xfId="23142" xr:uid="{00000000-0005-0000-0000-0000695A0000}"/>
    <cellStyle name="Normal 2 4 5" xfId="23143" xr:uid="{00000000-0005-0000-0000-00006A5A0000}"/>
    <cellStyle name="Normal 2 4 6" xfId="23144" xr:uid="{00000000-0005-0000-0000-00006B5A0000}"/>
    <cellStyle name="Normal 2 4 7" xfId="23145" xr:uid="{00000000-0005-0000-0000-00006C5A0000}"/>
    <cellStyle name="Normal 2 4 8" xfId="23146" xr:uid="{00000000-0005-0000-0000-00006D5A0000}"/>
    <cellStyle name="Normal 2 4 9" xfId="23147" xr:uid="{00000000-0005-0000-0000-00006E5A0000}"/>
    <cellStyle name="Normal 2 40" xfId="23148" xr:uid="{00000000-0005-0000-0000-00006F5A0000}"/>
    <cellStyle name="Normal 2 41" xfId="23149" xr:uid="{00000000-0005-0000-0000-0000705A0000}"/>
    <cellStyle name="Normal 2 42" xfId="23150" xr:uid="{00000000-0005-0000-0000-0000715A0000}"/>
    <cellStyle name="Normal 2 43" xfId="23151" xr:uid="{00000000-0005-0000-0000-0000725A0000}"/>
    <cellStyle name="Normal 2 44" xfId="23152" xr:uid="{00000000-0005-0000-0000-0000735A0000}"/>
    <cellStyle name="Normal 2 45" xfId="23153" xr:uid="{00000000-0005-0000-0000-0000745A0000}"/>
    <cellStyle name="Normal 2 46" xfId="23154" xr:uid="{00000000-0005-0000-0000-0000755A0000}"/>
    <cellStyle name="Normal 2 47" xfId="23155" xr:uid="{00000000-0005-0000-0000-0000765A0000}"/>
    <cellStyle name="Normal 2 48" xfId="23156" xr:uid="{00000000-0005-0000-0000-0000775A0000}"/>
    <cellStyle name="Normal 2 49" xfId="23157" xr:uid="{00000000-0005-0000-0000-0000785A0000}"/>
    <cellStyle name="Normal 2 5" xfId="23158" xr:uid="{00000000-0005-0000-0000-0000795A0000}"/>
    <cellStyle name="Normal 2 5 2" xfId="23159" xr:uid="{00000000-0005-0000-0000-00007A5A0000}"/>
    <cellStyle name="Normal 2 5 2 2" xfId="23160" xr:uid="{00000000-0005-0000-0000-00007B5A0000}"/>
    <cellStyle name="Normal 2 5 2 2 2" xfId="23161" xr:uid="{00000000-0005-0000-0000-00007C5A0000}"/>
    <cellStyle name="Normal 2 5 2 2 2 2" xfId="23162" xr:uid="{00000000-0005-0000-0000-00007D5A0000}"/>
    <cellStyle name="Normal 2 5 2 2 3" xfId="23163" xr:uid="{00000000-0005-0000-0000-00007E5A0000}"/>
    <cellStyle name="Normal 2 5 2 3" xfId="23164" xr:uid="{00000000-0005-0000-0000-00007F5A0000}"/>
    <cellStyle name="Normal 2 5 2 3 2" xfId="23165" xr:uid="{00000000-0005-0000-0000-0000805A0000}"/>
    <cellStyle name="Normal 2 5 2 4" xfId="23166" xr:uid="{00000000-0005-0000-0000-0000815A0000}"/>
    <cellStyle name="Normal 2 5 3" xfId="23167" xr:uid="{00000000-0005-0000-0000-0000825A0000}"/>
    <cellStyle name="Normal 2 5 3 2" xfId="23168" xr:uid="{00000000-0005-0000-0000-0000835A0000}"/>
    <cellStyle name="Normal 2 5 3 2 2" xfId="23169" xr:uid="{00000000-0005-0000-0000-0000845A0000}"/>
    <cellStyle name="Normal 2 5 3 3" xfId="23170" xr:uid="{00000000-0005-0000-0000-0000855A0000}"/>
    <cellStyle name="Normal 2 5 4" xfId="23171" xr:uid="{00000000-0005-0000-0000-0000865A0000}"/>
    <cellStyle name="Normal 2 5 4 2" xfId="23172" xr:uid="{00000000-0005-0000-0000-0000875A0000}"/>
    <cellStyle name="Normal 2 5 5" xfId="23173" xr:uid="{00000000-0005-0000-0000-0000885A0000}"/>
    <cellStyle name="Normal 2 5 6" xfId="23174" xr:uid="{00000000-0005-0000-0000-0000895A0000}"/>
    <cellStyle name="Normal 2 5 7" xfId="23175" xr:uid="{00000000-0005-0000-0000-00008A5A0000}"/>
    <cellStyle name="Normal 2 5 8" xfId="23176" xr:uid="{00000000-0005-0000-0000-00008B5A0000}"/>
    <cellStyle name="Normal 2 5 9" xfId="23177" xr:uid="{00000000-0005-0000-0000-00008C5A0000}"/>
    <cellStyle name="Normal 2 50" xfId="23178" xr:uid="{00000000-0005-0000-0000-00008D5A0000}"/>
    <cellStyle name="Normal 2 51" xfId="23179" xr:uid="{00000000-0005-0000-0000-00008E5A0000}"/>
    <cellStyle name="Normal 2 52" xfId="23180" xr:uid="{00000000-0005-0000-0000-00008F5A0000}"/>
    <cellStyle name="Normal 2 53" xfId="23181" xr:uid="{00000000-0005-0000-0000-0000905A0000}"/>
    <cellStyle name="Normal 2 54" xfId="23182" xr:uid="{00000000-0005-0000-0000-0000915A0000}"/>
    <cellStyle name="Normal 2 55" xfId="23183" xr:uid="{00000000-0005-0000-0000-0000925A0000}"/>
    <cellStyle name="Normal 2 56" xfId="23184" xr:uid="{00000000-0005-0000-0000-0000935A0000}"/>
    <cellStyle name="Normal 2 57" xfId="23185" xr:uid="{00000000-0005-0000-0000-0000945A0000}"/>
    <cellStyle name="Normal 2 58" xfId="23186" xr:uid="{00000000-0005-0000-0000-0000955A0000}"/>
    <cellStyle name="Normal 2 59" xfId="23187" xr:uid="{00000000-0005-0000-0000-0000965A0000}"/>
    <cellStyle name="Normal 2 6" xfId="23188" xr:uid="{00000000-0005-0000-0000-0000975A0000}"/>
    <cellStyle name="Normal 2 6 2" xfId="23189" xr:uid="{00000000-0005-0000-0000-0000985A0000}"/>
    <cellStyle name="Normal 2 6 2 2" xfId="23190" xr:uid="{00000000-0005-0000-0000-0000995A0000}"/>
    <cellStyle name="Normal 2 6 2 2 2" xfId="23191" xr:uid="{00000000-0005-0000-0000-00009A5A0000}"/>
    <cellStyle name="Normal 2 6 2 3" xfId="23192" xr:uid="{00000000-0005-0000-0000-00009B5A0000}"/>
    <cellStyle name="Normal 2 6 3" xfId="23193" xr:uid="{00000000-0005-0000-0000-00009C5A0000}"/>
    <cellStyle name="Normal 2 6 3 2" xfId="23194" xr:uid="{00000000-0005-0000-0000-00009D5A0000}"/>
    <cellStyle name="Normal 2 6 4" xfId="23195" xr:uid="{00000000-0005-0000-0000-00009E5A0000}"/>
    <cellStyle name="Normal 2 6 5" xfId="23196" xr:uid="{00000000-0005-0000-0000-00009F5A0000}"/>
    <cellStyle name="Normal 2 6 6" xfId="23197" xr:uid="{00000000-0005-0000-0000-0000A05A0000}"/>
    <cellStyle name="Normal 2 6 7" xfId="23198" xr:uid="{00000000-0005-0000-0000-0000A15A0000}"/>
    <cellStyle name="Normal 2 6 8" xfId="23199" xr:uid="{00000000-0005-0000-0000-0000A25A0000}"/>
    <cellStyle name="Normal 2 6 9" xfId="23200" xr:uid="{00000000-0005-0000-0000-0000A35A0000}"/>
    <cellStyle name="Normal 2 60" xfId="23201" xr:uid="{00000000-0005-0000-0000-0000A45A0000}"/>
    <cellStyle name="Normal 2 61" xfId="23202" xr:uid="{00000000-0005-0000-0000-0000A55A0000}"/>
    <cellStyle name="Normal 2 62" xfId="23203" xr:uid="{00000000-0005-0000-0000-0000A65A0000}"/>
    <cellStyle name="Normal 2 63" xfId="23204" xr:uid="{00000000-0005-0000-0000-0000A75A0000}"/>
    <cellStyle name="Normal 2 64" xfId="23205" xr:uid="{00000000-0005-0000-0000-0000A85A0000}"/>
    <cellStyle name="Normal 2 65" xfId="23206" xr:uid="{00000000-0005-0000-0000-0000A95A0000}"/>
    <cellStyle name="Normal 2 66" xfId="23207" xr:uid="{00000000-0005-0000-0000-0000AA5A0000}"/>
    <cellStyle name="Normal 2 67" xfId="23208" xr:uid="{00000000-0005-0000-0000-0000AB5A0000}"/>
    <cellStyle name="Normal 2 68" xfId="23209" xr:uid="{00000000-0005-0000-0000-0000AC5A0000}"/>
    <cellStyle name="Normal 2 69" xfId="23210" xr:uid="{00000000-0005-0000-0000-0000AD5A0000}"/>
    <cellStyle name="Normal 2 7" xfId="23211" xr:uid="{00000000-0005-0000-0000-0000AE5A0000}"/>
    <cellStyle name="Normal 2 7 2" xfId="23212" xr:uid="{00000000-0005-0000-0000-0000AF5A0000}"/>
    <cellStyle name="Normal 2 7 2 2" xfId="23213" xr:uid="{00000000-0005-0000-0000-0000B05A0000}"/>
    <cellStyle name="Normal 2 7 3" xfId="23214" xr:uid="{00000000-0005-0000-0000-0000B15A0000}"/>
    <cellStyle name="Normal 2 7 3 2" xfId="23215" xr:uid="{00000000-0005-0000-0000-0000B25A0000}"/>
    <cellStyle name="Normal 2 7 4" xfId="23216" xr:uid="{00000000-0005-0000-0000-0000B35A0000}"/>
    <cellStyle name="Normal 2 7 5" xfId="23217" xr:uid="{00000000-0005-0000-0000-0000B45A0000}"/>
    <cellStyle name="Normal 2 7 6" xfId="23218" xr:uid="{00000000-0005-0000-0000-0000B55A0000}"/>
    <cellStyle name="Normal 2 7 7" xfId="23219" xr:uid="{00000000-0005-0000-0000-0000B65A0000}"/>
    <cellStyle name="Normal 2 7 8" xfId="23220" xr:uid="{00000000-0005-0000-0000-0000B75A0000}"/>
    <cellStyle name="Normal 2 7 9" xfId="23221" xr:uid="{00000000-0005-0000-0000-0000B85A0000}"/>
    <cellStyle name="Normal 2 70" xfId="23222" xr:uid="{00000000-0005-0000-0000-0000B95A0000}"/>
    <cellStyle name="Normal 2 71" xfId="23223" xr:uid="{00000000-0005-0000-0000-0000BA5A0000}"/>
    <cellStyle name="Normal 2 72" xfId="23224" xr:uid="{00000000-0005-0000-0000-0000BB5A0000}"/>
    <cellStyle name="Normal 2 73" xfId="23225" xr:uid="{00000000-0005-0000-0000-0000BC5A0000}"/>
    <cellStyle name="Normal 2 74" xfId="23226" xr:uid="{00000000-0005-0000-0000-0000BD5A0000}"/>
    <cellStyle name="Normal 2 75" xfId="23227" xr:uid="{00000000-0005-0000-0000-0000BE5A0000}"/>
    <cellStyle name="Normal 2 76" xfId="23228" xr:uid="{00000000-0005-0000-0000-0000BF5A0000}"/>
    <cellStyle name="Normal 2 77" xfId="23229" xr:uid="{00000000-0005-0000-0000-0000C05A0000}"/>
    <cellStyle name="Normal 2 78" xfId="23230" xr:uid="{00000000-0005-0000-0000-0000C15A0000}"/>
    <cellStyle name="Normal 2 79" xfId="23231" xr:uid="{00000000-0005-0000-0000-0000C25A0000}"/>
    <cellStyle name="Normal 2 79 2" xfId="23232" xr:uid="{00000000-0005-0000-0000-0000C35A0000}"/>
    <cellStyle name="Normal 2 8" xfId="23233" xr:uid="{00000000-0005-0000-0000-0000C45A0000}"/>
    <cellStyle name="Normal 2 8 2" xfId="23234" xr:uid="{00000000-0005-0000-0000-0000C55A0000}"/>
    <cellStyle name="Normal 2 8 2 2" xfId="23235" xr:uid="{00000000-0005-0000-0000-0000C65A0000}"/>
    <cellStyle name="Normal 2 8 3" xfId="23236" xr:uid="{00000000-0005-0000-0000-0000C75A0000}"/>
    <cellStyle name="Normal 2 80" xfId="23237" xr:uid="{00000000-0005-0000-0000-0000C85A0000}"/>
    <cellStyle name="Normal 2 81" xfId="23238" xr:uid="{00000000-0005-0000-0000-0000C95A0000}"/>
    <cellStyle name="Normal 2 9" xfId="23239" xr:uid="{00000000-0005-0000-0000-0000CA5A0000}"/>
    <cellStyle name="Normal 2 9 2" xfId="23240" xr:uid="{00000000-0005-0000-0000-0000CB5A0000}"/>
    <cellStyle name="Normal 2 9 2 2" xfId="23241" xr:uid="{00000000-0005-0000-0000-0000CC5A0000}"/>
    <cellStyle name="Normal 2_Batelco_Umniah Feasibility study questionnaire (Mobile) Rev 17 Nov" xfId="23242" xr:uid="{00000000-0005-0000-0000-0000CD5A0000}"/>
    <cellStyle name="Normal 20" xfId="23243" xr:uid="{00000000-0005-0000-0000-0000CE5A0000}"/>
    <cellStyle name="Normal 20 2" xfId="23244" xr:uid="{00000000-0005-0000-0000-0000CF5A0000}"/>
    <cellStyle name="Normal 20 2 2" xfId="23245" xr:uid="{00000000-0005-0000-0000-0000D05A0000}"/>
    <cellStyle name="Normal 20 2 2 2" xfId="23246" xr:uid="{00000000-0005-0000-0000-0000D15A0000}"/>
    <cellStyle name="Normal 20 2 3" xfId="23247" xr:uid="{00000000-0005-0000-0000-0000D25A0000}"/>
    <cellStyle name="Normal 20 2 3 2" xfId="23248" xr:uid="{00000000-0005-0000-0000-0000D35A0000}"/>
    <cellStyle name="Normal 20 2 4" xfId="23249" xr:uid="{00000000-0005-0000-0000-0000D45A0000}"/>
    <cellStyle name="Normal 20 3" xfId="23250" xr:uid="{00000000-0005-0000-0000-0000D55A0000}"/>
    <cellStyle name="Normal 20 3 2" xfId="23251" xr:uid="{00000000-0005-0000-0000-0000D65A0000}"/>
    <cellStyle name="Normal 20 4" xfId="23252" xr:uid="{00000000-0005-0000-0000-0000D75A0000}"/>
    <cellStyle name="Normal 20 4 2" xfId="23253" xr:uid="{00000000-0005-0000-0000-0000D85A0000}"/>
    <cellStyle name="Normal 20 5" xfId="23254" xr:uid="{00000000-0005-0000-0000-0000D95A0000}"/>
    <cellStyle name="Normal 200" xfId="23255" xr:uid="{00000000-0005-0000-0000-0000DA5A0000}"/>
    <cellStyle name="Normal 201" xfId="23256" xr:uid="{00000000-0005-0000-0000-0000DB5A0000}"/>
    <cellStyle name="Normal 202" xfId="23257" xr:uid="{00000000-0005-0000-0000-0000DC5A0000}"/>
    <cellStyle name="Normal 203" xfId="23258" xr:uid="{00000000-0005-0000-0000-0000DD5A0000}"/>
    <cellStyle name="Normal 204" xfId="23259" xr:uid="{00000000-0005-0000-0000-0000DE5A0000}"/>
    <cellStyle name="Normal 205" xfId="23260" xr:uid="{00000000-0005-0000-0000-0000DF5A0000}"/>
    <cellStyle name="Normal 205 2" xfId="23261" xr:uid="{00000000-0005-0000-0000-0000E05A0000}"/>
    <cellStyle name="Normal 205 2 2" xfId="23262" xr:uid="{00000000-0005-0000-0000-0000E15A0000}"/>
    <cellStyle name="Normal 205 2 2 2" xfId="23263" xr:uid="{00000000-0005-0000-0000-0000E25A0000}"/>
    <cellStyle name="Normal 205 2 3" xfId="23264" xr:uid="{00000000-0005-0000-0000-0000E35A0000}"/>
    <cellStyle name="Normal 205 3" xfId="23265" xr:uid="{00000000-0005-0000-0000-0000E45A0000}"/>
    <cellStyle name="Normal 206" xfId="23266" xr:uid="{00000000-0005-0000-0000-0000E55A0000}"/>
    <cellStyle name="Normal 207" xfId="23267" xr:uid="{00000000-0005-0000-0000-0000E65A0000}"/>
    <cellStyle name="Normal 208" xfId="23268" xr:uid="{00000000-0005-0000-0000-0000E75A0000}"/>
    <cellStyle name="Normal 209" xfId="23269" xr:uid="{00000000-0005-0000-0000-0000E85A0000}"/>
    <cellStyle name="Normal 21" xfId="23270" xr:uid="{00000000-0005-0000-0000-0000E95A0000}"/>
    <cellStyle name="Normal 21 2" xfId="23271" xr:uid="{00000000-0005-0000-0000-0000EA5A0000}"/>
    <cellStyle name="Normal 21 2 2" xfId="23272" xr:uid="{00000000-0005-0000-0000-0000EB5A0000}"/>
    <cellStyle name="Normal 21 3" xfId="23273" xr:uid="{00000000-0005-0000-0000-0000EC5A0000}"/>
    <cellStyle name="Normal 21 3 2" xfId="23274" xr:uid="{00000000-0005-0000-0000-0000ED5A0000}"/>
    <cellStyle name="Normal 21 4" xfId="23275" xr:uid="{00000000-0005-0000-0000-0000EE5A0000}"/>
    <cellStyle name="Normal 210" xfId="23276" xr:uid="{00000000-0005-0000-0000-0000EF5A0000}"/>
    <cellStyle name="Normal 211" xfId="23277" xr:uid="{00000000-0005-0000-0000-0000F05A0000}"/>
    <cellStyle name="Normal 212" xfId="23278" xr:uid="{00000000-0005-0000-0000-0000F15A0000}"/>
    <cellStyle name="Normal 213" xfId="23279" xr:uid="{00000000-0005-0000-0000-0000F25A0000}"/>
    <cellStyle name="Normal 214" xfId="23280" xr:uid="{00000000-0005-0000-0000-0000F35A0000}"/>
    <cellStyle name="Normal 215" xfId="23281" xr:uid="{00000000-0005-0000-0000-0000F45A0000}"/>
    <cellStyle name="Normal 216" xfId="23282" xr:uid="{00000000-0005-0000-0000-0000F55A0000}"/>
    <cellStyle name="Normal 217" xfId="23283" xr:uid="{00000000-0005-0000-0000-0000F65A0000}"/>
    <cellStyle name="Normal 218" xfId="23284" xr:uid="{00000000-0005-0000-0000-0000F75A0000}"/>
    <cellStyle name="Normal 219" xfId="23285" xr:uid="{00000000-0005-0000-0000-0000F85A0000}"/>
    <cellStyle name="Normal 22" xfId="23286" xr:uid="{00000000-0005-0000-0000-0000F95A0000}"/>
    <cellStyle name="Normal 22 2" xfId="23287" xr:uid="{00000000-0005-0000-0000-0000FA5A0000}"/>
    <cellStyle name="Normal 220" xfId="23288" xr:uid="{00000000-0005-0000-0000-0000FB5A0000}"/>
    <cellStyle name="Normal 221" xfId="23289" xr:uid="{00000000-0005-0000-0000-0000FC5A0000}"/>
    <cellStyle name="Normal 222" xfId="23290" xr:uid="{00000000-0005-0000-0000-0000FD5A0000}"/>
    <cellStyle name="Normal 223" xfId="23291" xr:uid="{00000000-0005-0000-0000-0000FE5A0000}"/>
    <cellStyle name="Normal 224" xfId="23292" xr:uid="{00000000-0005-0000-0000-0000FF5A0000}"/>
    <cellStyle name="Normal 225" xfId="23293" xr:uid="{00000000-0005-0000-0000-0000005B0000}"/>
    <cellStyle name="Normal 226" xfId="23294" xr:uid="{00000000-0005-0000-0000-0000015B0000}"/>
    <cellStyle name="Normal 227" xfId="23295" xr:uid="{00000000-0005-0000-0000-0000025B0000}"/>
    <cellStyle name="Normal 228" xfId="23296" xr:uid="{00000000-0005-0000-0000-0000035B0000}"/>
    <cellStyle name="Normal 229" xfId="23297" xr:uid="{00000000-0005-0000-0000-0000045B0000}"/>
    <cellStyle name="Normal 23" xfId="23298" xr:uid="{00000000-0005-0000-0000-0000055B0000}"/>
    <cellStyle name="Normal 23 2" xfId="23299" xr:uid="{00000000-0005-0000-0000-0000065B0000}"/>
    <cellStyle name="Normal 23 4 2" xfId="23300" xr:uid="{00000000-0005-0000-0000-0000075B0000}"/>
    <cellStyle name="Normal 23 4 2 2" xfId="23301" xr:uid="{00000000-0005-0000-0000-0000085B0000}"/>
    <cellStyle name="Normal 230" xfId="23302" xr:uid="{00000000-0005-0000-0000-0000095B0000}"/>
    <cellStyle name="Normal 231" xfId="23303" xr:uid="{00000000-0005-0000-0000-00000A5B0000}"/>
    <cellStyle name="Normal 232" xfId="23304" xr:uid="{00000000-0005-0000-0000-00000B5B0000}"/>
    <cellStyle name="Normal 233" xfId="23305" xr:uid="{00000000-0005-0000-0000-00000C5B0000}"/>
    <cellStyle name="Normal 234" xfId="23306" xr:uid="{00000000-0005-0000-0000-00000D5B0000}"/>
    <cellStyle name="Normal 235" xfId="23307" xr:uid="{00000000-0005-0000-0000-00000E5B0000}"/>
    <cellStyle name="Normal 236" xfId="23308" xr:uid="{00000000-0005-0000-0000-00000F5B0000}"/>
    <cellStyle name="Normal 237" xfId="23309" xr:uid="{00000000-0005-0000-0000-0000105B0000}"/>
    <cellStyle name="Normal 238" xfId="23310" xr:uid="{00000000-0005-0000-0000-0000115B0000}"/>
    <cellStyle name="Normal 239" xfId="23311" xr:uid="{00000000-0005-0000-0000-0000125B0000}"/>
    <cellStyle name="Normal 24" xfId="23312" xr:uid="{00000000-0005-0000-0000-0000135B0000}"/>
    <cellStyle name="Normal 24 2" xfId="23313" xr:uid="{00000000-0005-0000-0000-0000145B0000}"/>
    <cellStyle name="Normal 240" xfId="23314" xr:uid="{00000000-0005-0000-0000-0000155B0000}"/>
    <cellStyle name="Normal 241" xfId="23315" xr:uid="{00000000-0005-0000-0000-0000165B0000}"/>
    <cellStyle name="Normal 242" xfId="2" xr:uid="{00000000-0005-0000-0000-0000175B0000}"/>
    <cellStyle name="Normal 242 2" xfId="23316" xr:uid="{00000000-0005-0000-0000-0000185B0000}"/>
    <cellStyle name="Normal 243" xfId="23317" xr:uid="{00000000-0005-0000-0000-0000195B0000}"/>
    <cellStyle name="Normal 244" xfId="23318" xr:uid="{00000000-0005-0000-0000-00001A5B0000}"/>
    <cellStyle name="Normal 245" xfId="23319" xr:uid="{00000000-0005-0000-0000-00001B5B0000}"/>
    <cellStyle name="Normal 246" xfId="23320" xr:uid="{00000000-0005-0000-0000-00001C5B0000}"/>
    <cellStyle name="Normal 247" xfId="23321" xr:uid="{00000000-0005-0000-0000-00001D5B0000}"/>
    <cellStyle name="Normal 248" xfId="33832" xr:uid="{00000000-0005-0000-0000-00001E5B0000}"/>
    <cellStyle name="Normal 249" xfId="33833" xr:uid="{00000000-0005-0000-0000-00001F5B0000}"/>
    <cellStyle name="Normal 25" xfId="23322" xr:uid="{00000000-0005-0000-0000-0000205B0000}"/>
    <cellStyle name="Normal 25 2" xfId="23323" xr:uid="{00000000-0005-0000-0000-0000215B0000}"/>
    <cellStyle name="Normal 26" xfId="23324" xr:uid="{00000000-0005-0000-0000-0000225B0000}"/>
    <cellStyle name="Normal 26 2" xfId="23325" xr:uid="{00000000-0005-0000-0000-0000235B0000}"/>
    <cellStyle name="Normal 26 2 2" xfId="23326" xr:uid="{00000000-0005-0000-0000-0000245B0000}"/>
    <cellStyle name="Normal 26 2 3" xfId="23327" xr:uid="{00000000-0005-0000-0000-0000255B0000}"/>
    <cellStyle name="Normal 26 3" xfId="23328" xr:uid="{00000000-0005-0000-0000-0000265B0000}"/>
    <cellStyle name="Normal 26 4" xfId="23329" xr:uid="{00000000-0005-0000-0000-0000275B0000}"/>
    <cellStyle name="Normal 266" xfId="23330" xr:uid="{00000000-0005-0000-0000-0000285B0000}"/>
    <cellStyle name="Normal 27" xfId="23331" xr:uid="{00000000-0005-0000-0000-0000295B0000}"/>
    <cellStyle name="Normal 27 2" xfId="23332" xr:uid="{00000000-0005-0000-0000-00002A5B0000}"/>
    <cellStyle name="Normal 27 2 2" xfId="23333" xr:uid="{00000000-0005-0000-0000-00002B5B0000}"/>
    <cellStyle name="Normal 27 3" xfId="23334" xr:uid="{00000000-0005-0000-0000-00002C5B0000}"/>
    <cellStyle name="Normal 28" xfId="23335" xr:uid="{00000000-0005-0000-0000-00002D5B0000}"/>
    <cellStyle name="Normal 28 2" xfId="23336" xr:uid="{00000000-0005-0000-0000-00002E5B0000}"/>
    <cellStyle name="Normal 29" xfId="23337" xr:uid="{00000000-0005-0000-0000-00002F5B0000}"/>
    <cellStyle name="Normal 29 2" xfId="23338" xr:uid="{00000000-0005-0000-0000-0000305B0000}"/>
    <cellStyle name="Normal 29 2 2" xfId="23339" xr:uid="{00000000-0005-0000-0000-0000315B0000}"/>
    <cellStyle name="Normal 29 3" xfId="23340" xr:uid="{00000000-0005-0000-0000-0000325B0000}"/>
    <cellStyle name="Normal 3" xfId="23341" xr:uid="{00000000-0005-0000-0000-0000335B0000}"/>
    <cellStyle name="Normal 3 10" xfId="23342" xr:uid="{00000000-0005-0000-0000-0000345B0000}"/>
    <cellStyle name="Normal 3 10 2" xfId="23343" xr:uid="{00000000-0005-0000-0000-0000355B0000}"/>
    <cellStyle name="Normal 3 11" xfId="23344" xr:uid="{00000000-0005-0000-0000-0000365B0000}"/>
    <cellStyle name="Normal 3 11 2" xfId="23345" xr:uid="{00000000-0005-0000-0000-0000375B0000}"/>
    <cellStyle name="Normal 3 12" xfId="23346" xr:uid="{00000000-0005-0000-0000-0000385B0000}"/>
    <cellStyle name="Normal 3 12 2" xfId="23347" xr:uid="{00000000-0005-0000-0000-0000395B0000}"/>
    <cellStyle name="Normal 3 13" xfId="23348" xr:uid="{00000000-0005-0000-0000-00003A5B0000}"/>
    <cellStyle name="Normal 3 13 2" xfId="23349" xr:uid="{00000000-0005-0000-0000-00003B5B0000}"/>
    <cellStyle name="Normal 3 14" xfId="23350" xr:uid="{00000000-0005-0000-0000-00003C5B0000}"/>
    <cellStyle name="Normal 3 14 2" xfId="23351" xr:uid="{00000000-0005-0000-0000-00003D5B0000}"/>
    <cellStyle name="Normal 3 15" xfId="23352" xr:uid="{00000000-0005-0000-0000-00003E5B0000}"/>
    <cellStyle name="Normal 3 15 2" xfId="23353" xr:uid="{00000000-0005-0000-0000-00003F5B0000}"/>
    <cellStyle name="Normal 3 16" xfId="23354" xr:uid="{00000000-0005-0000-0000-0000405B0000}"/>
    <cellStyle name="Normal 3 16 2" xfId="23355" xr:uid="{00000000-0005-0000-0000-0000415B0000}"/>
    <cellStyle name="Normal 3 17" xfId="23356" xr:uid="{00000000-0005-0000-0000-0000425B0000}"/>
    <cellStyle name="Normal 3 17 2" xfId="23357" xr:uid="{00000000-0005-0000-0000-0000435B0000}"/>
    <cellStyle name="Normal 3 18" xfId="23358" xr:uid="{00000000-0005-0000-0000-0000445B0000}"/>
    <cellStyle name="Normal 3 18 2" xfId="23359" xr:uid="{00000000-0005-0000-0000-0000455B0000}"/>
    <cellStyle name="Normal 3 19" xfId="23360" xr:uid="{00000000-0005-0000-0000-0000465B0000}"/>
    <cellStyle name="Normal 3 19 2" xfId="23361" xr:uid="{00000000-0005-0000-0000-0000475B0000}"/>
    <cellStyle name="Normal 3 2" xfId="23362" xr:uid="{00000000-0005-0000-0000-0000485B0000}"/>
    <cellStyle name="Normal 3 2 10" xfId="23363" xr:uid="{00000000-0005-0000-0000-0000495B0000}"/>
    <cellStyle name="Normal 3 2 10 2" xfId="23364" xr:uid="{00000000-0005-0000-0000-00004A5B0000}"/>
    <cellStyle name="Normal 3 2 11" xfId="23365" xr:uid="{00000000-0005-0000-0000-00004B5B0000}"/>
    <cellStyle name="Normal 3 2 11 2" xfId="23366" xr:uid="{00000000-0005-0000-0000-00004C5B0000}"/>
    <cellStyle name="Normal 3 2 12" xfId="23367" xr:uid="{00000000-0005-0000-0000-00004D5B0000}"/>
    <cellStyle name="Normal 3 2 12 2" xfId="23368" xr:uid="{00000000-0005-0000-0000-00004E5B0000}"/>
    <cellStyle name="Normal 3 2 13" xfId="23369" xr:uid="{00000000-0005-0000-0000-00004F5B0000}"/>
    <cellStyle name="Normal 3 2 13 2" xfId="23370" xr:uid="{00000000-0005-0000-0000-0000505B0000}"/>
    <cellStyle name="Normal 3 2 14" xfId="23371" xr:uid="{00000000-0005-0000-0000-0000515B0000}"/>
    <cellStyle name="Normal 3 2 14 2" xfId="23372" xr:uid="{00000000-0005-0000-0000-0000525B0000}"/>
    <cellStyle name="Normal 3 2 15" xfId="23373" xr:uid="{00000000-0005-0000-0000-0000535B0000}"/>
    <cellStyle name="Normal 3 2 15 2" xfId="23374" xr:uid="{00000000-0005-0000-0000-0000545B0000}"/>
    <cellStyle name="Normal 3 2 16" xfId="23375" xr:uid="{00000000-0005-0000-0000-0000555B0000}"/>
    <cellStyle name="Normal 3 2 16 2" xfId="23376" xr:uid="{00000000-0005-0000-0000-0000565B0000}"/>
    <cellStyle name="Normal 3 2 17" xfId="23377" xr:uid="{00000000-0005-0000-0000-0000575B0000}"/>
    <cellStyle name="Normal 3 2 17 2" xfId="23378" xr:uid="{00000000-0005-0000-0000-0000585B0000}"/>
    <cellStyle name="Normal 3 2 18" xfId="23379" xr:uid="{00000000-0005-0000-0000-0000595B0000}"/>
    <cellStyle name="Normal 3 2 18 2" xfId="23380" xr:uid="{00000000-0005-0000-0000-00005A5B0000}"/>
    <cellStyle name="Normal 3 2 19" xfId="23381" xr:uid="{00000000-0005-0000-0000-00005B5B0000}"/>
    <cellStyle name="Normal 3 2 19 2" xfId="23382" xr:uid="{00000000-0005-0000-0000-00005C5B0000}"/>
    <cellStyle name="Normal 3 2 2" xfId="23383" xr:uid="{00000000-0005-0000-0000-00005D5B0000}"/>
    <cellStyle name="Normal 3 2 2 2" xfId="23384" xr:uid="{00000000-0005-0000-0000-00005E5B0000}"/>
    <cellStyle name="Normal 3 2 2 2 2" xfId="23385" xr:uid="{00000000-0005-0000-0000-00005F5B0000}"/>
    <cellStyle name="Normal 3 2 2 3" xfId="23386" xr:uid="{00000000-0005-0000-0000-0000605B0000}"/>
    <cellStyle name="Normal 3 2 20" xfId="23387" xr:uid="{00000000-0005-0000-0000-0000615B0000}"/>
    <cellStyle name="Normal 3 2 21" xfId="23388" xr:uid="{00000000-0005-0000-0000-0000625B0000}"/>
    <cellStyle name="Normal 3 2 22" xfId="23389" xr:uid="{00000000-0005-0000-0000-0000635B0000}"/>
    <cellStyle name="Normal 3 2 23" xfId="23390" xr:uid="{00000000-0005-0000-0000-0000645B0000}"/>
    <cellStyle name="Normal 3 2 24" xfId="23391" xr:uid="{00000000-0005-0000-0000-0000655B0000}"/>
    <cellStyle name="Normal 3 2 25" xfId="23392" xr:uid="{00000000-0005-0000-0000-0000665B0000}"/>
    <cellStyle name="Normal 3 2 26" xfId="23393" xr:uid="{00000000-0005-0000-0000-0000675B0000}"/>
    <cellStyle name="Normal 3 2 27" xfId="23394" xr:uid="{00000000-0005-0000-0000-0000685B0000}"/>
    <cellStyle name="Normal 3 2 28" xfId="23395" xr:uid="{00000000-0005-0000-0000-0000695B0000}"/>
    <cellStyle name="Normal 3 2 29" xfId="23396" xr:uid="{00000000-0005-0000-0000-00006A5B0000}"/>
    <cellStyle name="Normal 3 2 3" xfId="23397" xr:uid="{00000000-0005-0000-0000-00006B5B0000}"/>
    <cellStyle name="Normal 3 2 3 2" xfId="23398" xr:uid="{00000000-0005-0000-0000-00006C5B0000}"/>
    <cellStyle name="Normal 3 2 30" xfId="23399" xr:uid="{00000000-0005-0000-0000-00006D5B0000}"/>
    <cellStyle name="Normal 3 2 31" xfId="23400" xr:uid="{00000000-0005-0000-0000-00006E5B0000}"/>
    <cellStyle name="Normal 3 2 32" xfId="23401" xr:uid="{00000000-0005-0000-0000-00006F5B0000}"/>
    <cellStyle name="Normal 3 2 33" xfId="23402" xr:uid="{00000000-0005-0000-0000-0000705B0000}"/>
    <cellStyle name="Normal 3 2 34" xfId="23403" xr:uid="{00000000-0005-0000-0000-0000715B0000}"/>
    <cellStyle name="Normal 3 2 35" xfId="23404" xr:uid="{00000000-0005-0000-0000-0000725B0000}"/>
    <cellStyle name="Normal 3 2 36" xfId="23405" xr:uid="{00000000-0005-0000-0000-0000735B0000}"/>
    <cellStyle name="Normal 3 2 37" xfId="23406" xr:uid="{00000000-0005-0000-0000-0000745B0000}"/>
    <cellStyle name="Normal 3 2 38" xfId="23407" xr:uid="{00000000-0005-0000-0000-0000755B0000}"/>
    <cellStyle name="Normal 3 2 39" xfId="23408" xr:uid="{00000000-0005-0000-0000-0000765B0000}"/>
    <cellStyle name="Normal 3 2 4" xfId="23409" xr:uid="{00000000-0005-0000-0000-0000775B0000}"/>
    <cellStyle name="Normal 3 2 4 2" xfId="23410" xr:uid="{00000000-0005-0000-0000-0000785B0000}"/>
    <cellStyle name="Normal 3 2 40" xfId="23411" xr:uid="{00000000-0005-0000-0000-0000795B0000}"/>
    <cellStyle name="Normal 3 2 41" xfId="23412" xr:uid="{00000000-0005-0000-0000-00007A5B0000}"/>
    <cellStyle name="Normal 3 2 42" xfId="23413" xr:uid="{00000000-0005-0000-0000-00007B5B0000}"/>
    <cellStyle name="Normal 3 2 43" xfId="23414" xr:uid="{00000000-0005-0000-0000-00007C5B0000}"/>
    <cellStyle name="Normal 3 2 44" xfId="23415" xr:uid="{00000000-0005-0000-0000-00007D5B0000}"/>
    <cellStyle name="Normal 3 2 45" xfId="23416" xr:uid="{00000000-0005-0000-0000-00007E5B0000}"/>
    <cellStyle name="Normal 3 2 46" xfId="23417" xr:uid="{00000000-0005-0000-0000-00007F5B0000}"/>
    <cellStyle name="Normal 3 2 47" xfId="23418" xr:uid="{00000000-0005-0000-0000-0000805B0000}"/>
    <cellStyle name="Normal 3 2 48" xfId="23419" xr:uid="{00000000-0005-0000-0000-0000815B0000}"/>
    <cellStyle name="Normal 3 2 49" xfId="23420" xr:uid="{00000000-0005-0000-0000-0000825B0000}"/>
    <cellStyle name="Normal 3 2 5" xfId="23421" xr:uid="{00000000-0005-0000-0000-0000835B0000}"/>
    <cellStyle name="Normal 3 2 5 2" xfId="23422" xr:uid="{00000000-0005-0000-0000-0000845B0000}"/>
    <cellStyle name="Normal 3 2 50" xfId="23423" xr:uid="{00000000-0005-0000-0000-0000855B0000}"/>
    <cellStyle name="Normal 3 2 51" xfId="23424" xr:uid="{00000000-0005-0000-0000-0000865B0000}"/>
    <cellStyle name="Normal 3 2 52" xfId="23425" xr:uid="{00000000-0005-0000-0000-0000875B0000}"/>
    <cellStyle name="Normal 3 2 53" xfId="23426" xr:uid="{00000000-0005-0000-0000-0000885B0000}"/>
    <cellStyle name="Normal 3 2 54" xfId="23427" xr:uid="{00000000-0005-0000-0000-0000895B0000}"/>
    <cellStyle name="Normal 3 2 55" xfId="23428" xr:uid="{00000000-0005-0000-0000-00008A5B0000}"/>
    <cellStyle name="Normal 3 2 56" xfId="23429" xr:uid="{00000000-0005-0000-0000-00008B5B0000}"/>
    <cellStyle name="Normal 3 2 57" xfId="23430" xr:uid="{00000000-0005-0000-0000-00008C5B0000}"/>
    <cellStyle name="Normal 3 2 58" xfId="23431" xr:uid="{00000000-0005-0000-0000-00008D5B0000}"/>
    <cellStyle name="Normal 3 2 59" xfId="23432" xr:uid="{00000000-0005-0000-0000-00008E5B0000}"/>
    <cellStyle name="Normal 3 2 6" xfId="23433" xr:uid="{00000000-0005-0000-0000-00008F5B0000}"/>
    <cellStyle name="Normal 3 2 6 2" xfId="23434" xr:uid="{00000000-0005-0000-0000-0000905B0000}"/>
    <cellStyle name="Normal 3 2 60" xfId="23435" xr:uid="{00000000-0005-0000-0000-0000915B0000}"/>
    <cellStyle name="Normal 3 2 61" xfId="23436" xr:uid="{00000000-0005-0000-0000-0000925B0000}"/>
    <cellStyle name="Normal 3 2 62" xfId="23437" xr:uid="{00000000-0005-0000-0000-0000935B0000}"/>
    <cellStyle name="Normal 3 2 63" xfId="23438" xr:uid="{00000000-0005-0000-0000-0000945B0000}"/>
    <cellStyle name="Normal 3 2 64" xfId="23439" xr:uid="{00000000-0005-0000-0000-0000955B0000}"/>
    <cellStyle name="Normal 3 2 65" xfId="23440" xr:uid="{00000000-0005-0000-0000-0000965B0000}"/>
    <cellStyle name="Normal 3 2 66" xfId="23441" xr:uid="{00000000-0005-0000-0000-0000975B0000}"/>
    <cellStyle name="Normal 3 2 67" xfId="23442" xr:uid="{00000000-0005-0000-0000-0000985B0000}"/>
    <cellStyle name="Normal 3 2 68" xfId="23443" xr:uid="{00000000-0005-0000-0000-0000995B0000}"/>
    <cellStyle name="Normal 3 2 69" xfId="23444" xr:uid="{00000000-0005-0000-0000-00009A5B0000}"/>
    <cellStyle name="Normal 3 2 7" xfId="23445" xr:uid="{00000000-0005-0000-0000-00009B5B0000}"/>
    <cellStyle name="Normal 3 2 7 2" xfId="23446" xr:uid="{00000000-0005-0000-0000-00009C5B0000}"/>
    <cellStyle name="Normal 3 2 70" xfId="23447" xr:uid="{00000000-0005-0000-0000-00009D5B0000}"/>
    <cellStyle name="Normal 3 2 71" xfId="23448" xr:uid="{00000000-0005-0000-0000-00009E5B0000}"/>
    <cellStyle name="Normal 3 2 72" xfId="23449" xr:uid="{00000000-0005-0000-0000-00009F5B0000}"/>
    <cellStyle name="Normal 3 2 8" xfId="23450" xr:uid="{00000000-0005-0000-0000-0000A05B0000}"/>
    <cellStyle name="Normal 3 2 8 2" xfId="23451" xr:uid="{00000000-0005-0000-0000-0000A15B0000}"/>
    <cellStyle name="Normal 3 2 9" xfId="23452" xr:uid="{00000000-0005-0000-0000-0000A25B0000}"/>
    <cellStyle name="Normal 3 2 9 2" xfId="23453" xr:uid="{00000000-0005-0000-0000-0000A35B0000}"/>
    <cellStyle name="Normal 3 20" xfId="23454" xr:uid="{00000000-0005-0000-0000-0000A45B0000}"/>
    <cellStyle name="Normal 3 20 2" xfId="23455" xr:uid="{00000000-0005-0000-0000-0000A55B0000}"/>
    <cellStyle name="Normal 3 21" xfId="23456" xr:uid="{00000000-0005-0000-0000-0000A65B0000}"/>
    <cellStyle name="Normal 3 21 2" xfId="23457" xr:uid="{00000000-0005-0000-0000-0000A75B0000}"/>
    <cellStyle name="Normal 3 22" xfId="23458" xr:uid="{00000000-0005-0000-0000-0000A85B0000}"/>
    <cellStyle name="Normal 3 22 2" xfId="23459" xr:uid="{00000000-0005-0000-0000-0000A95B0000}"/>
    <cellStyle name="Normal 3 23" xfId="23460" xr:uid="{00000000-0005-0000-0000-0000AA5B0000}"/>
    <cellStyle name="Normal 3 23 2" xfId="23461" xr:uid="{00000000-0005-0000-0000-0000AB5B0000}"/>
    <cellStyle name="Normal 3 24" xfId="23462" xr:uid="{00000000-0005-0000-0000-0000AC5B0000}"/>
    <cellStyle name="Normal 3 24 2" xfId="23463" xr:uid="{00000000-0005-0000-0000-0000AD5B0000}"/>
    <cellStyle name="Normal 3 25" xfId="23464" xr:uid="{00000000-0005-0000-0000-0000AE5B0000}"/>
    <cellStyle name="Normal 3 25 2" xfId="23465" xr:uid="{00000000-0005-0000-0000-0000AF5B0000}"/>
    <cellStyle name="Normal 3 26" xfId="23466" xr:uid="{00000000-0005-0000-0000-0000B05B0000}"/>
    <cellStyle name="Normal 3 26 2" xfId="23467" xr:uid="{00000000-0005-0000-0000-0000B15B0000}"/>
    <cellStyle name="Normal 3 27" xfId="23468" xr:uid="{00000000-0005-0000-0000-0000B25B0000}"/>
    <cellStyle name="Normal 3 27 2" xfId="23469" xr:uid="{00000000-0005-0000-0000-0000B35B0000}"/>
    <cellStyle name="Normal 3 28" xfId="23470" xr:uid="{00000000-0005-0000-0000-0000B45B0000}"/>
    <cellStyle name="Normal 3 28 2" xfId="23471" xr:uid="{00000000-0005-0000-0000-0000B55B0000}"/>
    <cellStyle name="Normal 3 29" xfId="23472" xr:uid="{00000000-0005-0000-0000-0000B65B0000}"/>
    <cellStyle name="Normal 3 29 2" xfId="23473" xr:uid="{00000000-0005-0000-0000-0000B75B0000}"/>
    <cellStyle name="Normal 3 3" xfId="23474" xr:uid="{00000000-0005-0000-0000-0000B85B0000}"/>
    <cellStyle name="Normal 3 3 2" xfId="23475" xr:uid="{00000000-0005-0000-0000-0000B95B0000}"/>
    <cellStyle name="Normal 3 3 2 2" xfId="23476" xr:uid="{00000000-0005-0000-0000-0000BA5B0000}"/>
    <cellStyle name="Normal 3 3 2 2 2" xfId="23477" xr:uid="{00000000-0005-0000-0000-0000BB5B0000}"/>
    <cellStyle name="Normal 3 3 2 3" xfId="23478" xr:uid="{00000000-0005-0000-0000-0000BC5B0000}"/>
    <cellStyle name="Normal 3 3 3" xfId="23479" xr:uid="{00000000-0005-0000-0000-0000BD5B0000}"/>
    <cellStyle name="Normal 3 3 3 2" xfId="23480" xr:uid="{00000000-0005-0000-0000-0000BE5B0000}"/>
    <cellStyle name="Normal 3 3 4" xfId="23481" xr:uid="{00000000-0005-0000-0000-0000BF5B0000}"/>
    <cellStyle name="Normal 3 3 4 2" xfId="23482" xr:uid="{00000000-0005-0000-0000-0000C05B0000}"/>
    <cellStyle name="Normal 3 3 5" xfId="23483" xr:uid="{00000000-0005-0000-0000-0000C15B0000}"/>
    <cellStyle name="Normal 3 30" xfId="23484" xr:uid="{00000000-0005-0000-0000-0000C25B0000}"/>
    <cellStyle name="Normal 3 30 2" xfId="23485" xr:uid="{00000000-0005-0000-0000-0000C35B0000}"/>
    <cellStyle name="Normal 3 31" xfId="23486" xr:uid="{00000000-0005-0000-0000-0000C45B0000}"/>
    <cellStyle name="Normal 3 31 2" xfId="23487" xr:uid="{00000000-0005-0000-0000-0000C55B0000}"/>
    <cellStyle name="Normal 3 32" xfId="23488" xr:uid="{00000000-0005-0000-0000-0000C65B0000}"/>
    <cellStyle name="Normal 3 32 2" xfId="23489" xr:uid="{00000000-0005-0000-0000-0000C75B0000}"/>
    <cellStyle name="Normal 3 33" xfId="23490" xr:uid="{00000000-0005-0000-0000-0000C85B0000}"/>
    <cellStyle name="Normal 3 33 2" xfId="23491" xr:uid="{00000000-0005-0000-0000-0000C95B0000}"/>
    <cellStyle name="Normal 3 34" xfId="23492" xr:uid="{00000000-0005-0000-0000-0000CA5B0000}"/>
    <cellStyle name="Normal 3 34 2" xfId="23493" xr:uid="{00000000-0005-0000-0000-0000CB5B0000}"/>
    <cellStyle name="Normal 3 35" xfId="23494" xr:uid="{00000000-0005-0000-0000-0000CC5B0000}"/>
    <cellStyle name="Normal 3 35 2" xfId="23495" xr:uid="{00000000-0005-0000-0000-0000CD5B0000}"/>
    <cellStyle name="Normal 3 36" xfId="23496" xr:uid="{00000000-0005-0000-0000-0000CE5B0000}"/>
    <cellStyle name="Normal 3 36 2" xfId="23497" xr:uid="{00000000-0005-0000-0000-0000CF5B0000}"/>
    <cellStyle name="Normal 3 37" xfId="23498" xr:uid="{00000000-0005-0000-0000-0000D05B0000}"/>
    <cellStyle name="Normal 3 37 2" xfId="23499" xr:uid="{00000000-0005-0000-0000-0000D15B0000}"/>
    <cellStyle name="Normal 3 38" xfId="23500" xr:uid="{00000000-0005-0000-0000-0000D25B0000}"/>
    <cellStyle name="Normal 3 38 2" xfId="23501" xr:uid="{00000000-0005-0000-0000-0000D35B0000}"/>
    <cellStyle name="Normal 3 39" xfId="23502" xr:uid="{00000000-0005-0000-0000-0000D45B0000}"/>
    <cellStyle name="Normal 3 39 2" xfId="23503" xr:uid="{00000000-0005-0000-0000-0000D55B0000}"/>
    <cellStyle name="Normal 3 4" xfId="23504" xr:uid="{00000000-0005-0000-0000-0000D65B0000}"/>
    <cellStyle name="Normal 3 4 2" xfId="23505" xr:uid="{00000000-0005-0000-0000-0000D75B0000}"/>
    <cellStyle name="Normal 3 4 2 2" xfId="23506" xr:uid="{00000000-0005-0000-0000-0000D85B0000}"/>
    <cellStyle name="Normal 3 4 2 2 2" xfId="23507" xr:uid="{00000000-0005-0000-0000-0000D95B0000}"/>
    <cellStyle name="Normal 3 4 2 3" xfId="23508" xr:uid="{00000000-0005-0000-0000-0000DA5B0000}"/>
    <cellStyle name="Normal 3 4 3" xfId="23509" xr:uid="{00000000-0005-0000-0000-0000DB5B0000}"/>
    <cellStyle name="Normal 3 4 3 2" xfId="23510" xr:uid="{00000000-0005-0000-0000-0000DC5B0000}"/>
    <cellStyle name="Normal 3 4 4" xfId="23511" xr:uid="{00000000-0005-0000-0000-0000DD5B0000}"/>
    <cellStyle name="Normal 3 4 4 2" xfId="23512" xr:uid="{00000000-0005-0000-0000-0000DE5B0000}"/>
    <cellStyle name="Normal 3 4 5" xfId="23513" xr:uid="{00000000-0005-0000-0000-0000DF5B0000}"/>
    <cellStyle name="Normal 3 40" xfId="23514" xr:uid="{00000000-0005-0000-0000-0000E05B0000}"/>
    <cellStyle name="Normal 3 40 2" xfId="23515" xr:uid="{00000000-0005-0000-0000-0000E15B0000}"/>
    <cellStyle name="Normal 3 41" xfId="23516" xr:uid="{00000000-0005-0000-0000-0000E25B0000}"/>
    <cellStyle name="Normal 3 41 2" xfId="23517" xr:uid="{00000000-0005-0000-0000-0000E35B0000}"/>
    <cellStyle name="Normal 3 42" xfId="23518" xr:uid="{00000000-0005-0000-0000-0000E45B0000}"/>
    <cellStyle name="Normal 3 42 2" xfId="23519" xr:uid="{00000000-0005-0000-0000-0000E55B0000}"/>
    <cellStyle name="Normal 3 43" xfId="23520" xr:uid="{00000000-0005-0000-0000-0000E65B0000}"/>
    <cellStyle name="Normal 3 43 2" xfId="23521" xr:uid="{00000000-0005-0000-0000-0000E75B0000}"/>
    <cellStyle name="Normal 3 44" xfId="23522" xr:uid="{00000000-0005-0000-0000-0000E85B0000}"/>
    <cellStyle name="Normal 3 44 2" xfId="23523" xr:uid="{00000000-0005-0000-0000-0000E95B0000}"/>
    <cellStyle name="Normal 3 45" xfId="23524" xr:uid="{00000000-0005-0000-0000-0000EA5B0000}"/>
    <cellStyle name="Normal 3 45 2" xfId="23525" xr:uid="{00000000-0005-0000-0000-0000EB5B0000}"/>
    <cellStyle name="Normal 3 46" xfId="23526" xr:uid="{00000000-0005-0000-0000-0000EC5B0000}"/>
    <cellStyle name="Normal 3 46 2" xfId="23527" xr:uid="{00000000-0005-0000-0000-0000ED5B0000}"/>
    <cellStyle name="Normal 3 47" xfId="23528" xr:uid="{00000000-0005-0000-0000-0000EE5B0000}"/>
    <cellStyle name="Normal 3 47 2" xfId="23529" xr:uid="{00000000-0005-0000-0000-0000EF5B0000}"/>
    <cellStyle name="Normal 3 48" xfId="23530" xr:uid="{00000000-0005-0000-0000-0000F05B0000}"/>
    <cellStyle name="Normal 3 48 2" xfId="23531" xr:uid="{00000000-0005-0000-0000-0000F15B0000}"/>
    <cellStyle name="Normal 3 49" xfId="23532" xr:uid="{00000000-0005-0000-0000-0000F25B0000}"/>
    <cellStyle name="Normal 3 49 2" xfId="23533" xr:uid="{00000000-0005-0000-0000-0000F35B0000}"/>
    <cellStyle name="Normal 3 5" xfId="23534" xr:uid="{00000000-0005-0000-0000-0000F45B0000}"/>
    <cellStyle name="Normal 3 5 2" xfId="23535" xr:uid="{00000000-0005-0000-0000-0000F55B0000}"/>
    <cellStyle name="Normal 3 5 2 2" xfId="23536" xr:uid="{00000000-0005-0000-0000-0000F65B0000}"/>
    <cellStyle name="Normal 3 5 3" xfId="23537" xr:uid="{00000000-0005-0000-0000-0000F75B0000}"/>
    <cellStyle name="Normal 3 50" xfId="23538" xr:uid="{00000000-0005-0000-0000-0000F85B0000}"/>
    <cellStyle name="Normal 3 50 2" xfId="23539" xr:uid="{00000000-0005-0000-0000-0000F95B0000}"/>
    <cellStyle name="Normal 3 51" xfId="23540" xr:uid="{00000000-0005-0000-0000-0000FA5B0000}"/>
    <cellStyle name="Normal 3 51 2" xfId="23541" xr:uid="{00000000-0005-0000-0000-0000FB5B0000}"/>
    <cellStyle name="Normal 3 52" xfId="23542" xr:uid="{00000000-0005-0000-0000-0000FC5B0000}"/>
    <cellStyle name="Normal 3 52 2" xfId="23543" xr:uid="{00000000-0005-0000-0000-0000FD5B0000}"/>
    <cellStyle name="Normal 3 53" xfId="23544" xr:uid="{00000000-0005-0000-0000-0000FE5B0000}"/>
    <cellStyle name="Normal 3 53 2" xfId="23545" xr:uid="{00000000-0005-0000-0000-0000FF5B0000}"/>
    <cellStyle name="Normal 3 54" xfId="23546" xr:uid="{00000000-0005-0000-0000-0000005C0000}"/>
    <cellStyle name="Normal 3 54 2" xfId="23547" xr:uid="{00000000-0005-0000-0000-0000015C0000}"/>
    <cellStyle name="Normal 3 55" xfId="23548" xr:uid="{00000000-0005-0000-0000-0000025C0000}"/>
    <cellStyle name="Normal 3 55 2" xfId="23549" xr:uid="{00000000-0005-0000-0000-0000035C0000}"/>
    <cellStyle name="Normal 3 56" xfId="23550" xr:uid="{00000000-0005-0000-0000-0000045C0000}"/>
    <cellStyle name="Normal 3 56 2" xfId="23551" xr:uid="{00000000-0005-0000-0000-0000055C0000}"/>
    <cellStyle name="Normal 3 57" xfId="23552" xr:uid="{00000000-0005-0000-0000-0000065C0000}"/>
    <cellStyle name="Normal 3 57 2" xfId="23553" xr:uid="{00000000-0005-0000-0000-0000075C0000}"/>
    <cellStyle name="Normal 3 58" xfId="23554" xr:uid="{00000000-0005-0000-0000-0000085C0000}"/>
    <cellStyle name="Normal 3 58 2" xfId="23555" xr:uid="{00000000-0005-0000-0000-0000095C0000}"/>
    <cellStyle name="Normal 3 59" xfId="23556" xr:uid="{00000000-0005-0000-0000-00000A5C0000}"/>
    <cellStyle name="Normal 3 59 2" xfId="23557" xr:uid="{00000000-0005-0000-0000-00000B5C0000}"/>
    <cellStyle name="Normal 3 6" xfId="23558" xr:uid="{00000000-0005-0000-0000-00000C5C0000}"/>
    <cellStyle name="Normal 3 6 2" xfId="23559" xr:uid="{00000000-0005-0000-0000-00000D5C0000}"/>
    <cellStyle name="Normal 3 6 2 2" xfId="23560" xr:uid="{00000000-0005-0000-0000-00000E5C0000}"/>
    <cellStyle name="Normal 3 6 3" xfId="23561" xr:uid="{00000000-0005-0000-0000-00000F5C0000}"/>
    <cellStyle name="Normal 3 60" xfId="23562" xr:uid="{00000000-0005-0000-0000-0000105C0000}"/>
    <cellStyle name="Normal 3 60 2" xfId="23563" xr:uid="{00000000-0005-0000-0000-0000115C0000}"/>
    <cellStyle name="Normal 3 61" xfId="23564" xr:uid="{00000000-0005-0000-0000-0000125C0000}"/>
    <cellStyle name="Normal 3 61 2" xfId="23565" xr:uid="{00000000-0005-0000-0000-0000135C0000}"/>
    <cellStyle name="Normal 3 62" xfId="23566" xr:uid="{00000000-0005-0000-0000-0000145C0000}"/>
    <cellStyle name="Normal 3 62 2" xfId="23567" xr:uid="{00000000-0005-0000-0000-0000155C0000}"/>
    <cellStyle name="Normal 3 63" xfId="23568" xr:uid="{00000000-0005-0000-0000-0000165C0000}"/>
    <cellStyle name="Normal 3 63 2" xfId="23569" xr:uid="{00000000-0005-0000-0000-0000175C0000}"/>
    <cellStyle name="Normal 3 64" xfId="23570" xr:uid="{00000000-0005-0000-0000-0000185C0000}"/>
    <cellStyle name="Normal 3 64 2" xfId="23571" xr:uid="{00000000-0005-0000-0000-0000195C0000}"/>
    <cellStyle name="Normal 3 65" xfId="23572" xr:uid="{00000000-0005-0000-0000-00001A5C0000}"/>
    <cellStyle name="Normal 3 65 2" xfId="23573" xr:uid="{00000000-0005-0000-0000-00001B5C0000}"/>
    <cellStyle name="Normal 3 66" xfId="23574" xr:uid="{00000000-0005-0000-0000-00001C5C0000}"/>
    <cellStyle name="Normal 3 66 2" xfId="23575" xr:uid="{00000000-0005-0000-0000-00001D5C0000}"/>
    <cellStyle name="Normal 3 67" xfId="23576" xr:uid="{00000000-0005-0000-0000-00001E5C0000}"/>
    <cellStyle name="Normal 3 67 2" xfId="23577" xr:uid="{00000000-0005-0000-0000-00001F5C0000}"/>
    <cellStyle name="Normal 3 68" xfId="23578" xr:uid="{00000000-0005-0000-0000-0000205C0000}"/>
    <cellStyle name="Normal 3 68 2" xfId="23579" xr:uid="{00000000-0005-0000-0000-0000215C0000}"/>
    <cellStyle name="Normal 3 69" xfId="23580" xr:uid="{00000000-0005-0000-0000-0000225C0000}"/>
    <cellStyle name="Normal 3 69 2" xfId="23581" xr:uid="{00000000-0005-0000-0000-0000235C0000}"/>
    <cellStyle name="Normal 3 7" xfId="23582" xr:uid="{00000000-0005-0000-0000-0000245C0000}"/>
    <cellStyle name="Normal 3 7 2" xfId="23583" xr:uid="{00000000-0005-0000-0000-0000255C0000}"/>
    <cellStyle name="Normal 3 70" xfId="23584" xr:uid="{00000000-0005-0000-0000-0000265C0000}"/>
    <cellStyle name="Normal 3 70 2" xfId="23585" xr:uid="{00000000-0005-0000-0000-0000275C0000}"/>
    <cellStyle name="Normal 3 71" xfId="23586" xr:uid="{00000000-0005-0000-0000-0000285C0000}"/>
    <cellStyle name="Normal 3 72" xfId="23587" xr:uid="{00000000-0005-0000-0000-0000295C0000}"/>
    <cellStyle name="Normal 3 73" xfId="23588" xr:uid="{00000000-0005-0000-0000-00002A5C0000}"/>
    <cellStyle name="Normal 3 8" xfId="23589" xr:uid="{00000000-0005-0000-0000-00002B5C0000}"/>
    <cellStyle name="Normal 3 8 2" xfId="23590" xr:uid="{00000000-0005-0000-0000-00002C5C0000}"/>
    <cellStyle name="Normal 3 9" xfId="23591" xr:uid="{00000000-0005-0000-0000-00002D5C0000}"/>
    <cellStyle name="Normal 3 9 2" xfId="23592" xr:uid="{00000000-0005-0000-0000-00002E5C0000}"/>
    <cellStyle name="Normal 30" xfId="23593" xr:uid="{00000000-0005-0000-0000-00002F5C0000}"/>
    <cellStyle name="Normal 30 2" xfId="23594" xr:uid="{00000000-0005-0000-0000-0000305C0000}"/>
    <cellStyle name="Normal 31" xfId="23595" xr:uid="{00000000-0005-0000-0000-0000315C0000}"/>
    <cellStyle name="Normal 31 2" xfId="23596" xr:uid="{00000000-0005-0000-0000-0000325C0000}"/>
    <cellStyle name="Normal 32" xfId="23597" xr:uid="{00000000-0005-0000-0000-0000335C0000}"/>
    <cellStyle name="Normal 33" xfId="23598" xr:uid="{00000000-0005-0000-0000-0000345C0000}"/>
    <cellStyle name="Normal 33 2" xfId="23599" xr:uid="{00000000-0005-0000-0000-0000355C0000}"/>
    <cellStyle name="Normal 34" xfId="23600" xr:uid="{00000000-0005-0000-0000-0000365C0000}"/>
    <cellStyle name="Normal 34 2" xfId="23601" xr:uid="{00000000-0005-0000-0000-0000375C0000}"/>
    <cellStyle name="Normal 35" xfId="23602" xr:uid="{00000000-0005-0000-0000-0000385C0000}"/>
    <cellStyle name="Normal 35 2" xfId="23603" xr:uid="{00000000-0005-0000-0000-0000395C0000}"/>
    <cellStyle name="Normal 36" xfId="23604" xr:uid="{00000000-0005-0000-0000-00003A5C0000}"/>
    <cellStyle name="Normal 36 2" xfId="23605" xr:uid="{00000000-0005-0000-0000-00003B5C0000}"/>
    <cellStyle name="Normal 37" xfId="23606" xr:uid="{00000000-0005-0000-0000-00003C5C0000}"/>
    <cellStyle name="Normal 37 2" xfId="23607" xr:uid="{00000000-0005-0000-0000-00003D5C0000}"/>
    <cellStyle name="Normal 37 3" xfId="23608" xr:uid="{00000000-0005-0000-0000-00003E5C0000}"/>
    <cellStyle name="Normal 38" xfId="23609" xr:uid="{00000000-0005-0000-0000-00003F5C0000}"/>
    <cellStyle name="Normal 38 2" xfId="23610" xr:uid="{00000000-0005-0000-0000-0000405C0000}"/>
    <cellStyle name="Normal 39" xfId="23611" xr:uid="{00000000-0005-0000-0000-0000415C0000}"/>
    <cellStyle name="Normal 39 2" xfId="23612" xr:uid="{00000000-0005-0000-0000-0000425C0000}"/>
    <cellStyle name="Normal 4" xfId="23613" xr:uid="{00000000-0005-0000-0000-0000435C0000}"/>
    <cellStyle name="Normal 4 10" xfId="23614" xr:uid="{00000000-0005-0000-0000-0000445C0000}"/>
    <cellStyle name="Normal 4 11" xfId="23615" xr:uid="{00000000-0005-0000-0000-0000455C0000}"/>
    <cellStyle name="Normal 4 12" xfId="23616" xr:uid="{00000000-0005-0000-0000-0000465C0000}"/>
    <cellStyle name="Normal 4 13" xfId="23617" xr:uid="{00000000-0005-0000-0000-0000475C0000}"/>
    <cellStyle name="Normal 4 14" xfId="23618" xr:uid="{00000000-0005-0000-0000-0000485C0000}"/>
    <cellStyle name="Normal 4 15" xfId="23619" xr:uid="{00000000-0005-0000-0000-0000495C0000}"/>
    <cellStyle name="Normal 4 16" xfId="23620" xr:uid="{00000000-0005-0000-0000-00004A5C0000}"/>
    <cellStyle name="Normal 4 17" xfId="23621" xr:uid="{00000000-0005-0000-0000-00004B5C0000}"/>
    <cellStyle name="Normal 4 18" xfId="23622" xr:uid="{00000000-0005-0000-0000-00004C5C0000}"/>
    <cellStyle name="Normal 4 19" xfId="23623" xr:uid="{00000000-0005-0000-0000-00004D5C0000}"/>
    <cellStyle name="Normal 4 2" xfId="23624" xr:uid="{00000000-0005-0000-0000-00004E5C0000}"/>
    <cellStyle name="Normal 4 2 2" xfId="23625" xr:uid="{00000000-0005-0000-0000-00004F5C0000}"/>
    <cellStyle name="Normal 4 2 2 2" xfId="23626" xr:uid="{00000000-0005-0000-0000-0000505C0000}"/>
    <cellStyle name="Normal 4 2 2 2 2" xfId="23627" xr:uid="{00000000-0005-0000-0000-0000515C0000}"/>
    <cellStyle name="Normal 4 2 2 3" xfId="23628" xr:uid="{00000000-0005-0000-0000-0000525C0000}"/>
    <cellStyle name="Normal 4 2 2 4" xfId="23629" xr:uid="{00000000-0005-0000-0000-0000535C0000}"/>
    <cellStyle name="Normal 4 2 2 5" xfId="23630" xr:uid="{00000000-0005-0000-0000-0000545C0000}"/>
    <cellStyle name="Normal 4 2 2 6" xfId="23631" xr:uid="{00000000-0005-0000-0000-0000555C0000}"/>
    <cellStyle name="Normal 4 2 2 7" xfId="23632" xr:uid="{00000000-0005-0000-0000-0000565C0000}"/>
    <cellStyle name="Normal 4 2 2 8" xfId="23633" xr:uid="{00000000-0005-0000-0000-0000575C0000}"/>
    <cellStyle name="Normal 4 2 3" xfId="23634" xr:uid="{00000000-0005-0000-0000-0000585C0000}"/>
    <cellStyle name="Normal 4 2 4" xfId="23635" xr:uid="{00000000-0005-0000-0000-0000595C0000}"/>
    <cellStyle name="Normal 4 2 5" xfId="23636" xr:uid="{00000000-0005-0000-0000-00005A5C0000}"/>
    <cellStyle name="Normal 4 2 6" xfId="23637" xr:uid="{00000000-0005-0000-0000-00005B5C0000}"/>
    <cellStyle name="Normal 4 2 7" xfId="23638" xr:uid="{00000000-0005-0000-0000-00005C5C0000}"/>
    <cellStyle name="Normal 4 2 8" xfId="23639" xr:uid="{00000000-0005-0000-0000-00005D5C0000}"/>
    <cellStyle name="Normal 4 20" xfId="23640" xr:uid="{00000000-0005-0000-0000-00005E5C0000}"/>
    <cellStyle name="Normal 4 21" xfId="23641" xr:uid="{00000000-0005-0000-0000-00005F5C0000}"/>
    <cellStyle name="Normal 4 22" xfId="23642" xr:uid="{00000000-0005-0000-0000-0000605C0000}"/>
    <cellStyle name="Normal 4 23" xfId="23643" xr:uid="{00000000-0005-0000-0000-0000615C0000}"/>
    <cellStyle name="Normal 4 24" xfId="23644" xr:uid="{00000000-0005-0000-0000-0000625C0000}"/>
    <cellStyle name="Normal 4 25" xfId="23645" xr:uid="{00000000-0005-0000-0000-0000635C0000}"/>
    <cellStyle name="Normal 4 26" xfId="23646" xr:uid="{00000000-0005-0000-0000-0000645C0000}"/>
    <cellStyle name="Normal 4 27" xfId="23647" xr:uid="{00000000-0005-0000-0000-0000655C0000}"/>
    <cellStyle name="Normal 4 28" xfId="23648" xr:uid="{00000000-0005-0000-0000-0000665C0000}"/>
    <cellStyle name="Normal 4 29" xfId="23649" xr:uid="{00000000-0005-0000-0000-0000675C0000}"/>
    <cellStyle name="Normal 4 3" xfId="23650" xr:uid="{00000000-0005-0000-0000-0000685C0000}"/>
    <cellStyle name="Normal 4 3 2" xfId="23651" xr:uid="{00000000-0005-0000-0000-0000695C0000}"/>
    <cellStyle name="Normal 4 30" xfId="23652" xr:uid="{00000000-0005-0000-0000-00006A5C0000}"/>
    <cellStyle name="Normal 4 31" xfId="23653" xr:uid="{00000000-0005-0000-0000-00006B5C0000}"/>
    <cellStyle name="Normal 4 32" xfId="23654" xr:uid="{00000000-0005-0000-0000-00006C5C0000}"/>
    <cellStyle name="Normal 4 33" xfId="23655" xr:uid="{00000000-0005-0000-0000-00006D5C0000}"/>
    <cellStyle name="Normal 4 34" xfId="23656" xr:uid="{00000000-0005-0000-0000-00006E5C0000}"/>
    <cellStyle name="Normal 4 35" xfId="23657" xr:uid="{00000000-0005-0000-0000-00006F5C0000}"/>
    <cellStyle name="Normal 4 36" xfId="23658" xr:uid="{00000000-0005-0000-0000-0000705C0000}"/>
    <cellStyle name="Normal 4 37" xfId="23659" xr:uid="{00000000-0005-0000-0000-0000715C0000}"/>
    <cellStyle name="Normal 4 38" xfId="23660" xr:uid="{00000000-0005-0000-0000-0000725C0000}"/>
    <cellStyle name="Normal 4 39" xfId="23661" xr:uid="{00000000-0005-0000-0000-0000735C0000}"/>
    <cellStyle name="Normal 4 4" xfId="23662" xr:uid="{00000000-0005-0000-0000-0000745C0000}"/>
    <cellStyle name="Normal 4 4 2" xfId="23663" xr:uid="{00000000-0005-0000-0000-0000755C0000}"/>
    <cellStyle name="Normal 4 40" xfId="23664" xr:uid="{00000000-0005-0000-0000-0000765C0000}"/>
    <cellStyle name="Normal 4 41" xfId="23665" xr:uid="{00000000-0005-0000-0000-0000775C0000}"/>
    <cellStyle name="Normal 4 42" xfId="23666" xr:uid="{00000000-0005-0000-0000-0000785C0000}"/>
    <cellStyle name="Normal 4 43" xfId="23667" xr:uid="{00000000-0005-0000-0000-0000795C0000}"/>
    <cellStyle name="Normal 4 44" xfId="23668" xr:uid="{00000000-0005-0000-0000-00007A5C0000}"/>
    <cellStyle name="Normal 4 45" xfId="23669" xr:uid="{00000000-0005-0000-0000-00007B5C0000}"/>
    <cellStyle name="Normal 4 46" xfId="23670" xr:uid="{00000000-0005-0000-0000-00007C5C0000}"/>
    <cellStyle name="Normal 4 47" xfId="23671" xr:uid="{00000000-0005-0000-0000-00007D5C0000}"/>
    <cellStyle name="Normal 4 48" xfId="23672" xr:uid="{00000000-0005-0000-0000-00007E5C0000}"/>
    <cellStyle name="Normal 4 49" xfId="23673" xr:uid="{00000000-0005-0000-0000-00007F5C0000}"/>
    <cellStyle name="Normal 4 5" xfId="23674" xr:uid="{00000000-0005-0000-0000-0000805C0000}"/>
    <cellStyle name="Normal 4 5 2" xfId="23675" xr:uid="{00000000-0005-0000-0000-0000815C0000}"/>
    <cellStyle name="Normal 4 50" xfId="23676" xr:uid="{00000000-0005-0000-0000-0000825C0000}"/>
    <cellStyle name="Normal 4 51" xfId="23677" xr:uid="{00000000-0005-0000-0000-0000835C0000}"/>
    <cellStyle name="Normal 4 52" xfId="23678" xr:uid="{00000000-0005-0000-0000-0000845C0000}"/>
    <cellStyle name="Normal 4 53" xfId="23679" xr:uid="{00000000-0005-0000-0000-0000855C0000}"/>
    <cellStyle name="Normal 4 54" xfId="23680" xr:uid="{00000000-0005-0000-0000-0000865C0000}"/>
    <cellStyle name="Normal 4 55" xfId="23681" xr:uid="{00000000-0005-0000-0000-0000875C0000}"/>
    <cellStyle name="Normal 4 56" xfId="23682" xr:uid="{00000000-0005-0000-0000-0000885C0000}"/>
    <cellStyle name="Normal 4 57" xfId="23683" xr:uid="{00000000-0005-0000-0000-0000895C0000}"/>
    <cellStyle name="Normal 4 58" xfId="23684" xr:uid="{00000000-0005-0000-0000-00008A5C0000}"/>
    <cellStyle name="Normal 4 59" xfId="23685" xr:uid="{00000000-0005-0000-0000-00008B5C0000}"/>
    <cellStyle name="Normal 4 6" xfId="23686" xr:uid="{00000000-0005-0000-0000-00008C5C0000}"/>
    <cellStyle name="Normal 4 60" xfId="23687" xr:uid="{00000000-0005-0000-0000-00008D5C0000}"/>
    <cellStyle name="Normal 4 61" xfId="23688" xr:uid="{00000000-0005-0000-0000-00008E5C0000}"/>
    <cellStyle name="Normal 4 62" xfId="23689" xr:uid="{00000000-0005-0000-0000-00008F5C0000}"/>
    <cellStyle name="Normal 4 63" xfId="23690" xr:uid="{00000000-0005-0000-0000-0000905C0000}"/>
    <cellStyle name="Normal 4 64" xfId="23691" xr:uid="{00000000-0005-0000-0000-0000915C0000}"/>
    <cellStyle name="Normal 4 65" xfId="23692" xr:uid="{00000000-0005-0000-0000-0000925C0000}"/>
    <cellStyle name="Normal 4 66" xfId="23693" xr:uid="{00000000-0005-0000-0000-0000935C0000}"/>
    <cellStyle name="Normal 4 67" xfId="23694" xr:uid="{00000000-0005-0000-0000-0000945C0000}"/>
    <cellStyle name="Normal 4 68" xfId="23695" xr:uid="{00000000-0005-0000-0000-0000955C0000}"/>
    <cellStyle name="Normal 4 69" xfId="23696" xr:uid="{00000000-0005-0000-0000-0000965C0000}"/>
    <cellStyle name="Normal 4 7" xfId="23697" xr:uid="{00000000-0005-0000-0000-0000975C0000}"/>
    <cellStyle name="Normal 4 70" xfId="23698" xr:uid="{00000000-0005-0000-0000-0000985C0000}"/>
    <cellStyle name="Normal 4 8" xfId="23699" xr:uid="{00000000-0005-0000-0000-0000995C0000}"/>
    <cellStyle name="Normal 4 9" xfId="23700" xr:uid="{00000000-0005-0000-0000-00009A5C0000}"/>
    <cellStyle name="Normal 40" xfId="23701" xr:uid="{00000000-0005-0000-0000-00009B5C0000}"/>
    <cellStyle name="Normal 40 2" xfId="23702" xr:uid="{00000000-0005-0000-0000-00009C5C0000}"/>
    <cellStyle name="Normal 41" xfId="23703" xr:uid="{00000000-0005-0000-0000-00009D5C0000}"/>
    <cellStyle name="Normal 41 2" xfId="23704" xr:uid="{00000000-0005-0000-0000-00009E5C0000}"/>
    <cellStyle name="Normal 42" xfId="23705" xr:uid="{00000000-0005-0000-0000-00009F5C0000}"/>
    <cellStyle name="Normal 42 2" xfId="23706" xr:uid="{00000000-0005-0000-0000-0000A05C0000}"/>
    <cellStyle name="Normal 43" xfId="23707" xr:uid="{00000000-0005-0000-0000-0000A15C0000}"/>
    <cellStyle name="Normal 43 2" xfId="23708" xr:uid="{00000000-0005-0000-0000-0000A25C0000}"/>
    <cellStyle name="Normal 44" xfId="23709" xr:uid="{00000000-0005-0000-0000-0000A35C0000}"/>
    <cellStyle name="Normal 44 2" xfId="23710" xr:uid="{00000000-0005-0000-0000-0000A45C0000}"/>
    <cellStyle name="Normal 45" xfId="23711" xr:uid="{00000000-0005-0000-0000-0000A55C0000}"/>
    <cellStyle name="Normal 45 2" xfId="23712" xr:uid="{00000000-0005-0000-0000-0000A65C0000}"/>
    <cellStyle name="Normal 46" xfId="23713" xr:uid="{00000000-0005-0000-0000-0000A75C0000}"/>
    <cellStyle name="Normal 46 2" xfId="23714" xr:uid="{00000000-0005-0000-0000-0000A85C0000}"/>
    <cellStyle name="Normal 47" xfId="23715" xr:uid="{00000000-0005-0000-0000-0000A95C0000}"/>
    <cellStyle name="Normal 47 2" xfId="23716" xr:uid="{00000000-0005-0000-0000-0000AA5C0000}"/>
    <cellStyle name="Normal 48" xfId="23717" xr:uid="{00000000-0005-0000-0000-0000AB5C0000}"/>
    <cellStyle name="Normal 48 2" xfId="23718" xr:uid="{00000000-0005-0000-0000-0000AC5C0000}"/>
    <cellStyle name="Normal 49" xfId="23719" xr:uid="{00000000-0005-0000-0000-0000AD5C0000}"/>
    <cellStyle name="Normal 49 2" xfId="23720" xr:uid="{00000000-0005-0000-0000-0000AE5C0000}"/>
    <cellStyle name="Normal 5" xfId="23721" xr:uid="{00000000-0005-0000-0000-0000AF5C0000}"/>
    <cellStyle name="Normal 5 10" xfId="23722" xr:uid="{00000000-0005-0000-0000-0000B05C0000}"/>
    <cellStyle name="Normal 5 10 2" xfId="23723" xr:uid="{00000000-0005-0000-0000-0000B15C0000}"/>
    <cellStyle name="Normal 5 10 2 2" xfId="23724" xr:uid="{00000000-0005-0000-0000-0000B25C0000}"/>
    <cellStyle name="Normal 5 11" xfId="23725" xr:uid="{00000000-0005-0000-0000-0000B35C0000}"/>
    <cellStyle name="Normal 5 12" xfId="23726" xr:uid="{00000000-0005-0000-0000-0000B45C0000}"/>
    <cellStyle name="Normal 5 13" xfId="23727" xr:uid="{00000000-0005-0000-0000-0000B55C0000}"/>
    <cellStyle name="Normal 5 14" xfId="23728" xr:uid="{00000000-0005-0000-0000-0000B65C0000}"/>
    <cellStyle name="Normal 5 15" xfId="23729" xr:uid="{00000000-0005-0000-0000-0000B75C0000}"/>
    <cellStyle name="Normal 5 16" xfId="23730" xr:uid="{00000000-0005-0000-0000-0000B85C0000}"/>
    <cellStyle name="Normal 5 17" xfId="23731" xr:uid="{00000000-0005-0000-0000-0000B95C0000}"/>
    <cellStyle name="Normal 5 18" xfId="23732" xr:uid="{00000000-0005-0000-0000-0000BA5C0000}"/>
    <cellStyle name="Normal 5 19" xfId="23733" xr:uid="{00000000-0005-0000-0000-0000BB5C0000}"/>
    <cellStyle name="Normal 5 2" xfId="23734" xr:uid="{00000000-0005-0000-0000-0000BC5C0000}"/>
    <cellStyle name="Normal 5 2 2" xfId="23735" xr:uid="{00000000-0005-0000-0000-0000BD5C0000}"/>
    <cellStyle name="Normal 5 2 2 2" xfId="23736" xr:uid="{00000000-0005-0000-0000-0000BE5C0000}"/>
    <cellStyle name="Normal 5 2 3" xfId="23737" xr:uid="{00000000-0005-0000-0000-0000BF5C0000}"/>
    <cellStyle name="Normal 5 2 4" xfId="23738" xr:uid="{00000000-0005-0000-0000-0000C05C0000}"/>
    <cellStyle name="Normal 5 2 5" xfId="23739" xr:uid="{00000000-0005-0000-0000-0000C15C0000}"/>
    <cellStyle name="Normal 5 2 6" xfId="23740" xr:uid="{00000000-0005-0000-0000-0000C25C0000}"/>
    <cellStyle name="Normal 5 20" xfId="23741" xr:uid="{00000000-0005-0000-0000-0000C35C0000}"/>
    <cellStyle name="Normal 5 21" xfId="23742" xr:uid="{00000000-0005-0000-0000-0000C45C0000}"/>
    <cellStyle name="Normal 5 22" xfId="23743" xr:uid="{00000000-0005-0000-0000-0000C55C0000}"/>
    <cellStyle name="Normal 5 23" xfId="23744" xr:uid="{00000000-0005-0000-0000-0000C65C0000}"/>
    <cellStyle name="Normal 5 24" xfId="23745" xr:uid="{00000000-0005-0000-0000-0000C75C0000}"/>
    <cellStyle name="Normal 5 25" xfId="23746" xr:uid="{00000000-0005-0000-0000-0000C85C0000}"/>
    <cellStyle name="Normal 5 26" xfId="23747" xr:uid="{00000000-0005-0000-0000-0000C95C0000}"/>
    <cellStyle name="Normal 5 27" xfId="23748" xr:uid="{00000000-0005-0000-0000-0000CA5C0000}"/>
    <cellStyle name="Normal 5 28" xfId="23749" xr:uid="{00000000-0005-0000-0000-0000CB5C0000}"/>
    <cellStyle name="Normal 5 29" xfId="23750" xr:uid="{00000000-0005-0000-0000-0000CC5C0000}"/>
    <cellStyle name="Normal 5 3" xfId="23751" xr:uid="{00000000-0005-0000-0000-0000CD5C0000}"/>
    <cellStyle name="Normal 5 3 2" xfId="23752" xr:uid="{00000000-0005-0000-0000-0000CE5C0000}"/>
    <cellStyle name="Normal 5 30" xfId="23753" xr:uid="{00000000-0005-0000-0000-0000CF5C0000}"/>
    <cellStyle name="Normal 5 31" xfId="23754" xr:uid="{00000000-0005-0000-0000-0000D05C0000}"/>
    <cellStyle name="Normal 5 32" xfId="23755" xr:uid="{00000000-0005-0000-0000-0000D15C0000}"/>
    <cellStyle name="Normal 5 33" xfId="23756" xr:uid="{00000000-0005-0000-0000-0000D25C0000}"/>
    <cellStyle name="Normal 5 34" xfId="23757" xr:uid="{00000000-0005-0000-0000-0000D35C0000}"/>
    <cellStyle name="Normal 5 35" xfId="23758" xr:uid="{00000000-0005-0000-0000-0000D45C0000}"/>
    <cellStyle name="Normal 5 36" xfId="23759" xr:uid="{00000000-0005-0000-0000-0000D55C0000}"/>
    <cellStyle name="Normal 5 37" xfId="23760" xr:uid="{00000000-0005-0000-0000-0000D65C0000}"/>
    <cellStyle name="Normal 5 38" xfId="23761" xr:uid="{00000000-0005-0000-0000-0000D75C0000}"/>
    <cellStyle name="Normal 5 39" xfId="23762" xr:uid="{00000000-0005-0000-0000-0000D85C0000}"/>
    <cellStyle name="Normal 5 4" xfId="23763" xr:uid="{00000000-0005-0000-0000-0000D95C0000}"/>
    <cellStyle name="Normal 5 4 2" xfId="23764" xr:uid="{00000000-0005-0000-0000-0000DA5C0000}"/>
    <cellStyle name="Normal 5 40" xfId="23765" xr:uid="{00000000-0005-0000-0000-0000DB5C0000}"/>
    <cellStyle name="Normal 5 41" xfId="23766" xr:uid="{00000000-0005-0000-0000-0000DC5C0000}"/>
    <cellStyle name="Normal 5 42" xfId="23767" xr:uid="{00000000-0005-0000-0000-0000DD5C0000}"/>
    <cellStyle name="Normal 5 43" xfId="23768" xr:uid="{00000000-0005-0000-0000-0000DE5C0000}"/>
    <cellStyle name="Normal 5 44" xfId="23769" xr:uid="{00000000-0005-0000-0000-0000DF5C0000}"/>
    <cellStyle name="Normal 5 45" xfId="23770" xr:uid="{00000000-0005-0000-0000-0000E05C0000}"/>
    <cellStyle name="Normal 5 46" xfId="23771" xr:uid="{00000000-0005-0000-0000-0000E15C0000}"/>
    <cellStyle name="Normal 5 47" xfId="23772" xr:uid="{00000000-0005-0000-0000-0000E25C0000}"/>
    <cellStyle name="Normal 5 48" xfId="23773" xr:uid="{00000000-0005-0000-0000-0000E35C0000}"/>
    <cellStyle name="Normal 5 49" xfId="23774" xr:uid="{00000000-0005-0000-0000-0000E45C0000}"/>
    <cellStyle name="Normal 5 5" xfId="23775" xr:uid="{00000000-0005-0000-0000-0000E55C0000}"/>
    <cellStyle name="Normal 5 5 2" xfId="23776" xr:uid="{00000000-0005-0000-0000-0000E65C0000}"/>
    <cellStyle name="Normal 5 50" xfId="23777" xr:uid="{00000000-0005-0000-0000-0000E75C0000}"/>
    <cellStyle name="Normal 5 51" xfId="23778" xr:uid="{00000000-0005-0000-0000-0000E85C0000}"/>
    <cellStyle name="Normal 5 52" xfId="23779" xr:uid="{00000000-0005-0000-0000-0000E95C0000}"/>
    <cellStyle name="Normal 5 53" xfId="23780" xr:uid="{00000000-0005-0000-0000-0000EA5C0000}"/>
    <cellStyle name="Normal 5 54" xfId="23781" xr:uid="{00000000-0005-0000-0000-0000EB5C0000}"/>
    <cellStyle name="Normal 5 55" xfId="23782" xr:uid="{00000000-0005-0000-0000-0000EC5C0000}"/>
    <cellStyle name="Normal 5 56" xfId="23783" xr:uid="{00000000-0005-0000-0000-0000ED5C0000}"/>
    <cellStyle name="Normal 5 57" xfId="23784" xr:uid="{00000000-0005-0000-0000-0000EE5C0000}"/>
    <cellStyle name="Normal 5 58" xfId="23785" xr:uid="{00000000-0005-0000-0000-0000EF5C0000}"/>
    <cellStyle name="Normal 5 59" xfId="23786" xr:uid="{00000000-0005-0000-0000-0000F05C0000}"/>
    <cellStyle name="Normal 5 6" xfId="23787" xr:uid="{00000000-0005-0000-0000-0000F15C0000}"/>
    <cellStyle name="Normal 5 6 2" xfId="23788" xr:uid="{00000000-0005-0000-0000-0000F25C0000}"/>
    <cellStyle name="Normal 5 6 3" xfId="23789" xr:uid="{00000000-0005-0000-0000-0000F35C0000}"/>
    <cellStyle name="Normal 5 60" xfId="23790" xr:uid="{00000000-0005-0000-0000-0000F45C0000}"/>
    <cellStyle name="Normal 5 61" xfId="23791" xr:uid="{00000000-0005-0000-0000-0000F55C0000}"/>
    <cellStyle name="Normal 5 62" xfId="23792" xr:uid="{00000000-0005-0000-0000-0000F65C0000}"/>
    <cellStyle name="Normal 5 63" xfId="23793" xr:uid="{00000000-0005-0000-0000-0000F75C0000}"/>
    <cellStyle name="Normal 5 64" xfId="23794" xr:uid="{00000000-0005-0000-0000-0000F85C0000}"/>
    <cellStyle name="Normal 5 65" xfId="23795" xr:uid="{00000000-0005-0000-0000-0000F95C0000}"/>
    <cellStyle name="Normal 5 66" xfId="23796" xr:uid="{00000000-0005-0000-0000-0000FA5C0000}"/>
    <cellStyle name="Normal 5 67" xfId="23797" xr:uid="{00000000-0005-0000-0000-0000FB5C0000}"/>
    <cellStyle name="Normal 5 68" xfId="23798" xr:uid="{00000000-0005-0000-0000-0000FC5C0000}"/>
    <cellStyle name="Normal 5 69" xfId="23799" xr:uid="{00000000-0005-0000-0000-0000FD5C0000}"/>
    <cellStyle name="Normal 5 7" xfId="23800" xr:uid="{00000000-0005-0000-0000-0000FE5C0000}"/>
    <cellStyle name="Normal 5 70" xfId="23801" xr:uid="{00000000-0005-0000-0000-0000FF5C0000}"/>
    <cellStyle name="Normal 5 71" xfId="23802" xr:uid="{00000000-0005-0000-0000-0000005D0000}"/>
    <cellStyle name="Normal 5 8" xfId="23803" xr:uid="{00000000-0005-0000-0000-0000015D0000}"/>
    <cellStyle name="Normal 5 9" xfId="23804" xr:uid="{00000000-0005-0000-0000-0000025D0000}"/>
    <cellStyle name="Normal 5_20100303 Annex 27 Part 2.1b Prices Serbia and Hungary, Core  20100410 V2.0" xfId="23805" xr:uid="{00000000-0005-0000-0000-0000035D0000}"/>
    <cellStyle name="Normal 50" xfId="23806" xr:uid="{00000000-0005-0000-0000-0000045D0000}"/>
    <cellStyle name="Normal 50 2" xfId="23807" xr:uid="{00000000-0005-0000-0000-0000055D0000}"/>
    <cellStyle name="Normal 51" xfId="23808" xr:uid="{00000000-0005-0000-0000-0000065D0000}"/>
    <cellStyle name="Normal 51 2" xfId="23809" xr:uid="{00000000-0005-0000-0000-0000075D0000}"/>
    <cellStyle name="Normal 52" xfId="23810" xr:uid="{00000000-0005-0000-0000-0000085D0000}"/>
    <cellStyle name="Normal 52 2" xfId="23811" xr:uid="{00000000-0005-0000-0000-0000095D0000}"/>
    <cellStyle name="Normal 53" xfId="23812" xr:uid="{00000000-0005-0000-0000-00000A5D0000}"/>
    <cellStyle name="Normal 53 2" xfId="23813" xr:uid="{00000000-0005-0000-0000-00000B5D0000}"/>
    <cellStyle name="Normal 54" xfId="23814" xr:uid="{00000000-0005-0000-0000-00000C5D0000}"/>
    <cellStyle name="Normal 54 2" xfId="23815" xr:uid="{00000000-0005-0000-0000-00000D5D0000}"/>
    <cellStyle name="Normal 55" xfId="23816" xr:uid="{00000000-0005-0000-0000-00000E5D0000}"/>
    <cellStyle name="Normal 55 2" xfId="23817" xr:uid="{00000000-0005-0000-0000-00000F5D0000}"/>
    <cellStyle name="Normal 56" xfId="23818" xr:uid="{00000000-0005-0000-0000-0000105D0000}"/>
    <cellStyle name="Normal 56 2" xfId="23819" xr:uid="{00000000-0005-0000-0000-0000115D0000}"/>
    <cellStyle name="Normal 57" xfId="23820" xr:uid="{00000000-0005-0000-0000-0000125D0000}"/>
    <cellStyle name="Normal 57 2" xfId="23821" xr:uid="{00000000-0005-0000-0000-0000135D0000}"/>
    <cellStyle name="Normal 58" xfId="23822" xr:uid="{00000000-0005-0000-0000-0000145D0000}"/>
    <cellStyle name="Normal 58 2" xfId="23823" xr:uid="{00000000-0005-0000-0000-0000155D0000}"/>
    <cellStyle name="Normal 59" xfId="23824" xr:uid="{00000000-0005-0000-0000-0000165D0000}"/>
    <cellStyle name="Normal 59 2" xfId="23825" xr:uid="{00000000-0005-0000-0000-0000175D0000}"/>
    <cellStyle name="Normal 6" xfId="23826" xr:uid="{00000000-0005-0000-0000-0000185D0000}"/>
    <cellStyle name="Normal 6 10" xfId="23827" xr:uid="{00000000-0005-0000-0000-0000195D0000}"/>
    <cellStyle name="Normal 6 10 2" xfId="23828" xr:uid="{00000000-0005-0000-0000-00001A5D0000}"/>
    <cellStyle name="Normal 6 11" xfId="23829" xr:uid="{00000000-0005-0000-0000-00001B5D0000}"/>
    <cellStyle name="Normal 6 11 2" xfId="23830" xr:uid="{00000000-0005-0000-0000-00001C5D0000}"/>
    <cellStyle name="Normal 6 12" xfId="23831" xr:uid="{00000000-0005-0000-0000-00001D5D0000}"/>
    <cellStyle name="Normal 6 12 2" xfId="23832" xr:uid="{00000000-0005-0000-0000-00001E5D0000}"/>
    <cellStyle name="Normal 6 13" xfId="23833" xr:uid="{00000000-0005-0000-0000-00001F5D0000}"/>
    <cellStyle name="Normal 6 13 2" xfId="23834" xr:uid="{00000000-0005-0000-0000-0000205D0000}"/>
    <cellStyle name="Normal 6 14" xfId="23835" xr:uid="{00000000-0005-0000-0000-0000215D0000}"/>
    <cellStyle name="Normal 6 14 2" xfId="23836" xr:uid="{00000000-0005-0000-0000-0000225D0000}"/>
    <cellStyle name="Normal 6 15" xfId="23837" xr:uid="{00000000-0005-0000-0000-0000235D0000}"/>
    <cellStyle name="Normal 6 15 2" xfId="23838" xr:uid="{00000000-0005-0000-0000-0000245D0000}"/>
    <cellStyle name="Normal 6 16" xfId="23839" xr:uid="{00000000-0005-0000-0000-0000255D0000}"/>
    <cellStyle name="Normal 6 16 2" xfId="23840" xr:uid="{00000000-0005-0000-0000-0000265D0000}"/>
    <cellStyle name="Normal 6 17" xfId="23841" xr:uid="{00000000-0005-0000-0000-0000275D0000}"/>
    <cellStyle name="Normal 6 17 2" xfId="23842" xr:uid="{00000000-0005-0000-0000-0000285D0000}"/>
    <cellStyle name="Normal 6 18" xfId="23843" xr:uid="{00000000-0005-0000-0000-0000295D0000}"/>
    <cellStyle name="Normal 6 18 2" xfId="23844" xr:uid="{00000000-0005-0000-0000-00002A5D0000}"/>
    <cellStyle name="Normal 6 19" xfId="23845" xr:uid="{00000000-0005-0000-0000-00002B5D0000}"/>
    <cellStyle name="Normal 6 19 2" xfId="23846" xr:uid="{00000000-0005-0000-0000-00002C5D0000}"/>
    <cellStyle name="Normal 6 2" xfId="23847" xr:uid="{00000000-0005-0000-0000-00002D5D0000}"/>
    <cellStyle name="Normal 6 2 2" xfId="23848" xr:uid="{00000000-0005-0000-0000-00002E5D0000}"/>
    <cellStyle name="Normal 6 2 2 2" xfId="23849" xr:uid="{00000000-0005-0000-0000-00002F5D0000}"/>
    <cellStyle name="Normal 6 2 2 2 2" xfId="23850" xr:uid="{00000000-0005-0000-0000-0000305D0000}"/>
    <cellStyle name="Normal 6 2 2 3" xfId="23851" xr:uid="{00000000-0005-0000-0000-0000315D0000}"/>
    <cellStyle name="Normal 6 2 3" xfId="23852" xr:uid="{00000000-0005-0000-0000-0000325D0000}"/>
    <cellStyle name="Normal 6 2 3 2" xfId="23853" xr:uid="{00000000-0005-0000-0000-0000335D0000}"/>
    <cellStyle name="Normal 6 2 4" xfId="23854" xr:uid="{00000000-0005-0000-0000-0000345D0000}"/>
    <cellStyle name="Normal 6 2 5" xfId="23855" xr:uid="{00000000-0005-0000-0000-0000355D0000}"/>
    <cellStyle name="Normal 6 2 6" xfId="23856" xr:uid="{00000000-0005-0000-0000-0000365D0000}"/>
    <cellStyle name="Normal 6 2 7" xfId="23857" xr:uid="{00000000-0005-0000-0000-0000375D0000}"/>
    <cellStyle name="Normal 6 2 8" xfId="23858" xr:uid="{00000000-0005-0000-0000-0000385D0000}"/>
    <cellStyle name="Normal 6 2 9" xfId="23859" xr:uid="{00000000-0005-0000-0000-0000395D0000}"/>
    <cellStyle name="Normal 6 20" xfId="23860" xr:uid="{00000000-0005-0000-0000-00003A5D0000}"/>
    <cellStyle name="Normal 6 20 2" xfId="23861" xr:uid="{00000000-0005-0000-0000-00003B5D0000}"/>
    <cellStyle name="Normal 6 21" xfId="23862" xr:uid="{00000000-0005-0000-0000-00003C5D0000}"/>
    <cellStyle name="Normal 6 21 2" xfId="23863" xr:uid="{00000000-0005-0000-0000-00003D5D0000}"/>
    <cellStyle name="Normal 6 22" xfId="23864" xr:uid="{00000000-0005-0000-0000-00003E5D0000}"/>
    <cellStyle name="Normal 6 22 2" xfId="23865" xr:uid="{00000000-0005-0000-0000-00003F5D0000}"/>
    <cellStyle name="Normal 6 23" xfId="23866" xr:uid="{00000000-0005-0000-0000-0000405D0000}"/>
    <cellStyle name="Normal 6 23 2" xfId="23867" xr:uid="{00000000-0005-0000-0000-0000415D0000}"/>
    <cellStyle name="Normal 6 24" xfId="23868" xr:uid="{00000000-0005-0000-0000-0000425D0000}"/>
    <cellStyle name="Normal 6 24 2" xfId="23869" xr:uid="{00000000-0005-0000-0000-0000435D0000}"/>
    <cellStyle name="Normal 6 25" xfId="23870" xr:uid="{00000000-0005-0000-0000-0000445D0000}"/>
    <cellStyle name="Normal 6 25 2" xfId="23871" xr:uid="{00000000-0005-0000-0000-0000455D0000}"/>
    <cellStyle name="Normal 6 26" xfId="23872" xr:uid="{00000000-0005-0000-0000-0000465D0000}"/>
    <cellStyle name="Normal 6 26 2" xfId="23873" xr:uid="{00000000-0005-0000-0000-0000475D0000}"/>
    <cellStyle name="Normal 6 27" xfId="23874" xr:uid="{00000000-0005-0000-0000-0000485D0000}"/>
    <cellStyle name="Normal 6 27 2" xfId="23875" xr:uid="{00000000-0005-0000-0000-0000495D0000}"/>
    <cellStyle name="Normal 6 28" xfId="23876" xr:uid="{00000000-0005-0000-0000-00004A5D0000}"/>
    <cellStyle name="Normal 6 28 2" xfId="23877" xr:uid="{00000000-0005-0000-0000-00004B5D0000}"/>
    <cellStyle name="Normal 6 29" xfId="23878" xr:uid="{00000000-0005-0000-0000-00004C5D0000}"/>
    <cellStyle name="Normal 6 29 2" xfId="23879" xr:uid="{00000000-0005-0000-0000-00004D5D0000}"/>
    <cellStyle name="Normal 6 3" xfId="23880" xr:uid="{00000000-0005-0000-0000-00004E5D0000}"/>
    <cellStyle name="Normal 6 3 2" xfId="23881" xr:uid="{00000000-0005-0000-0000-00004F5D0000}"/>
    <cellStyle name="Normal 6 3 2 2" xfId="23882" xr:uid="{00000000-0005-0000-0000-0000505D0000}"/>
    <cellStyle name="Normal 6 3 3" xfId="23883" xr:uid="{00000000-0005-0000-0000-0000515D0000}"/>
    <cellStyle name="Normal 6 30" xfId="23884" xr:uid="{00000000-0005-0000-0000-0000525D0000}"/>
    <cellStyle name="Normal 6 30 2" xfId="23885" xr:uid="{00000000-0005-0000-0000-0000535D0000}"/>
    <cellStyle name="Normal 6 31" xfId="23886" xr:uid="{00000000-0005-0000-0000-0000545D0000}"/>
    <cellStyle name="Normal 6 31 2" xfId="23887" xr:uid="{00000000-0005-0000-0000-0000555D0000}"/>
    <cellStyle name="Normal 6 32" xfId="23888" xr:uid="{00000000-0005-0000-0000-0000565D0000}"/>
    <cellStyle name="Normal 6 32 2" xfId="23889" xr:uid="{00000000-0005-0000-0000-0000575D0000}"/>
    <cellStyle name="Normal 6 33" xfId="23890" xr:uid="{00000000-0005-0000-0000-0000585D0000}"/>
    <cellStyle name="Normal 6 33 2" xfId="23891" xr:uid="{00000000-0005-0000-0000-0000595D0000}"/>
    <cellStyle name="Normal 6 34" xfId="23892" xr:uid="{00000000-0005-0000-0000-00005A5D0000}"/>
    <cellStyle name="Normal 6 34 2" xfId="23893" xr:uid="{00000000-0005-0000-0000-00005B5D0000}"/>
    <cellStyle name="Normal 6 35" xfId="23894" xr:uid="{00000000-0005-0000-0000-00005C5D0000}"/>
    <cellStyle name="Normal 6 35 2" xfId="23895" xr:uid="{00000000-0005-0000-0000-00005D5D0000}"/>
    <cellStyle name="Normal 6 36" xfId="23896" xr:uid="{00000000-0005-0000-0000-00005E5D0000}"/>
    <cellStyle name="Normal 6 36 2" xfId="23897" xr:uid="{00000000-0005-0000-0000-00005F5D0000}"/>
    <cellStyle name="Normal 6 37" xfId="23898" xr:uid="{00000000-0005-0000-0000-0000605D0000}"/>
    <cellStyle name="Normal 6 37 2" xfId="23899" xr:uid="{00000000-0005-0000-0000-0000615D0000}"/>
    <cellStyle name="Normal 6 38" xfId="23900" xr:uid="{00000000-0005-0000-0000-0000625D0000}"/>
    <cellStyle name="Normal 6 38 2" xfId="23901" xr:uid="{00000000-0005-0000-0000-0000635D0000}"/>
    <cellStyle name="Normal 6 39" xfId="23902" xr:uid="{00000000-0005-0000-0000-0000645D0000}"/>
    <cellStyle name="Normal 6 39 2" xfId="23903" xr:uid="{00000000-0005-0000-0000-0000655D0000}"/>
    <cellStyle name="Normal 6 4" xfId="23904" xr:uid="{00000000-0005-0000-0000-0000665D0000}"/>
    <cellStyle name="Normal 6 4 2" xfId="23905" xr:uid="{00000000-0005-0000-0000-0000675D0000}"/>
    <cellStyle name="Normal 6 40" xfId="23906" xr:uid="{00000000-0005-0000-0000-0000685D0000}"/>
    <cellStyle name="Normal 6 40 2" xfId="23907" xr:uid="{00000000-0005-0000-0000-0000695D0000}"/>
    <cellStyle name="Normal 6 41" xfId="23908" xr:uid="{00000000-0005-0000-0000-00006A5D0000}"/>
    <cellStyle name="Normal 6 41 2" xfId="23909" xr:uid="{00000000-0005-0000-0000-00006B5D0000}"/>
    <cellStyle name="Normal 6 42" xfId="23910" xr:uid="{00000000-0005-0000-0000-00006C5D0000}"/>
    <cellStyle name="Normal 6 42 2" xfId="23911" xr:uid="{00000000-0005-0000-0000-00006D5D0000}"/>
    <cellStyle name="Normal 6 43" xfId="23912" xr:uid="{00000000-0005-0000-0000-00006E5D0000}"/>
    <cellStyle name="Normal 6 43 2" xfId="23913" xr:uid="{00000000-0005-0000-0000-00006F5D0000}"/>
    <cellStyle name="Normal 6 44" xfId="23914" xr:uid="{00000000-0005-0000-0000-0000705D0000}"/>
    <cellStyle name="Normal 6 44 2" xfId="23915" xr:uid="{00000000-0005-0000-0000-0000715D0000}"/>
    <cellStyle name="Normal 6 45" xfId="23916" xr:uid="{00000000-0005-0000-0000-0000725D0000}"/>
    <cellStyle name="Normal 6 45 2" xfId="23917" xr:uid="{00000000-0005-0000-0000-0000735D0000}"/>
    <cellStyle name="Normal 6 46" xfId="23918" xr:uid="{00000000-0005-0000-0000-0000745D0000}"/>
    <cellStyle name="Normal 6 46 2" xfId="23919" xr:uid="{00000000-0005-0000-0000-0000755D0000}"/>
    <cellStyle name="Normal 6 47" xfId="23920" xr:uid="{00000000-0005-0000-0000-0000765D0000}"/>
    <cellStyle name="Normal 6 47 2" xfId="23921" xr:uid="{00000000-0005-0000-0000-0000775D0000}"/>
    <cellStyle name="Normal 6 48" xfId="23922" xr:uid="{00000000-0005-0000-0000-0000785D0000}"/>
    <cellStyle name="Normal 6 48 2" xfId="23923" xr:uid="{00000000-0005-0000-0000-0000795D0000}"/>
    <cellStyle name="Normal 6 49" xfId="23924" xr:uid="{00000000-0005-0000-0000-00007A5D0000}"/>
    <cellStyle name="Normal 6 49 2" xfId="23925" xr:uid="{00000000-0005-0000-0000-00007B5D0000}"/>
    <cellStyle name="Normal 6 5" xfId="23926" xr:uid="{00000000-0005-0000-0000-00007C5D0000}"/>
    <cellStyle name="Normal 6 5 2" xfId="23927" xr:uid="{00000000-0005-0000-0000-00007D5D0000}"/>
    <cellStyle name="Normal 6 50" xfId="23928" xr:uid="{00000000-0005-0000-0000-00007E5D0000}"/>
    <cellStyle name="Normal 6 50 2" xfId="23929" xr:uid="{00000000-0005-0000-0000-00007F5D0000}"/>
    <cellStyle name="Normal 6 51" xfId="23930" xr:uid="{00000000-0005-0000-0000-0000805D0000}"/>
    <cellStyle name="Normal 6 51 2" xfId="23931" xr:uid="{00000000-0005-0000-0000-0000815D0000}"/>
    <cellStyle name="Normal 6 52" xfId="23932" xr:uid="{00000000-0005-0000-0000-0000825D0000}"/>
    <cellStyle name="Normal 6 52 2" xfId="23933" xr:uid="{00000000-0005-0000-0000-0000835D0000}"/>
    <cellStyle name="Normal 6 53" xfId="23934" xr:uid="{00000000-0005-0000-0000-0000845D0000}"/>
    <cellStyle name="Normal 6 53 2" xfId="23935" xr:uid="{00000000-0005-0000-0000-0000855D0000}"/>
    <cellStyle name="Normal 6 54" xfId="23936" xr:uid="{00000000-0005-0000-0000-0000865D0000}"/>
    <cellStyle name="Normal 6 54 2" xfId="23937" xr:uid="{00000000-0005-0000-0000-0000875D0000}"/>
    <cellStyle name="Normal 6 55" xfId="23938" xr:uid="{00000000-0005-0000-0000-0000885D0000}"/>
    <cellStyle name="Normal 6 55 2" xfId="23939" xr:uid="{00000000-0005-0000-0000-0000895D0000}"/>
    <cellStyle name="Normal 6 56" xfId="23940" xr:uid="{00000000-0005-0000-0000-00008A5D0000}"/>
    <cellStyle name="Normal 6 56 2" xfId="23941" xr:uid="{00000000-0005-0000-0000-00008B5D0000}"/>
    <cellStyle name="Normal 6 57" xfId="23942" xr:uid="{00000000-0005-0000-0000-00008C5D0000}"/>
    <cellStyle name="Normal 6 57 2" xfId="23943" xr:uid="{00000000-0005-0000-0000-00008D5D0000}"/>
    <cellStyle name="Normal 6 58" xfId="23944" xr:uid="{00000000-0005-0000-0000-00008E5D0000}"/>
    <cellStyle name="Normal 6 58 2" xfId="23945" xr:uid="{00000000-0005-0000-0000-00008F5D0000}"/>
    <cellStyle name="Normal 6 59" xfId="23946" xr:uid="{00000000-0005-0000-0000-0000905D0000}"/>
    <cellStyle name="Normal 6 59 2" xfId="23947" xr:uid="{00000000-0005-0000-0000-0000915D0000}"/>
    <cellStyle name="Normal 6 6" xfId="23948" xr:uid="{00000000-0005-0000-0000-0000925D0000}"/>
    <cellStyle name="Normal 6 6 2" xfId="23949" xr:uid="{00000000-0005-0000-0000-0000935D0000}"/>
    <cellStyle name="Normal 6 60" xfId="23950" xr:uid="{00000000-0005-0000-0000-0000945D0000}"/>
    <cellStyle name="Normal 6 60 2" xfId="23951" xr:uid="{00000000-0005-0000-0000-0000955D0000}"/>
    <cellStyle name="Normal 6 61" xfId="23952" xr:uid="{00000000-0005-0000-0000-0000965D0000}"/>
    <cellStyle name="Normal 6 61 2" xfId="23953" xr:uid="{00000000-0005-0000-0000-0000975D0000}"/>
    <cellStyle name="Normal 6 62" xfId="23954" xr:uid="{00000000-0005-0000-0000-0000985D0000}"/>
    <cellStyle name="Normal 6 62 2" xfId="23955" xr:uid="{00000000-0005-0000-0000-0000995D0000}"/>
    <cellStyle name="Normal 6 63" xfId="23956" xr:uid="{00000000-0005-0000-0000-00009A5D0000}"/>
    <cellStyle name="Normal 6 63 2" xfId="23957" xr:uid="{00000000-0005-0000-0000-00009B5D0000}"/>
    <cellStyle name="Normal 6 64" xfId="23958" xr:uid="{00000000-0005-0000-0000-00009C5D0000}"/>
    <cellStyle name="Normal 6 64 2" xfId="23959" xr:uid="{00000000-0005-0000-0000-00009D5D0000}"/>
    <cellStyle name="Normal 6 65" xfId="23960" xr:uid="{00000000-0005-0000-0000-00009E5D0000}"/>
    <cellStyle name="Normal 6 65 2" xfId="23961" xr:uid="{00000000-0005-0000-0000-00009F5D0000}"/>
    <cellStyle name="Normal 6 66" xfId="23962" xr:uid="{00000000-0005-0000-0000-0000A05D0000}"/>
    <cellStyle name="Normal 6 66 2" xfId="23963" xr:uid="{00000000-0005-0000-0000-0000A15D0000}"/>
    <cellStyle name="Normal 6 67" xfId="23964" xr:uid="{00000000-0005-0000-0000-0000A25D0000}"/>
    <cellStyle name="Normal 6 67 2" xfId="23965" xr:uid="{00000000-0005-0000-0000-0000A35D0000}"/>
    <cellStyle name="Normal 6 68" xfId="23966" xr:uid="{00000000-0005-0000-0000-0000A45D0000}"/>
    <cellStyle name="Normal 6 68 2" xfId="23967" xr:uid="{00000000-0005-0000-0000-0000A55D0000}"/>
    <cellStyle name="Normal 6 69" xfId="23968" xr:uid="{00000000-0005-0000-0000-0000A65D0000}"/>
    <cellStyle name="Normal 6 69 2" xfId="23969" xr:uid="{00000000-0005-0000-0000-0000A75D0000}"/>
    <cellStyle name="Normal 6 7" xfId="23970" xr:uid="{00000000-0005-0000-0000-0000A85D0000}"/>
    <cellStyle name="Normal 6 7 2" xfId="23971" xr:uid="{00000000-0005-0000-0000-0000A95D0000}"/>
    <cellStyle name="Normal 6 70" xfId="23972" xr:uid="{00000000-0005-0000-0000-0000AA5D0000}"/>
    <cellStyle name="Normal 6 70 2" xfId="23973" xr:uid="{00000000-0005-0000-0000-0000AB5D0000}"/>
    <cellStyle name="Normal 6 71" xfId="1" xr:uid="{00000000-0005-0000-0000-0000AC5D0000}"/>
    <cellStyle name="Normal 6 72" xfId="23974" xr:uid="{00000000-0005-0000-0000-0000AD5D0000}"/>
    <cellStyle name="Normal 6 8" xfId="23975" xr:uid="{00000000-0005-0000-0000-0000AE5D0000}"/>
    <cellStyle name="Normal 6 8 2" xfId="23976" xr:uid="{00000000-0005-0000-0000-0000AF5D0000}"/>
    <cellStyle name="Normal 6 9" xfId="23977" xr:uid="{00000000-0005-0000-0000-0000B05D0000}"/>
    <cellStyle name="Normal 6 9 2" xfId="23978" xr:uid="{00000000-0005-0000-0000-0000B15D0000}"/>
    <cellStyle name="Normal 60" xfId="23979" xr:uid="{00000000-0005-0000-0000-0000B25D0000}"/>
    <cellStyle name="Normal 60 2" xfId="23980" xr:uid="{00000000-0005-0000-0000-0000B35D0000}"/>
    <cellStyle name="Normal 61" xfId="23981" xr:uid="{00000000-0005-0000-0000-0000B45D0000}"/>
    <cellStyle name="Normal 61 2" xfId="23982" xr:uid="{00000000-0005-0000-0000-0000B55D0000}"/>
    <cellStyle name="Normal 62" xfId="23983" xr:uid="{00000000-0005-0000-0000-0000B65D0000}"/>
    <cellStyle name="Normal 62 2" xfId="23984" xr:uid="{00000000-0005-0000-0000-0000B75D0000}"/>
    <cellStyle name="Normal 63" xfId="23985" xr:uid="{00000000-0005-0000-0000-0000B85D0000}"/>
    <cellStyle name="Normal 63 2" xfId="23986" xr:uid="{00000000-0005-0000-0000-0000B95D0000}"/>
    <cellStyle name="Normal 64" xfId="23987" xr:uid="{00000000-0005-0000-0000-0000BA5D0000}"/>
    <cellStyle name="Normal 64 2" xfId="23988" xr:uid="{00000000-0005-0000-0000-0000BB5D0000}"/>
    <cellStyle name="Normal 65" xfId="23989" xr:uid="{00000000-0005-0000-0000-0000BC5D0000}"/>
    <cellStyle name="Normal 65 2" xfId="23990" xr:uid="{00000000-0005-0000-0000-0000BD5D0000}"/>
    <cellStyle name="Normal 66" xfId="23991" xr:uid="{00000000-0005-0000-0000-0000BE5D0000}"/>
    <cellStyle name="Normal 66 2" xfId="23992" xr:uid="{00000000-0005-0000-0000-0000BF5D0000}"/>
    <cellStyle name="Normal 67" xfId="23993" xr:uid="{00000000-0005-0000-0000-0000C05D0000}"/>
    <cellStyle name="Normal 67 2" xfId="23994" xr:uid="{00000000-0005-0000-0000-0000C15D0000}"/>
    <cellStyle name="Normal 68" xfId="23995" xr:uid="{00000000-0005-0000-0000-0000C25D0000}"/>
    <cellStyle name="Normal 68 2" xfId="23996" xr:uid="{00000000-0005-0000-0000-0000C35D0000}"/>
    <cellStyle name="Normal 69" xfId="23997" xr:uid="{00000000-0005-0000-0000-0000C45D0000}"/>
    <cellStyle name="Normal 69 2" xfId="23998" xr:uid="{00000000-0005-0000-0000-0000C55D0000}"/>
    <cellStyle name="Normal 7" xfId="23999" xr:uid="{00000000-0005-0000-0000-0000C65D0000}"/>
    <cellStyle name="Normal 7 10" xfId="24000" xr:uid="{00000000-0005-0000-0000-0000C75D0000}"/>
    <cellStyle name="Normal 7 10 2" xfId="24001" xr:uid="{00000000-0005-0000-0000-0000C85D0000}"/>
    <cellStyle name="Normal 7 11" xfId="24002" xr:uid="{00000000-0005-0000-0000-0000C95D0000}"/>
    <cellStyle name="Normal 7 11 2" xfId="24003" xr:uid="{00000000-0005-0000-0000-0000CA5D0000}"/>
    <cellStyle name="Normal 7 12" xfId="24004" xr:uid="{00000000-0005-0000-0000-0000CB5D0000}"/>
    <cellStyle name="Normal 7 12 2" xfId="24005" xr:uid="{00000000-0005-0000-0000-0000CC5D0000}"/>
    <cellStyle name="Normal 7 13" xfId="24006" xr:uid="{00000000-0005-0000-0000-0000CD5D0000}"/>
    <cellStyle name="Normal 7 13 2" xfId="24007" xr:uid="{00000000-0005-0000-0000-0000CE5D0000}"/>
    <cellStyle name="Normal 7 14" xfId="24008" xr:uid="{00000000-0005-0000-0000-0000CF5D0000}"/>
    <cellStyle name="Normal 7 14 2" xfId="24009" xr:uid="{00000000-0005-0000-0000-0000D05D0000}"/>
    <cellStyle name="Normal 7 15" xfId="24010" xr:uid="{00000000-0005-0000-0000-0000D15D0000}"/>
    <cellStyle name="Normal 7 15 2" xfId="24011" xr:uid="{00000000-0005-0000-0000-0000D25D0000}"/>
    <cellStyle name="Normal 7 16" xfId="24012" xr:uid="{00000000-0005-0000-0000-0000D35D0000}"/>
    <cellStyle name="Normal 7 16 2" xfId="24013" xr:uid="{00000000-0005-0000-0000-0000D45D0000}"/>
    <cellStyle name="Normal 7 17" xfId="24014" xr:uid="{00000000-0005-0000-0000-0000D55D0000}"/>
    <cellStyle name="Normal 7 17 2" xfId="24015" xr:uid="{00000000-0005-0000-0000-0000D65D0000}"/>
    <cellStyle name="Normal 7 18" xfId="24016" xr:uid="{00000000-0005-0000-0000-0000D75D0000}"/>
    <cellStyle name="Normal 7 18 2" xfId="24017" xr:uid="{00000000-0005-0000-0000-0000D85D0000}"/>
    <cellStyle name="Normal 7 19" xfId="24018" xr:uid="{00000000-0005-0000-0000-0000D95D0000}"/>
    <cellStyle name="Normal 7 19 2" xfId="24019" xr:uid="{00000000-0005-0000-0000-0000DA5D0000}"/>
    <cellStyle name="Normal 7 2" xfId="24020" xr:uid="{00000000-0005-0000-0000-0000DB5D0000}"/>
    <cellStyle name="Normal 7 2 2" xfId="24021" xr:uid="{00000000-0005-0000-0000-0000DC5D0000}"/>
    <cellStyle name="Normal 7 2 2 2" xfId="24022" xr:uid="{00000000-0005-0000-0000-0000DD5D0000}"/>
    <cellStyle name="Normal 7 2 2 2 2" xfId="24023" xr:uid="{00000000-0005-0000-0000-0000DE5D0000}"/>
    <cellStyle name="Normal 7 2 2 3" xfId="24024" xr:uid="{00000000-0005-0000-0000-0000DF5D0000}"/>
    <cellStyle name="Normal 7 2 3" xfId="24025" xr:uid="{00000000-0005-0000-0000-0000E05D0000}"/>
    <cellStyle name="Normal 7 2 3 2" xfId="24026" xr:uid="{00000000-0005-0000-0000-0000E15D0000}"/>
    <cellStyle name="Normal 7 2 4" xfId="24027" xr:uid="{00000000-0005-0000-0000-0000E25D0000}"/>
    <cellStyle name="Normal 7 20" xfId="24028" xr:uid="{00000000-0005-0000-0000-0000E35D0000}"/>
    <cellStyle name="Normal 7 20 2" xfId="24029" xr:uid="{00000000-0005-0000-0000-0000E45D0000}"/>
    <cellStyle name="Normal 7 21" xfId="24030" xr:uid="{00000000-0005-0000-0000-0000E55D0000}"/>
    <cellStyle name="Normal 7 21 2" xfId="24031" xr:uid="{00000000-0005-0000-0000-0000E65D0000}"/>
    <cellStyle name="Normal 7 22" xfId="24032" xr:uid="{00000000-0005-0000-0000-0000E75D0000}"/>
    <cellStyle name="Normal 7 22 2" xfId="24033" xr:uid="{00000000-0005-0000-0000-0000E85D0000}"/>
    <cellStyle name="Normal 7 23" xfId="24034" xr:uid="{00000000-0005-0000-0000-0000E95D0000}"/>
    <cellStyle name="Normal 7 23 2" xfId="24035" xr:uid="{00000000-0005-0000-0000-0000EA5D0000}"/>
    <cellStyle name="Normal 7 24" xfId="24036" xr:uid="{00000000-0005-0000-0000-0000EB5D0000}"/>
    <cellStyle name="Normal 7 24 2" xfId="24037" xr:uid="{00000000-0005-0000-0000-0000EC5D0000}"/>
    <cellStyle name="Normal 7 25" xfId="24038" xr:uid="{00000000-0005-0000-0000-0000ED5D0000}"/>
    <cellStyle name="Normal 7 25 2" xfId="24039" xr:uid="{00000000-0005-0000-0000-0000EE5D0000}"/>
    <cellStyle name="Normal 7 26" xfId="24040" xr:uid="{00000000-0005-0000-0000-0000EF5D0000}"/>
    <cellStyle name="Normal 7 26 2" xfId="24041" xr:uid="{00000000-0005-0000-0000-0000F05D0000}"/>
    <cellStyle name="Normal 7 27" xfId="24042" xr:uid="{00000000-0005-0000-0000-0000F15D0000}"/>
    <cellStyle name="Normal 7 27 2" xfId="24043" xr:uid="{00000000-0005-0000-0000-0000F25D0000}"/>
    <cellStyle name="Normal 7 28" xfId="24044" xr:uid="{00000000-0005-0000-0000-0000F35D0000}"/>
    <cellStyle name="Normal 7 28 2" xfId="24045" xr:uid="{00000000-0005-0000-0000-0000F45D0000}"/>
    <cellStyle name="Normal 7 29" xfId="24046" xr:uid="{00000000-0005-0000-0000-0000F55D0000}"/>
    <cellStyle name="Normal 7 29 2" xfId="24047" xr:uid="{00000000-0005-0000-0000-0000F65D0000}"/>
    <cellStyle name="Normal 7 3" xfId="24048" xr:uid="{00000000-0005-0000-0000-0000F75D0000}"/>
    <cellStyle name="Normal 7 3 2" xfId="24049" xr:uid="{00000000-0005-0000-0000-0000F85D0000}"/>
    <cellStyle name="Normal 7 3 2 2" xfId="24050" xr:uid="{00000000-0005-0000-0000-0000F95D0000}"/>
    <cellStyle name="Normal 7 3 3" xfId="24051" xr:uid="{00000000-0005-0000-0000-0000FA5D0000}"/>
    <cellStyle name="Normal 7 30" xfId="24052" xr:uid="{00000000-0005-0000-0000-0000FB5D0000}"/>
    <cellStyle name="Normal 7 30 2" xfId="24053" xr:uid="{00000000-0005-0000-0000-0000FC5D0000}"/>
    <cellStyle name="Normal 7 31" xfId="24054" xr:uid="{00000000-0005-0000-0000-0000FD5D0000}"/>
    <cellStyle name="Normal 7 31 2" xfId="24055" xr:uid="{00000000-0005-0000-0000-0000FE5D0000}"/>
    <cellStyle name="Normal 7 32" xfId="24056" xr:uid="{00000000-0005-0000-0000-0000FF5D0000}"/>
    <cellStyle name="Normal 7 32 2" xfId="24057" xr:uid="{00000000-0005-0000-0000-0000005E0000}"/>
    <cellStyle name="Normal 7 33" xfId="24058" xr:uid="{00000000-0005-0000-0000-0000015E0000}"/>
    <cellStyle name="Normal 7 33 2" xfId="24059" xr:uid="{00000000-0005-0000-0000-0000025E0000}"/>
    <cellStyle name="Normal 7 34" xfId="24060" xr:uid="{00000000-0005-0000-0000-0000035E0000}"/>
    <cellStyle name="Normal 7 34 2" xfId="24061" xr:uid="{00000000-0005-0000-0000-0000045E0000}"/>
    <cellStyle name="Normal 7 35" xfId="24062" xr:uid="{00000000-0005-0000-0000-0000055E0000}"/>
    <cellStyle name="Normal 7 35 2" xfId="24063" xr:uid="{00000000-0005-0000-0000-0000065E0000}"/>
    <cellStyle name="Normal 7 36" xfId="24064" xr:uid="{00000000-0005-0000-0000-0000075E0000}"/>
    <cellStyle name="Normal 7 36 2" xfId="24065" xr:uid="{00000000-0005-0000-0000-0000085E0000}"/>
    <cellStyle name="Normal 7 37" xfId="24066" xr:uid="{00000000-0005-0000-0000-0000095E0000}"/>
    <cellStyle name="Normal 7 37 2" xfId="24067" xr:uid="{00000000-0005-0000-0000-00000A5E0000}"/>
    <cellStyle name="Normal 7 38" xfId="24068" xr:uid="{00000000-0005-0000-0000-00000B5E0000}"/>
    <cellStyle name="Normal 7 38 2" xfId="24069" xr:uid="{00000000-0005-0000-0000-00000C5E0000}"/>
    <cellStyle name="Normal 7 39" xfId="24070" xr:uid="{00000000-0005-0000-0000-00000D5E0000}"/>
    <cellStyle name="Normal 7 39 2" xfId="24071" xr:uid="{00000000-0005-0000-0000-00000E5E0000}"/>
    <cellStyle name="Normal 7 4" xfId="24072" xr:uid="{00000000-0005-0000-0000-00000F5E0000}"/>
    <cellStyle name="Normal 7 4 2" xfId="24073" xr:uid="{00000000-0005-0000-0000-0000105E0000}"/>
    <cellStyle name="Normal 7 40" xfId="24074" xr:uid="{00000000-0005-0000-0000-0000115E0000}"/>
    <cellStyle name="Normal 7 40 2" xfId="24075" xr:uid="{00000000-0005-0000-0000-0000125E0000}"/>
    <cellStyle name="Normal 7 41" xfId="24076" xr:uid="{00000000-0005-0000-0000-0000135E0000}"/>
    <cellStyle name="Normal 7 41 2" xfId="24077" xr:uid="{00000000-0005-0000-0000-0000145E0000}"/>
    <cellStyle name="Normal 7 42" xfId="24078" xr:uid="{00000000-0005-0000-0000-0000155E0000}"/>
    <cellStyle name="Normal 7 42 2" xfId="24079" xr:uid="{00000000-0005-0000-0000-0000165E0000}"/>
    <cellStyle name="Normal 7 43" xfId="24080" xr:uid="{00000000-0005-0000-0000-0000175E0000}"/>
    <cellStyle name="Normal 7 43 2" xfId="24081" xr:uid="{00000000-0005-0000-0000-0000185E0000}"/>
    <cellStyle name="Normal 7 44" xfId="24082" xr:uid="{00000000-0005-0000-0000-0000195E0000}"/>
    <cellStyle name="Normal 7 44 2" xfId="24083" xr:uid="{00000000-0005-0000-0000-00001A5E0000}"/>
    <cellStyle name="Normal 7 45" xfId="24084" xr:uid="{00000000-0005-0000-0000-00001B5E0000}"/>
    <cellStyle name="Normal 7 45 2" xfId="24085" xr:uid="{00000000-0005-0000-0000-00001C5E0000}"/>
    <cellStyle name="Normal 7 46" xfId="24086" xr:uid="{00000000-0005-0000-0000-00001D5E0000}"/>
    <cellStyle name="Normal 7 46 2" xfId="24087" xr:uid="{00000000-0005-0000-0000-00001E5E0000}"/>
    <cellStyle name="Normal 7 47" xfId="24088" xr:uid="{00000000-0005-0000-0000-00001F5E0000}"/>
    <cellStyle name="Normal 7 47 2" xfId="24089" xr:uid="{00000000-0005-0000-0000-0000205E0000}"/>
    <cellStyle name="Normal 7 48" xfId="24090" xr:uid="{00000000-0005-0000-0000-0000215E0000}"/>
    <cellStyle name="Normal 7 48 2" xfId="24091" xr:uid="{00000000-0005-0000-0000-0000225E0000}"/>
    <cellStyle name="Normal 7 49" xfId="24092" xr:uid="{00000000-0005-0000-0000-0000235E0000}"/>
    <cellStyle name="Normal 7 49 2" xfId="24093" xr:uid="{00000000-0005-0000-0000-0000245E0000}"/>
    <cellStyle name="Normal 7 5" xfId="24094" xr:uid="{00000000-0005-0000-0000-0000255E0000}"/>
    <cellStyle name="Normal 7 5 2" xfId="24095" xr:uid="{00000000-0005-0000-0000-0000265E0000}"/>
    <cellStyle name="Normal 7 50" xfId="24096" xr:uid="{00000000-0005-0000-0000-0000275E0000}"/>
    <cellStyle name="Normal 7 50 2" xfId="24097" xr:uid="{00000000-0005-0000-0000-0000285E0000}"/>
    <cellStyle name="Normal 7 51" xfId="24098" xr:uid="{00000000-0005-0000-0000-0000295E0000}"/>
    <cellStyle name="Normal 7 51 2" xfId="24099" xr:uid="{00000000-0005-0000-0000-00002A5E0000}"/>
    <cellStyle name="Normal 7 52" xfId="24100" xr:uid="{00000000-0005-0000-0000-00002B5E0000}"/>
    <cellStyle name="Normal 7 52 2" xfId="24101" xr:uid="{00000000-0005-0000-0000-00002C5E0000}"/>
    <cellStyle name="Normal 7 53" xfId="24102" xr:uid="{00000000-0005-0000-0000-00002D5E0000}"/>
    <cellStyle name="Normal 7 53 2" xfId="24103" xr:uid="{00000000-0005-0000-0000-00002E5E0000}"/>
    <cellStyle name="Normal 7 54" xfId="24104" xr:uid="{00000000-0005-0000-0000-00002F5E0000}"/>
    <cellStyle name="Normal 7 54 2" xfId="24105" xr:uid="{00000000-0005-0000-0000-0000305E0000}"/>
    <cellStyle name="Normal 7 55" xfId="24106" xr:uid="{00000000-0005-0000-0000-0000315E0000}"/>
    <cellStyle name="Normal 7 55 2" xfId="24107" xr:uid="{00000000-0005-0000-0000-0000325E0000}"/>
    <cellStyle name="Normal 7 56" xfId="24108" xr:uid="{00000000-0005-0000-0000-0000335E0000}"/>
    <cellStyle name="Normal 7 56 2" xfId="24109" xr:uid="{00000000-0005-0000-0000-0000345E0000}"/>
    <cellStyle name="Normal 7 57" xfId="24110" xr:uid="{00000000-0005-0000-0000-0000355E0000}"/>
    <cellStyle name="Normal 7 57 2" xfId="24111" xr:uid="{00000000-0005-0000-0000-0000365E0000}"/>
    <cellStyle name="Normal 7 58" xfId="24112" xr:uid="{00000000-0005-0000-0000-0000375E0000}"/>
    <cellStyle name="Normal 7 58 2" xfId="24113" xr:uid="{00000000-0005-0000-0000-0000385E0000}"/>
    <cellStyle name="Normal 7 59" xfId="24114" xr:uid="{00000000-0005-0000-0000-0000395E0000}"/>
    <cellStyle name="Normal 7 59 2" xfId="24115" xr:uid="{00000000-0005-0000-0000-00003A5E0000}"/>
    <cellStyle name="Normal 7 6" xfId="24116" xr:uid="{00000000-0005-0000-0000-00003B5E0000}"/>
    <cellStyle name="Normal 7 6 2" xfId="24117" xr:uid="{00000000-0005-0000-0000-00003C5E0000}"/>
    <cellStyle name="Normal 7 60" xfId="24118" xr:uid="{00000000-0005-0000-0000-00003D5E0000}"/>
    <cellStyle name="Normal 7 60 2" xfId="24119" xr:uid="{00000000-0005-0000-0000-00003E5E0000}"/>
    <cellStyle name="Normal 7 61" xfId="24120" xr:uid="{00000000-0005-0000-0000-00003F5E0000}"/>
    <cellStyle name="Normal 7 61 2" xfId="24121" xr:uid="{00000000-0005-0000-0000-0000405E0000}"/>
    <cellStyle name="Normal 7 62" xfId="24122" xr:uid="{00000000-0005-0000-0000-0000415E0000}"/>
    <cellStyle name="Normal 7 62 2" xfId="24123" xr:uid="{00000000-0005-0000-0000-0000425E0000}"/>
    <cellStyle name="Normal 7 63" xfId="24124" xr:uid="{00000000-0005-0000-0000-0000435E0000}"/>
    <cellStyle name="Normal 7 63 2" xfId="24125" xr:uid="{00000000-0005-0000-0000-0000445E0000}"/>
    <cellStyle name="Normal 7 64" xfId="24126" xr:uid="{00000000-0005-0000-0000-0000455E0000}"/>
    <cellStyle name="Normal 7 64 2" xfId="24127" xr:uid="{00000000-0005-0000-0000-0000465E0000}"/>
    <cellStyle name="Normal 7 65" xfId="24128" xr:uid="{00000000-0005-0000-0000-0000475E0000}"/>
    <cellStyle name="Normal 7 65 2" xfId="24129" xr:uid="{00000000-0005-0000-0000-0000485E0000}"/>
    <cellStyle name="Normal 7 66" xfId="24130" xr:uid="{00000000-0005-0000-0000-0000495E0000}"/>
    <cellStyle name="Normal 7 66 2" xfId="24131" xr:uid="{00000000-0005-0000-0000-00004A5E0000}"/>
    <cellStyle name="Normal 7 67" xfId="24132" xr:uid="{00000000-0005-0000-0000-00004B5E0000}"/>
    <cellStyle name="Normal 7 67 2" xfId="24133" xr:uid="{00000000-0005-0000-0000-00004C5E0000}"/>
    <cellStyle name="Normal 7 68" xfId="24134" xr:uid="{00000000-0005-0000-0000-00004D5E0000}"/>
    <cellStyle name="Normal 7 68 2" xfId="24135" xr:uid="{00000000-0005-0000-0000-00004E5E0000}"/>
    <cellStyle name="Normal 7 69" xfId="24136" xr:uid="{00000000-0005-0000-0000-00004F5E0000}"/>
    <cellStyle name="Normal 7 69 2" xfId="24137" xr:uid="{00000000-0005-0000-0000-0000505E0000}"/>
    <cellStyle name="Normal 7 7" xfId="24138" xr:uid="{00000000-0005-0000-0000-0000515E0000}"/>
    <cellStyle name="Normal 7 7 2" xfId="24139" xr:uid="{00000000-0005-0000-0000-0000525E0000}"/>
    <cellStyle name="Normal 7 70" xfId="24140" xr:uid="{00000000-0005-0000-0000-0000535E0000}"/>
    <cellStyle name="Normal 7 70 2" xfId="24141" xr:uid="{00000000-0005-0000-0000-0000545E0000}"/>
    <cellStyle name="Normal 7 71" xfId="24142" xr:uid="{00000000-0005-0000-0000-0000555E0000}"/>
    <cellStyle name="Normal 7 8" xfId="24143" xr:uid="{00000000-0005-0000-0000-0000565E0000}"/>
    <cellStyle name="Normal 7 8 2" xfId="24144" xr:uid="{00000000-0005-0000-0000-0000575E0000}"/>
    <cellStyle name="Normal 7 9" xfId="24145" xr:uid="{00000000-0005-0000-0000-0000585E0000}"/>
    <cellStyle name="Normal 7 9 2" xfId="24146" xr:uid="{00000000-0005-0000-0000-0000595E0000}"/>
    <cellStyle name="Normal 70" xfId="24147" xr:uid="{00000000-0005-0000-0000-00005A5E0000}"/>
    <cellStyle name="Normal 70 2" xfId="24148" xr:uid="{00000000-0005-0000-0000-00005B5E0000}"/>
    <cellStyle name="Normal 71" xfId="24149" xr:uid="{00000000-0005-0000-0000-00005C5E0000}"/>
    <cellStyle name="Normal 71 2" xfId="24150" xr:uid="{00000000-0005-0000-0000-00005D5E0000}"/>
    <cellStyle name="Normal 72" xfId="24151" xr:uid="{00000000-0005-0000-0000-00005E5E0000}"/>
    <cellStyle name="Normal 72 2" xfId="24152" xr:uid="{00000000-0005-0000-0000-00005F5E0000}"/>
    <cellStyle name="Normal 73" xfId="24153" xr:uid="{00000000-0005-0000-0000-0000605E0000}"/>
    <cellStyle name="Normal 74" xfId="24154" xr:uid="{00000000-0005-0000-0000-0000615E0000}"/>
    <cellStyle name="Normal 75" xfId="24155" xr:uid="{00000000-0005-0000-0000-0000625E0000}"/>
    <cellStyle name="Normal 76" xfId="24156" xr:uid="{00000000-0005-0000-0000-0000635E0000}"/>
    <cellStyle name="Normal 77" xfId="24157" xr:uid="{00000000-0005-0000-0000-0000645E0000}"/>
    <cellStyle name="Normal 78" xfId="24158" xr:uid="{00000000-0005-0000-0000-0000655E0000}"/>
    <cellStyle name="Normal 79" xfId="24159" xr:uid="{00000000-0005-0000-0000-0000665E0000}"/>
    <cellStyle name="Normal 8" xfId="24160" xr:uid="{00000000-0005-0000-0000-0000675E0000}"/>
    <cellStyle name="Normal 8 2" xfId="24161" xr:uid="{00000000-0005-0000-0000-0000685E0000}"/>
    <cellStyle name="Normal 8 2 2" xfId="24162" xr:uid="{00000000-0005-0000-0000-0000695E0000}"/>
    <cellStyle name="Normal 8 3" xfId="24163" xr:uid="{00000000-0005-0000-0000-00006A5E0000}"/>
    <cellStyle name="Normal 8 3 2" xfId="24164" xr:uid="{00000000-0005-0000-0000-00006B5E0000}"/>
    <cellStyle name="Normal 8 4" xfId="24165" xr:uid="{00000000-0005-0000-0000-00006C5E0000}"/>
    <cellStyle name="Normal 80" xfId="24166" xr:uid="{00000000-0005-0000-0000-00006D5E0000}"/>
    <cellStyle name="Normal 81" xfId="24167" xr:uid="{00000000-0005-0000-0000-00006E5E0000}"/>
    <cellStyle name="Normal 82" xfId="24168" xr:uid="{00000000-0005-0000-0000-00006F5E0000}"/>
    <cellStyle name="Normal 83" xfId="24169" xr:uid="{00000000-0005-0000-0000-0000705E0000}"/>
    <cellStyle name="Normal 84" xfId="24170" xr:uid="{00000000-0005-0000-0000-0000715E0000}"/>
    <cellStyle name="Normal 85" xfId="24171" xr:uid="{00000000-0005-0000-0000-0000725E0000}"/>
    <cellStyle name="Normal 86" xfId="24172" xr:uid="{00000000-0005-0000-0000-0000735E0000}"/>
    <cellStyle name="Normal 87" xfId="24173" xr:uid="{00000000-0005-0000-0000-0000745E0000}"/>
    <cellStyle name="Normal 88" xfId="24174" xr:uid="{00000000-0005-0000-0000-0000755E0000}"/>
    <cellStyle name="Normal 89" xfId="24175" xr:uid="{00000000-0005-0000-0000-0000765E0000}"/>
    <cellStyle name="Normal 9" xfId="24176" xr:uid="{00000000-0005-0000-0000-0000775E0000}"/>
    <cellStyle name="Normal 9 2" xfId="24177" xr:uid="{00000000-0005-0000-0000-0000785E0000}"/>
    <cellStyle name="Normal 9 2 2" xfId="24178" xr:uid="{00000000-0005-0000-0000-0000795E0000}"/>
    <cellStyle name="Normal 9 2 2 2" xfId="24179" xr:uid="{00000000-0005-0000-0000-00007A5E0000}"/>
    <cellStyle name="Normal 9 2 3" xfId="24180" xr:uid="{00000000-0005-0000-0000-00007B5E0000}"/>
    <cellStyle name="Normal 9 2 3 2" xfId="24181" xr:uid="{00000000-0005-0000-0000-00007C5E0000}"/>
    <cellStyle name="Normal 9 2 4" xfId="24182" xr:uid="{00000000-0005-0000-0000-00007D5E0000}"/>
    <cellStyle name="Normal 9 3" xfId="24183" xr:uid="{00000000-0005-0000-0000-00007E5E0000}"/>
    <cellStyle name="Normal 9 3 2" xfId="24184" xr:uid="{00000000-0005-0000-0000-00007F5E0000}"/>
    <cellStyle name="Normal 9 4" xfId="24185" xr:uid="{00000000-0005-0000-0000-0000805E0000}"/>
    <cellStyle name="Normal 9 4 2" xfId="24186" xr:uid="{00000000-0005-0000-0000-0000815E0000}"/>
    <cellStyle name="Normal 9 5" xfId="24187" xr:uid="{00000000-0005-0000-0000-0000825E0000}"/>
    <cellStyle name="Normal 90" xfId="24188" xr:uid="{00000000-0005-0000-0000-0000835E0000}"/>
    <cellStyle name="Normal 91" xfId="24189" xr:uid="{00000000-0005-0000-0000-0000845E0000}"/>
    <cellStyle name="Normal 92" xfId="24190" xr:uid="{00000000-0005-0000-0000-0000855E0000}"/>
    <cellStyle name="Normal 93" xfId="24191" xr:uid="{00000000-0005-0000-0000-0000865E0000}"/>
    <cellStyle name="Normal 94" xfId="24192" xr:uid="{00000000-0005-0000-0000-0000875E0000}"/>
    <cellStyle name="Normal 95" xfId="24193" xr:uid="{00000000-0005-0000-0000-0000885E0000}"/>
    <cellStyle name="Normal 96" xfId="24194" xr:uid="{00000000-0005-0000-0000-0000895E0000}"/>
    <cellStyle name="Normal 97" xfId="24195" xr:uid="{00000000-0005-0000-0000-00008A5E0000}"/>
    <cellStyle name="Normal 98" xfId="24196" xr:uid="{00000000-0005-0000-0000-00008B5E0000}"/>
    <cellStyle name="Normal 99" xfId="24197" xr:uid="{00000000-0005-0000-0000-00008C5E0000}"/>
    <cellStyle name="Normal Bold" xfId="24198" xr:uid="{00000000-0005-0000-0000-00008D5E0000}"/>
    <cellStyle name="Normal Figures" xfId="24199" xr:uid="{00000000-0005-0000-0000-00008E5E0000}"/>
    <cellStyle name="Normal Pct" xfId="24200" xr:uid="{00000000-0005-0000-0000-00008F5E0000}"/>
    <cellStyle name="Normal2" xfId="24201" xr:uid="{00000000-0005-0000-0000-0000905E0000}"/>
    <cellStyle name="Normale_Foglio1" xfId="24202" xr:uid="{00000000-0005-0000-0000-0000915E0000}"/>
    <cellStyle name="Normalny_12" xfId="24203" xr:uid="{00000000-0005-0000-0000-0000925E0000}"/>
    <cellStyle name="Nota" xfId="24204" xr:uid="{00000000-0005-0000-0000-0000935E0000}"/>
    <cellStyle name="Nota 10" xfId="24205" xr:uid="{00000000-0005-0000-0000-0000945E0000}"/>
    <cellStyle name="Nota 11" xfId="24206" xr:uid="{00000000-0005-0000-0000-0000955E0000}"/>
    <cellStyle name="Nota 12" xfId="24207" xr:uid="{00000000-0005-0000-0000-0000965E0000}"/>
    <cellStyle name="Nota 13" xfId="24208" xr:uid="{00000000-0005-0000-0000-0000975E0000}"/>
    <cellStyle name="Nota 14" xfId="24209" xr:uid="{00000000-0005-0000-0000-0000985E0000}"/>
    <cellStyle name="Nota 15" xfId="24210" xr:uid="{00000000-0005-0000-0000-0000995E0000}"/>
    <cellStyle name="Nota 16" xfId="24211" xr:uid="{00000000-0005-0000-0000-00009A5E0000}"/>
    <cellStyle name="Nota 17" xfId="24212" xr:uid="{00000000-0005-0000-0000-00009B5E0000}"/>
    <cellStyle name="Nota 18" xfId="24213" xr:uid="{00000000-0005-0000-0000-00009C5E0000}"/>
    <cellStyle name="Nota 19" xfId="24214" xr:uid="{00000000-0005-0000-0000-00009D5E0000}"/>
    <cellStyle name="Nota 2" xfId="24215" xr:uid="{00000000-0005-0000-0000-00009E5E0000}"/>
    <cellStyle name="Nota 2 10" xfId="24216" xr:uid="{00000000-0005-0000-0000-00009F5E0000}"/>
    <cellStyle name="Nota 2 11" xfId="24217" xr:uid="{00000000-0005-0000-0000-0000A05E0000}"/>
    <cellStyle name="Nota 2 12" xfId="24218" xr:uid="{00000000-0005-0000-0000-0000A15E0000}"/>
    <cellStyle name="Nota 2 13" xfId="24219" xr:uid="{00000000-0005-0000-0000-0000A25E0000}"/>
    <cellStyle name="Nota 2 14" xfId="24220" xr:uid="{00000000-0005-0000-0000-0000A35E0000}"/>
    <cellStyle name="Nota 2 15" xfId="24221" xr:uid="{00000000-0005-0000-0000-0000A45E0000}"/>
    <cellStyle name="Nota 2 16" xfId="24222" xr:uid="{00000000-0005-0000-0000-0000A55E0000}"/>
    <cellStyle name="Nota 2 17" xfId="24223" xr:uid="{00000000-0005-0000-0000-0000A65E0000}"/>
    <cellStyle name="Nota 2 18" xfId="24224" xr:uid="{00000000-0005-0000-0000-0000A75E0000}"/>
    <cellStyle name="Nota 2 19" xfId="24225" xr:uid="{00000000-0005-0000-0000-0000A85E0000}"/>
    <cellStyle name="Nota 2 2" xfId="24226" xr:uid="{00000000-0005-0000-0000-0000A95E0000}"/>
    <cellStyle name="Nota 2 2 2" xfId="24227" xr:uid="{00000000-0005-0000-0000-0000AA5E0000}"/>
    <cellStyle name="Nota 2 2 2 2" xfId="24228" xr:uid="{00000000-0005-0000-0000-0000AB5E0000}"/>
    <cellStyle name="Nota 2 2 2 3" xfId="24229" xr:uid="{00000000-0005-0000-0000-0000AC5E0000}"/>
    <cellStyle name="Nota 2 2 3" xfId="24230" xr:uid="{00000000-0005-0000-0000-0000AD5E0000}"/>
    <cellStyle name="Nota 2 2 3 2" xfId="24231" xr:uid="{00000000-0005-0000-0000-0000AE5E0000}"/>
    <cellStyle name="Nota 2 2 3 3" xfId="24232" xr:uid="{00000000-0005-0000-0000-0000AF5E0000}"/>
    <cellStyle name="Nota 2 2 4" xfId="24233" xr:uid="{00000000-0005-0000-0000-0000B05E0000}"/>
    <cellStyle name="Nota 2 2 5" xfId="24234" xr:uid="{00000000-0005-0000-0000-0000B15E0000}"/>
    <cellStyle name="Nota 2 20" xfId="24235" xr:uid="{00000000-0005-0000-0000-0000B25E0000}"/>
    <cellStyle name="Nota 2 21" xfId="24236" xr:uid="{00000000-0005-0000-0000-0000B35E0000}"/>
    <cellStyle name="Nota 2 22" xfId="24237" xr:uid="{00000000-0005-0000-0000-0000B45E0000}"/>
    <cellStyle name="Nota 2 23" xfId="24238" xr:uid="{00000000-0005-0000-0000-0000B55E0000}"/>
    <cellStyle name="Nota 2 24" xfId="24239" xr:uid="{00000000-0005-0000-0000-0000B65E0000}"/>
    <cellStyle name="Nota 2 25" xfId="24240" xr:uid="{00000000-0005-0000-0000-0000B75E0000}"/>
    <cellStyle name="Nota 2 26" xfId="24241" xr:uid="{00000000-0005-0000-0000-0000B85E0000}"/>
    <cellStyle name="Nota 2 27" xfId="24242" xr:uid="{00000000-0005-0000-0000-0000B95E0000}"/>
    <cellStyle name="Nota 2 28" xfId="24243" xr:uid="{00000000-0005-0000-0000-0000BA5E0000}"/>
    <cellStyle name="Nota 2 29" xfId="24244" xr:uid="{00000000-0005-0000-0000-0000BB5E0000}"/>
    <cellStyle name="Nota 2 3" xfId="24245" xr:uid="{00000000-0005-0000-0000-0000BC5E0000}"/>
    <cellStyle name="Nota 2 3 2" xfId="24246" xr:uid="{00000000-0005-0000-0000-0000BD5E0000}"/>
    <cellStyle name="Nota 2 3 2 2" xfId="24247" xr:uid="{00000000-0005-0000-0000-0000BE5E0000}"/>
    <cellStyle name="Nota 2 3 2 3" xfId="24248" xr:uid="{00000000-0005-0000-0000-0000BF5E0000}"/>
    <cellStyle name="Nota 2 3 3" xfId="24249" xr:uid="{00000000-0005-0000-0000-0000C05E0000}"/>
    <cellStyle name="Nota 2 3 3 2" xfId="24250" xr:uid="{00000000-0005-0000-0000-0000C15E0000}"/>
    <cellStyle name="Nota 2 3 3 3" xfId="24251" xr:uid="{00000000-0005-0000-0000-0000C25E0000}"/>
    <cellStyle name="Nota 2 3 4" xfId="24252" xr:uid="{00000000-0005-0000-0000-0000C35E0000}"/>
    <cellStyle name="Nota 2 3 5" xfId="24253" xr:uid="{00000000-0005-0000-0000-0000C45E0000}"/>
    <cellStyle name="Nota 2 30" xfId="24254" xr:uid="{00000000-0005-0000-0000-0000C55E0000}"/>
    <cellStyle name="Nota 2 31" xfId="24255" xr:uid="{00000000-0005-0000-0000-0000C65E0000}"/>
    <cellStyle name="Nota 2 32" xfId="24256" xr:uid="{00000000-0005-0000-0000-0000C75E0000}"/>
    <cellStyle name="Nota 2 33" xfId="24257" xr:uid="{00000000-0005-0000-0000-0000C85E0000}"/>
    <cellStyle name="Nota 2 34" xfId="24258" xr:uid="{00000000-0005-0000-0000-0000C95E0000}"/>
    <cellStyle name="Nota 2 35" xfId="24259" xr:uid="{00000000-0005-0000-0000-0000CA5E0000}"/>
    <cellStyle name="Nota 2 4" xfId="24260" xr:uid="{00000000-0005-0000-0000-0000CB5E0000}"/>
    <cellStyle name="Nota 2 4 2" xfId="24261" xr:uid="{00000000-0005-0000-0000-0000CC5E0000}"/>
    <cellStyle name="Nota 2 4 3" xfId="24262" xr:uid="{00000000-0005-0000-0000-0000CD5E0000}"/>
    <cellStyle name="Nota 2 5" xfId="24263" xr:uid="{00000000-0005-0000-0000-0000CE5E0000}"/>
    <cellStyle name="Nota 2 5 2" xfId="24264" xr:uid="{00000000-0005-0000-0000-0000CF5E0000}"/>
    <cellStyle name="Nota 2 5 3" xfId="24265" xr:uid="{00000000-0005-0000-0000-0000D05E0000}"/>
    <cellStyle name="Nota 2 6" xfId="24266" xr:uid="{00000000-0005-0000-0000-0000D15E0000}"/>
    <cellStyle name="Nota 2 7" xfId="24267" xr:uid="{00000000-0005-0000-0000-0000D25E0000}"/>
    <cellStyle name="Nota 2 8" xfId="24268" xr:uid="{00000000-0005-0000-0000-0000D35E0000}"/>
    <cellStyle name="Nota 2 9" xfId="24269" xr:uid="{00000000-0005-0000-0000-0000D45E0000}"/>
    <cellStyle name="Nota 20" xfId="24270" xr:uid="{00000000-0005-0000-0000-0000D55E0000}"/>
    <cellStyle name="Nota 21" xfId="24271" xr:uid="{00000000-0005-0000-0000-0000D65E0000}"/>
    <cellStyle name="Nota 22" xfId="24272" xr:uid="{00000000-0005-0000-0000-0000D75E0000}"/>
    <cellStyle name="Nota 23" xfId="24273" xr:uid="{00000000-0005-0000-0000-0000D85E0000}"/>
    <cellStyle name="Nota 24" xfId="24274" xr:uid="{00000000-0005-0000-0000-0000D95E0000}"/>
    <cellStyle name="Nota 25" xfId="24275" xr:uid="{00000000-0005-0000-0000-0000DA5E0000}"/>
    <cellStyle name="Nota 26" xfId="24276" xr:uid="{00000000-0005-0000-0000-0000DB5E0000}"/>
    <cellStyle name="Nota 27" xfId="24277" xr:uid="{00000000-0005-0000-0000-0000DC5E0000}"/>
    <cellStyle name="Nota 28" xfId="24278" xr:uid="{00000000-0005-0000-0000-0000DD5E0000}"/>
    <cellStyle name="Nota 29" xfId="24279" xr:uid="{00000000-0005-0000-0000-0000DE5E0000}"/>
    <cellStyle name="Nota 3" xfId="24280" xr:uid="{00000000-0005-0000-0000-0000DF5E0000}"/>
    <cellStyle name="Nota 3 2" xfId="24281" xr:uid="{00000000-0005-0000-0000-0000E05E0000}"/>
    <cellStyle name="Nota 3 3" xfId="24282" xr:uid="{00000000-0005-0000-0000-0000E15E0000}"/>
    <cellStyle name="Nota 30" xfId="24283" xr:uid="{00000000-0005-0000-0000-0000E25E0000}"/>
    <cellStyle name="Nota 31" xfId="24284" xr:uid="{00000000-0005-0000-0000-0000E35E0000}"/>
    <cellStyle name="Nota 32" xfId="24285" xr:uid="{00000000-0005-0000-0000-0000E45E0000}"/>
    <cellStyle name="Nota 33" xfId="24286" xr:uid="{00000000-0005-0000-0000-0000E55E0000}"/>
    <cellStyle name="Nota 34" xfId="24287" xr:uid="{00000000-0005-0000-0000-0000E65E0000}"/>
    <cellStyle name="Nota 4" xfId="24288" xr:uid="{00000000-0005-0000-0000-0000E75E0000}"/>
    <cellStyle name="Nota 4 2" xfId="24289" xr:uid="{00000000-0005-0000-0000-0000E85E0000}"/>
    <cellStyle name="Nota 4 3" xfId="24290" xr:uid="{00000000-0005-0000-0000-0000E95E0000}"/>
    <cellStyle name="Nota 5" xfId="24291" xr:uid="{00000000-0005-0000-0000-0000EA5E0000}"/>
    <cellStyle name="Nota 6" xfId="24292" xr:uid="{00000000-0005-0000-0000-0000EB5E0000}"/>
    <cellStyle name="Nota 7" xfId="24293" xr:uid="{00000000-0005-0000-0000-0000EC5E0000}"/>
    <cellStyle name="Nota 8" xfId="24294" xr:uid="{00000000-0005-0000-0000-0000ED5E0000}"/>
    <cellStyle name="Nota 9" xfId="24295" xr:uid="{00000000-0005-0000-0000-0000EE5E0000}"/>
    <cellStyle name="Note 10" xfId="24296" xr:uid="{00000000-0005-0000-0000-0000EF5E0000}"/>
    <cellStyle name="Note 10 2" xfId="24297" xr:uid="{00000000-0005-0000-0000-0000F05E0000}"/>
    <cellStyle name="Note 11" xfId="24298" xr:uid="{00000000-0005-0000-0000-0000F15E0000}"/>
    <cellStyle name="Note 11 2" xfId="24299" xr:uid="{00000000-0005-0000-0000-0000F25E0000}"/>
    <cellStyle name="Note 12" xfId="24300" xr:uid="{00000000-0005-0000-0000-0000F35E0000}"/>
    <cellStyle name="Note 12 2" xfId="24301" xr:uid="{00000000-0005-0000-0000-0000F45E0000}"/>
    <cellStyle name="Note 13" xfId="24302" xr:uid="{00000000-0005-0000-0000-0000F55E0000}"/>
    <cellStyle name="Note 13 2" xfId="24303" xr:uid="{00000000-0005-0000-0000-0000F65E0000}"/>
    <cellStyle name="Note 14" xfId="24304" xr:uid="{00000000-0005-0000-0000-0000F75E0000}"/>
    <cellStyle name="Note 14 2" xfId="24305" xr:uid="{00000000-0005-0000-0000-0000F85E0000}"/>
    <cellStyle name="Note 15" xfId="24306" xr:uid="{00000000-0005-0000-0000-0000F95E0000}"/>
    <cellStyle name="Note 15 2" xfId="24307" xr:uid="{00000000-0005-0000-0000-0000FA5E0000}"/>
    <cellStyle name="Note 16" xfId="24308" xr:uid="{00000000-0005-0000-0000-0000FB5E0000}"/>
    <cellStyle name="Note 16 2" xfId="24309" xr:uid="{00000000-0005-0000-0000-0000FC5E0000}"/>
    <cellStyle name="Note 17" xfId="24310" xr:uid="{00000000-0005-0000-0000-0000FD5E0000}"/>
    <cellStyle name="Note 17 2" xfId="24311" xr:uid="{00000000-0005-0000-0000-0000FE5E0000}"/>
    <cellStyle name="Note 18" xfId="24312" xr:uid="{00000000-0005-0000-0000-0000FF5E0000}"/>
    <cellStyle name="Note 18 2" xfId="24313" xr:uid="{00000000-0005-0000-0000-0000005F0000}"/>
    <cellStyle name="Note 19" xfId="24314" xr:uid="{00000000-0005-0000-0000-0000015F0000}"/>
    <cellStyle name="Note 19 2" xfId="24315" xr:uid="{00000000-0005-0000-0000-0000025F0000}"/>
    <cellStyle name="Note 2" xfId="24316" xr:uid="{00000000-0005-0000-0000-0000035F0000}"/>
    <cellStyle name="Note 2 10" xfId="24317" xr:uid="{00000000-0005-0000-0000-0000045F0000}"/>
    <cellStyle name="Note 2 10 2" xfId="24318" xr:uid="{00000000-0005-0000-0000-0000055F0000}"/>
    <cellStyle name="Note 2 11" xfId="24319" xr:uid="{00000000-0005-0000-0000-0000065F0000}"/>
    <cellStyle name="Note 2 11 2" xfId="24320" xr:uid="{00000000-0005-0000-0000-0000075F0000}"/>
    <cellStyle name="Note 2 12" xfId="24321" xr:uid="{00000000-0005-0000-0000-0000085F0000}"/>
    <cellStyle name="Note 2 12 2" xfId="24322" xr:uid="{00000000-0005-0000-0000-0000095F0000}"/>
    <cellStyle name="Note 2 13" xfId="24323" xr:uid="{00000000-0005-0000-0000-00000A5F0000}"/>
    <cellStyle name="Note 2 13 2" xfId="24324" xr:uid="{00000000-0005-0000-0000-00000B5F0000}"/>
    <cellStyle name="Note 2 14" xfId="24325" xr:uid="{00000000-0005-0000-0000-00000C5F0000}"/>
    <cellStyle name="Note 2 14 2" xfId="24326" xr:uid="{00000000-0005-0000-0000-00000D5F0000}"/>
    <cellStyle name="Note 2 15" xfId="24327" xr:uid="{00000000-0005-0000-0000-00000E5F0000}"/>
    <cellStyle name="Note 2 15 2" xfId="24328" xr:uid="{00000000-0005-0000-0000-00000F5F0000}"/>
    <cellStyle name="Note 2 16" xfId="24329" xr:uid="{00000000-0005-0000-0000-0000105F0000}"/>
    <cellStyle name="Note 2 16 2" xfId="24330" xr:uid="{00000000-0005-0000-0000-0000115F0000}"/>
    <cellStyle name="Note 2 17" xfId="24331" xr:uid="{00000000-0005-0000-0000-0000125F0000}"/>
    <cellStyle name="Note 2 17 2" xfId="24332" xr:uid="{00000000-0005-0000-0000-0000135F0000}"/>
    <cellStyle name="Note 2 18" xfId="24333" xr:uid="{00000000-0005-0000-0000-0000145F0000}"/>
    <cellStyle name="Note 2 18 2" xfId="24334" xr:uid="{00000000-0005-0000-0000-0000155F0000}"/>
    <cellStyle name="Note 2 19" xfId="24335" xr:uid="{00000000-0005-0000-0000-0000165F0000}"/>
    <cellStyle name="Note 2 19 2" xfId="24336" xr:uid="{00000000-0005-0000-0000-0000175F0000}"/>
    <cellStyle name="Note 2 2" xfId="24337" xr:uid="{00000000-0005-0000-0000-0000185F0000}"/>
    <cellStyle name="Note 2 2 10" xfId="24338" xr:uid="{00000000-0005-0000-0000-0000195F0000}"/>
    <cellStyle name="Note 2 2 11" xfId="24339" xr:uid="{00000000-0005-0000-0000-00001A5F0000}"/>
    <cellStyle name="Note 2 2 12" xfId="24340" xr:uid="{00000000-0005-0000-0000-00001B5F0000}"/>
    <cellStyle name="Note 2 2 13" xfId="24341" xr:uid="{00000000-0005-0000-0000-00001C5F0000}"/>
    <cellStyle name="Note 2 2 14" xfId="24342" xr:uid="{00000000-0005-0000-0000-00001D5F0000}"/>
    <cellStyle name="Note 2 2 15" xfId="24343" xr:uid="{00000000-0005-0000-0000-00001E5F0000}"/>
    <cellStyle name="Note 2 2 16" xfId="24344" xr:uid="{00000000-0005-0000-0000-00001F5F0000}"/>
    <cellStyle name="Note 2 2 17" xfId="24345" xr:uid="{00000000-0005-0000-0000-0000205F0000}"/>
    <cellStyle name="Note 2 2 18" xfId="24346" xr:uid="{00000000-0005-0000-0000-0000215F0000}"/>
    <cellStyle name="Note 2 2 19" xfId="24347" xr:uid="{00000000-0005-0000-0000-0000225F0000}"/>
    <cellStyle name="Note 2 2 2" xfId="24348" xr:uid="{00000000-0005-0000-0000-0000235F0000}"/>
    <cellStyle name="Note 2 2 2 2" xfId="24349" xr:uid="{00000000-0005-0000-0000-0000245F0000}"/>
    <cellStyle name="Note 2 2 20" xfId="24350" xr:uid="{00000000-0005-0000-0000-0000255F0000}"/>
    <cellStyle name="Note 2 2 21" xfId="24351" xr:uid="{00000000-0005-0000-0000-0000265F0000}"/>
    <cellStyle name="Note 2 2 22" xfId="24352" xr:uid="{00000000-0005-0000-0000-0000275F0000}"/>
    <cellStyle name="Note 2 2 23" xfId="24353" xr:uid="{00000000-0005-0000-0000-0000285F0000}"/>
    <cellStyle name="Note 2 2 24" xfId="24354" xr:uid="{00000000-0005-0000-0000-0000295F0000}"/>
    <cellStyle name="Note 2 2 25" xfId="24355" xr:uid="{00000000-0005-0000-0000-00002A5F0000}"/>
    <cellStyle name="Note 2 2 26" xfId="24356" xr:uid="{00000000-0005-0000-0000-00002B5F0000}"/>
    <cellStyle name="Note 2 2 27" xfId="24357" xr:uid="{00000000-0005-0000-0000-00002C5F0000}"/>
    <cellStyle name="Note 2 2 28" xfId="24358" xr:uid="{00000000-0005-0000-0000-00002D5F0000}"/>
    <cellStyle name="Note 2 2 29" xfId="24359" xr:uid="{00000000-0005-0000-0000-00002E5F0000}"/>
    <cellStyle name="Note 2 2 3" xfId="24360" xr:uid="{00000000-0005-0000-0000-00002F5F0000}"/>
    <cellStyle name="Note 2 2 3 10" xfId="24361" xr:uid="{00000000-0005-0000-0000-0000305F0000}"/>
    <cellStyle name="Note 2 2 3 11" xfId="24362" xr:uid="{00000000-0005-0000-0000-0000315F0000}"/>
    <cellStyle name="Note 2 2 3 12" xfId="24363" xr:uid="{00000000-0005-0000-0000-0000325F0000}"/>
    <cellStyle name="Note 2 2 3 13" xfId="24364" xr:uid="{00000000-0005-0000-0000-0000335F0000}"/>
    <cellStyle name="Note 2 2 3 14" xfId="24365" xr:uid="{00000000-0005-0000-0000-0000345F0000}"/>
    <cellStyle name="Note 2 2 3 15" xfId="24366" xr:uid="{00000000-0005-0000-0000-0000355F0000}"/>
    <cellStyle name="Note 2 2 3 16" xfId="24367" xr:uid="{00000000-0005-0000-0000-0000365F0000}"/>
    <cellStyle name="Note 2 2 3 17" xfId="24368" xr:uid="{00000000-0005-0000-0000-0000375F0000}"/>
    <cellStyle name="Note 2 2 3 18" xfId="24369" xr:uid="{00000000-0005-0000-0000-0000385F0000}"/>
    <cellStyle name="Note 2 2 3 19" xfId="24370" xr:uid="{00000000-0005-0000-0000-0000395F0000}"/>
    <cellStyle name="Note 2 2 3 2" xfId="24371" xr:uid="{00000000-0005-0000-0000-00003A5F0000}"/>
    <cellStyle name="Note 2 2 3 2 10" xfId="24372" xr:uid="{00000000-0005-0000-0000-00003B5F0000}"/>
    <cellStyle name="Note 2 2 3 2 11" xfId="24373" xr:uid="{00000000-0005-0000-0000-00003C5F0000}"/>
    <cellStyle name="Note 2 2 3 2 12" xfId="24374" xr:uid="{00000000-0005-0000-0000-00003D5F0000}"/>
    <cellStyle name="Note 2 2 3 2 13" xfId="24375" xr:uid="{00000000-0005-0000-0000-00003E5F0000}"/>
    <cellStyle name="Note 2 2 3 2 14" xfId="24376" xr:uid="{00000000-0005-0000-0000-00003F5F0000}"/>
    <cellStyle name="Note 2 2 3 2 15" xfId="24377" xr:uid="{00000000-0005-0000-0000-0000405F0000}"/>
    <cellStyle name="Note 2 2 3 2 16" xfId="24378" xr:uid="{00000000-0005-0000-0000-0000415F0000}"/>
    <cellStyle name="Note 2 2 3 2 17" xfId="24379" xr:uid="{00000000-0005-0000-0000-0000425F0000}"/>
    <cellStyle name="Note 2 2 3 2 18" xfId="24380" xr:uid="{00000000-0005-0000-0000-0000435F0000}"/>
    <cellStyle name="Note 2 2 3 2 19" xfId="24381" xr:uid="{00000000-0005-0000-0000-0000445F0000}"/>
    <cellStyle name="Note 2 2 3 2 2" xfId="24382" xr:uid="{00000000-0005-0000-0000-0000455F0000}"/>
    <cellStyle name="Note 2 2 3 2 2 2" xfId="24383" xr:uid="{00000000-0005-0000-0000-0000465F0000}"/>
    <cellStyle name="Note 2 2 3 2 2 2 2" xfId="24384" xr:uid="{00000000-0005-0000-0000-0000475F0000}"/>
    <cellStyle name="Note 2 2 3 2 2 2 3" xfId="24385" xr:uid="{00000000-0005-0000-0000-0000485F0000}"/>
    <cellStyle name="Note 2 2 3 2 2 3" xfId="24386" xr:uid="{00000000-0005-0000-0000-0000495F0000}"/>
    <cellStyle name="Note 2 2 3 2 2 3 2" xfId="24387" xr:uid="{00000000-0005-0000-0000-00004A5F0000}"/>
    <cellStyle name="Note 2 2 3 2 2 3 3" xfId="24388" xr:uid="{00000000-0005-0000-0000-00004B5F0000}"/>
    <cellStyle name="Note 2 2 3 2 2 4" xfId="24389" xr:uid="{00000000-0005-0000-0000-00004C5F0000}"/>
    <cellStyle name="Note 2 2 3 2 2 5" xfId="24390" xr:uid="{00000000-0005-0000-0000-00004D5F0000}"/>
    <cellStyle name="Note 2 2 3 2 20" xfId="24391" xr:uid="{00000000-0005-0000-0000-00004E5F0000}"/>
    <cellStyle name="Note 2 2 3 2 21" xfId="24392" xr:uid="{00000000-0005-0000-0000-00004F5F0000}"/>
    <cellStyle name="Note 2 2 3 2 22" xfId="24393" xr:uid="{00000000-0005-0000-0000-0000505F0000}"/>
    <cellStyle name="Note 2 2 3 2 23" xfId="24394" xr:uid="{00000000-0005-0000-0000-0000515F0000}"/>
    <cellStyle name="Note 2 2 3 2 24" xfId="24395" xr:uid="{00000000-0005-0000-0000-0000525F0000}"/>
    <cellStyle name="Note 2 2 3 2 25" xfId="24396" xr:uid="{00000000-0005-0000-0000-0000535F0000}"/>
    <cellStyle name="Note 2 2 3 2 26" xfId="24397" xr:uid="{00000000-0005-0000-0000-0000545F0000}"/>
    <cellStyle name="Note 2 2 3 2 27" xfId="24398" xr:uid="{00000000-0005-0000-0000-0000555F0000}"/>
    <cellStyle name="Note 2 2 3 2 28" xfId="24399" xr:uid="{00000000-0005-0000-0000-0000565F0000}"/>
    <cellStyle name="Note 2 2 3 2 29" xfId="24400" xr:uid="{00000000-0005-0000-0000-0000575F0000}"/>
    <cellStyle name="Note 2 2 3 2 3" xfId="24401" xr:uid="{00000000-0005-0000-0000-0000585F0000}"/>
    <cellStyle name="Note 2 2 3 2 3 2" xfId="24402" xr:uid="{00000000-0005-0000-0000-0000595F0000}"/>
    <cellStyle name="Note 2 2 3 2 3 2 2" xfId="24403" xr:uid="{00000000-0005-0000-0000-00005A5F0000}"/>
    <cellStyle name="Note 2 2 3 2 3 2 3" xfId="24404" xr:uid="{00000000-0005-0000-0000-00005B5F0000}"/>
    <cellStyle name="Note 2 2 3 2 3 3" xfId="24405" xr:uid="{00000000-0005-0000-0000-00005C5F0000}"/>
    <cellStyle name="Note 2 2 3 2 3 3 2" xfId="24406" xr:uid="{00000000-0005-0000-0000-00005D5F0000}"/>
    <cellStyle name="Note 2 2 3 2 3 3 3" xfId="24407" xr:uid="{00000000-0005-0000-0000-00005E5F0000}"/>
    <cellStyle name="Note 2 2 3 2 3 4" xfId="24408" xr:uid="{00000000-0005-0000-0000-00005F5F0000}"/>
    <cellStyle name="Note 2 2 3 2 3 5" xfId="24409" xr:uid="{00000000-0005-0000-0000-0000605F0000}"/>
    <cellStyle name="Note 2 2 3 2 30" xfId="24410" xr:uid="{00000000-0005-0000-0000-0000615F0000}"/>
    <cellStyle name="Note 2 2 3 2 31" xfId="24411" xr:uid="{00000000-0005-0000-0000-0000625F0000}"/>
    <cellStyle name="Note 2 2 3 2 32" xfId="24412" xr:uid="{00000000-0005-0000-0000-0000635F0000}"/>
    <cellStyle name="Note 2 2 3 2 33" xfId="24413" xr:uid="{00000000-0005-0000-0000-0000645F0000}"/>
    <cellStyle name="Note 2 2 3 2 34" xfId="24414" xr:uid="{00000000-0005-0000-0000-0000655F0000}"/>
    <cellStyle name="Note 2 2 3 2 35" xfId="24415" xr:uid="{00000000-0005-0000-0000-0000665F0000}"/>
    <cellStyle name="Note 2 2 3 2 4" xfId="24416" xr:uid="{00000000-0005-0000-0000-0000675F0000}"/>
    <cellStyle name="Note 2 2 3 2 4 2" xfId="24417" xr:uid="{00000000-0005-0000-0000-0000685F0000}"/>
    <cellStyle name="Note 2 2 3 2 4 3" xfId="24418" xr:uid="{00000000-0005-0000-0000-0000695F0000}"/>
    <cellStyle name="Note 2 2 3 2 5" xfId="24419" xr:uid="{00000000-0005-0000-0000-00006A5F0000}"/>
    <cellStyle name="Note 2 2 3 2 5 2" xfId="24420" xr:uid="{00000000-0005-0000-0000-00006B5F0000}"/>
    <cellStyle name="Note 2 2 3 2 5 3" xfId="24421" xr:uid="{00000000-0005-0000-0000-00006C5F0000}"/>
    <cellStyle name="Note 2 2 3 2 6" xfId="24422" xr:uid="{00000000-0005-0000-0000-00006D5F0000}"/>
    <cellStyle name="Note 2 2 3 2 7" xfId="24423" xr:uid="{00000000-0005-0000-0000-00006E5F0000}"/>
    <cellStyle name="Note 2 2 3 2 8" xfId="24424" xr:uid="{00000000-0005-0000-0000-00006F5F0000}"/>
    <cellStyle name="Note 2 2 3 2 9" xfId="24425" xr:uid="{00000000-0005-0000-0000-0000705F0000}"/>
    <cellStyle name="Note 2 2 3 20" xfId="24426" xr:uid="{00000000-0005-0000-0000-0000715F0000}"/>
    <cellStyle name="Note 2 2 3 21" xfId="24427" xr:uid="{00000000-0005-0000-0000-0000725F0000}"/>
    <cellStyle name="Note 2 2 3 22" xfId="24428" xr:uid="{00000000-0005-0000-0000-0000735F0000}"/>
    <cellStyle name="Note 2 2 3 23" xfId="24429" xr:uid="{00000000-0005-0000-0000-0000745F0000}"/>
    <cellStyle name="Note 2 2 3 24" xfId="24430" xr:uid="{00000000-0005-0000-0000-0000755F0000}"/>
    <cellStyle name="Note 2 2 3 25" xfId="24431" xr:uid="{00000000-0005-0000-0000-0000765F0000}"/>
    <cellStyle name="Note 2 2 3 26" xfId="24432" xr:uid="{00000000-0005-0000-0000-0000775F0000}"/>
    <cellStyle name="Note 2 2 3 27" xfId="24433" xr:uid="{00000000-0005-0000-0000-0000785F0000}"/>
    <cellStyle name="Note 2 2 3 28" xfId="24434" xr:uid="{00000000-0005-0000-0000-0000795F0000}"/>
    <cellStyle name="Note 2 2 3 29" xfId="24435" xr:uid="{00000000-0005-0000-0000-00007A5F0000}"/>
    <cellStyle name="Note 2 2 3 3" xfId="24436" xr:uid="{00000000-0005-0000-0000-00007B5F0000}"/>
    <cellStyle name="Note 2 2 3 3 2" xfId="24437" xr:uid="{00000000-0005-0000-0000-00007C5F0000}"/>
    <cellStyle name="Note 2 2 3 3 3" xfId="24438" xr:uid="{00000000-0005-0000-0000-00007D5F0000}"/>
    <cellStyle name="Note 2 2 3 30" xfId="24439" xr:uid="{00000000-0005-0000-0000-00007E5F0000}"/>
    <cellStyle name="Note 2 2 3 31" xfId="24440" xr:uid="{00000000-0005-0000-0000-00007F5F0000}"/>
    <cellStyle name="Note 2 2 3 32" xfId="24441" xr:uid="{00000000-0005-0000-0000-0000805F0000}"/>
    <cellStyle name="Note 2 2 3 33" xfId="24442" xr:uid="{00000000-0005-0000-0000-0000815F0000}"/>
    <cellStyle name="Note 2 2 3 34" xfId="24443" xr:uid="{00000000-0005-0000-0000-0000825F0000}"/>
    <cellStyle name="Note 2 2 3 4" xfId="24444" xr:uid="{00000000-0005-0000-0000-0000835F0000}"/>
    <cellStyle name="Note 2 2 3 4 2" xfId="24445" xr:uid="{00000000-0005-0000-0000-0000845F0000}"/>
    <cellStyle name="Note 2 2 3 4 3" xfId="24446" xr:uid="{00000000-0005-0000-0000-0000855F0000}"/>
    <cellStyle name="Note 2 2 3 5" xfId="24447" xr:uid="{00000000-0005-0000-0000-0000865F0000}"/>
    <cellStyle name="Note 2 2 3 6" xfId="24448" xr:uid="{00000000-0005-0000-0000-0000875F0000}"/>
    <cellStyle name="Note 2 2 3 7" xfId="24449" xr:uid="{00000000-0005-0000-0000-0000885F0000}"/>
    <cellStyle name="Note 2 2 3 8" xfId="24450" xr:uid="{00000000-0005-0000-0000-0000895F0000}"/>
    <cellStyle name="Note 2 2 3 9" xfId="24451" xr:uid="{00000000-0005-0000-0000-00008A5F0000}"/>
    <cellStyle name="Note 2 2 30" xfId="24452" xr:uid="{00000000-0005-0000-0000-00008B5F0000}"/>
    <cellStyle name="Note 2 2 31" xfId="24453" xr:uid="{00000000-0005-0000-0000-00008C5F0000}"/>
    <cellStyle name="Note 2 2 32" xfId="24454" xr:uid="{00000000-0005-0000-0000-00008D5F0000}"/>
    <cellStyle name="Note 2 2 33" xfId="24455" xr:uid="{00000000-0005-0000-0000-00008E5F0000}"/>
    <cellStyle name="Note 2 2 34" xfId="24456" xr:uid="{00000000-0005-0000-0000-00008F5F0000}"/>
    <cellStyle name="Note 2 2 35" xfId="24457" xr:uid="{00000000-0005-0000-0000-0000905F0000}"/>
    <cellStyle name="Note 2 2 36" xfId="24458" xr:uid="{00000000-0005-0000-0000-0000915F0000}"/>
    <cellStyle name="Note 2 2 4" xfId="24459" xr:uid="{00000000-0005-0000-0000-0000925F0000}"/>
    <cellStyle name="Note 2 2 4 10" xfId="24460" xr:uid="{00000000-0005-0000-0000-0000935F0000}"/>
    <cellStyle name="Note 2 2 4 11" xfId="24461" xr:uid="{00000000-0005-0000-0000-0000945F0000}"/>
    <cellStyle name="Note 2 2 4 12" xfId="24462" xr:uid="{00000000-0005-0000-0000-0000955F0000}"/>
    <cellStyle name="Note 2 2 4 13" xfId="24463" xr:uid="{00000000-0005-0000-0000-0000965F0000}"/>
    <cellStyle name="Note 2 2 4 14" xfId="24464" xr:uid="{00000000-0005-0000-0000-0000975F0000}"/>
    <cellStyle name="Note 2 2 4 15" xfId="24465" xr:uid="{00000000-0005-0000-0000-0000985F0000}"/>
    <cellStyle name="Note 2 2 4 16" xfId="24466" xr:uid="{00000000-0005-0000-0000-0000995F0000}"/>
    <cellStyle name="Note 2 2 4 17" xfId="24467" xr:uid="{00000000-0005-0000-0000-00009A5F0000}"/>
    <cellStyle name="Note 2 2 4 18" xfId="24468" xr:uid="{00000000-0005-0000-0000-00009B5F0000}"/>
    <cellStyle name="Note 2 2 4 19" xfId="24469" xr:uid="{00000000-0005-0000-0000-00009C5F0000}"/>
    <cellStyle name="Note 2 2 4 2" xfId="24470" xr:uid="{00000000-0005-0000-0000-00009D5F0000}"/>
    <cellStyle name="Note 2 2 4 2 2" xfId="24471" xr:uid="{00000000-0005-0000-0000-00009E5F0000}"/>
    <cellStyle name="Note 2 2 4 2 2 2" xfId="24472" xr:uid="{00000000-0005-0000-0000-00009F5F0000}"/>
    <cellStyle name="Note 2 2 4 2 2 3" xfId="24473" xr:uid="{00000000-0005-0000-0000-0000A05F0000}"/>
    <cellStyle name="Note 2 2 4 2 3" xfId="24474" xr:uid="{00000000-0005-0000-0000-0000A15F0000}"/>
    <cellStyle name="Note 2 2 4 2 3 2" xfId="24475" xr:uid="{00000000-0005-0000-0000-0000A25F0000}"/>
    <cellStyle name="Note 2 2 4 2 3 3" xfId="24476" xr:uid="{00000000-0005-0000-0000-0000A35F0000}"/>
    <cellStyle name="Note 2 2 4 2 4" xfId="24477" xr:uid="{00000000-0005-0000-0000-0000A45F0000}"/>
    <cellStyle name="Note 2 2 4 2 5" xfId="24478" xr:uid="{00000000-0005-0000-0000-0000A55F0000}"/>
    <cellStyle name="Note 2 2 4 20" xfId="24479" xr:uid="{00000000-0005-0000-0000-0000A65F0000}"/>
    <cellStyle name="Note 2 2 4 21" xfId="24480" xr:uid="{00000000-0005-0000-0000-0000A75F0000}"/>
    <cellStyle name="Note 2 2 4 22" xfId="24481" xr:uid="{00000000-0005-0000-0000-0000A85F0000}"/>
    <cellStyle name="Note 2 2 4 23" xfId="24482" xr:uid="{00000000-0005-0000-0000-0000A95F0000}"/>
    <cellStyle name="Note 2 2 4 24" xfId="24483" xr:uid="{00000000-0005-0000-0000-0000AA5F0000}"/>
    <cellStyle name="Note 2 2 4 25" xfId="24484" xr:uid="{00000000-0005-0000-0000-0000AB5F0000}"/>
    <cellStyle name="Note 2 2 4 26" xfId="24485" xr:uid="{00000000-0005-0000-0000-0000AC5F0000}"/>
    <cellStyle name="Note 2 2 4 27" xfId="24486" xr:uid="{00000000-0005-0000-0000-0000AD5F0000}"/>
    <cellStyle name="Note 2 2 4 28" xfId="24487" xr:uid="{00000000-0005-0000-0000-0000AE5F0000}"/>
    <cellStyle name="Note 2 2 4 29" xfId="24488" xr:uid="{00000000-0005-0000-0000-0000AF5F0000}"/>
    <cellStyle name="Note 2 2 4 3" xfId="24489" xr:uid="{00000000-0005-0000-0000-0000B05F0000}"/>
    <cellStyle name="Note 2 2 4 3 2" xfId="24490" xr:uid="{00000000-0005-0000-0000-0000B15F0000}"/>
    <cellStyle name="Note 2 2 4 3 2 2" xfId="24491" xr:uid="{00000000-0005-0000-0000-0000B25F0000}"/>
    <cellStyle name="Note 2 2 4 3 2 3" xfId="24492" xr:uid="{00000000-0005-0000-0000-0000B35F0000}"/>
    <cellStyle name="Note 2 2 4 3 3" xfId="24493" xr:uid="{00000000-0005-0000-0000-0000B45F0000}"/>
    <cellStyle name="Note 2 2 4 3 3 2" xfId="24494" xr:uid="{00000000-0005-0000-0000-0000B55F0000}"/>
    <cellStyle name="Note 2 2 4 3 3 3" xfId="24495" xr:uid="{00000000-0005-0000-0000-0000B65F0000}"/>
    <cellStyle name="Note 2 2 4 3 4" xfId="24496" xr:uid="{00000000-0005-0000-0000-0000B75F0000}"/>
    <cellStyle name="Note 2 2 4 3 5" xfId="24497" xr:uid="{00000000-0005-0000-0000-0000B85F0000}"/>
    <cellStyle name="Note 2 2 4 30" xfId="24498" xr:uid="{00000000-0005-0000-0000-0000B95F0000}"/>
    <cellStyle name="Note 2 2 4 31" xfId="24499" xr:uid="{00000000-0005-0000-0000-0000BA5F0000}"/>
    <cellStyle name="Note 2 2 4 32" xfId="24500" xr:uid="{00000000-0005-0000-0000-0000BB5F0000}"/>
    <cellStyle name="Note 2 2 4 33" xfId="24501" xr:uid="{00000000-0005-0000-0000-0000BC5F0000}"/>
    <cellStyle name="Note 2 2 4 34" xfId="24502" xr:uid="{00000000-0005-0000-0000-0000BD5F0000}"/>
    <cellStyle name="Note 2 2 4 35" xfId="24503" xr:uid="{00000000-0005-0000-0000-0000BE5F0000}"/>
    <cellStyle name="Note 2 2 4 4" xfId="24504" xr:uid="{00000000-0005-0000-0000-0000BF5F0000}"/>
    <cellStyle name="Note 2 2 4 4 2" xfId="24505" xr:uid="{00000000-0005-0000-0000-0000C05F0000}"/>
    <cellStyle name="Note 2 2 4 4 3" xfId="24506" xr:uid="{00000000-0005-0000-0000-0000C15F0000}"/>
    <cellStyle name="Note 2 2 4 5" xfId="24507" xr:uid="{00000000-0005-0000-0000-0000C25F0000}"/>
    <cellStyle name="Note 2 2 4 5 2" xfId="24508" xr:uid="{00000000-0005-0000-0000-0000C35F0000}"/>
    <cellStyle name="Note 2 2 4 5 3" xfId="24509" xr:uid="{00000000-0005-0000-0000-0000C45F0000}"/>
    <cellStyle name="Note 2 2 4 6" xfId="24510" xr:uid="{00000000-0005-0000-0000-0000C55F0000}"/>
    <cellStyle name="Note 2 2 4 7" xfId="24511" xr:uid="{00000000-0005-0000-0000-0000C65F0000}"/>
    <cellStyle name="Note 2 2 4 8" xfId="24512" xr:uid="{00000000-0005-0000-0000-0000C75F0000}"/>
    <cellStyle name="Note 2 2 4 9" xfId="24513" xr:uid="{00000000-0005-0000-0000-0000C85F0000}"/>
    <cellStyle name="Note 2 2 5" xfId="24514" xr:uid="{00000000-0005-0000-0000-0000C95F0000}"/>
    <cellStyle name="Note 2 2 5 2" xfId="24515" xr:uid="{00000000-0005-0000-0000-0000CA5F0000}"/>
    <cellStyle name="Note 2 2 5 3" xfId="24516" xr:uid="{00000000-0005-0000-0000-0000CB5F0000}"/>
    <cellStyle name="Note 2 2 6" xfId="24517" xr:uid="{00000000-0005-0000-0000-0000CC5F0000}"/>
    <cellStyle name="Note 2 2 6 2" xfId="24518" xr:uid="{00000000-0005-0000-0000-0000CD5F0000}"/>
    <cellStyle name="Note 2 2 6 3" xfId="24519" xr:uid="{00000000-0005-0000-0000-0000CE5F0000}"/>
    <cellStyle name="Note 2 2 7" xfId="24520" xr:uid="{00000000-0005-0000-0000-0000CF5F0000}"/>
    <cellStyle name="Note 2 2 8" xfId="24521" xr:uid="{00000000-0005-0000-0000-0000D05F0000}"/>
    <cellStyle name="Note 2 2 9" xfId="24522" xr:uid="{00000000-0005-0000-0000-0000D15F0000}"/>
    <cellStyle name="Note 2 20" xfId="24523" xr:uid="{00000000-0005-0000-0000-0000D25F0000}"/>
    <cellStyle name="Note 2 20 10" xfId="24524" xr:uid="{00000000-0005-0000-0000-0000D35F0000}"/>
    <cellStyle name="Note 2 20 11" xfId="24525" xr:uid="{00000000-0005-0000-0000-0000D45F0000}"/>
    <cellStyle name="Note 2 20 12" xfId="24526" xr:uid="{00000000-0005-0000-0000-0000D55F0000}"/>
    <cellStyle name="Note 2 20 13" xfId="24527" xr:uid="{00000000-0005-0000-0000-0000D65F0000}"/>
    <cellStyle name="Note 2 20 14" xfId="24528" xr:uid="{00000000-0005-0000-0000-0000D75F0000}"/>
    <cellStyle name="Note 2 20 15" xfId="24529" xr:uid="{00000000-0005-0000-0000-0000D85F0000}"/>
    <cellStyle name="Note 2 20 16" xfId="24530" xr:uid="{00000000-0005-0000-0000-0000D95F0000}"/>
    <cellStyle name="Note 2 20 17" xfId="24531" xr:uid="{00000000-0005-0000-0000-0000DA5F0000}"/>
    <cellStyle name="Note 2 20 18" xfId="24532" xr:uid="{00000000-0005-0000-0000-0000DB5F0000}"/>
    <cellStyle name="Note 2 20 19" xfId="24533" xr:uid="{00000000-0005-0000-0000-0000DC5F0000}"/>
    <cellStyle name="Note 2 20 2" xfId="24534" xr:uid="{00000000-0005-0000-0000-0000DD5F0000}"/>
    <cellStyle name="Note 2 20 2 10" xfId="24535" xr:uid="{00000000-0005-0000-0000-0000DE5F0000}"/>
    <cellStyle name="Note 2 20 2 11" xfId="24536" xr:uid="{00000000-0005-0000-0000-0000DF5F0000}"/>
    <cellStyle name="Note 2 20 2 12" xfId="24537" xr:uid="{00000000-0005-0000-0000-0000E05F0000}"/>
    <cellStyle name="Note 2 20 2 13" xfId="24538" xr:uid="{00000000-0005-0000-0000-0000E15F0000}"/>
    <cellStyle name="Note 2 20 2 14" xfId="24539" xr:uid="{00000000-0005-0000-0000-0000E25F0000}"/>
    <cellStyle name="Note 2 20 2 15" xfId="24540" xr:uid="{00000000-0005-0000-0000-0000E35F0000}"/>
    <cellStyle name="Note 2 20 2 16" xfId="24541" xr:uid="{00000000-0005-0000-0000-0000E45F0000}"/>
    <cellStyle name="Note 2 20 2 17" xfId="24542" xr:uid="{00000000-0005-0000-0000-0000E55F0000}"/>
    <cellStyle name="Note 2 20 2 18" xfId="24543" xr:uid="{00000000-0005-0000-0000-0000E65F0000}"/>
    <cellStyle name="Note 2 20 2 19" xfId="24544" xr:uid="{00000000-0005-0000-0000-0000E75F0000}"/>
    <cellStyle name="Note 2 20 2 2" xfId="24545" xr:uid="{00000000-0005-0000-0000-0000E85F0000}"/>
    <cellStyle name="Note 2 20 2 2 2" xfId="24546" xr:uid="{00000000-0005-0000-0000-0000E95F0000}"/>
    <cellStyle name="Note 2 20 2 2 2 2" xfId="24547" xr:uid="{00000000-0005-0000-0000-0000EA5F0000}"/>
    <cellStyle name="Note 2 20 2 2 2 3" xfId="24548" xr:uid="{00000000-0005-0000-0000-0000EB5F0000}"/>
    <cellStyle name="Note 2 20 2 2 3" xfId="24549" xr:uid="{00000000-0005-0000-0000-0000EC5F0000}"/>
    <cellStyle name="Note 2 20 2 2 3 2" xfId="24550" xr:uid="{00000000-0005-0000-0000-0000ED5F0000}"/>
    <cellStyle name="Note 2 20 2 2 3 3" xfId="24551" xr:uid="{00000000-0005-0000-0000-0000EE5F0000}"/>
    <cellStyle name="Note 2 20 2 2 4" xfId="24552" xr:uid="{00000000-0005-0000-0000-0000EF5F0000}"/>
    <cellStyle name="Note 2 20 2 2 5" xfId="24553" xr:uid="{00000000-0005-0000-0000-0000F05F0000}"/>
    <cellStyle name="Note 2 20 2 20" xfId="24554" xr:uid="{00000000-0005-0000-0000-0000F15F0000}"/>
    <cellStyle name="Note 2 20 2 21" xfId="24555" xr:uid="{00000000-0005-0000-0000-0000F25F0000}"/>
    <cellStyle name="Note 2 20 2 22" xfId="24556" xr:uid="{00000000-0005-0000-0000-0000F35F0000}"/>
    <cellStyle name="Note 2 20 2 23" xfId="24557" xr:uid="{00000000-0005-0000-0000-0000F45F0000}"/>
    <cellStyle name="Note 2 20 2 24" xfId="24558" xr:uid="{00000000-0005-0000-0000-0000F55F0000}"/>
    <cellStyle name="Note 2 20 2 25" xfId="24559" xr:uid="{00000000-0005-0000-0000-0000F65F0000}"/>
    <cellStyle name="Note 2 20 2 26" xfId="24560" xr:uid="{00000000-0005-0000-0000-0000F75F0000}"/>
    <cellStyle name="Note 2 20 2 27" xfId="24561" xr:uid="{00000000-0005-0000-0000-0000F85F0000}"/>
    <cellStyle name="Note 2 20 2 28" xfId="24562" xr:uid="{00000000-0005-0000-0000-0000F95F0000}"/>
    <cellStyle name="Note 2 20 2 29" xfId="24563" xr:uid="{00000000-0005-0000-0000-0000FA5F0000}"/>
    <cellStyle name="Note 2 20 2 3" xfId="24564" xr:uid="{00000000-0005-0000-0000-0000FB5F0000}"/>
    <cellStyle name="Note 2 20 2 3 2" xfId="24565" xr:uid="{00000000-0005-0000-0000-0000FC5F0000}"/>
    <cellStyle name="Note 2 20 2 3 2 2" xfId="24566" xr:uid="{00000000-0005-0000-0000-0000FD5F0000}"/>
    <cellStyle name="Note 2 20 2 3 2 3" xfId="24567" xr:uid="{00000000-0005-0000-0000-0000FE5F0000}"/>
    <cellStyle name="Note 2 20 2 3 3" xfId="24568" xr:uid="{00000000-0005-0000-0000-0000FF5F0000}"/>
    <cellStyle name="Note 2 20 2 3 3 2" xfId="24569" xr:uid="{00000000-0005-0000-0000-000000600000}"/>
    <cellStyle name="Note 2 20 2 3 3 3" xfId="24570" xr:uid="{00000000-0005-0000-0000-000001600000}"/>
    <cellStyle name="Note 2 20 2 3 4" xfId="24571" xr:uid="{00000000-0005-0000-0000-000002600000}"/>
    <cellStyle name="Note 2 20 2 3 5" xfId="24572" xr:uid="{00000000-0005-0000-0000-000003600000}"/>
    <cellStyle name="Note 2 20 2 30" xfId="24573" xr:uid="{00000000-0005-0000-0000-000004600000}"/>
    <cellStyle name="Note 2 20 2 31" xfId="24574" xr:uid="{00000000-0005-0000-0000-000005600000}"/>
    <cellStyle name="Note 2 20 2 32" xfId="24575" xr:uid="{00000000-0005-0000-0000-000006600000}"/>
    <cellStyle name="Note 2 20 2 33" xfId="24576" xr:uid="{00000000-0005-0000-0000-000007600000}"/>
    <cellStyle name="Note 2 20 2 34" xfId="24577" xr:uid="{00000000-0005-0000-0000-000008600000}"/>
    <cellStyle name="Note 2 20 2 35" xfId="24578" xr:uid="{00000000-0005-0000-0000-000009600000}"/>
    <cellStyle name="Note 2 20 2 4" xfId="24579" xr:uid="{00000000-0005-0000-0000-00000A600000}"/>
    <cellStyle name="Note 2 20 2 4 2" xfId="24580" xr:uid="{00000000-0005-0000-0000-00000B600000}"/>
    <cellStyle name="Note 2 20 2 4 3" xfId="24581" xr:uid="{00000000-0005-0000-0000-00000C600000}"/>
    <cellStyle name="Note 2 20 2 5" xfId="24582" xr:uid="{00000000-0005-0000-0000-00000D600000}"/>
    <cellStyle name="Note 2 20 2 5 2" xfId="24583" xr:uid="{00000000-0005-0000-0000-00000E600000}"/>
    <cellStyle name="Note 2 20 2 5 3" xfId="24584" xr:uid="{00000000-0005-0000-0000-00000F600000}"/>
    <cellStyle name="Note 2 20 2 6" xfId="24585" xr:uid="{00000000-0005-0000-0000-000010600000}"/>
    <cellStyle name="Note 2 20 2 7" xfId="24586" xr:uid="{00000000-0005-0000-0000-000011600000}"/>
    <cellStyle name="Note 2 20 2 8" xfId="24587" xr:uid="{00000000-0005-0000-0000-000012600000}"/>
    <cellStyle name="Note 2 20 2 9" xfId="24588" xr:uid="{00000000-0005-0000-0000-000013600000}"/>
    <cellStyle name="Note 2 20 20" xfId="24589" xr:uid="{00000000-0005-0000-0000-000014600000}"/>
    <cellStyle name="Note 2 20 21" xfId="24590" xr:uid="{00000000-0005-0000-0000-000015600000}"/>
    <cellStyle name="Note 2 20 22" xfId="24591" xr:uid="{00000000-0005-0000-0000-000016600000}"/>
    <cellStyle name="Note 2 20 23" xfId="24592" xr:uid="{00000000-0005-0000-0000-000017600000}"/>
    <cellStyle name="Note 2 20 24" xfId="24593" xr:uid="{00000000-0005-0000-0000-000018600000}"/>
    <cellStyle name="Note 2 20 25" xfId="24594" xr:uid="{00000000-0005-0000-0000-000019600000}"/>
    <cellStyle name="Note 2 20 26" xfId="24595" xr:uid="{00000000-0005-0000-0000-00001A600000}"/>
    <cellStyle name="Note 2 20 27" xfId="24596" xr:uid="{00000000-0005-0000-0000-00001B600000}"/>
    <cellStyle name="Note 2 20 28" xfId="24597" xr:uid="{00000000-0005-0000-0000-00001C600000}"/>
    <cellStyle name="Note 2 20 29" xfId="24598" xr:uid="{00000000-0005-0000-0000-00001D600000}"/>
    <cellStyle name="Note 2 20 3" xfId="24599" xr:uid="{00000000-0005-0000-0000-00001E600000}"/>
    <cellStyle name="Note 2 20 3 2" xfId="24600" xr:uid="{00000000-0005-0000-0000-00001F600000}"/>
    <cellStyle name="Note 2 20 3 3" xfId="24601" xr:uid="{00000000-0005-0000-0000-000020600000}"/>
    <cellStyle name="Note 2 20 30" xfId="24602" xr:uid="{00000000-0005-0000-0000-000021600000}"/>
    <cellStyle name="Note 2 20 31" xfId="24603" xr:uid="{00000000-0005-0000-0000-000022600000}"/>
    <cellStyle name="Note 2 20 32" xfId="24604" xr:uid="{00000000-0005-0000-0000-000023600000}"/>
    <cellStyle name="Note 2 20 33" xfId="24605" xr:uid="{00000000-0005-0000-0000-000024600000}"/>
    <cellStyle name="Note 2 20 34" xfId="24606" xr:uid="{00000000-0005-0000-0000-000025600000}"/>
    <cellStyle name="Note 2 20 4" xfId="24607" xr:uid="{00000000-0005-0000-0000-000026600000}"/>
    <cellStyle name="Note 2 20 4 2" xfId="24608" xr:uid="{00000000-0005-0000-0000-000027600000}"/>
    <cellStyle name="Note 2 20 4 3" xfId="24609" xr:uid="{00000000-0005-0000-0000-000028600000}"/>
    <cellStyle name="Note 2 20 5" xfId="24610" xr:uid="{00000000-0005-0000-0000-000029600000}"/>
    <cellStyle name="Note 2 20 6" xfId="24611" xr:uid="{00000000-0005-0000-0000-00002A600000}"/>
    <cellStyle name="Note 2 20 7" xfId="24612" xr:uid="{00000000-0005-0000-0000-00002B600000}"/>
    <cellStyle name="Note 2 20 8" xfId="24613" xr:uid="{00000000-0005-0000-0000-00002C600000}"/>
    <cellStyle name="Note 2 20 9" xfId="24614" xr:uid="{00000000-0005-0000-0000-00002D600000}"/>
    <cellStyle name="Note 2 21" xfId="24615" xr:uid="{00000000-0005-0000-0000-00002E600000}"/>
    <cellStyle name="Note 2 21 10" xfId="24616" xr:uid="{00000000-0005-0000-0000-00002F600000}"/>
    <cellStyle name="Note 2 21 11" xfId="24617" xr:uid="{00000000-0005-0000-0000-000030600000}"/>
    <cellStyle name="Note 2 21 12" xfId="24618" xr:uid="{00000000-0005-0000-0000-000031600000}"/>
    <cellStyle name="Note 2 21 13" xfId="24619" xr:uid="{00000000-0005-0000-0000-000032600000}"/>
    <cellStyle name="Note 2 21 14" xfId="24620" xr:uid="{00000000-0005-0000-0000-000033600000}"/>
    <cellStyle name="Note 2 21 15" xfId="24621" xr:uid="{00000000-0005-0000-0000-000034600000}"/>
    <cellStyle name="Note 2 21 16" xfId="24622" xr:uid="{00000000-0005-0000-0000-000035600000}"/>
    <cellStyle name="Note 2 21 17" xfId="24623" xr:uid="{00000000-0005-0000-0000-000036600000}"/>
    <cellStyle name="Note 2 21 18" xfId="24624" xr:uid="{00000000-0005-0000-0000-000037600000}"/>
    <cellStyle name="Note 2 21 19" xfId="24625" xr:uid="{00000000-0005-0000-0000-000038600000}"/>
    <cellStyle name="Note 2 21 2" xfId="24626" xr:uid="{00000000-0005-0000-0000-000039600000}"/>
    <cellStyle name="Note 2 21 2 2" xfId="24627" xr:uid="{00000000-0005-0000-0000-00003A600000}"/>
    <cellStyle name="Note 2 21 2 2 2" xfId="24628" xr:uid="{00000000-0005-0000-0000-00003B600000}"/>
    <cellStyle name="Note 2 21 2 2 3" xfId="24629" xr:uid="{00000000-0005-0000-0000-00003C600000}"/>
    <cellStyle name="Note 2 21 2 3" xfId="24630" xr:uid="{00000000-0005-0000-0000-00003D600000}"/>
    <cellStyle name="Note 2 21 2 3 2" xfId="24631" xr:uid="{00000000-0005-0000-0000-00003E600000}"/>
    <cellStyle name="Note 2 21 2 3 3" xfId="24632" xr:uid="{00000000-0005-0000-0000-00003F600000}"/>
    <cellStyle name="Note 2 21 2 4" xfId="24633" xr:uid="{00000000-0005-0000-0000-000040600000}"/>
    <cellStyle name="Note 2 21 2 5" xfId="24634" xr:uid="{00000000-0005-0000-0000-000041600000}"/>
    <cellStyle name="Note 2 21 20" xfId="24635" xr:uid="{00000000-0005-0000-0000-000042600000}"/>
    <cellStyle name="Note 2 21 21" xfId="24636" xr:uid="{00000000-0005-0000-0000-000043600000}"/>
    <cellStyle name="Note 2 21 22" xfId="24637" xr:uid="{00000000-0005-0000-0000-000044600000}"/>
    <cellStyle name="Note 2 21 23" xfId="24638" xr:uid="{00000000-0005-0000-0000-000045600000}"/>
    <cellStyle name="Note 2 21 24" xfId="24639" xr:uid="{00000000-0005-0000-0000-000046600000}"/>
    <cellStyle name="Note 2 21 25" xfId="24640" xr:uid="{00000000-0005-0000-0000-000047600000}"/>
    <cellStyle name="Note 2 21 26" xfId="24641" xr:uid="{00000000-0005-0000-0000-000048600000}"/>
    <cellStyle name="Note 2 21 27" xfId="24642" xr:uid="{00000000-0005-0000-0000-000049600000}"/>
    <cellStyle name="Note 2 21 28" xfId="24643" xr:uid="{00000000-0005-0000-0000-00004A600000}"/>
    <cellStyle name="Note 2 21 29" xfId="24644" xr:uid="{00000000-0005-0000-0000-00004B600000}"/>
    <cellStyle name="Note 2 21 3" xfId="24645" xr:uid="{00000000-0005-0000-0000-00004C600000}"/>
    <cellStyle name="Note 2 21 3 2" xfId="24646" xr:uid="{00000000-0005-0000-0000-00004D600000}"/>
    <cellStyle name="Note 2 21 3 2 2" xfId="24647" xr:uid="{00000000-0005-0000-0000-00004E600000}"/>
    <cellStyle name="Note 2 21 3 2 3" xfId="24648" xr:uid="{00000000-0005-0000-0000-00004F600000}"/>
    <cellStyle name="Note 2 21 3 3" xfId="24649" xr:uid="{00000000-0005-0000-0000-000050600000}"/>
    <cellStyle name="Note 2 21 3 3 2" xfId="24650" xr:uid="{00000000-0005-0000-0000-000051600000}"/>
    <cellStyle name="Note 2 21 3 3 3" xfId="24651" xr:uid="{00000000-0005-0000-0000-000052600000}"/>
    <cellStyle name="Note 2 21 3 4" xfId="24652" xr:uid="{00000000-0005-0000-0000-000053600000}"/>
    <cellStyle name="Note 2 21 3 5" xfId="24653" xr:uid="{00000000-0005-0000-0000-000054600000}"/>
    <cellStyle name="Note 2 21 30" xfId="24654" xr:uid="{00000000-0005-0000-0000-000055600000}"/>
    <cellStyle name="Note 2 21 31" xfId="24655" xr:uid="{00000000-0005-0000-0000-000056600000}"/>
    <cellStyle name="Note 2 21 32" xfId="24656" xr:uid="{00000000-0005-0000-0000-000057600000}"/>
    <cellStyle name="Note 2 21 33" xfId="24657" xr:uid="{00000000-0005-0000-0000-000058600000}"/>
    <cellStyle name="Note 2 21 34" xfId="24658" xr:uid="{00000000-0005-0000-0000-000059600000}"/>
    <cellStyle name="Note 2 21 35" xfId="24659" xr:uid="{00000000-0005-0000-0000-00005A600000}"/>
    <cellStyle name="Note 2 21 4" xfId="24660" xr:uid="{00000000-0005-0000-0000-00005B600000}"/>
    <cellStyle name="Note 2 21 4 2" xfId="24661" xr:uid="{00000000-0005-0000-0000-00005C600000}"/>
    <cellStyle name="Note 2 21 4 3" xfId="24662" xr:uid="{00000000-0005-0000-0000-00005D600000}"/>
    <cellStyle name="Note 2 21 5" xfId="24663" xr:uid="{00000000-0005-0000-0000-00005E600000}"/>
    <cellStyle name="Note 2 21 5 2" xfId="24664" xr:uid="{00000000-0005-0000-0000-00005F600000}"/>
    <cellStyle name="Note 2 21 5 3" xfId="24665" xr:uid="{00000000-0005-0000-0000-000060600000}"/>
    <cellStyle name="Note 2 21 6" xfId="24666" xr:uid="{00000000-0005-0000-0000-000061600000}"/>
    <cellStyle name="Note 2 21 7" xfId="24667" xr:uid="{00000000-0005-0000-0000-000062600000}"/>
    <cellStyle name="Note 2 21 8" xfId="24668" xr:uid="{00000000-0005-0000-0000-000063600000}"/>
    <cellStyle name="Note 2 21 9" xfId="24669" xr:uid="{00000000-0005-0000-0000-000064600000}"/>
    <cellStyle name="Note 2 22" xfId="24670" xr:uid="{00000000-0005-0000-0000-000065600000}"/>
    <cellStyle name="Note 2 22 2" xfId="24671" xr:uid="{00000000-0005-0000-0000-000066600000}"/>
    <cellStyle name="Note 2 22 3" xfId="24672" xr:uid="{00000000-0005-0000-0000-000067600000}"/>
    <cellStyle name="Note 2 23" xfId="24673" xr:uid="{00000000-0005-0000-0000-000068600000}"/>
    <cellStyle name="Note 2 23 2" xfId="24674" xr:uid="{00000000-0005-0000-0000-000069600000}"/>
    <cellStyle name="Note 2 23 3" xfId="24675" xr:uid="{00000000-0005-0000-0000-00006A600000}"/>
    <cellStyle name="Note 2 24" xfId="24676" xr:uid="{00000000-0005-0000-0000-00006B600000}"/>
    <cellStyle name="Note 2 25" xfId="24677" xr:uid="{00000000-0005-0000-0000-00006C600000}"/>
    <cellStyle name="Note 2 26" xfId="24678" xr:uid="{00000000-0005-0000-0000-00006D600000}"/>
    <cellStyle name="Note 2 27" xfId="24679" xr:uid="{00000000-0005-0000-0000-00006E600000}"/>
    <cellStyle name="Note 2 28" xfId="24680" xr:uid="{00000000-0005-0000-0000-00006F600000}"/>
    <cellStyle name="Note 2 29" xfId="24681" xr:uid="{00000000-0005-0000-0000-000070600000}"/>
    <cellStyle name="Note 2 3" xfId="24682" xr:uid="{00000000-0005-0000-0000-000071600000}"/>
    <cellStyle name="Note 2 3 10" xfId="24683" xr:uid="{00000000-0005-0000-0000-000072600000}"/>
    <cellStyle name="Note 2 3 11" xfId="24684" xr:uid="{00000000-0005-0000-0000-000073600000}"/>
    <cellStyle name="Note 2 3 12" xfId="24685" xr:uid="{00000000-0005-0000-0000-000074600000}"/>
    <cellStyle name="Note 2 3 13" xfId="24686" xr:uid="{00000000-0005-0000-0000-000075600000}"/>
    <cellStyle name="Note 2 3 14" xfId="24687" xr:uid="{00000000-0005-0000-0000-000076600000}"/>
    <cellStyle name="Note 2 3 15" xfId="24688" xr:uid="{00000000-0005-0000-0000-000077600000}"/>
    <cellStyle name="Note 2 3 16" xfId="24689" xr:uid="{00000000-0005-0000-0000-000078600000}"/>
    <cellStyle name="Note 2 3 17" xfId="24690" xr:uid="{00000000-0005-0000-0000-000079600000}"/>
    <cellStyle name="Note 2 3 18" xfId="24691" xr:uid="{00000000-0005-0000-0000-00007A600000}"/>
    <cellStyle name="Note 2 3 19" xfId="24692" xr:uid="{00000000-0005-0000-0000-00007B600000}"/>
    <cellStyle name="Note 2 3 2" xfId="24693" xr:uid="{00000000-0005-0000-0000-00007C600000}"/>
    <cellStyle name="Note 2 3 2 10" xfId="24694" xr:uid="{00000000-0005-0000-0000-00007D600000}"/>
    <cellStyle name="Note 2 3 2 11" xfId="24695" xr:uid="{00000000-0005-0000-0000-00007E600000}"/>
    <cellStyle name="Note 2 3 2 12" xfId="24696" xr:uid="{00000000-0005-0000-0000-00007F600000}"/>
    <cellStyle name="Note 2 3 2 13" xfId="24697" xr:uid="{00000000-0005-0000-0000-000080600000}"/>
    <cellStyle name="Note 2 3 2 14" xfId="24698" xr:uid="{00000000-0005-0000-0000-000081600000}"/>
    <cellStyle name="Note 2 3 2 15" xfId="24699" xr:uid="{00000000-0005-0000-0000-000082600000}"/>
    <cellStyle name="Note 2 3 2 16" xfId="24700" xr:uid="{00000000-0005-0000-0000-000083600000}"/>
    <cellStyle name="Note 2 3 2 17" xfId="24701" xr:uid="{00000000-0005-0000-0000-000084600000}"/>
    <cellStyle name="Note 2 3 2 18" xfId="24702" xr:uid="{00000000-0005-0000-0000-000085600000}"/>
    <cellStyle name="Note 2 3 2 19" xfId="24703" xr:uid="{00000000-0005-0000-0000-000086600000}"/>
    <cellStyle name="Note 2 3 2 2" xfId="24704" xr:uid="{00000000-0005-0000-0000-000087600000}"/>
    <cellStyle name="Note 2 3 2 2 10" xfId="24705" xr:uid="{00000000-0005-0000-0000-000088600000}"/>
    <cellStyle name="Note 2 3 2 2 11" xfId="24706" xr:uid="{00000000-0005-0000-0000-000089600000}"/>
    <cellStyle name="Note 2 3 2 2 12" xfId="24707" xr:uid="{00000000-0005-0000-0000-00008A600000}"/>
    <cellStyle name="Note 2 3 2 2 13" xfId="24708" xr:uid="{00000000-0005-0000-0000-00008B600000}"/>
    <cellStyle name="Note 2 3 2 2 14" xfId="24709" xr:uid="{00000000-0005-0000-0000-00008C600000}"/>
    <cellStyle name="Note 2 3 2 2 15" xfId="24710" xr:uid="{00000000-0005-0000-0000-00008D600000}"/>
    <cellStyle name="Note 2 3 2 2 16" xfId="24711" xr:uid="{00000000-0005-0000-0000-00008E600000}"/>
    <cellStyle name="Note 2 3 2 2 17" xfId="24712" xr:uid="{00000000-0005-0000-0000-00008F600000}"/>
    <cellStyle name="Note 2 3 2 2 18" xfId="24713" xr:uid="{00000000-0005-0000-0000-000090600000}"/>
    <cellStyle name="Note 2 3 2 2 19" xfId="24714" xr:uid="{00000000-0005-0000-0000-000091600000}"/>
    <cellStyle name="Note 2 3 2 2 2" xfId="24715" xr:uid="{00000000-0005-0000-0000-000092600000}"/>
    <cellStyle name="Note 2 3 2 2 2 2" xfId="24716" xr:uid="{00000000-0005-0000-0000-000093600000}"/>
    <cellStyle name="Note 2 3 2 2 2 2 2" xfId="24717" xr:uid="{00000000-0005-0000-0000-000094600000}"/>
    <cellStyle name="Note 2 3 2 2 2 2 3" xfId="24718" xr:uid="{00000000-0005-0000-0000-000095600000}"/>
    <cellStyle name="Note 2 3 2 2 2 3" xfId="24719" xr:uid="{00000000-0005-0000-0000-000096600000}"/>
    <cellStyle name="Note 2 3 2 2 2 3 2" xfId="24720" xr:uid="{00000000-0005-0000-0000-000097600000}"/>
    <cellStyle name="Note 2 3 2 2 2 3 3" xfId="24721" xr:uid="{00000000-0005-0000-0000-000098600000}"/>
    <cellStyle name="Note 2 3 2 2 2 4" xfId="24722" xr:uid="{00000000-0005-0000-0000-000099600000}"/>
    <cellStyle name="Note 2 3 2 2 2 5" xfId="24723" xr:uid="{00000000-0005-0000-0000-00009A600000}"/>
    <cellStyle name="Note 2 3 2 2 20" xfId="24724" xr:uid="{00000000-0005-0000-0000-00009B600000}"/>
    <cellStyle name="Note 2 3 2 2 21" xfId="24725" xr:uid="{00000000-0005-0000-0000-00009C600000}"/>
    <cellStyle name="Note 2 3 2 2 22" xfId="24726" xr:uid="{00000000-0005-0000-0000-00009D600000}"/>
    <cellStyle name="Note 2 3 2 2 23" xfId="24727" xr:uid="{00000000-0005-0000-0000-00009E600000}"/>
    <cellStyle name="Note 2 3 2 2 24" xfId="24728" xr:uid="{00000000-0005-0000-0000-00009F600000}"/>
    <cellStyle name="Note 2 3 2 2 25" xfId="24729" xr:uid="{00000000-0005-0000-0000-0000A0600000}"/>
    <cellStyle name="Note 2 3 2 2 26" xfId="24730" xr:uid="{00000000-0005-0000-0000-0000A1600000}"/>
    <cellStyle name="Note 2 3 2 2 27" xfId="24731" xr:uid="{00000000-0005-0000-0000-0000A2600000}"/>
    <cellStyle name="Note 2 3 2 2 28" xfId="24732" xr:uid="{00000000-0005-0000-0000-0000A3600000}"/>
    <cellStyle name="Note 2 3 2 2 29" xfId="24733" xr:uid="{00000000-0005-0000-0000-0000A4600000}"/>
    <cellStyle name="Note 2 3 2 2 3" xfId="24734" xr:uid="{00000000-0005-0000-0000-0000A5600000}"/>
    <cellStyle name="Note 2 3 2 2 3 2" xfId="24735" xr:uid="{00000000-0005-0000-0000-0000A6600000}"/>
    <cellStyle name="Note 2 3 2 2 3 2 2" xfId="24736" xr:uid="{00000000-0005-0000-0000-0000A7600000}"/>
    <cellStyle name="Note 2 3 2 2 3 2 3" xfId="24737" xr:uid="{00000000-0005-0000-0000-0000A8600000}"/>
    <cellStyle name="Note 2 3 2 2 3 3" xfId="24738" xr:uid="{00000000-0005-0000-0000-0000A9600000}"/>
    <cellStyle name="Note 2 3 2 2 3 3 2" xfId="24739" xr:uid="{00000000-0005-0000-0000-0000AA600000}"/>
    <cellStyle name="Note 2 3 2 2 3 3 3" xfId="24740" xr:uid="{00000000-0005-0000-0000-0000AB600000}"/>
    <cellStyle name="Note 2 3 2 2 3 4" xfId="24741" xr:uid="{00000000-0005-0000-0000-0000AC600000}"/>
    <cellStyle name="Note 2 3 2 2 3 5" xfId="24742" xr:uid="{00000000-0005-0000-0000-0000AD600000}"/>
    <cellStyle name="Note 2 3 2 2 30" xfId="24743" xr:uid="{00000000-0005-0000-0000-0000AE600000}"/>
    <cellStyle name="Note 2 3 2 2 31" xfId="24744" xr:uid="{00000000-0005-0000-0000-0000AF600000}"/>
    <cellStyle name="Note 2 3 2 2 32" xfId="24745" xr:uid="{00000000-0005-0000-0000-0000B0600000}"/>
    <cellStyle name="Note 2 3 2 2 33" xfId="24746" xr:uid="{00000000-0005-0000-0000-0000B1600000}"/>
    <cellStyle name="Note 2 3 2 2 34" xfId="24747" xr:uid="{00000000-0005-0000-0000-0000B2600000}"/>
    <cellStyle name="Note 2 3 2 2 35" xfId="24748" xr:uid="{00000000-0005-0000-0000-0000B3600000}"/>
    <cellStyle name="Note 2 3 2 2 4" xfId="24749" xr:uid="{00000000-0005-0000-0000-0000B4600000}"/>
    <cellStyle name="Note 2 3 2 2 4 2" xfId="24750" xr:uid="{00000000-0005-0000-0000-0000B5600000}"/>
    <cellStyle name="Note 2 3 2 2 4 3" xfId="24751" xr:uid="{00000000-0005-0000-0000-0000B6600000}"/>
    <cellStyle name="Note 2 3 2 2 5" xfId="24752" xr:uid="{00000000-0005-0000-0000-0000B7600000}"/>
    <cellStyle name="Note 2 3 2 2 5 2" xfId="24753" xr:uid="{00000000-0005-0000-0000-0000B8600000}"/>
    <cellStyle name="Note 2 3 2 2 5 3" xfId="24754" xr:uid="{00000000-0005-0000-0000-0000B9600000}"/>
    <cellStyle name="Note 2 3 2 2 6" xfId="24755" xr:uid="{00000000-0005-0000-0000-0000BA600000}"/>
    <cellStyle name="Note 2 3 2 2 7" xfId="24756" xr:uid="{00000000-0005-0000-0000-0000BB600000}"/>
    <cellStyle name="Note 2 3 2 2 8" xfId="24757" xr:uid="{00000000-0005-0000-0000-0000BC600000}"/>
    <cellStyle name="Note 2 3 2 2 9" xfId="24758" xr:uid="{00000000-0005-0000-0000-0000BD600000}"/>
    <cellStyle name="Note 2 3 2 20" xfId="24759" xr:uid="{00000000-0005-0000-0000-0000BE600000}"/>
    <cellStyle name="Note 2 3 2 21" xfId="24760" xr:uid="{00000000-0005-0000-0000-0000BF600000}"/>
    <cellStyle name="Note 2 3 2 22" xfId="24761" xr:uid="{00000000-0005-0000-0000-0000C0600000}"/>
    <cellStyle name="Note 2 3 2 23" xfId="24762" xr:uid="{00000000-0005-0000-0000-0000C1600000}"/>
    <cellStyle name="Note 2 3 2 24" xfId="24763" xr:uid="{00000000-0005-0000-0000-0000C2600000}"/>
    <cellStyle name="Note 2 3 2 25" xfId="24764" xr:uid="{00000000-0005-0000-0000-0000C3600000}"/>
    <cellStyle name="Note 2 3 2 26" xfId="24765" xr:uid="{00000000-0005-0000-0000-0000C4600000}"/>
    <cellStyle name="Note 2 3 2 27" xfId="24766" xr:uid="{00000000-0005-0000-0000-0000C5600000}"/>
    <cellStyle name="Note 2 3 2 28" xfId="24767" xr:uid="{00000000-0005-0000-0000-0000C6600000}"/>
    <cellStyle name="Note 2 3 2 29" xfId="24768" xr:uid="{00000000-0005-0000-0000-0000C7600000}"/>
    <cellStyle name="Note 2 3 2 3" xfId="24769" xr:uid="{00000000-0005-0000-0000-0000C8600000}"/>
    <cellStyle name="Note 2 3 2 3 2" xfId="24770" xr:uid="{00000000-0005-0000-0000-0000C9600000}"/>
    <cellStyle name="Note 2 3 2 3 3" xfId="24771" xr:uid="{00000000-0005-0000-0000-0000CA600000}"/>
    <cellStyle name="Note 2 3 2 30" xfId="24772" xr:uid="{00000000-0005-0000-0000-0000CB600000}"/>
    <cellStyle name="Note 2 3 2 31" xfId="24773" xr:uid="{00000000-0005-0000-0000-0000CC600000}"/>
    <cellStyle name="Note 2 3 2 32" xfId="24774" xr:uid="{00000000-0005-0000-0000-0000CD600000}"/>
    <cellStyle name="Note 2 3 2 33" xfId="24775" xr:uid="{00000000-0005-0000-0000-0000CE600000}"/>
    <cellStyle name="Note 2 3 2 34" xfId="24776" xr:uid="{00000000-0005-0000-0000-0000CF600000}"/>
    <cellStyle name="Note 2 3 2 4" xfId="24777" xr:uid="{00000000-0005-0000-0000-0000D0600000}"/>
    <cellStyle name="Note 2 3 2 4 2" xfId="24778" xr:uid="{00000000-0005-0000-0000-0000D1600000}"/>
    <cellStyle name="Note 2 3 2 4 3" xfId="24779" xr:uid="{00000000-0005-0000-0000-0000D2600000}"/>
    <cellStyle name="Note 2 3 2 5" xfId="24780" xr:uid="{00000000-0005-0000-0000-0000D3600000}"/>
    <cellStyle name="Note 2 3 2 6" xfId="24781" xr:uid="{00000000-0005-0000-0000-0000D4600000}"/>
    <cellStyle name="Note 2 3 2 7" xfId="24782" xr:uid="{00000000-0005-0000-0000-0000D5600000}"/>
    <cellStyle name="Note 2 3 2 8" xfId="24783" xr:uid="{00000000-0005-0000-0000-0000D6600000}"/>
    <cellStyle name="Note 2 3 2 9" xfId="24784" xr:uid="{00000000-0005-0000-0000-0000D7600000}"/>
    <cellStyle name="Note 2 3 20" xfId="24785" xr:uid="{00000000-0005-0000-0000-0000D8600000}"/>
    <cellStyle name="Note 2 3 21" xfId="24786" xr:uid="{00000000-0005-0000-0000-0000D9600000}"/>
    <cellStyle name="Note 2 3 22" xfId="24787" xr:uid="{00000000-0005-0000-0000-0000DA600000}"/>
    <cellStyle name="Note 2 3 23" xfId="24788" xr:uid="{00000000-0005-0000-0000-0000DB600000}"/>
    <cellStyle name="Note 2 3 24" xfId="24789" xr:uid="{00000000-0005-0000-0000-0000DC600000}"/>
    <cellStyle name="Note 2 3 25" xfId="24790" xr:uid="{00000000-0005-0000-0000-0000DD600000}"/>
    <cellStyle name="Note 2 3 26" xfId="24791" xr:uid="{00000000-0005-0000-0000-0000DE600000}"/>
    <cellStyle name="Note 2 3 27" xfId="24792" xr:uid="{00000000-0005-0000-0000-0000DF600000}"/>
    <cellStyle name="Note 2 3 28" xfId="24793" xr:uid="{00000000-0005-0000-0000-0000E0600000}"/>
    <cellStyle name="Note 2 3 29" xfId="24794" xr:uid="{00000000-0005-0000-0000-0000E1600000}"/>
    <cellStyle name="Note 2 3 3" xfId="24795" xr:uid="{00000000-0005-0000-0000-0000E2600000}"/>
    <cellStyle name="Note 2 3 3 10" xfId="24796" xr:uid="{00000000-0005-0000-0000-0000E3600000}"/>
    <cellStyle name="Note 2 3 3 11" xfId="24797" xr:uid="{00000000-0005-0000-0000-0000E4600000}"/>
    <cellStyle name="Note 2 3 3 12" xfId="24798" xr:uid="{00000000-0005-0000-0000-0000E5600000}"/>
    <cellStyle name="Note 2 3 3 13" xfId="24799" xr:uid="{00000000-0005-0000-0000-0000E6600000}"/>
    <cellStyle name="Note 2 3 3 14" xfId="24800" xr:uid="{00000000-0005-0000-0000-0000E7600000}"/>
    <cellStyle name="Note 2 3 3 15" xfId="24801" xr:uid="{00000000-0005-0000-0000-0000E8600000}"/>
    <cellStyle name="Note 2 3 3 16" xfId="24802" xr:uid="{00000000-0005-0000-0000-0000E9600000}"/>
    <cellStyle name="Note 2 3 3 17" xfId="24803" xr:uid="{00000000-0005-0000-0000-0000EA600000}"/>
    <cellStyle name="Note 2 3 3 18" xfId="24804" xr:uid="{00000000-0005-0000-0000-0000EB600000}"/>
    <cellStyle name="Note 2 3 3 19" xfId="24805" xr:uid="{00000000-0005-0000-0000-0000EC600000}"/>
    <cellStyle name="Note 2 3 3 2" xfId="24806" xr:uid="{00000000-0005-0000-0000-0000ED600000}"/>
    <cellStyle name="Note 2 3 3 2 2" xfId="24807" xr:uid="{00000000-0005-0000-0000-0000EE600000}"/>
    <cellStyle name="Note 2 3 3 2 2 2" xfId="24808" xr:uid="{00000000-0005-0000-0000-0000EF600000}"/>
    <cellStyle name="Note 2 3 3 2 2 3" xfId="24809" xr:uid="{00000000-0005-0000-0000-0000F0600000}"/>
    <cellStyle name="Note 2 3 3 2 3" xfId="24810" xr:uid="{00000000-0005-0000-0000-0000F1600000}"/>
    <cellStyle name="Note 2 3 3 2 3 2" xfId="24811" xr:uid="{00000000-0005-0000-0000-0000F2600000}"/>
    <cellStyle name="Note 2 3 3 2 3 3" xfId="24812" xr:uid="{00000000-0005-0000-0000-0000F3600000}"/>
    <cellStyle name="Note 2 3 3 2 4" xfId="24813" xr:uid="{00000000-0005-0000-0000-0000F4600000}"/>
    <cellStyle name="Note 2 3 3 2 5" xfId="24814" xr:uid="{00000000-0005-0000-0000-0000F5600000}"/>
    <cellStyle name="Note 2 3 3 20" xfId="24815" xr:uid="{00000000-0005-0000-0000-0000F6600000}"/>
    <cellStyle name="Note 2 3 3 21" xfId="24816" xr:uid="{00000000-0005-0000-0000-0000F7600000}"/>
    <cellStyle name="Note 2 3 3 22" xfId="24817" xr:uid="{00000000-0005-0000-0000-0000F8600000}"/>
    <cellStyle name="Note 2 3 3 23" xfId="24818" xr:uid="{00000000-0005-0000-0000-0000F9600000}"/>
    <cellStyle name="Note 2 3 3 24" xfId="24819" xr:uid="{00000000-0005-0000-0000-0000FA600000}"/>
    <cellStyle name="Note 2 3 3 25" xfId="24820" xr:uid="{00000000-0005-0000-0000-0000FB600000}"/>
    <cellStyle name="Note 2 3 3 26" xfId="24821" xr:uid="{00000000-0005-0000-0000-0000FC600000}"/>
    <cellStyle name="Note 2 3 3 27" xfId="24822" xr:uid="{00000000-0005-0000-0000-0000FD600000}"/>
    <cellStyle name="Note 2 3 3 28" xfId="24823" xr:uid="{00000000-0005-0000-0000-0000FE600000}"/>
    <cellStyle name="Note 2 3 3 29" xfId="24824" xr:uid="{00000000-0005-0000-0000-0000FF600000}"/>
    <cellStyle name="Note 2 3 3 3" xfId="24825" xr:uid="{00000000-0005-0000-0000-000000610000}"/>
    <cellStyle name="Note 2 3 3 3 2" xfId="24826" xr:uid="{00000000-0005-0000-0000-000001610000}"/>
    <cellStyle name="Note 2 3 3 3 2 2" xfId="24827" xr:uid="{00000000-0005-0000-0000-000002610000}"/>
    <cellStyle name="Note 2 3 3 3 2 3" xfId="24828" xr:uid="{00000000-0005-0000-0000-000003610000}"/>
    <cellStyle name="Note 2 3 3 3 3" xfId="24829" xr:uid="{00000000-0005-0000-0000-000004610000}"/>
    <cellStyle name="Note 2 3 3 3 3 2" xfId="24830" xr:uid="{00000000-0005-0000-0000-000005610000}"/>
    <cellStyle name="Note 2 3 3 3 3 3" xfId="24831" xr:uid="{00000000-0005-0000-0000-000006610000}"/>
    <cellStyle name="Note 2 3 3 3 4" xfId="24832" xr:uid="{00000000-0005-0000-0000-000007610000}"/>
    <cellStyle name="Note 2 3 3 3 5" xfId="24833" xr:uid="{00000000-0005-0000-0000-000008610000}"/>
    <cellStyle name="Note 2 3 3 30" xfId="24834" xr:uid="{00000000-0005-0000-0000-000009610000}"/>
    <cellStyle name="Note 2 3 3 31" xfId="24835" xr:uid="{00000000-0005-0000-0000-00000A610000}"/>
    <cellStyle name="Note 2 3 3 32" xfId="24836" xr:uid="{00000000-0005-0000-0000-00000B610000}"/>
    <cellStyle name="Note 2 3 3 33" xfId="24837" xr:uid="{00000000-0005-0000-0000-00000C610000}"/>
    <cellStyle name="Note 2 3 3 34" xfId="24838" xr:uid="{00000000-0005-0000-0000-00000D610000}"/>
    <cellStyle name="Note 2 3 3 35" xfId="24839" xr:uid="{00000000-0005-0000-0000-00000E610000}"/>
    <cellStyle name="Note 2 3 3 4" xfId="24840" xr:uid="{00000000-0005-0000-0000-00000F610000}"/>
    <cellStyle name="Note 2 3 3 4 2" xfId="24841" xr:uid="{00000000-0005-0000-0000-000010610000}"/>
    <cellStyle name="Note 2 3 3 4 3" xfId="24842" xr:uid="{00000000-0005-0000-0000-000011610000}"/>
    <cellStyle name="Note 2 3 3 5" xfId="24843" xr:uid="{00000000-0005-0000-0000-000012610000}"/>
    <cellStyle name="Note 2 3 3 5 2" xfId="24844" xr:uid="{00000000-0005-0000-0000-000013610000}"/>
    <cellStyle name="Note 2 3 3 5 3" xfId="24845" xr:uid="{00000000-0005-0000-0000-000014610000}"/>
    <cellStyle name="Note 2 3 3 6" xfId="24846" xr:uid="{00000000-0005-0000-0000-000015610000}"/>
    <cellStyle name="Note 2 3 3 7" xfId="24847" xr:uid="{00000000-0005-0000-0000-000016610000}"/>
    <cellStyle name="Note 2 3 3 8" xfId="24848" xr:uid="{00000000-0005-0000-0000-000017610000}"/>
    <cellStyle name="Note 2 3 3 9" xfId="24849" xr:uid="{00000000-0005-0000-0000-000018610000}"/>
    <cellStyle name="Note 2 3 30" xfId="24850" xr:uid="{00000000-0005-0000-0000-000019610000}"/>
    <cellStyle name="Note 2 3 31" xfId="24851" xr:uid="{00000000-0005-0000-0000-00001A610000}"/>
    <cellStyle name="Note 2 3 32" xfId="24852" xr:uid="{00000000-0005-0000-0000-00001B610000}"/>
    <cellStyle name="Note 2 3 33" xfId="24853" xr:uid="{00000000-0005-0000-0000-00001C610000}"/>
    <cellStyle name="Note 2 3 34" xfId="24854" xr:uid="{00000000-0005-0000-0000-00001D610000}"/>
    <cellStyle name="Note 2 3 35" xfId="24855" xr:uid="{00000000-0005-0000-0000-00001E610000}"/>
    <cellStyle name="Note 2 3 4" xfId="24856" xr:uid="{00000000-0005-0000-0000-00001F610000}"/>
    <cellStyle name="Note 2 3 4 2" xfId="24857" xr:uid="{00000000-0005-0000-0000-000020610000}"/>
    <cellStyle name="Note 2 3 4 3" xfId="24858" xr:uid="{00000000-0005-0000-0000-000021610000}"/>
    <cellStyle name="Note 2 3 5" xfId="24859" xr:uid="{00000000-0005-0000-0000-000022610000}"/>
    <cellStyle name="Note 2 3 5 2" xfId="24860" xr:uid="{00000000-0005-0000-0000-000023610000}"/>
    <cellStyle name="Note 2 3 5 3" xfId="24861" xr:uid="{00000000-0005-0000-0000-000024610000}"/>
    <cellStyle name="Note 2 3 6" xfId="24862" xr:uid="{00000000-0005-0000-0000-000025610000}"/>
    <cellStyle name="Note 2 3 7" xfId="24863" xr:uid="{00000000-0005-0000-0000-000026610000}"/>
    <cellStyle name="Note 2 3 8" xfId="24864" xr:uid="{00000000-0005-0000-0000-000027610000}"/>
    <cellStyle name="Note 2 3 9" xfId="24865" xr:uid="{00000000-0005-0000-0000-000028610000}"/>
    <cellStyle name="Note 2 30" xfId="24866" xr:uid="{00000000-0005-0000-0000-000029610000}"/>
    <cellStyle name="Note 2 31" xfId="24867" xr:uid="{00000000-0005-0000-0000-00002A610000}"/>
    <cellStyle name="Note 2 32" xfId="24868" xr:uid="{00000000-0005-0000-0000-00002B610000}"/>
    <cellStyle name="Note 2 33" xfId="24869" xr:uid="{00000000-0005-0000-0000-00002C610000}"/>
    <cellStyle name="Note 2 34" xfId="24870" xr:uid="{00000000-0005-0000-0000-00002D610000}"/>
    <cellStyle name="Note 2 35" xfId="24871" xr:uid="{00000000-0005-0000-0000-00002E610000}"/>
    <cellStyle name="Note 2 36" xfId="24872" xr:uid="{00000000-0005-0000-0000-00002F610000}"/>
    <cellStyle name="Note 2 37" xfId="24873" xr:uid="{00000000-0005-0000-0000-000030610000}"/>
    <cellStyle name="Note 2 38" xfId="24874" xr:uid="{00000000-0005-0000-0000-000031610000}"/>
    <cellStyle name="Note 2 39" xfId="24875" xr:uid="{00000000-0005-0000-0000-000032610000}"/>
    <cellStyle name="Note 2 4" xfId="24876" xr:uid="{00000000-0005-0000-0000-000033610000}"/>
    <cellStyle name="Note 2 4 10" xfId="24877" xr:uid="{00000000-0005-0000-0000-000034610000}"/>
    <cellStyle name="Note 2 4 11" xfId="24878" xr:uid="{00000000-0005-0000-0000-000035610000}"/>
    <cellStyle name="Note 2 4 12" xfId="24879" xr:uid="{00000000-0005-0000-0000-000036610000}"/>
    <cellStyle name="Note 2 4 13" xfId="24880" xr:uid="{00000000-0005-0000-0000-000037610000}"/>
    <cellStyle name="Note 2 4 14" xfId="24881" xr:uid="{00000000-0005-0000-0000-000038610000}"/>
    <cellStyle name="Note 2 4 15" xfId="24882" xr:uid="{00000000-0005-0000-0000-000039610000}"/>
    <cellStyle name="Note 2 4 16" xfId="24883" xr:uid="{00000000-0005-0000-0000-00003A610000}"/>
    <cellStyle name="Note 2 4 17" xfId="24884" xr:uid="{00000000-0005-0000-0000-00003B610000}"/>
    <cellStyle name="Note 2 4 18" xfId="24885" xr:uid="{00000000-0005-0000-0000-00003C610000}"/>
    <cellStyle name="Note 2 4 19" xfId="24886" xr:uid="{00000000-0005-0000-0000-00003D610000}"/>
    <cellStyle name="Note 2 4 2" xfId="24887" xr:uid="{00000000-0005-0000-0000-00003E610000}"/>
    <cellStyle name="Note 2 4 2 10" xfId="24888" xr:uid="{00000000-0005-0000-0000-00003F610000}"/>
    <cellStyle name="Note 2 4 2 11" xfId="24889" xr:uid="{00000000-0005-0000-0000-000040610000}"/>
    <cellStyle name="Note 2 4 2 12" xfId="24890" xr:uid="{00000000-0005-0000-0000-000041610000}"/>
    <cellStyle name="Note 2 4 2 13" xfId="24891" xr:uid="{00000000-0005-0000-0000-000042610000}"/>
    <cellStyle name="Note 2 4 2 14" xfId="24892" xr:uid="{00000000-0005-0000-0000-000043610000}"/>
    <cellStyle name="Note 2 4 2 15" xfId="24893" xr:uid="{00000000-0005-0000-0000-000044610000}"/>
    <cellStyle name="Note 2 4 2 16" xfId="24894" xr:uid="{00000000-0005-0000-0000-000045610000}"/>
    <cellStyle name="Note 2 4 2 17" xfId="24895" xr:uid="{00000000-0005-0000-0000-000046610000}"/>
    <cellStyle name="Note 2 4 2 18" xfId="24896" xr:uid="{00000000-0005-0000-0000-000047610000}"/>
    <cellStyle name="Note 2 4 2 19" xfId="24897" xr:uid="{00000000-0005-0000-0000-000048610000}"/>
    <cellStyle name="Note 2 4 2 2" xfId="24898" xr:uid="{00000000-0005-0000-0000-000049610000}"/>
    <cellStyle name="Note 2 4 2 2 10" xfId="24899" xr:uid="{00000000-0005-0000-0000-00004A610000}"/>
    <cellStyle name="Note 2 4 2 2 11" xfId="24900" xr:uid="{00000000-0005-0000-0000-00004B610000}"/>
    <cellStyle name="Note 2 4 2 2 12" xfId="24901" xr:uid="{00000000-0005-0000-0000-00004C610000}"/>
    <cellStyle name="Note 2 4 2 2 13" xfId="24902" xr:uid="{00000000-0005-0000-0000-00004D610000}"/>
    <cellStyle name="Note 2 4 2 2 14" xfId="24903" xr:uid="{00000000-0005-0000-0000-00004E610000}"/>
    <cellStyle name="Note 2 4 2 2 15" xfId="24904" xr:uid="{00000000-0005-0000-0000-00004F610000}"/>
    <cellStyle name="Note 2 4 2 2 16" xfId="24905" xr:uid="{00000000-0005-0000-0000-000050610000}"/>
    <cellStyle name="Note 2 4 2 2 17" xfId="24906" xr:uid="{00000000-0005-0000-0000-000051610000}"/>
    <cellStyle name="Note 2 4 2 2 18" xfId="24907" xr:uid="{00000000-0005-0000-0000-000052610000}"/>
    <cellStyle name="Note 2 4 2 2 19" xfId="24908" xr:uid="{00000000-0005-0000-0000-000053610000}"/>
    <cellStyle name="Note 2 4 2 2 2" xfId="24909" xr:uid="{00000000-0005-0000-0000-000054610000}"/>
    <cellStyle name="Note 2 4 2 2 2 2" xfId="24910" xr:uid="{00000000-0005-0000-0000-000055610000}"/>
    <cellStyle name="Note 2 4 2 2 2 2 2" xfId="24911" xr:uid="{00000000-0005-0000-0000-000056610000}"/>
    <cellStyle name="Note 2 4 2 2 2 2 3" xfId="24912" xr:uid="{00000000-0005-0000-0000-000057610000}"/>
    <cellStyle name="Note 2 4 2 2 2 3" xfId="24913" xr:uid="{00000000-0005-0000-0000-000058610000}"/>
    <cellStyle name="Note 2 4 2 2 2 3 2" xfId="24914" xr:uid="{00000000-0005-0000-0000-000059610000}"/>
    <cellStyle name="Note 2 4 2 2 2 3 3" xfId="24915" xr:uid="{00000000-0005-0000-0000-00005A610000}"/>
    <cellStyle name="Note 2 4 2 2 2 4" xfId="24916" xr:uid="{00000000-0005-0000-0000-00005B610000}"/>
    <cellStyle name="Note 2 4 2 2 2 5" xfId="24917" xr:uid="{00000000-0005-0000-0000-00005C610000}"/>
    <cellStyle name="Note 2 4 2 2 20" xfId="24918" xr:uid="{00000000-0005-0000-0000-00005D610000}"/>
    <cellStyle name="Note 2 4 2 2 21" xfId="24919" xr:uid="{00000000-0005-0000-0000-00005E610000}"/>
    <cellStyle name="Note 2 4 2 2 22" xfId="24920" xr:uid="{00000000-0005-0000-0000-00005F610000}"/>
    <cellStyle name="Note 2 4 2 2 23" xfId="24921" xr:uid="{00000000-0005-0000-0000-000060610000}"/>
    <cellStyle name="Note 2 4 2 2 24" xfId="24922" xr:uid="{00000000-0005-0000-0000-000061610000}"/>
    <cellStyle name="Note 2 4 2 2 25" xfId="24923" xr:uid="{00000000-0005-0000-0000-000062610000}"/>
    <cellStyle name="Note 2 4 2 2 26" xfId="24924" xr:uid="{00000000-0005-0000-0000-000063610000}"/>
    <cellStyle name="Note 2 4 2 2 27" xfId="24925" xr:uid="{00000000-0005-0000-0000-000064610000}"/>
    <cellStyle name="Note 2 4 2 2 28" xfId="24926" xr:uid="{00000000-0005-0000-0000-000065610000}"/>
    <cellStyle name="Note 2 4 2 2 29" xfId="24927" xr:uid="{00000000-0005-0000-0000-000066610000}"/>
    <cellStyle name="Note 2 4 2 2 3" xfId="24928" xr:uid="{00000000-0005-0000-0000-000067610000}"/>
    <cellStyle name="Note 2 4 2 2 3 2" xfId="24929" xr:uid="{00000000-0005-0000-0000-000068610000}"/>
    <cellStyle name="Note 2 4 2 2 3 2 2" xfId="24930" xr:uid="{00000000-0005-0000-0000-000069610000}"/>
    <cellStyle name="Note 2 4 2 2 3 2 3" xfId="24931" xr:uid="{00000000-0005-0000-0000-00006A610000}"/>
    <cellStyle name="Note 2 4 2 2 3 3" xfId="24932" xr:uid="{00000000-0005-0000-0000-00006B610000}"/>
    <cellStyle name="Note 2 4 2 2 3 3 2" xfId="24933" xr:uid="{00000000-0005-0000-0000-00006C610000}"/>
    <cellStyle name="Note 2 4 2 2 3 3 3" xfId="24934" xr:uid="{00000000-0005-0000-0000-00006D610000}"/>
    <cellStyle name="Note 2 4 2 2 3 4" xfId="24935" xr:uid="{00000000-0005-0000-0000-00006E610000}"/>
    <cellStyle name="Note 2 4 2 2 3 5" xfId="24936" xr:uid="{00000000-0005-0000-0000-00006F610000}"/>
    <cellStyle name="Note 2 4 2 2 30" xfId="24937" xr:uid="{00000000-0005-0000-0000-000070610000}"/>
    <cellStyle name="Note 2 4 2 2 31" xfId="24938" xr:uid="{00000000-0005-0000-0000-000071610000}"/>
    <cellStyle name="Note 2 4 2 2 32" xfId="24939" xr:uid="{00000000-0005-0000-0000-000072610000}"/>
    <cellStyle name="Note 2 4 2 2 33" xfId="24940" xr:uid="{00000000-0005-0000-0000-000073610000}"/>
    <cellStyle name="Note 2 4 2 2 34" xfId="24941" xr:uid="{00000000-0005-0000-0000-000074610000}"/>
    <cellStyle name="Note 2 4 2 2 35" xfId="24942" xr:uid="{00000000-0005-0000-0000-000075610000}"/>
    <cellStyle name="Note 2 4 2 2 4" xfId="24943" xr:uid="{00000000-0005-0000-0000-000076610000}"/>
    <cellStyle name="Note 2 4 2 2 4 2" xfId="24944" xr:uid="{00000000-0005-0000-0000-000077610000}"/>
    <cellStyle name="Note 2 4 2 2 4 3" xfId="24945" xr:uid="{00000000-0005-0000-0000-000078610000}"/>
    <cellStyle name="Note 2 4 2 2 5" xfId="24946" xr:uid="{00000000-0005-0000-0000-000079610000}"/>
    <cellStyle name="Note 2 4 2 2 5 2" xfId="24947" xr:uid="{00000000-0005-0000-0000-00007A610000}"/>
    <cellStyle name="Note 2 4 2 2 5 3" xfId="24948" xr:uid="{00000000-0005-0000-0000-00007B610000}"/>
    <cellStyle name="Note 2 4 2 2 6" xfId="24949" xr:uid="{00000000-0005-0000-0000-00007C610000}"/>
    <cellStyle name="Note 2 4 2 2 7" xfId="24950" xr:uid="{00000000-0005-0000-0000-00007D610000}"/>
    <cellStyle name="Note 2 4 2 2 8" xfId="24951" xr:uid="{00000000-0005-0000-0000-00007E610000}"/>
    <cellStyle name="Note 2 4 2 2 9" xfId="24952" xr:uid="{00000000-0005-0000-0000-00007F610000}"/>
    <cellStyle name="Note 2 4 2 20" xfId="24953" xr:uid="{00000000-0005-0000-0000-000080610000}"/>
    <cellStyle name="Note 2 4 2 21" xfId="24954" xr:uid="{00000000-0005-0000-0000-000081610000}"/>
    <cellStyle name="Note 2 4 2 22" xfId="24955" xr:uid="{00000000-0005-0000-0000-000082610000}"/>
    <cellStyle name="Note 2 4 2 23" xfId="24956" xr:uid="{00000000-0005-0000-0000-000083610000}"/>
    <cellStyle name="Note 2 4 2 24" xfId="24957" xr:uid="{00000000-0005-0000-0000-000084610000}"/>
    <cellStyle name="Note 2 4 2 25" xfId="24958" xr:uid="{00000000-0005-0000-0000-000085610000}"/>
    <cellStyle name="Note 2 4 2 26" xfId="24959" xr:uid="{00000000-0005-0000-0000-000086610000}"/>
    <cellStyle name="Note 2 4 2 27" xfId="24960" xr:uid="{00000000-0005-0000-0000-000087610000}"/>
    <cellStyle name="Note 2 4 2 28" xfId="24961" xr:uid="{00000000-0005-0000-0000-000088610000}"/>
    <cellStyle name="Note 2 4 2 29" xfId="24962" xr:uid="{00000000-0005-0000-0000-000089610000}"/>
    <cellStyle name="Note 2 4 2 3" xfId="24963" xr:uid="{00000000-0005-0000-0000-00008A610000}"/>
    <cellStyle name="Note 2 4 2 3 2" xfId="24964" xr:uid="{00000000-0005-0000-0000-00008B610000}"/>
    <cellStyle name="Note 2 4 2 3 3" xfId="24965" xr:uid="{00000000-0005-0000-0000-00008C610000}"/>
    <cellStyle name="Note 2 4 2 30" xfId="24966" xr:uid="{00000000-0005-0000-0000-00008D610000}"/>
    <cellStyle name="Note 2 4 2 31" xfId="24967" xr:uid="{00000000-0005-0000-0000-00008E610000}"/>
    <cellStyle name="Note 2 4 2 32" xfId="24968" xr:uid="{00000000-0005-0000-0000-00008F610000}"/>
    <cellStyle name="Note 2 4 2 33" xfId="24969" xr:uid="{00000000-0005-0000-0000-000090610000}"/>
    <cellStyle name="Note 2 4 2 34" xfId="24970" xr:uid="{00000000-0005-0000-0000-000091610000}"/>
    <cellStyle name="Note 2 4 2 4" xfId="24971" xr:uid="{00000000-0005-0000-0000-000092610000}"/>
    <cellStyle name="Note 2 4 2 4 2" xfId="24972" xr:uid="{00000000-0005-0000-0000-000093610000}"/>
    <cellStyle name="Note 2 4 2 4 3" xfId="24973" xr:uid="{00000000-0005-0000-0000-000094610000}"/>
    <cellStyle name="Note 2 4 2 5" xfId="24974" xr:uid="{00000000-0005-0000-0000-000095610000}"/>
    <cellStyle name="Note 2 4 2 6" xfId="24975" xr:uid="{00000000-0005-0000-0000-000096610000}"/>
    <cellStyle name="Note 2 4 2 7" xfId="24976" xr:uid="{00000000-0005-0000-0000-000097610000}"/>
    <cellStyle name="Note 2 4 2 8" xfId="24977" xr:uid="{00000000-0005-0000-0000-000098610000}"/>
    <cellStyle name="Note 2 4 2 9" xfId="24978" xr:uid="{00000000-0005-0000-0000-000099610000}"/>
    <cellStyle name="Note 2 4 20" xfId="24979" xr:uid="{00000000-0005-0000-0000-00009A610000}"/>
    <cellStyle name="Note 2 4 21" xfId="24980" xr:uid="{00000000-0005-0000-0000-00009B610000}"/>
    <cellStyle name="Note 2 4 22" xfId="24981" xr:uid="{00000000-0005-0000-0000-00009C610000}"/>
    <cellStyle name="Note 2 4 23" xfId="24982" xr:uid="{00000000-0005-0000-0000-00009D610000}"/>
    <cellStyle name="Note 2 4 24" xfId="24983" xr:uid="{00000000-0005-0000-0000-00009E610000}"/>
    <cellStyle name="Note 2 4 25" xfId="24984" xr:uid="{00000000-0005-0000-0000-00009F610000}"/>
    <cellStyle name="Note 2 4 26" xfId="24985" xr:uid="{00000000-0005-0000-0000-0000A0610000}"/>
    <cellStyle name="Note 2 4 27" xfId="24986" xr:uid="{00000000-0005-0000-0000-0000A1610000}"/>
    <cellStyle name="Note 2 4 28" xfId="24987" xr:uid="{00000000-0005-0000-0000-0000A2610000}"/>
    <cellStyle name="Note 2 4 29" xfId="24988" xr:uid="{00000000-0005-0000-0000-0000A3610000}"/>
    <cellStyle name="Note 2 4 3" xfId="24989" xr:uid="{00000000-0005-0000-0000-0000A4610000}"/>
    <cellStyle name="Note 2 4 3 10" xfId="24990" xr:uid="{00000000-0005-0000-0000-0000A5610000}"/>
    <cellStyle name="Note 2 4 3 11" xfId="24991" xr:uid="{00000000-0005-0000-0000-0000A6610000}"/>
    <cellStyle name="Note 2 4 3 12" xfId="24992" xr:uid="{00000000-0005-0000-0000-0000A7610000}"/>
    <cellStyle name="Note 2 4 3 13" xfId="24993" xr:uid="{00000000-0005-0000-0000-0000A8610000}"/>
    <cellStyle name="Note 2 4 3 14" xfId="24994" xr:uid="{00000000-0005-0000-0000-0000A9610000}"/>
    <cellStyle name="Note 2 4 3 15" xfId="24995" xr:uid="{00000000-0005-0000-0000-0000AA610000}"/>
    <cellStyle name="Note 2 4 3 16" xfId="24996" xr:uid="{00000000-0005-0000-0000-0000AB610000}"/>
    <cellStyle name="Note 2 4 3 17" xfId="24997" xr:uid="{00000000-0005-0000-0000-0000AC610000}"/>
    <cellStyle name="Note 2 4 3 18" xfId="24998" xr:uid="{00000000-0005-0000-0000-0000AD610000}"/>
    <cellStyle name="Note 2 4 3 19" xfId="24999" xr:uid="{00000000-0005-0000-0000-0000AE610000}"/>
    <cellStyle name="Note 2 4 3 2" xfId="25000" xr:uid="{00000000-0005-0000-0000-0000AF610000}"/>
    <cellStyle name="Note 2 4 3 2 2" xfId="25001" xr:uid="{00000000-0005-0000-0000-0000B0610000}"/>
    <cellStyle name="Note 2 4 3 2 2 2" xfId="25002" xr:uid="{00000000-0005-0000-0000-0000B1610000}"/>
    <cellStyle name="Note 2 4 3 2 2 3" xfId="25003" xr:uid="{00000000-0005-0000-0000-0000B2610000}"/>
    <cellStyle name="Note 2 4 3 2 3" xfId="25004" xr:uid="{00000000-0005-0000-0000-0000B3610000}"/>
    <cellStyle name="Note 2 4 3 2 3 2" xfId="25005" xr:uid="{00000000-0005-0000-0000-0000B4610000}"/>
    <cellStyle name="Note 2 4 3 2 3 3" xfId="25006" xr:uid="{00000000-0005-0000-0000-0000B5610000}"/>
    <cellStyle name="Note 2 4 3 2 4" xfId="25007" xr:uid="{00000000-0005-0000-0000-0000B6610000}"/>
    <cellStyle name="Note 2 4 3 2 5" xfId="25008" xr:uid="{00000000-0005-0000-0000-0000B7610000}"/>
    <cellStyle name="Note 2 4 3 20" xfId="25009" xr:uid="{00000000-0005-0000-0000-0000B8610000}"/>
    <cellStyle name="Note 2 4 3 21" xfId="25010" xr:uid="{00000000-0005-0000-0000-0000B9610000}"/>
    <cellStyle name="Note 2 4 3 22" xfId="25011" xr:uid="{00000000-0005-0000-0000-0000BA610000}"/>
    <cellStyle name="Note 2 4 3 23" xfId="25012" xr:uid="{00000000-0005-0000-0000-0000BB610000}"/>
    <cellStyle name="Note 2 4 3 24" xfId="25013" xr:uid="{00000000-0005-0000-0000-0000BC610000}"/>
    <cellStyle name="Note 2 4 3 25" xfId="25014" xr:uid="{00000000-0005-0000-0000-0000BD610000}"/>
    <cellStyle name="Note 2 4 3 26" xfId="25015" xr:uid="{00000000-0005-0000-0000-0000BE610000}"/>
    <cellStyle name="Note 2 4 3 27" xfId="25016" xr:uid="{00000000-0005-0000-0000-0000BF610000}"/>
    <cellStyle name="Note 2 4 3 28" xfId="25017" xr:uid="{00000000-0005-0000-0000-0000C0610000}"/>
    <cellStyle name="Note 2 4 3 29" xfId="25018" xr:uid="{00000000-0005-0000-0000-0000C1610000}"/>
    <cellStyle name="Note 2 4 3 3" xfId="25019" xr:uid="{00000000-0005-0000-0000-0000C2610000}"/>
    <cellStyle name="Note 2 4 3 3 2" xfId="25020" xr:uid="{00000000-0005-0000-0000-0000C3610000}"/>
    <cellStyle name="Note 2 4 3 3 2 2" xfId="25021" xr:uid="{00000000-0005-0000-0000-0000C4610000}"/>
    <cellStyle name="Note 2 4 3 3 2 3" xfId="25022" xr:uid="{00000000-0005-0000-0000-0000C5610000}"/>
    <cellStyle name="Note 2 4 3 3 3" xfId="25023" xr:uid="{00000000-0005-0000-0000-0000C6610000}"/>
    <cellStyle name="Note 2 4 3 3 3 2" xfId="25024" xr:uid="{00000000-0005-0000-0000-0000C7610000}"/>
    <cellStyle name="Note 2 4 3 3 3 3" xfId="25025" xr:uid="{00000000-0005-0000-0000-0000C8610000}"/>
    <cellStyle name="Note 2 4 3 3 4" xfId="25026" xr:uid="{00000000-0005-0000-0000-0000C9610000}"/>
    <cellStyle name="Note 2 4 3 3 5" xfId="25027" xr:uid="{00000000-0005-0000-0000-0000CA610000}"/>
    <cellStyle name="Note 2 4 3 30" xfId="25028" xr:uid="{00000000-0005-0000-0000-0000CB610000}"/>
    <cellStyle name="Note 2 4 3 31" xfId="25029" xr:uid="{00000000-0005-0000-0000-0000CC610000}"/>
    <cellStyle name="Note 2 4 3 32" xfId="25030" xr:uid="{00000000-0005-0000-0000-0000CD610000}"/>
    <cellStyle name="Note 2 4 3 33" xfId="25031" xr:uid="{00000000-0005-0000-0000-0000CE610000}"/>
    <cellStyle name="Note 2 4 3 34" xfId="25032" xr:uid="{00000000-0005-0000-0000-0000CF610000}"/>
    <cellStyle name="Note 2 4 3 35" xfId="25033" xr:uid="{00000000-0005-0000-0000-0000D0610000}"/>
    <cellStyle name="Note 2 4 3 4" xfId="25034" xr:uid="{00000000-0005-0000-0000-0000D1610000}"/>
    <cellStyle name="Note 2 4 3 4 2" xfId="25035" xr:uid="{00000000-0005-0000-0000-0000D2610000}"/>
    <cellStyle name="Note 2 4 3 4 3" xfId="25036" xr:uid="{00000000-0005-0000-0000-0000D3610000}"/>
    <cellStyle name="Note 2 4 3 5" xfId="25037" xr:uid="{00000000-0005-0000-0000-0000D4610000}"/>
    <cellStyle name="Note 2 4 3 5 2" xfId="25038" xr:uid="{00000000-0005-0000-0000-0000D5610000}"/>
    <cellStyle name="Note 2 4 3 5 3" xfId="25039" xr:uid="{00000000-0005-0000-0000-0000D6610000}"/>
    <cellStyle name="Note 2 4 3 6" xfId="25040" xr:uid="{00000000-0005-0000-0000-0000D7610000}"/>
    <cellStyle name="Note 2 4 3 7" xfId="25041" xr:uid="{00000000-0005-0000-0000-0000D8610000}"/>
    <cellStyle name="Note 2 4 3 8" xfId="25042" xr:uid="{00000000-0005-0000-0000-0000D9610000}"/>
    <cellStyle name="Note 2 4 3 9" xfId="25043" xr:uid="{00000000-0005-0000-0000-0000DA610000}"/>
    <cellStyle name="Note 2 4 30" xfId="25044" xr:uid="{00000000-0005-0000-0000-0000DB610000}"/>
    <cellStyle name="Note 2 4 31" xfId="25045" xr:uid="{00000000-0005-0000-0000-0000DC610000}"/>
    <cellStyle name="Note 2 4 32" xfId="25046" xr:uid="{00000000-0005-0000-0000-0000DD610000}"/>
    <cellStyle name="Note 2 4 33" xfId="25047" xr:uid="{00000000-0005-0000-0000-0000DE610000}"/>
    <cellStyle name="Note 2 4 34" xfId="25048" xr:uid="{00000000-0005-0000-0000-0000DF610000}"/>
    <cellStyle name="Note 2 4 35" xfId="25049" xr:uid="{00000000-0005-0000-0000-0000E0610000}"/>
    <cellStyle name="Note 2 4 4" xfId="25050" xr:uid="{00000000-0005-0000-0000-0000E1610000}"/>
    <cellStyle name="Note 2 4 4 2" xfId="25051" xr:uid="{00000000-0005-0000-0000-0000E2610000}"/>
    <cellStyle name="Note 2 4 4 3" xfId="25052" xr:uid="{00000000-0005-0000-0000-0000E3610000}"/>
    <cellStyle name="Note 2 4 5" xfId="25053" xr:uid="{00000000-0005-0000-0000-0000E4610000}"/>
    <cellStyle name="Note 2 4 5 2" xfId="25054" xr:uid="{00000000-0005-0000-0000-0000E5610000}"/>
    <cellStyle name="Note 2 4 5 3" xfId="25055" xr:uid="{00000000-0005-0000-0000-0000E6610000}"/>
    <cellStyle name="Note 2 4 6" xfId="25056" xr:uid="{00000000-0005-0000-0000-0000E7610000}"/>
    <cellStyle name="Note 2 4 7" xfId="25057" xr:uid="{00000000-0005-0000-0000-0000E8610000}"/>
    <cellStyle name="Note 2 4 8" xfId="25058" xr:uid="{00000000-0005-0000-0000-0000E9610000}"/>
    <cellStyle name="Note 2 4 9" xfId="25059" xr:uid="{00000000-0005-0000-0000-0000EA610000}"/>
    <cellStyle name="Note 2 40" xfId="25060" xr:uid="{00000000-0005-0000-0000-0000EB610000}"/>
    <cellStyle name="Note 2 41" xfId="25061" xr:uid="{00000000-0005-0000-0000-0000EC610000}"/>
    <cellStyle name="Note 2 42" xfId="25062" xr:uid="{00000000-0005-0000-0000-0000ED610000}"/>
    <cellStyle name="Note 2 43" xfId="25063" xr:uid="{00000000-0005-0000-0000-0000EE610000}"/>
    <cellStyle name="Note 2 44" xfId="25064" xr:uid="{00000000-0005-0000-0000-0000EF610000}"/>
    <cellStyle name="Note 2 45" xfId="25065" xr:uid="{00000000-0005-0000-0000-0000F0610000}"/>
    <cellStyle name="Note 2 46" xfId="25066" xr:uid="{00000000-0005-0000-0000-0000F1610000}"/>
    <cellStyle name="Note 2 47" xfId="25067" xr:uid="{00000000-0005-0000-0000-0000F2610000}"/>
    <cellStyle name="Note 2 48" xfId="25068" xr:uid="{00000000-0005-0000-0000-0000F3610000}"/>
    <cellStyle name="Note 2 49" xfId="25069" xr:uid="{00000000-0005-0000-0000-0000F4610000}"/>
    <cellStyle name="Note 2 5" xfId="25070" xr:uid="{00000000-0005-0000-0000-0000F5610000}"/>
    <cellStyle name="Note 2 5 2" xfId="25071" xr:uid="{00000000-0005-0000-0000-0000F6610000}"/>
    <cellStyle name="Note 2 50" xfId="25072" xr:uid="{00000000-0005-0000-0000-0000F7610000}"/>
    <cellStyle name="Note 2 51" xfId="25073" xr:uid="{00000000-0005-0000-0000-0000F8610000}"/>
    <cellStyle name="Note 2 52" xfId="25074" xr:uid="{00000000-0005-0000-0000-0000F9610000}"/>
    <cellStyle name="Note 2 53" xfId="25075" xr:uid="{00000000-0005-0000-0000-0000FA610000}"/>
    <cellStyle name="Note 2 6" xfId="25076" xr:uid="{00000000-0005-0000-0000-0000FB610000}"/>
    <cellStyle name="Note 2 6 2" xfId="25077" xr:uid="{00000000-0005-0000-0000-0000FC610000}"/>
    <cellStyle name="Note 2 7" xfId="25078" xr:uid="{00000000-0005-0000-0000-0000FD610000}"/>
    <cellStyle name="Note 2 7 2" xfId="25079" xr:uid="{00000000-0005-0000-0000-0000FE610000}"/>
    <cellStyle name="Note 2 8" xfId="25080" xr:uid="{00000000-0005-0000-0000-0000FF610000}"/>
    <cellStyle name="Note 2 8 2" xfId="25081" xr:uid="{00000000-0005-0000-0000-000000620000}"/>
    <cellStyle name="Note 2 9" xfId="25082" xr:uid="{00000000-0005-0000-0000-000001620000}"/>
    <cellStyle name="Note 2 9 2" xfId="25083" xr:uid="{00000000-0005-0000-0000-000002620000}"/>
    <cellStyle name="Note 20" xfId="25084" xr:uid="{00000000-0005-0000-0000-000003620000}"/>
    <cellStyle name="Note 20 2" xfId="25085" xr:uid="{00000000-0005-0000-0000-000004620000}"/>
    <cellStyle name="Note 21" xfId="25086" xr:uid="{00000000-0005-0000-0000-000005620000}"/>
    <cellStyle name="Note 21 2" xfId="25087" xr:uid="{00000000-0005-0000-0000-000006620000}"/>
    <cellStyle name="Note 22" xfId="25088" xr:uid="{00000000-0005-0000-0000-000007620000}"/>
    <cellStyle name="Note 22 2" xfId="25089" xr:uid="{00000000-0005-0000-0000-000008620000}"/>
    <cellStyle name="Note 23" xfId="25090" xr:uid="{00000000-0005-0000-0000-000009620000}"/>
    <cellStyle name="Note 23 2" xfId="25091" xr:uid="{00000000-0005-0000-0000-00000A620000}"/>
    <cellStyle name="Note 24" xfId="25092" xr:uid="{00000000-0005-0000-0000-00000B620000}"/>
    <cellStyle name="Note 24 2" xfId="25093" xr:uid="{00000000-0005-0000-0000-00000C620000}"/>
    <cellStyle name="Note 25" xfId="25094" xr:uid="{00000000-0005-0000-0000-00000D620000}"/>
    <cellStyle name="Note 25 2" xfId="25095" xr:uid="{00000000-0005-0000-0000-00000E620000}"/>
    <cellStyle name="Note 26" xfId="25096" xr:uid="{00000000-0005-0000-0000-00000F620000}"/>
    <cellStyle name="Note 26 2" xfId="25097" xr:uid="{00000000-0005-0000-0000-000010620000}"/>
    <cellStyle name="Note 27" xfId="25098" xr:uid="{00000000-0005-0000-0000-000011620000}"/>
    <cellStyle name="Note 27 2" xfId="25099" xr:uid="{00000000-0005-0000-0000-000012620000}"/>
    <cellStyle name="Note 3" xfId="25100" xr:uid="{00000000-0005-0000-0000-000013620000}"/>
    <cellStyle name="Note 3 10" xfId="25101" xr:uid="{00000000-0005-0000-0000-000014620000}"/>
    <cellStyle name="Note 3 11" xfId="25102" xr:uid="{00000000-0005-0000-0000-000015620000}"/>
    <cellStyle name="Note 3 12" xfId="25103" xr:uid="{00000000-0005-0000-0000-000016620000}"/>
    <cellStyle name="Note 3 13" xfId="25104" xr:uid="{00000000-0005-0000-0000-000017620000}"/>
    <cellStyle name="Note 3 14" xfId="25105" xr:uid="{00000000-0005-0000-0000-000018620000}"/>
    <cellStyle name="Note 3 15" xfId="25106" xr:uid="{00000000-0005-0000-0000-000019620000}"/>
    <cellStyle name="Note 3 16" xfId="25107" xr:uid="{00000000-0005-0000-0000-00001A620000}"/>
    <cellStyle name="Note 3 17" xfId="25108" xr:uid="{00000000-0005-0000-0000-00001B620000}"/>
    <cellStyle name="Note 3 18" xfId="25109" xr:uid="{00000000-0005-0000-0000-00001C620000}"/>
    <cellStyle name="Note 3 19" xfId="25110" xr:uid="{00000000-0005-0000-0000-00001D620000}"/>
    <cellStyle name="Note 3 2" xfId="25111" xr:uid="{00000000-0005-0000-0000-00001E620000}"/>
    <cellStyle name="Note 3 2 10" xfId="25112" xr:uid="{00000000-0005-0000-0000-00001F620000}"/>
    <cellStyle name="Note 3 2 11" xfId="25113" xr:uid="{00000000-0005-0000-0000-000020620000}"/>
    <cellStyle name="Note 3 2 12" xfId="25114" xr:uid="{00000000-0005-0000-0000-000021620000}"/>
    <cellStyle name="Note 3 2 13" xfId="25115" xr:uid="{00000000-0005-0000-0000-000022620000}"/>
    <cellStyle name="Note 3 2 14" xfId="25116" xr:uid="{00000000-0005-0000-0000-000023620000}"/>
    <cellStyle name="Note 3 2 15" xfId="25117" xr:uid="{00000000-0005-0000-0000-000024620000}"/>
    <cellStyle name="Note 3 2 16" xfId="25118" xr:uid="{00000000-0005-0000-0000-000025620000}"/>
    <cellStyle name="Note 3 2 17" xfId="25119" xr:uid="{00000000-0005-0000-0000-000026620000}"/>
    <cellStyle name="Note 3 2 18" xfId="25120" xr:uid="{00000000-0005-0000-0000-000027620000}"/>
    <cellStyle name="Note 3 2 19" xfId="25121" xr:uid="{00000000-0005-0000-0000-000028620000}"/>
    <cellStyle name="Note 3 2 2" xfId="25122" xr:uid="{00000000-0005-0000-0000-000029620000}"/>
    <cellStyle name="Note 3 2 2 10" xfId="25123" xr:uid="{00000000-0005-0000-0000-00002A620000}"/>
    <cellStyle name="Note 3 2 2 11" xfId="25124" xr:uid="{00000000-0005-0000-0000-00002B620000}"/>
    <cellStyle name="Note 3 2 2 12" xfId="25125" xr:uid="{00000000-0005-0000-0000-00002C620000}"/>
    <cellStyle name="Note 3 2 2 13" xfId="25126" xr:uid="{00000000-0005-0000-0000-00002D620000}"/>
    <cellStyle name="Note 3 2 2 14" xfId="25127" xr:uid="{00000000-0005-0000-0000-00002E620000}"/>
    <cellStyle name="Note 3 2 2 15" xfId="25128" xr:uid="{00000000-0005-0000-0000-00002F620000}"/>
    <cellStyle name="Note 3 2 2 16" xfId="25129" xr:uid="{00000000-0005-0000-0000-000030620000}"/>
    <cellStyle name="Note 3 2 2 17" xfId="25130" xr:uid="{00000000-0005-0000-0000-000031620000}"/>
    <cellStyle name="Note 3 2 2 18" xfId="25131" xr:uid="{00000000-0005-0000-0000-000032620000}"/>
    <cellStyle name="Note 3 2 2 19" xfId="25132" xr:uid="{00000000-0005-0000-0000-000033620000}"/>
    <cellStyle name="Note 3 2 2 2" xfId="25133" xr:uid="{00000000-0005-0000-0000-000034620000}"/>
    <cellStyle name="Note 3 2 2 2 10" xfId="25134" xr:uid="{00000000-0005-0000-0000-000035620000}"/>
    <cellStyle name="Note 3 2 2 2 11" xfId="25135" xr:uid="{00000000-0005-0000-0000-000036620000}"/>
    <cellStyle name="Note 3 2 2 2 12" xfId="25136" xr:uid="{00000000-0005-0000-0000-000037620000}"/>
    <cellStyle name="Note 3 2 2 2 13" xfId="25137" xr:uid="{00000000-0005-0000-0000-000038620000}"/>
    <cellStyle name="Note 3 2 2 2 14" xfId="25138" xr:uid="{00000000-0005-0000-0000-000039620000}"/>
    <cellStyle name="Note 3 2 2 2 15" xfId="25139" xr:uid="{00000000-0005-0000-0000-00003A620000}"/>
    <cellStyle name="Note 3 2 2 2 16" xfId="25140" xr:uid="{00000000-0005-0000-0000-00003B620000}"/>
    <cellStyle name="Note 3 2 2 2 17" xfId="25141" xr:uid="{00000000-0005-0000-0000-00003C620000}"/>
    <cellStyle name="Note 3 2 2 2 18" xfId="25142" xr:uid="{00000000-0005-0000-0000-00003D620000}"/>
    <cellStyle name="Note 3 2 2 2 19" xfId="25143" xr:uid="{00000000-0005-0000-0000-00003E620000}"/>
    <cellStyle name="Note 3 2 2 2 2" xfId="25144" xr:uid="{00000000-0005-0000-0000-00003F620000}"/>
    <cellStyle name="Note 3 2 2 2 2 2" xfId="25145" xr:uid="{00000000-0005-0000-0000-000040620000}"/>
    <cellStyle name="Note 3 2 2 2 2 2 2" xfId="25146" xr:uid="{00000000-0005-0000-0000-000041620000}"/>
    <cellStyle name="Note 3 2 2 2 2 2 3" xfId="25147" xr:uid="{00000000-0005-0000-0000-000042620000}"/>
    <cellStyle name="Note 3 2 2 2 2 3" xfId="25148" xr:uid="{00000000-0005-0000-0000-000043620000}"/>
    <cellStyle name="Note 3 2 2 2 2 3 2" xfId="25149" xr:uid="{00000000-0005-0000-0000-000044620000}"/>
    <cellStyle name="Note 3 2 2 2 2 3 3" xfId="25150" xr:uid="{00000000-0005-0000-0000-000045620000}"/>
    <cellStyle name="Note 3 2 2 2 2 4" xfId="25151" xr:uid="{00000000-0005-0000-0000-000046620000}"/>
    <cellStyle name="Note 3 2 2 2 2 5" xfId="25152" xr:uid="{00000000-0005-0000-0000-000047620000}"/>
    <cellStyle name="Note 3 2 2 2 20" xfId="25153" xr:uid="{00000000-0005-0000-0000-000048620000}"/>
    <cellStyle name="Note 3 2 2 2 21" xfId="25154" xr:uid="{00000000-0005-0000-0000-000049620000}"/>
    <cellStyle name="Note 3 2 2 2 22" xfId="25155" xr:uid="{00000000-0005-0000-0000-00004A620000}"/>
    <cellStyle name="Note 3 2 2 2 23" xfId="25156" xr:uid="{00000000-0005-0000-0000-00004B620000}"/>
    <cellStyle name="Note 3 2 2 2 24" xfId="25157" xr:uid="{00000000-0005-0000-0000-00004C620000}"/>
    <cellStyle name="Note 3 2 2 2 25" xfId="25158" xr:uid="{00000000-0005-0000-0000-00004D620000}"/>
    <cellStyle name="Note 3 2 2 2 26" xfId="25159" xr:uid="{00000000-0005-0000-0000-00004E620000}"/>
    <cellStyle name="Note 3 2 2 2 27" xfId="25160" xr:uid="{00000000-0005-0000-0000-00004F620000}"/>
    <cellStyle name="Note 3 2 2 2 28" xfId="25161" xr:uid="{00000000-0005-0000-0000-000050620000}"/>
    <cellStyle name="Note 3 2 2 2 29" xfId="25162" xr:uid="{00000000-0005-0000-0000-000051620000}"/>
    <cellStyle name="Note 3 2 2 2 3" xfId="25163" xr:uid="{00000000-0005-0000-0000-000052620000}"/>
    <cellStyle name="Note 3 2 2 2 3 2" xfId="25164" xr:uid="{00000000-0005-0000-0000-000053620000}"/>
    <cellStyle name="Note 3 2 2 2 3 2 2" xfId="25165" xr:uid="{00000000-0005-0000-0000-000054620000}"/>
    <cellStyle name="Note 3 2 2 2 3 2 3" xfId="25166" xr:uid="{00000000-0005-0000-0000-000055620000}"/>
    <cellStyle name="Note 3 2 2 2 3 3" xfId="25167" xr:uid="{00000000-0005-0000-0000-000056620000}"/>
    <cellStyle name="Note 3 2 2 2 3 3 2" xfId="25168" xr:uid="{00000000-0005-0000-0000-000057620000}"/>
    <cellStyle name="Note 3 2 2 2 3 3 3" xfId="25169" xr:uid="{00000000-0005-0000-0000-000058620000}"/>
    <cellStyle name="Note 3 2 2 2 3 4" xfId="25170" xr:uid="{00000000-0005-0000-0000-000059620000}"/>
    <cellStyle name="Note 3 2 2 2 3 5" xfId="25171" xr:uid="{00000000-0005-0000-0000-00005A620000}"/>
    <cellStyle name="Note 3 2 2 2 30" xfId="25172" xr:uid="{00000000-0005-0000-0000-00005B620000}"/>
    <cellStyle name="Note 3 2 2 2 31" xfId="25173" xr:uid="{00000000-0005-0000-0000-00005C620000}"/>
    <cellStyle name="Note 3 2 2 2 32" xfId="25174" xr:uid="{00000000-0005-0000-0000-00005D620000}"/>
    <cellStyle name="Note 3 2 2 2 33" xfId="25175" xr:uid="{00000000-0005-0000-0000-00005E620000}"/>
    <cellStyle name="Note 3 2 2 2 34" xfId="25176" xr:uid="{00000000-0005-0000-0000-00005F620000}"/>
    <cellStyle name="Note 3 2 2 2 35" xfId="25177" xr:uid="{00000000-0005-0000-0000-000060620000}"/>
    <cellStyle name="Note 3 2 2 2 4" xfId="25178" xr:uid="{00000000-0005-0000-0000-000061620000}"/>
    <cellStyle name="Note 3 2 2 2 4 2" xfId="25179" xr:uid="{00000000-0005-0000-0000-000062620000}"/>
    <cellStyle name="Note 3 2 2 2 4 3" xfId="25180" xr:uid="{00000000-0005-0000-0000-000063620000}"/>
    <cellStyle name="Note 3 2 2 2 5" xfId="25181" xr:uid="{00000000-0005-0000-0000-000064620000}"/>
    <cellStyle name="Note 3 2 2 2 5 2" xfId="25182" xr:uid="{00000000-0005-0000-0000-000065620000}"/>
    <cellStyle name="Note 3 2 2 2 5 3" xfId="25183" xr:uid="{00000000-0005-0000-0000-000066620000}"/>
    <cellStyle name="Note 3 2 2 2 6" xfId="25184" xr:uid="{00000000-0005-0000-0000-000067620000}"/>
    <cellStyle name="Note 3 2 2 2 7" xfId="25185" xr:uid="{00000000-0005-0000-0000-000068620000}"/>
    <cellStyle name="Note 3 2 2 2 8" xfId="25186" xr:uid="{00000000-0005-0000-0000-000069620000}"/>
    <cellStyle name="Note 3 2 2 2 9" xfId="25187" xr:uid="{00000000-0005-0000-0000-00006A620000}"/>
    <cellStyle name="Note 3 2 2 20" xfId="25188" xr:uid="{00000000-0005-0000-0000-00006B620000}"/>
    <cellStyle name="Note 3 2 2 21" xfId="25189" xr:uid="{00000000-0005-0000-0000-00006C620000}"/>
    <cellStyle name="Note 3 2 2 22" xfId="25190" xr:uid="{00000000-0005-0000-0000-00006D620000}"/>
    <cellStyle name="Note 3 2 2 23" xfId="25191" xr:uid="{00000000-0005-0000-0000-00006E620000}"/>
    <cellStyle name="Note 3 2 2 24" xfId="25192" xr:uid="{00000000-0005-0000-0000-00006F620000}"/>
    <cellStyle name="Note 3 2 2 25" xfId="25193" xr:uid="{00000000-0005-0000-0000-000070620000}"/>
    <cellStyle name="Note 3 2 2 26" xfId="25194" xr:uid="{00000000-0005-0000-0000-000071620000}"/>
    <cellStyle name="Note 3 2 2 27" xfId="25195" xr:uid="{00000000-0005-0000-0000-000072620000}"/>
    <cellStyle name="Note 3 2 2 28" xfId="25196" xr:uid="{00000000-0005-0000-0000-000073620000}"/>
    <cellStyle name="Note 3 2 2 29" xfId="25197" xr:uid="{00000000-0005-0000-0000-000074620000}"/>
    <cellStyle name="Note 3 2 2 3" xfId="25198" xr:uid="{00000000-0005-0000-0000-000075620000}"/>
    <cellStyle name="Note 3 2 2 3 2" xfId="25199" xr:uid="{00000000-0005-0000-0000-000076620000}"/>
    <cellStyle name="Note 3 2 2 3 3" xfId="25200" xr:uid="{00000000-0005-0000-0000-000077620000}"/>
    <cellStyle name="Note 3 2 2 30" xfId="25201" xr:uid="{00000000-0005-0000-0000-000078620000}"/>
    <cellStyle name="Note 3 2 2 31" xfId="25202" xr:uid="{00000000-0005-0000-0000-000079620000}"/>
    <cellStyle name="Note 3 2 2 32" xfId="25203" xr:uid="{00000000-0005-0000-0000-00007A620000}"/>
    <cellStyle name="Note 3 2 2 33" xfId="25204" xr:uid="{00000000-0005-0000-0000-00007B620000}"/>
    <cellStyle name="Note 3 2 2 34" xfId="25205" xr:uid="{00000000-0005-0000-0000-00007C620000}"/>
    <cellStyle name="Note 3 2 2 4" xfId="25206" xr:uid="{00000000-0005-0000-0000-00007D620000}"/>
    <cellStyle name="Note 3 2 2 4 2" xfId="25207" xr:uid="{00000000-0005-0000-0000-00007E620000}"/>
    <cellStyle name="Note 3 2 2 4 3" xfId="25208" xr:uid="{00000000-0005-0000-0000-00007F620000}"/>
    <cellStyle name="Note 3 2 2 5" xfId="25209" xr:uid="{00000000-0005-0000-0000-000080620000}"/>
    <cellStyle name="Note 3 2 2 6" xfId="25210" xr:uid="{00000000-0005-0000-0000-000081620000}"/>
    <cellStyle name="Note 3 2 2 7" xfId="25211" xr:uid="{00000000-0005-0000-0000-000082620000}"/>
    <cellStyle name="Note 3 2 2 8" xfId="25212" xr:uid="{00000000-0005-0000-0000-000083620000}"/>
    <cellStyle name="Note 3 2 2 9" xfId="25213" xr:uid="{00000000-0005-0000-0000-000084620000}"/>
    <cellStyle name="Note 3 2 20" xfId="25214" xr:uid="{00000000-0005-0000-0000-000085620000}"/>
    <cellStyle name="Note 3 2 21" xfId="25215" xr:uid="{00000000-0005-0000-0000-000086620000}"/>
    <cellStyle name="Note 3 2 22" xfId="25216" xr:uid="{00000000-0005-0000-0000-000087620000}"/>
    <cellStyle name="Note 3 2 23" xfId="25217" xr:uid="{00000000-0005-0000-0000-000088620000}"/>
    <cellStyle name="Note 3 2 24" xfId="25218" xr:uid="{00000000-0005-0000-0000-000089620000}"/>
    <cellStyle name="Note 3 2 25" xfId="25219" xr:uid="{00000000-0005-0000-0000-00008A620000}"/>
    <cellStyle name="Note 3 2 26" xfId="25220" xr:uid="{00000000-0005-0000-0000-00008B620000}"/>
    <cellStyle name="Note 3 2 27" xfId="25221" xr:uid="{00000000-0005-0000-0000-00008C620000}"/>
    <cellStyle name="Note 3 2 28" xfId="25222" xr:uid="{00000000-0005-0000-0000-00008D620000}"/>
    <cellStyle name="Note 3 2 29" xfId="25223" xr:uid="{00000000-0005-0000-0000-00008E620000}"/>
    <cellStyle name="Note 3 2 3" xfId="25224" xr:uid="{00000000-0005-0000-0000-00008F620000}"/>
    <cellStyle name="Note 3 2 3 10" xfId="25225" xr:uid="{00000000-0005-0000-0000-000090620000}"/>
    <cellStyle name="Note 3 2 3 11" xfId="25226" xr:uid="{00000000-0005-0000-0000-000091620000}"/>
    <cellStyle name="Note 3 2 3 12" xfId="25227" xr:uid="{00000000-0005-0000-0000-000092620000}"/>
    <cellStyle name="Note 3 2 3 13" xfId="25228" xr:uid="{00000000-0005-0000-0000-000093620000}"/>
    <cellStyle name="Note 3 2 3 14" xfId="25229" xr:uid="{00000000-0005-0000-0000-000094620000}"/>
    <cellStyle name="Note 3 2 3 15" xfId="25230" xr:uid="{00000000-0005-0000-0000-000095620000}"/>
    <cellStyle name="Note 3 2 3 16" xfId="25231" xr:uid="{00000000-0005-0000-0000-000096620000}"/>
    <cellStyle name="Note 3 2 3 17" xfId="25232" xr:uid="{00000000-0005-0000-0000-000097620000}"/>
    <cellStyle name="Note 3 2 3 18" xfId="25233" xr:uid="{00000000-0005-0000-0000-000098620000}"/>
    <cellStyle name="Note 3 2 3 19" xfId="25234" xr:uid="{00000000-0005-0000-0000-000099620000}"/>
    <cellStyle name="Note 3 2 3 2" xfId="25235" xr:uid="{00000000-0005-0000-0000-00009A620000}"/>
    <cellStyle name="Note 3 2 3 2 2" xfId="25236" xr:uid="{00000000-0005-0000-0000-00009B620000}"/>
    <cellStyle name="Note 3 2 3 2 2 2" xfId="25237" xr:uid="{00000000-0005-0000-0000-00009C620000}"/>
    <cellStyle name="Note 3 2 3 2 2 3" xfId="25238" xr:uid="{00000000-0005-0000-0000-00009D620000}"/>
    <cellStyle name="Note 3 2 3 2 3" xfId="25239" xr:uid="{00000000-0005-0000-0000-00009E620000}"/>
    <cellStyle name="Note 3 2 3 2 3 2" xfId="25240" xr:uid="{00000000-0005-0000-0000-00009F620000}"/>
    <cellStyle name="Note 3 2 3 2 3 3" xfId="25241" xr:uid="{00000000-0005-0000-0000-0000A0620000}"/>
    <cellStyle name="Note 3 2 3 2 4" xfId="25242" xr:uid="{00000000-0005-0000-0000-0000A1620000}"/>
    <cellStyle name="Note 3 2 3 2 5" xfId="25243" xr:uid="{00000000-0005-0000-0000-0000A2620000}"/>
    <cellStyle name="Note 3 2 3 20" xfId="25244" xr:uid="{00000000-0005-0000-0000-0000A3620000}"/>
    <cellStyle name="Note 3 2 3 21" xfId="25245" xr:uid="{00000000-0005-0000-0000-0000A4620000}"/>
    <cellStyle name="Note 3 2 3 22" xfId="25246" xr:uid="{00000000-0005-0000-0000-0000A5620000}"/>
    <cellStyle name="Note 3 2 3 23" xfId="25247" xr:uid="{00000000-0005-0000-0000-0000A6620000}"/>
    <cellStyle name="Note 3 2 3 24" xfId="25248" xr:uid="{00000000-0005-0000-0000-0000A7620000}"/>
    <cellStyle name="Note 3 2 3 25" xfId="25249" xr:uid="{00000000-0005-0000-0000-0000A8620000}"/>
    <cellStyle name="Note 3 2 3 26" xfId="25250" xr:uid="{00000000-0005-0000-0000-0000A9620000}"/>
    <cellStyle name="Note 3 2 3 27" xfId="25251" xr:uid="{00000000-0005-0000-0000-0000AA620000}"/>
    <cellStyle name="Note 3 2 3 28" xfId="25252" xr:uid="{00000000-0005-0000-0000-0000AB620000}"/>
    <cellStyle name="Note 3 2 3 29" xfId="25253" xr:uid="{00000000-0005-0000-0000-0000AC620000}"/>
    <cellStyle name="Note 3 2 3 3" xfId="25254" xr:uid="{00000000-0005-0000-0000-0000AD620000}"/>
    <cellStyle name="Note 3 2 3 3 2" xfId="25255" xr:uid="{00000000-0005-0000-0000-0000AE620000}"/>
    <cellStyle name="Note 3 2 3 3 2 2" xfId="25256" xr:uid="{00000000-0005-0000-0000-0000AF620000}"/>
    <cellStyle name="Note 3 2 3 3 2 3" xfId="25257" xr:uid="{00000000-0005-0000-0000-0000B0620000}"/>
    <cellStyle name="Note 3 2 3 3 3" xfId="25258" xr:uid="{00000000-0005-0000-0000-0000B1620000}"/>
    <cellStyle name="Note 3 2 3 3 3 2" xfId="25259" xr:uid="{00000000-0005-0000-0000-0000B2620000}"/>
    <cellStyle name="Note 3 2 3 3 3 3" xfId="25260" xr:uid="{00000000-0005-0000-0000-0000B3620000}"/>
    <cellStyle name="Note 3 2 3 3 4" xfId="25261" xr:uid="{00000000-0005-0000-0000-0000B4620000}"/>
    <cellStyle name="Note 3 2 3 3 5" xfId="25262" xr:uid="{00000000-0005-0000-0000-0000B5620000}"/>
    <cellStyle name="Note 3 2 3 30" xfId="25263" xr:uid="{00000000-0005-0000-0000-0000B6620000}"/>
    <cellStyle name="Note 3 2 3 31" xfId="25264" xr:uid="{00000000-0005-0000-0000-0000B7620000}"/>
    <cellStyle name="Note 3 2 3 32" xfId="25265" xr:uid="{00000000-0005-0000-0000-0000B8620000}"/>
    <cellStyle name="Note 3 2 3 33" xfId="25266" xr:uid="{00000000-0005-0000-0000-0000B9620000}"/>
    <cellStyle name="Note 3 2 3 34" xfId="25267" xr:uid="{00000000-0005-0000-0000-0000BA620000}"/>
    <cellStyle name="Note 3 2 3 35" xfId="25268" xr:uid="{00000000-0005-0000-0000-0000BB620000}"/>
    <cellStyle name="Note 3 2 3 4" xfId="25269" xr:uid="{00000000-0005-0000-0000-0000BC620000}"/>
    <cellStyle name="Note 3 2 3 4 2" xfId="25270" xr:uid="{00000000-0005-0000-0000-0000BD620000}"/>
    <cellStyle name="Note 3 2 3 4 3" xfId="25271" xr:uid="{00000000-0005-0000-0000-0000BE620000}"/>
    <cellStyle name="Note 3 2 3 5" xfId="25272" xr:uid="{00000000-0005-0000-0000-0000BF620000}"/>
    <cellStyle name="Note 3 2 3 5 2" xfId="25273" xr:uid="{00000000-0005-0000-0000-0000C0620000}"/>
    <cellStyle name="Note 3 2 3 5 3" xfId="25274" xr:uid="{00000000-0005-0000-0000-0000C1620000}"/>
    <cellStyle name="Note 3 2 3 6" xfId="25275" xr:uid="{00000000-0005-0000-0000-0000C2620000}"/>
    <cellStyle name="Note 3 2 3 7" xfId="25276" xr:uid="{00000000-0005-0000-0000-0000C3620000}"/>
    <cellStyle name="Note 3 2 3 8" xfId="25277" xr:uid="{00000000-0005-0000-0000-0000C4620000}"/>
    <cellStyle name="Note 3 2 3 9" xfId="25278" xr:uid="{00000000-0005-0000-0000-0000C5620000}"/>
    <cellStyle name="Note 3 2 30" xfId="25279" xr:uid="{00000000-0005-0000-0000-0000C6620000}"/>
    <cellStyle name="Note 3 2 31" xfId="25280" xr:uid="{00000000-0005-0000-0000-0000C7620000}"/>
    <cellStyle name="Note 3 2 32" xfId="25281" xr:uid="{00000000-0005-0000-0000-0000C8620000}"/>
    <cellStyle name="Note 3 2 33" xfId="25282" xr:uid="{00000000-0005-0000-0000-0000C9620000}"/>
    <cellStyle name="Note 3 2 34" xfId="25283" xr:uid="{00000000-0005-0000-0000-0000CA620000}"/>
    <cellStyle name="Note 3 2 35" xfId="25284" xr:uid="{00000000-0005-0000-0000-0000CB620000}"/>
    <cellStyle name="Note 3 2 4" xfId="25285" xr:uid="{00000000-0005-0000-0000-0000CC620000}"/>
    <cellStyle name="Note 3 2 4 2" xfId="25286" xr:uid="{00000000-0005-0000-0000-0000CD620000}"/>
    <cellStyle name="Note 3 2 4 3" xfId="25287" xr:uid="{00000000-0005-0000-0000-0000CE620000}"/>
    <cellStyle name="Note 3 2 5" xfId="25288" xr:uid="{00000000-0005-0000-0000-0000CF620000}"/>
    <cellStyle name="Note 3 2 5 2" xfId="25289" xr:uid="{00000000-0005-0000-0000-0000D0620000}"/>
    <cellStyle name="Note 3 2 5 3" xfId="25290" xr:uid="{00000000-0005-0000-0000-0000D1620000}"/>
    <cellStyle name="Note 3 2 6" xfId="25291" xr:uid="{00000000-0005-0000-0000-0000D2620000}"/>
    <cellStyle name="Note 3 2 7" xfId="25292" xr:uid="{00000000-0005-0000-0000-0000D3620000}"/>
    <cellStyle name="Note 3 2 8" xfId="25293" xr:uid="{00000000-0005-0000-0000-0000D4620000}"/>
    <cellStyle name="Note 3 2 9" xfId="25294" xr:uid="{00000000-0005-0000-0000-0000D5620000}"/>
    <cellStyle name="Note 3 20" xfId="25295" xr:uid="{00000000-0005-0000-0000-0000D6620000}"/>
    <cellStyle name="Note 3 21" xfId="25296" xr:uid="{00000000-0005-0000-0000-0000D7620000}"/>
    <cellStyle name="Note 3 22" xfId="25297" xr:uid="{00000000-0005-0000-0000-0000D8620000}"/>
    <cellStyle name="Note 3 23" xfId="25298" xr:uid="{00000000-0005-0000-0000-0000D9620000}"/>
    <cellStyle name="Note 3 24" xfId="25299" xr:uid="{00000000-0005-0000-0000-0000DA620000}"/>
    <cellStyle name="Note 3 25" xfId="25300" xr:uid="{00000000-0005-0000-0000-0000DB620000}"/>
    <cellStyle name="Note 3 26" xfId="25301" xr:uid="{00000000-0005-0000-0000-0000DC620000}"/>
    <cellStyle name="Note 3 27" xfId="25302" xr:uid="{00000000-0005-0000-0000-0000DD620000}"/>
    <cellStyle name="Note 3 28" xfId="25303" xr:uid="{00000000-0005-0000-0000-0000DE620000}"/>
    <cellStyle name="Note 3 29" xfId="25304" xr:uid="{00000000-0005-0000-0000-0000DF620000}"/>
    <cellStyle name="Note 3 3" xfId="25305" xr:uid="{00000000-0005-0000-0000-0000E0620000}"/>
    <cellStyle name="Note 3 3 10" xfId="25306" xr:uid="{00000000-0005-0000-0000-0000E1620000}"/>
    <cellStyle name="Note 3 3 11" xfId="25307" xr:uid="{00000000-0005-0000-0000-0000E2620000}"/>
    <cellStyle name="Note 3 3 12" xfId="25308" xr:uid="{00000000-0005-0000-0000-0000E3620000}"/>
    <cellStyle name="Note 3 3 13" xfId="25309" xr:uid="{00000000-0005-0000-0000-0000E4620000}"/>
    <cellStyle name="Note 3 3 14" xfId="25310" xr:uid="{00000000-0005-0000-0000-0000E5620000}"/>
    <cellStyle name="Note 3 3 15" xfId="25311" xr:uid="{00000000-0005-0000-0000-0000E6620000}"/>
    <cellStyle name="Note 3 3 16" xfId="25312" xr:uid="{00000000-0005-0000-0000-0000E7620000}"/>
    <cellStyle name="Note 3 3 17" xfId="25313" xr:uid="{00000000-0005-0000-0000-0000E8620000}"/>
    <cellStyle name="Note 3 3 18" xfId="25314" xr:uid="{00000000-0005-0000-0000-0000E9620000}"/>
    <cellStyle name="Note 3 3 19" xfId="25315" xr:uid="{00000000-0005-0000-0000-0000EA620000}"/>
    <cellStyle name="Note 3 3 2" xfId="25316" xr:uid="{00000000-0005-0000-0000-0000EB620000}"/>
    <cellStyle name="Note 3 3 2 10" xfId="25317" xr:uid="{00000000-0005-0000-0000-0000EC620000}"/>
    <cellStyle name="Note 3 3 2 11" xfId="25318" xr:uid="{00000000-0005-0000-0000-0000ED620000}"/>
    <cellStyle name="Note 3 3 2 12" xfId="25319" xr:uid="{00000000-0005-0000-0000-0000EE620000}"/>
    <cellStyle name="Note 3 3 2 13" xfId="25320" xr:uid="{00000000-0005-0000-0000-0000EF620000}"/>
    <cellStyle name="Note 3 3 2 14" xfId="25321" xr:uid="{00000000-0005-0000-0000-0000F0620000}"/>
    <cellStyle name="Note 3 3 2 15" xfId="25322" xr:uid="{00000000-0005-0000-0000-0000F1620000}"/>
    <cellStyle name="Note 3 3 2 16" xfId="25323" xr:uid="{00000000-0005-0000-0000-0000F2620000}"/>
    <cellStyle name="Note 3 3 2 17" xfId="25324" xr:uid="{00000000-0005-0000-0000-0000F3620000}"/>
    <cellStyle name="Note 3 3 2 18" xfId="25325" xr:uid="{00000000-0005-0000-0000-0000F4620000}"/>
    <cellStyle name="Note 3 3 2 19" xfId="25326" xr:uid="{00000000-0005-0000-0000-0000F5620000}"/>
    <cellStyle name="Note 3 3 2 2" xfId="25327" xr:uid="{00000000-0005-0000-0000-0000F6620000}"/>
    <cellStyle name="Note 3 3 2 2 2" xfId="25328" xr:uid="{00000000-0005-0000-0000-0000F7620000}"/>
    <cellStyle name="Note 3 3 2 2 2 2" xfId="25329" xr:uid="{00000000-0005-0000-0000-0000F8620000}"/>
    <cellStyle name="Note 3 3 2 2 2 3" xfId="25330" xr:uid="{00000000-0005-0000-0000-0000F9620000}"/>
    <cellStyle name="Note 3 3 2 2 3" xfId="25331" xr:uid="{00000000-0005-0000-0000-0000FA620000}"/>
    <cellStyle name="Note 3 3 2 2 3 2" xfId="25332" xr:uid="{00000000-0005-0000-0000-0000FB620000}"/>
    <cellStyle name="Note 3 3 2 2 3 3" xfId="25333" xr:uid="{00000000-0005-0000-0000-0000FC620000}"/>
    <cellStyle name="Note 3 3 2 2 4" xfId="25334" xr:uid="{00000000-0005-0000-0000-0000FD620000}"/>
    <cellStyle name="Note 3 3 2 2 5" xfId="25335" xr:uid="{00000000-0005-0000-0000-0000FE620000}"/>
    <cellStyle name="Note 3 3 2 20" xfId="25336" xr:uid="{00000000-0005-0000-0000-0000FF620000}"/>
    <cellStyle name="Note 3 3 2 21" xfId="25337" xr:uid="{00000000-0005-0000-0000-000000630000}"/>
    <cellStyle name="Note 3 3 2 22" xfId="25338" xr:uid="{00000000-0005-0000-0000-000001630000}"/>
    <cellStyle name="Note 3 3 2 23" xfId="25339" xr:uid="{00000000-0005-0000-0000-000002630000}"/>
    <cellStyle name="Note 3 3 2 24" xfId="25340" xr:uid="{00000000-0005-0000-0000-000003630000}"/>
    <cellStyle name="Note 3 3 2 25" xfId="25341" xr:uid="{00000000-0005-0000-0000-000004630000}"/>
    <cellStyle name="Note 3 3 2 26" xfId="25342" xr:uid="{00000000-0005-0000-0000-000005630000}"/>
    <cellStyle name="Note 3 3 2 27" xfId="25343" xr:uid="{00000000-0005-0000-0000-000006630000}"/>
    <cellStyle name="Note 3 3 2 28" xfId="25344" xr:uid="{00000000-0005-0000-0000-000007630000}"/>
    <cellStyle name="Note 3 3 2 29" xfId="25345" xr:uid="{00000000-0005-0000-0000-000008630000}"/>
    <cellStyle name="Note 3 3 2 3" xfId="25346" xr:uid="{00000000-0005-0000-0000-000009630000}"/>
    <cellStyle name="Note 3 3 2 3 2" xfId="25347" xr:uid="{00000000-0005-0000-0000-00000A630000}"/>
    <cellStyle name="Note 3 3 2 3 2 2" xfId="25348" xr:uid="{00000000-0005-0000-0000-00000B630000}"/>
    <cellStyle name="Note 3 3 2 3 2 3" xfId="25349" xr:uid="{00000000-0005-0000-0000-00000C630000}"/>
    <cellStyle name="Note 3 3 2 3 3" xfId="25350" xr:uid="{00000000-0005-0000-0000-00000D630000}"/>
    <cellStyle name="Note 3 3 2 3 3 2" xfId="25351" xr:uid="{00000000-0005-0000-0000-00000E630000}"/>
    <cellStyle name="Note 3 3 2 3 3 3" xfId="25352" xr:uid="{00000000-0005-0000-0000-00000F630000}"/>
    <cellStyle name="Note 3 3 2 3 4" xfId="25353" xr:uid="{00000000-0005-0000-0000-000010630000}"/>
    <cellStyle name="Note 3 3 2 3 5" xfId="25354" xr:uid="{00000000-0005-0000-0000-000011630000}"/>
    <cellStyle name="Note 3 3 2 30" xfId="25355" xr:uid="{00000000-0005-0000-0000-000012630000}"/>
    <cellStyle name="Note 3 3 2 31" xfId="25356" xr:uid="{00000000-0005-0000-0000-000013630000}"/>
    <cellStyle name="Note 3 3 2 32" xfId="25357" xr:uid="{00000000-0005-0000-0000-000014630000}"/>
    <cellStyle name="Note 3 3 2 33" xfId="25358" xr:uid="{00000000-0005-0000-0000-000015630000}"/>
    <cellStyle name="Note 3 3 2 34" xfId="25359" xr:uid="{00000000-0005-0000-0000-000016630000}"/>
    <cellStyle name="Note 3 3 2 35" xfId="25360" xr:uid="{00000000-0005-0000-0000-000017630000}"/>
    <cellStyle name="Note 3 3 2 4" xfId="25361" xr:uid="{00000000-0005-0000-0000-000018630000}"/>
    <cellStyle name="Note 3 3 2 4 2" xfId="25362" xr:uid="{00000000-0005-0000-0000-000019630000}"/>
    <cellStyle name="Note 3 3 2 4 3" xfId="25363" xr:uid="{00000000-0005-0000-0000-00001A630000}"/>
    <cellStyle name="Note 3 3 2 5" xfId="25364" xr:uid="{00000000-0005-0000-0000-00001B630000}"/>
    <cellStyle name="Note 3 3 2 5 2" xfId="25365" xr:uid="{00000000-0005-0000-0000-00001C630000}"/>
    <cellStyle name="Note 3 3 2 5 3" xfId="25366" xr:uid="{00000000-0005-0000-0000-00001D630000}"/>
    <cellStyle name="Note 3 3 2 6" xfId="25367" xr:uid="{00000000-0005-0000-0000-00001E630000}"/>
    <cellStyle name="Note 3 3 2 7" xfId="25368" xr:uid="{00000000-0005-0000-0000-00001F630000}"/>
    <cellStyle name="Note 3 3 2 8" xfId="25369" xr:uid="{00000000-0005-0000-0000-000020630000}"/>
    <cellStyle name="Note 3 3 2 9" xfId="25370" xr:uid="{00000000-0005-0000-0000-000021630000}"/>
    <cellStyle name="Note 3 3 20" xfId="25371" xr:uid="{00000000-0005-0000-0000-000022630000}"/>
    <cellStyle name="Note 3 3 21" xfId="25372" xr:uid="{00000000-0005-0000-0000-000023630000}"/>
    <cellStyle name="Note 3 3 22" xfId="25373" xr:uid="{00000000-0005-0000-0000-000024630000}"/>
    <cellStyle name="Note 3 3 23" xfId="25374" xr:uid="{00000000-0005-0000-0000-000025630000}"/>
    <cellStyle name="Note 3 3 24" xfId="25375" xr:uid="{00000000-0005-0000-0000-000026630000}"/>
    <cellStyle name="Note 3 3 25" xfId="25376" xr:uid="{00000000-0005-0000-0000-000027630000}"/>
    <cellStyle name="Note 3 3 26" xfId="25377" xr:uid="{00000000-0005-0000-0000-000028630000}"/>
    <cellStyle name="Note 3 3 27" xfId="25378" xr:uid="{00000000-0005-0000-0000-000029630000}"/>
    <cellStyle name="Note 3 3 28" xfId="25379" xr:uid="{00000000-0005-0000-0000-00002A630000}"/>
    <cellStyle name="Note 3 3 29" xfId="25380" xr:uid="{00000000-0005-0000-0000-00002B630000}"/>
    <cellStyle name="Note 3 3 3" xfId="25381" xr:uid="{00000000-0005-0000-0000-00002C630000}"/>
    <cellStyle name="Note 3 3 3 2" xfId="25382" xr:uid="{00000000-0005-0000-0000-00002D630000}"/>
    <cellStyle name="Note 3 3 3 3" xfId="25383" xr:uid="{00000000-0005-0000-0000-00002E630000}"/>
    <cellStyle name="Note 3 3 30" xfId="25384" xr:uid="{00000000-0005-0000-0000-00002F630000}"/>
    <cellStyle name="Note 3 3 31" xfId="25385" xr:uid="{00000000-0005-0000-0000-000030630000}"/>
    <cellStyle name="Note 3 3 32" xfId="25386" xr:uid="{00000000-0005-0000-0000-000031630000}"/>
    <cellStyle name="Note 3 3 33" xfId="25387" xr:uid="{00000000-0005-0000-0000-000032630000}"/>
    <cellStyle name="Note 3 3 34" xfId="25388" xr:uid="{00000000-0005-0000-0000-000033630000}"/>
    <cellStyle name="Note 3 3 4" xfId="25389" xr:uid="{00000000-0005-0000-0000-000034630000}"/>
    <cellStyle name="Note 3 3 4 2" xfId="25390" xr:uid="{00000000-0005-0000-0000-000035630000}"/>
    <cellStyle name="Note 3 3 4 3" xfId="25391" xr:uid="{00000000-0005-0000-0000-000036630000}"/>
    <cellStyle name="Note 3 3 5" xfId="25392" xr:uid="{00000000-0005-0000-0000-000037630000}"/>
    <cellStyle name="Note 3 3 6" xfId="25393" xr:uid="{00000000-0005-0000-0000-000038630000}"/>
    <cellStyle name="Note 3 3 7" xfId="25394" xr:uid="{00000000-0005-0000-0000-000039630000}"/>
    <cellStyle name="Note 3 3 8" xfId="25395" xr:uid="{00000000-0005-0000-0000-00003A630000}"/>
    <cellStyle name="Note 3 3 9" xfId="25396" xr:uid="{00000000-0005-0000-0000-00003B630000}"/>
    <cellStyle name="Note 3 30" xfId="25397" xr:uid="{00000000-0005-0000-0000-00003C630000}"/>
    <cellStyle name="Note 3 31" xfId="25398" xr:uid="{00000000-0005-0000-0000-00003D630000}"/>
    <cellStyle name="Note 3 32" xfId="25399" xr:uid="{00000000-0005-0000-0000-00003E630000}"/>
    <cellStyle name="Note 3 33" xfId="25400" xr:uid="{00000000-0005-0000-0000-00003F630000}"/>
    <cellStyle name="Note 3 34" xfId="25401" xr:uid="{00000000-0005-0000-0000-000040630000}"/>
    <cellStyle name="Note 3 35" xfId="25402" xr:uid="{00000000-0005-0000-0000-000041630000}"/>
    <cellStyle name="Note 3 36" xfId="25403" xr:uid="{00000000-0005-0000-0000-000042630000}"/>
    <cellStyle name="Note 3 4" xfId="25404" xr:uid="{00000000-0005-0000-0000-000043630000}"/>
    <cellStyle name="Note 3 4 10" xfId="25405" xr:uid="{00000000-0005-0000-0000-000044630000}"/>
    <cellStyle name="Note 3 4 11" xfId="25406" xr:uid="{00000000-0005-0000-0000-000045630000}"/>
    <cellStyle name="Note 3 4 12" xfId="25407" xr:uid="{00000000-0005-0000-0000-000046630000}"/>
    <cellStyle name="Note 3 4 13" xfId="25408" xr:uid="{00000000-0005-0000-0000-000047630000}"/>
    <cellStyle name="Note 3 4 14" xfId="25409" xr:uid="{00000000-0005-0000-0000-000048630000}"/>
    <cellStyle name="Note 3 4 15" xfId="25410" xr:uid="{00000000-0005-0000-0000-000049630000}"/>
    <cellStyle name="Note 3 4 16" xfId="25411" xr:uid="{00000000-0005-0000-0000-00004A630000}"/>
    <cellStyle name="Note 3 4 17" xfId="25412" xr:uid="{00000000-0005-0000-0000-00004B630000}"/>
    <cellStyle name="Note 3 4 18" xfId="25413" xr:uid="{00000000-0005-0000-0000-00004C630000}"/>
    <cellStyle name="Note 3 4 19" xfId="25414" xr:uid="{00000000-0005-0000-0000-00004D630000}"/>
    <cellStyle name="Note 3 4 2" xfId="25415" xr:uid="{00000000-0005-0000-0000-00004E630000}"/>
    <cellStyle name="Note 3 4 2 2" xfId="25416" xr:uid="{00000000-0005-0000-0000-00004F630000}"/>
    <cellStyle name="Note 3 4 2 2 2" xfId="25417" xr:uid="{00000000-0005-0000-0000-000050630000}"/>
    <cellStyle name="Note 3 4 2 2 3" xfId="25418" xr:uid="{00000000-0005-0000-0000-000051630000}"/>
    <cellStyle name="Note 3 4 2 3" xfId="25419" xr:uid="{00000000-0005-0000-0000-000052630000}"/>
    <cellStyle name="Note 3 4 2 3 2" xfId="25420" xr:uid="{00000000-0005-0000-0000-000053630000}"/>
    <cellStyle name="Note 3 4 2 3 3" xfId="25421" xr:uid="{00000000-0005-0000-0000-000054630000}"/>
    <cellStyle name="Note 3 4 2 4" xfId="25422" xr:uid="{00000000-0005-0000-0000-000055630000}"/>
    <cellStyle name="Note 3 4 2 5" xfId="25423" xr:uid="{00000000-0005-0000-0000-000056630000}"/>
    <cellStyle name="Note 3 4 20" xfId="25424" xr:uid="{00000000-0005-0000-0000-000057630000}"/>
    <cellStyle name="Note 3 4 21" xfId="25425" xr:uid="{00000000-0005-0000-0000-000058630000}"/>
    <cellStyle name="Note 3 4 22" xfId="25426" xr:uid="{00000000-0005-0000-0000-000059630000}"/>
    <cellStyle name="Note 3 4 23" xfId="25427" xr:uid="{00000000-0005-0000-0000-00005A630000}"/>
    <cellStyle name="Note 3 4 24" xfId="25428" xr:uid="{00000000-0005-0000-0000-00005B630000}"/>
    <cellStyle name="Note 3 4 25" xfId="25429" xr:uid="{00000000-0005-0000-0000-00005C630000}"/>
    <cellStyle name="Note 3 4 26" xfId="25430" xr:uid="{00000000-0005-0000-0000-00005D630000}"/>
    <cellStyle name="Note 3 4 27" xfId="25431" xr:uid="{00000000-0005-0000-0000-00005E630000}"/>
    <cellStyle name="Note 3 4 28" xfId="25432" xr:uid="{00000000-0005-0000-0000-00005F630000}"/>
    <cellStyle name="Note 3 4 29" xfId="25433" xr:uid="{00000000-0005-0000-0000-000060630000}"/>
    <cellStyle name="Note 3 4 3" xfId="25434" xr:uid="{00000000-0005-0000-0000-000061630000}"/>
    <cellStyle name="Note 3 4 3 2" xfId="25435" xr:uid="{00000000-0005-0000-0000-000062630000}"/>
    <cellStyle name="Note 3 4 3 2 2" xfId="25436" xr:uid="{00000000-0005-0000-0000-000063630000}"/>
    <cellStyle name="Note 3 4 3 2 3" xfId="25437" xr:uid="{00000000-0005-0000-0000-000064630000}"/>
    <cellStyle name="Note 3 4 3 3" xfId="25438" xr:uid="{00000000-0005-0000-0000-000065630000}"/>
    <cellStyle name="Note 3 4 3 3 2" xfId="25439" xr:uid="{00000000-0005-0000-0000-000066630000}"/>
    <cellStyle name="Note 3 4 3 3 3" xfId="25440" xr:uid="{00000000-0005-0000-0000-000067630000}"/>
    <cellStyle name="Note 3 4 3 4" xfId="25441" xr:uid="{00000000-0005-0000-0000-000068630000}"/>
    <cellStyle name="Note 3 4 3 5" xfId="25442" xr:uid="{00000000-0005-0000-0000-000069630000}"/>
    <cellStyle name="Note 3 4 30" xfId="25443" xr:uid="{00000000-0005-0000-0000-00006A630000}"/>
    <cellStyle name="Note 3 4 31" xfId="25444" xr:uid="{00000000-0005-0000-0000-00006B630000}"/>
    <cellStyle name="Note 3 4 32" xfId="25445" xr:uid="{00000000-0005-0000-0000-00006C630000}"/>
    <cellStyle name="Note 3 4 33" xfId="25446" xr:uid="{00000000-0005-0000-0000-00006D630000}"/>
    <cellStyle name="Note 3 4 34" xfId="25447" xr:uid="{00000000-0005-0000-0000-00006E630000}"/>
    <cellStyle name="Note 3 4 35" xfId="25448" xr:uid="{00000000-0005-0000-0000-00006F630000}"/>
    <cellStyle name="Note 3 4 4" xfId="25449" xr:uid="{00000000-0005-0000-0000-000070630000}"/>
    <cellStyle name="Note 3 4 4 2" xfId="25450" xr:uid="{00000000-0005-0000-0000-000071630000}"/>
    <cellStyle name="Note 3 4 4 3" xfId="25451" xr:uid="{00000000-0005-0000-0000-000072630000}"/>
    <cellStyle name="Note 3 4 5" xfId="25452" xr:uid="{00000000-0005-0000-0000-000073630000}"/>
    <cellStyle name="Note 3 4 5 2" xfId="25453" xr:uid="{00000000-0005-0000-0000-000074630000}"/>
    <cellStyle name="Note 3 4 5 3" xfId="25454" xr:uid="{00000000-0005-0000-0000-000075630000}"/>
    <cellStyle name="Note 3 4 6" xfId="25455" xr:uid="{00000000-0005-0000-0000-000076630000}"/>
    <cellStyle name="Note 3 4 7" xfId="25456" xr:uid="{00000000-0005-0000-0000-000077630000}"/>
    <cellStyle name="Note 3 4 8" xfId="25457" xr:uid="{00000000-0005-0000-0000-000078630000}"/>
    <cellStyle name="Note 3 4 9" xfId="25458" xr:uid="{00000000-0005-0000-0000-000079630000}"/>
    <cellStyle name="Note 3 5" xfId="25459" xr:uid="{00000000-0005-0000-0000-00007A630000}"/>
    <cellStyle name="Note 3 5 2" xfId="25460" xr:uid="{00000000-0005-0000-0000-00007B630000}"/>
    <cellStyle name="Note 3 5 3" xfId="25461" xr:uid="{00000000-0005-0000-0000-00007C630000}"/>
    <cellStyle name="Note 3 6" xfId="25462" xr:uid="{00000000-0005-0000-0000-00007D630000}"/>
    <cellStyle name="Note 3 6 2" xfId="25463" xr:uid="{00000000-0005-0000-0000-00007E630000}"/>
    <cellStyle name="Note 3 6 3" xfId="25464" xr:uid="{00000000-0005-0000-0000-00007F630000}"/>
    <cellStyle name="Note 3 7" xfId="25465" xr:uid="{00000000-0005-0000-0000-000080630000}"/>
    <cellStyle name="Note 3 8" xfId="25466" xr:uid="{00000000-0005-0000-0000-000081630000}"/>
    <cellStyle name="Note 3 9" xfId="25467" xr:uid="{00000000-0005-0000-0000-000082630000}"/>
    <cellStyle name="Note 4" xfId="25468" xr:uid="{00000000-0005-0000-0000-000083630000}"/>
    <cellStyle name="Note 4 2" xfId="25469" xr:uid="{00000000-0005-0000-0000-000084630000}"/>
    <cellStyle name="Note 4 2 2" xfId="25470" xr:uid="{00000000-0005-0000-0000-000085630000}"/>
    <cellStyle name="Note 4 3" xfId="25471" xr:uid="{00000000-0005-0000-0000-000086630000}"/>
    <cellStyle name="Note 4 3 2" xfId="25472" xr:uid="{00000000-0005-0000-0000-000087630000}"/>
    <cellStyle name="Note 4 4" xfId="25473" xr:uid="{00000000-0005-0000-0000-000088630000}"/>
    <cellStyle name="Note 4 4 10" xfId="25474" xr:uid="{00000000-0005-0000-0000-000089630000}"/>
    <cellStyle name="Note 4 4 11" xfId="25475" xr:uid="{00000000-0005-0000-0000-00008A630000}"/>
    <cellStyle name="Note 4 4 12" xfId="25476" xr:uid="{00000000-0005-0000-0000-00008B630000}"/>
    <cellStyle name="Note 4 4 13" xfId="25477" xr:uid="{00000000-0005-0000-0000-00008C630000}"/>
    <cellStyle name="Note 4 4 14" xfId="25478" xr:uid="{00000000-0005-0000-0000-00008D630000}"/>
    <cellStyle name="Note 4 4 15" xfId="25479" xr:uid="{00000000-0005-0000-0000-00008E630000}"/>
    <cellStyle name="Note 4 4 16" xfId="25480" xr:uid="{00000000-0005-0000-0000-00008F630000}"/>
    <cellStyle name="Note 4 4 17" xfId="25481" xr:uid="{00000000-0005-0000-0000-000090630000}"/>
    <cellStyle name="Note 4 4 18" xfId="25482" xr:uid="{00000000-0005-0000-0000-000091630000}"/>
    <cellStyle name="Note 4 4 19" xfId="25483" xr:uid="{00000000-0005-0000-0000-000092630000}"/>
    <cellStyle name="Note 4 4 2" xfId="25484" xr:uid="{00000000-0005-0000-0000-000093630000}"/>
    <cellStyle name="Note 4 4 2 10" xfId="25485" xr:uid="{00000000-0005-0000-0000-000094630000}"/>
    <cellStyle name="Note 4 4 2 11" xfId="25486" xr:uid="{00000000-0005-0000-0000-000095630000}"/>
    <cellStyle name="Note 4 4 2 12" xfId="25487" xr:uid="{00000000-0005-0000-0000-000096630000}"/>
    <cellStyle name="Note 4 4 2 13" xfId="25488" xr:uid="{00000000-0005-0000-0000-000097630000}"/>
    <cellStyle name="Note 4 4 2 14" xfId="25489" xr:uid="{00000000-0005-0000-0000-000098630000}"/>
    <cellStyle name="Note 4 4 2 15" xfId="25490" xr:uid="{00000000-0005-0000-0000-000099630000}"/>
    <cellStyle name="Note 4 4 2 16" xfId="25491" xr:uid="{00000000-0005-0000-0000-00009A630000}"/>
    <cellStyle name="Note 4 4 2 17" xfId="25492" xr:uid="{00000000-0005-0000-0000-00009B630000}"/>
    <cellStyle name="Note 4 4 2 18" xfId="25493" xr:uid="{00000000-0005-0000-0000-00009C630000}"/>
    <cellStyle name="Note 4 4 2 19" xfId="25494" xr:uid="{00000000-0005-0000-0000-00009D630000}"/>
    <cellStyle name="Note 4 4 2 2" xfId="25495" xr:uid="{00000000-0005-0000-0000-00009E630000}"/>
    <cellStyle name="Note 4 4 2 2 2" xfId="25496" xr:uid="{00000000-0005-0000-0000-00009F630000}"/>
    <cellStyle name="Note 4 4 2 2 2 2" xfId="25497" xr:uid="{00000000-0005-0000-0000-0000A0630000}"/>
    <cellStyle name="Note 4 4 2 2 2 3" xfId="25498" xr:uid="{00000000-0005-0000-0000-0000A1630000}"/>
    <cellStyle name="Note 4 4 2 2 3" xfId="25499" xr:uid="{00000000-0005-0000-0000-0000A2630000}"/>
    <cellStyle name="Note 4 4 2 2 3 2" xfId="25500" xr:uid="{00000000-0005-0000-0000-0000A3630000}"/>
    <cellStyle name="Note 4 4 2 2 3 3" xfId="25501" xr:uid="{00000000-0005-0000-0000-0000A4630000}"/>
    <cellStyle name="Note 4 4 2 2 4" xfId="25502" xr:uid="{00000000-0005-0000-0000-0000A5630000}"/>
    <cellStyle name="Note 4 4 2 2 5" xfId="25503" xr:uid="{00000000-0005-0000-0000-0000A6630000}"/>
    <cellStyle name="Note 4 4 2 20" xfId="25504" xr:uid="{00000000-0005-0000-0000-0000A7630000}"/>
    <cellStyle name="Note 4 4 2 21" xfId="25505" xr:uid="{00000000-0005-0000-0000-0000A8630000}"/>
    <cellStyle name="Note 4 4 2 22" xfId="25506" xr:uid="{00000000-0005-0000-0000-0000A9630000}"/>
    <cellStyle name="Note 4 4 2 23" xfId="25507" xr:uid="{00000000-0005-0000-0000-0000AA630000}"/>
    <cellStyle name="Note 4 4 2 24" xfId="25508" xr:uid="{00000000-0005-0000-0000-0000AB630000}"/>
    <cellStyle name="Note 4 4 2 25" xfId="25509" xr:uid="{00000000-0005-0000-0000-0000AC630000}"/>
    <cellStyle name="Note 4 4 2 26" xfId="25510" xr:uid="{00000000-0005-0000-0000-0000AD630000}"/>
    <cellStyle name="Note 4 4 2 27" xfId="25511" xr:uid="{00000000-0005-0000-0000-0000AE630000}"/>
    <cellStyle name="Note 4 4 2 28" xfId="25512" xr:uid="{00000000-0005-0000-0000-0000AF630000}"/>
    <cellStyle name="Note 4 4 2 29" xfId="25513" xr:uid="{00000000-0005-0000-0000-0000B0630000}"/>
    <cellStyle name="Note 4 4 2 3" xfId="25514" xr:uid="{00000000-0005-0000-0000-0000B1630000}"/>
    <cellStyle name="Note 4 4 2 3 2" xfId="25515" xr:uid="{00000000-0005-0000-0000-0000B2630000}"/>
    <cellStyle name="Note 4 4 2 3 2 2" xfId="25516" xr:uid="{00000000-0005-0000-0000-0000B3630000}"/>
    <cellStyle name="Note 4 4 2 3 2 3" xfId="25517" xr:uid="{00000000-0005-0000-0000-0000B4630000}"/>
    <cellStyle name="Note 4 4 2 3 3" xfId="25518" xr:uid="{00000000-0005-0000-0000-0000B5630000}"/>
    <cellStyle name="Note 4 4 2 3 3 2" xfId="25519" xr:uid="{00000000-0005-0000-0000-0000B6630000}"/>
    <cellStyle name="Note 4 4 2 3 3 3" xfId="25520" xr:uid="{00000000-0005-0000-0000-0000B7630000}"/>
    <cellStyle name="Note 4 4 2 3 4" xfId="25521" xr:uid="{00000000-0005-0000-0000-0000B8630000}"/>
    <cellStyle name="Note 4 4 2 3 5" xfId="25522" xr:uid="{00000000-0005-0000-0000-0000B9630000}"/>
    <cellStyle name="Note 4 4 2 30" xfId="25523" xr:uid="{00000000-0005-0000-0000-0000BA630000}"/>
    <cellStyle name="Note 4 4 2 31" xfId="25524" xr:uid="{00000000-0005-0000-0000-0000BB630000}"/>
    <cellStyle name="Note 4 4 2 32" xfId="25525" xr:uid="{00000000-0005-0000-0000-0000BC630000}"/>
    <cellStyle name="Note 4 4 2 33" xfId="25526" xr:uid="{00000000-0005-0000-0000-0000BD630000}"/>
    <cellStyle name="Note 4 4 2 34" xfId="25527" xr:uid="{00000000-0005-0000-0000-0000BE630000}"/>
    <cellStyle name="Note 4 4 2 35" xfId="25528" xr:uid="{00000000-0005-0000-0000-0000BF630000}"/>
    <cellStyle name="Note 4 4 2 4" xfId="25529" xr:uid="{00000000-0005-0000-0000-0000C0630000}"/>
    <cellStyle name="Note 4 4 2 4 2" xfId="25530" xr:uid="{00000000-0005-0000-0000-0000C1630000}"/>
    <cellStyle name="Note 4 4 2 4 3" xfId="25531" xr:uid="{00000000-0005-0000-0000-0000C2630000}"/>
    <cellStyle name="Note 4 4 2 5" xfId="25532" xr:uid="{00000000-0005-0000-0000-0000C3630000}"/>
    <cellStyle name="Note 4 4 2 5 2" xfId="25533" xr:uid="{00000000-0005-0000-0000-0000C4630000}"/>
    <cellStyle name="Note 4 4 2 5 3" xfId="25534" xr:uid="{00000000-0005-0000-0000-0000C5630000}"/>
    <cellStyle name="Note 4 4 2 6" xfId="25535" xr:uid="{00000000-0005-0000-0000-0000C6630000}"/>
    <cellStyle name="Note 4 4 2 7" xfId="25536" xr:uid="{00000000-0005-0000-0000-0000C7630000}"/>
    <cellStyle name="Note 4 4 2 8" xfId="25537" xr:uid="{00000000-0005-0000-0000-0000C8630000}"/>
    <cellStyle name="Note 4 4 2 9" xfId="25538" xr:uid="{00000000-0005-0000-0000-0000C9630000}"/>
    <cellStyle name="Note 4 4 20" xfId="25539" xr:uid="{00000000-0005-0000-0000-0000CA630000}"/>
    <cellStyle name="Note 4 4 21" xfId="25540" xr:uid="{00000000-0005-0000-0000-0000CB630000}"/>
    <cellStyle name="Note 4 4 22" xfId="25541" xr:uid="{00000000-0005-0000-0000-0000CC630000}"/>
    <cellStyle name="Note 4 4 23" xfId="25542" xr:uid="{00000000-0005-0000-0000-0000CD630000}"/>
    <cellStyle name="Note 4 4 24" xfId="25543" xr:uid="{00000000-0005-0000-0000-0000CE630000}"/>
    <cellStyle name="Note 4 4 25" xfId="25544" xr:uid="{00000000-0005-0000-0000-0000CF630000}"/>
    <cellStyle name="Note 4 4 26" xfId="25545" xr:uid="{00000000-0005-0000-0000-0000D0630000}"/>
    <cellStyle name="Note 4 4 27" xfId="25546" xr:uid="{00000000-0005-0000-0000-0000D1630000}"/>
    <cellStyle name="Note 4 4 28" xfId="25547" xr:uid="{00000000-0005-0000-0000-0000D2630000}"/>
    <cellStyle name="Note 4 4 29" xfId="25548" xr:uid="{00000000-0005-0000-0000-0000D3630000}"/>
    <cellStyle name="Note 4 4 3" xfId="25549" xr:uid="{00000000-0005-0000-0000-0000D4630000}"/>
    <cellStyle name="Note 4 4 3 2" xfId="25550" xr:uid="{00000000-0005-0000-0000-0000D5630000}"/>
    <cellStyle name="Note 4 4 3 3" xfId="25551" xr:uid="{00000000-0005-0000-0000-0000D6630000}"/>
    <cellStyle name="Note 4 4 30" xfId="25552" xr:uid="{00000000-0005-0000-0000-0000D7630000}"/>
    <cellStyle name="Note 4 4 31" xfId="25553" xr:uid="{00000000-0005-0000-0000-0000D8630000}"/>
    <cellStyle name="Note 4 4 32" xfId="25554" xr:uid="{00000000-0005-0000-0000-0000D9630000}"/>
    <cellStyle name="Note 4 4 33" xfId="25555" xr:uid="{00000000-0005-0000-0000-0000DA630000}"/>
    <cellStyle name="Note 4 4 34" xfId="25556" xr:uid="{00000000-0005-0000-0000-0000DB630000}"/>
    <cellStyle name="Note 4 4 4" xfId="25557" xr:uid="{00000000-0005-0000-0000-0000DC630000}"/>
    <cellStyle name="Note 4 4 4 2" xfId="25558" xr:uid="{00000000-0005-0000-0000-0000DD630000}"/>
    <cellStyle name="Note 4 4 4 3" xfId="25559" xr:uid="{00000000-0005-0000-0000-0000DE630000}"/>
    <cellStyle name="Note 4 4 5" xfId="25560" xr:uid="{00000000-0005-0000-0000-0000DF630000}"/>
    <cellStyle name="Note 4 4 6" xfId="25561" xr:uid="{00000000-0005-0000-0000-0000E0630000}"/>
    <cellStyle name="Note 4 4 7" xfId="25562" xr:uid="{00000000-0005-0000-0000-0000E1630000}"/>
    <cellStyle name="Note 4 4 8" xfId="25563" xr:uid="{00000000-0005-0000-0000-0000E2630000}"/>
    <cellStyle name="Note 4 4 9" xfId="25564" xr:uid="{00000000-0005-0000-0000-0000E3630000}"/>
    <cellStyle name="Note 5" xfId="25565" xr:uid="{00000000-0005-0000-0000-0000E4630000}"/>
    <cellStyle name="Note 5 10" xfId="25566" xr:uid="{00000000-0005-0000-0000-0000E5630000}"/>
    <cellStyle name="Note 5 11" xfId="25567" xr:uid="{00000000-0005-0000-0000-0000E6630000}"/>
    <cellStyle name="Note 5 12" xfId="25568" xr:uid="{00000000-0005-0000-0000-0000E7630000}"/>
    <cellStyle name="Note 5 13" xfId="25569" xr:uid="{00000000-0005-0000-0000-0000E8630000}"/>
    <cellStyle name="Note 5 14" xfId="25570" xr:uid="{00000000-0005-0000-0000-0000E9630000}"/>
    <cellStyle name="Note 5 15" xfId="25571" xr:uid="{00000000-0005-0000-0000-0000EA630000}"/>
    <cellStyle name="Note 5 16" xfId="25572" xr:uid="{00000000-0005-0000-0000-0000EB630000}"/>
    <cellStyle name="Note 5 17" xfId="25573" xr:uid="{00000000-0005-0000-0000-0000EC630000}"/>
    <cellStyle name="Note 5 18" xfId="25574" xr:uid="{00000000-0005-0000-0000-0000ED630000}"/>
    <cellStyle name="Note 5 19" xfId="25575" xr:uid="{00000000-0005-0000-0000-0000EE630000}"/>
    <cellStyle name="Note 5 2" xfId="25576" xr:uid="{00000000-0005-0000-0000-0000EF630000}"/>
    <cellStyle name="Note 5 2 10" xfId="25577" xr:uid="{00000000-0005-0000-0000-0000F0630000}"/>
    <cellStyle name="Note 5 2 11" xfId="25578" xr:uid="{00000000-0005-0000-0000-0000F1630000}"/>
    <cellStyle name="Note 5 2 12" xfId="25579" xr:uid="{00000000-0005-0000-0000-0000F2630000}"/>
    <cellStyle name="Note 5 2 13" xfId="25580" xr:uid="{00000000-0005-0000-0000-0000F3630000}"/>
    <cellStyle name="Note 5 2 14" xfId="25581" xr:uid="{00000000-0005-0000-0000-0000F4630000}"/>
    <cellStyle name="Note 5 2 15" xfId="25582" xr:uid="{00000000-0005-0000-0000-0000F5630000}"/>
    <cellStyle name="Note 5 2 16" xfId="25583" xr:uid="{00000000-0005-0000-0000-0000F6630000}"/>
    <cellStyle name="Note 5 2 17" xfId="25584" xr:uid="{00000000-0005-0000-0000-0000F7630000}"/>
    <cellStyle name="Note 5 2 18" xfId="25585" xr:uid="{00000000-0005-0000-0000-0000F8630000}"/>
    <cellStyle name="Note 5 2 19" xfId="25586" xr:uid="{00000000-0005-0000-0000-0000F9630000}"/>
    <cellStyle name="Note 5 2 2" xfId="25587" xr:uid="{00000000-0005-0000-0000-0000FA630000}"/>
    <cellStyle name="Note 5 2 2 10" xfId="25588" xr:uid="{00000000-0005-0000-0000-0000FB630000}"/>
    <cellStyle name="Note 5 2 2 11" xfId="25589" xr:uid="{00000000-0005-0000-0000-0000FC630000}"/>
    <cellStyle name="Note 5 2 2 12" xfId="25590" xr:uid="{00000000-0005-0000-0000-0000FD630000}"/>
    <cellStyle name="Note 5 2 2 13" xfId="25591" xr:uid="{00000000-0005-0000-0000-0000FE630000}"/>
    <cellStyle name="Note 5 2 2 14" xfId="25592" xr:uid="{00000000-0005-0000-0000-0000FF630000}"/>
    <cellStyle name="Note 5 2 2 15" xfId="25593" xr:uid="{00000000-0005-0000-0000-000000640000}"/>
    <cellStyle name="Note 5 2 2 16" xfId="25594" xr:uid="{00000000-0005-0000-0000-000001640000}"/>
    <cellStyle name="Note 5 2 2 17" xfId="25595" xr:uid="{00000000-0005-0000-0000-000002640000}"/>
    <cellStyle name="Note 5 2 2 18" xfId="25596" xr:uid="{00000000-0005-0000-0000-000003640000}"/>
    <cellStyle name="Note 5 2 2 19" xfId="25597" xr:uid="{00000000-0005-0000-0000-000004640000}"/>
    <cellStyle name="Note 5 2 2 2" xfId="25598" xr:uid="{00000000-0005-0000-0000-000005640000}"/>
    <cellStyle name="Note 5 2 2 2 2" xfId="25599" xr:uid="{00000000-0005-0000-0000-000006640000}"/>
    <cellStyle name="Note 5 2 2 2 2 2" xfId="25600" xr:uid="{00000000-0005-0000-0000-000007640000}"/>
    <cellStyle name="Note 5 2 2 2 2 3" xfId="25601" xr:uid="{00000000-0005-0000-0000-000008640000}"/>
    <cellStyle name="Note 5 2 2 2 3" xfId="25602" xr:uid="{00000000-0005-0000-0000-000009640000}"/>
    <cellStyle name="Note 5 2 2 2 3 2" xfId="25603" xr:uid="{00000000-0005-0000-0000-00000A640000}"/>
    <cellStyle name="Note 5 2 2 2 3 3" xfId="25604" xr:uid="{00000000-0005-0000-0000-00000B640000}"/>
    <cellStyle name="Note 5 2 2 2 4" xfId="25605" xr:uid="{00000000-0005-0000-0000-00000C640000}"/>
    <cellStyle name="Note 5 2 2 2 5" xfId="25606" xr:uid="{00000000-0005-0000-0000-00000D640000}"/>
    <cellStyle name="Note 5 2 2 20" xfId="25607" xr:uid="{00000000-0005-0000-0000-00000E640000}"/>
    <cellStyle name="Note 5 2 2 21" xfId="25608" xr:uid="{00000000-0005-0000-0000-00000F640000}"/>
    <cellStyle name="Note 5 2 2 22" xfId="25609" xr:uid="{00000000-0005-0000-0000-000010640000}"/>
    <cellStyle name="Note 5 2 2 23" xfId="25610" xr:uid="{00000000-0005-0000-0000-000011640000}"/>
    <cellStyle name="Note 5 2 2 24" xfId="25611" xr:uid="{00000000-0005-0000-0000-000012640000}"/>
    <cellStyle name="Note 5 2 2 25" xfId="25612" xr:uid="{00000000-0005-0000-0000-000013640000}"/>
    <cellStyle name="Note 5 2 2 26" xfId="25613" xr:uid="{00000000-0005-0000-0000-000014640000}"/>
    <cellStyle name="Note 5 2 2 27" xfId="25614" xr:uid="{00000000-0005-0000-0000-000015640000}"/>
    <cellStyle name="Note 5 2 2 28" xfId="25615" xr:uid="{00000000-0005-0000-0000-000016640000}"/>
    <cellStyle name="Note 5 2 2 29" xfId="25616" xr:uid="{00000000-0005-0000-0000-000017640000}"/>
    <cellStyle name="Note 5 2 2 3" xfId="25617" xr:uid="{00000000-0005-0000-0000-000018640000}"/>
    <cellStyle name="Note 5 2 2 3 2" xfId="25618" xr:uid="{00000000-0005-0000-0000-000019640000}"/>
    <cellStyle name="Note 5 2 2 3 2 2" xfId="25619" xr:uid="{00000000-0005-0000-0000-00001A640000}"/>
    <cellStyle name="Note 5 2 2 3 2 3" xfId="25620" xr:uid="{00000000-0005-0000-0000-00001B640000}"/>
    <cellStyle name="Note 5 2 2 3 3" xfId="25621" xr:uid="{00000000-0005-0000-0000-00001C640000}"/>
    <cellStyle name="Note 5 2 2 3 3 2" xfId="25622" xr:uid="{00000000-0005-0000-0000-00001D640000}"/>
    <cellStyle name="Note 5 2 2 3 3 3" xfId="25623" xr:uid="{00000000-0005-0000-0000-00001E640000}"/>
    <cellStyle name="Note 5 2 2 3 4" xfId="25624" xr:uid="{00000000-0005-0000-0000-00001F640000}"/>
    <cellStyle name="Note 5 2 2 3 5" xfId="25625" xr:uid="{00000000-0005-0000-0000-000020640000}"/>
    <cellStyle name="Note 5 2 2 30" xfId="25626" xr:uid="{00000000-0005-0000-0000-000021640000}"/>
    <cellStyle name="Note 5 2 2 31" xfId="25627" xr:uid="{00000000-0005-0000-0000-000022640000}"/>
    <cellStyle name="Note 5 2 2 32" xfId="25628" xr:uid="{00000000-0005-0000-0000-000023640000}"/>
    <cellStyle name="Note 5 2 2 33" xfId="25629" xr:uid="{00000000-0005-0000-0000-000024640000}"/>
    <cellStyle name="Note 5 2 2 34" xfId="25630" xr:uid="{00000000-0005-0000-0000-000025640000}"/>
    <cellStyle name="Note 5 2 2 35" xfId="25631" xr:uid="{00000000-0005-0000-0000-000026640000}"/>
    <cellStyle name="Note 5 2 2 4" xfId="25632" xr:uid="{00000000-0005-0000-0000-000027640000}"/>
    <cellStyle name="Note 5 2 2 4 2" xfId="25633" xr:uid="{00000000-0005-0000-0000-000028640000}"/>
    <cellStyle name="Note 5 2 2 4 3" xfId="25634" xr:uid="{00000000-0005-0000-0000-000029640000}"/>
    <cellStyle name="Note 5 2 2 5" xfId="25635" xr:uid="{00000000-0005-0000-0000-00002A640000}"/>
    <cellStyle name="Note 5 2 2 5 2" xfId="25636" xr:uid="{00000000-0005-0000-0000-00002B640000}"/>
    <cellStyle name="Note 5 2 2 5 3" xfId="25637" xr:uid="{00000000-0005-0000-0000-00002C640000}"/>
    <cellStyle name="Note 5 2 2 6" xfId="25638" xr:uid="{00000000-0005-0000-0000-00002D640000}"/>
    <cellStyle name="Note 5 2 2 7" xfId="25639" xr:uid="{00000000-0005-0000-0000-00002E640000}"/>
    <cellStyle name="Note 5 2 2 8" xfId="25640" xr:uid="{00000000-0005-0000-0000-00002F640000}"/>
    <cellStyle name="Note 5 2 2 9" xfId="25641" xr:uid="{00000000-0005-0000-0000-000030640000}"/>
    <cellStyle name="Note 5 2 20" xfId="25642" xr:uid="{00000000-0005-0000-0000-000031640000}"/>
    <cellStyle name="Note 5 2 21" xfId="25643" xr:uid="{00000000-0005-0000-0000-000032640000}"/>
    <cellStyle name="Note 5 2 22" xfId="25644" xr:uid="{00000000-0005-0000-0000-000033640000}"/>
    <cellStyle name="Note 5 2 23" xfId="25645" xr:uid="{00000000-0005-0000-0000-000034640000}"/>
    <cellStyle name="Note 5 2 24" xfId="25646" xr:uid="{00000000-0005-0000-0000-000035640000}"/>
    <cellStyle name="Note 5 2 25" xfId="25647" xr:uid="{00000000-0005-0000-0000-000036640000}"/>
    <cellStyle name="Note 5 2 26" xfId="25648" xr:uid="{00000000-0005-0000-0000-000037640000}"/>
    <cellStyle name="Note 5 2 27" xfId="25649" xr:uid="{00000000-0005-0000-0000-000038640000}"/>
    <cellStyle name="Note 5 2 28" xfId="25650" xr:uid="{00000000-0005-0000-0000-000039640000}"/>
    <cellStyle name="Note 5 2 29" xfId="25651" xr:uid="{00000000-0005-0000-0000-00003A640000}"/>
    <cellStyle name="Note 5 2 3" xfId="25652" xr:uid="{00000000-0005-0000-0000-00003B640000}"/>
    <cellStyle name="Note 5 2 3 2" xfId="25653" xr:uid="{00000000-0005-0000-0000-00003C640000}"/>
    <cellStyle name="Note 5 2 3 3" xfId="25654" xr:uid="{00000000-0005-0000-0000-00003D640000}"/>
    <cellStyle name="Note 5 2 30" xfId="25655" xr:uid="{00000000-0005-0000-0000-00003E640000}"/>
    <cellStyle name="Note 5 2 31" xfId="25656" xr:uid="{00000000-0005-0000-0000-00003F640000}"/>
    <cellStyle name="Note 5 2 32" xfId="25657" xr:uid="{00000000-0005-0000-0000-000040640000}"/>
    <cellStyle name="Note 5 2 33" xfId="25658" xr:uid="{00000000-0005-0000-0000-000041640000}"/>
    <cellStyle name="Note 5 2 34" xfId="25659" xr:uid="{00000000-0005-0000-0000-000042640000}"/>
    <cellStyle name="Note 5 2 4" xfId="25660" xr:uid="{00000000-0005-0000-0000-000043640000}"/>
    <cellStyle name="Note 5 2 4 2" xfId="25661" xr:uid="{00000000-0005-0000-0000-000044640000}"/>
    <cellStyle name="Note 5 2 4 3" xfId="25662" xr:uid="{00000000-0005-0000-0000-000045640000}"/>
    <cellStyle name="Note 5 2 5" xfId="25663" xr:uid="{00000000-0005-0000-0000-000046640000}"/>
    <cellStyle name="Note 5 2 6" xfId="25664" xr:uid="{00000000-0005-0000-0000-000047640000}"/>
    <cellStyle name="Note 5 2 7" xfId="25665" xr:uid="{00000000-0005-0000-0000-000048640000}"/>
    <cellStyle name="Note 5 2 8" xfId="25666" xr:uid="{00000000-0005-0000-0000-000049640000}"/>
    <cellStyle name="Note 5 2 9" xfId="25667" xr:uid="{00000000-0005-0000-0000-00004A640000}"/>
    <cellStyle name="Note 5 20" xfId="25668" xr:uid="{00000000-0005-0000-0000-00004B640000}"/>
    <cellStyle name="Note 5 21" xfId="25669" xr:uid="{00000000-0005-0000-0000-00004C640000}"/>
    <cellStyle name="Note 5 22" xfId="25670" xr:uid="{00000000-0005-0000-0000-00004D640000}"/>
    <cellStyle name="Note 5 23" xfId="25671" xr:uid="{00000000-0005-0000-0000-00004E640000}"/>
    <cellStyle name="Note 5 24" xfId="25672" xr:uid="{00000000-0005-0000-0000-00004F640000}"/>
    <cellStyle name="Note 5 25" xfId="25673" xr:uid="{00000000-0005-0000-0000-000050640000}"/>
    <cellStyle name="Note 5 26" xfId="25674" xr:uid="{00000000-0005-0000-0000-000051640000}"/>
    <cellStyle name="Note 5 27" xfId="25675" xr:uid="{00000000-0005-0000-0000-000052640000}"/>
    <cellStyle name="Note 5 28" xfId="25676" xr:uid="{00000000-0005-0000-0000-000053640000}"/>
    <cellStyle name="Note 5 29" xfId="25677" xr:uid="{00000000-0005-0000-0000-000054640000}"/>
    <cellStyle name="Note 5 3" xfId="25678" xr:uid="{00000000-0005-0000-0000-000055640000}"/>
    <cellStyle name="Note 5 3 10" xfId="25679" xr:uid="{00000000-0005-0000-0000-000056640000}"/>
    <cellStyle name="Note 5 3 11" xfId="25680" xr:uid="{00000000-0005-0000-0000-000057640000}"/>
    <cellStyle name="Note 5 3 12" xfId="25681" xr:uid="{00000000-0005-0000-0000-000058640000}"/>
    <cellStyle name="Note 5 3 13" xfId="25682" xr:uid="{00000000-0005-0000-0000-000059640000}"/>
    <cellStyle name="Note 5 3 14" xfId="25683" xr:uid="{00000000-0005-0000-0000-00005A640000}"/>
    <cellStyle name="Note 5 3 15" xfId="25684" xr:uid="{00000000-0005-0000-0000-00005B640000}"/>
    <cellStyle name="Note 5 3 16" xfId="25685" xr:uid="{00000000-0005-0000-0000-00005C640000}"/>
    <cellStyle name="Note 5 3 17" xfId="25686" xr:uid="{00000000-0005-0000-0000-00005D640000}"/>
    <cellStyle name="Note 5 3 18" xfId="25687" xr:uid="{00000000-0005-0000-0000-00005E640000}"/>
    <cellStyle name="Note 5 3 19" xfId="25688" xr:uid="{00000000-0005-0000-0000-00005F640000}"/>
    <cellStyle name="Note 5 3 2" xfId="25689" xr:uid="{00000000-0005-0000-0000-000060640000}"/>
    <cellStyle name="Note 5 3 2 2" xfId="25690" xr:uid="{00000000-0005-0000-0000-000061640000}"/>
    <cellStyle name="Note 5 3 2 2 2" xfId="25691" xr:uid="{00000000-0005-0000-0000-000062640000}"/>
    <cellStyle name="Note 5 3 2 2 3" xfId="25692" xr:uid="{00000000-0005-0000-0000-000063640000}"/>
    <cellStyle name="Note 5 3 2 3" xfId="25693" xr:uid="{00000000-0005-0000-0000-000064640000}"/>
    <cellStyle name="Note 5 3 2 3 2" xfId="25694" xr:uid="{00000000-0005-0000-0000-000065640000}"/>
    <cellStyle name="Note 5 3 2 3 3" xfId="25695" xr:uid="{00000000-0005-0000-0000-000066640000}"/>
    <cellStyle name="Note 5 3 2 4" xfId="25696" xr:uid="{00000000-0005-0000-0000-000067640000}"/>
    <cellStyle name="Note 5 3 2 5" xfId="25697" xr:uid="{00000000-0005-0000-0000-000068640000}"/>
    <cellStyle name="Note 5 3 20" xfId="25698" xr:uid="{00000000-0005-0000-0000-000069640000}"/>
    <cellStyle name="Note 5 3 21" xfId="25699" xr:uid="{00000000-0005-0000-0000-00006A640000}"/>
    <cellStyle name="Note 5 3 22" xfId="25700" xr:uid="{00000000-0005-0000-0000-00006B640000}"/>
    <cellStyle name="Note 5 3 23" xfId="25701" xr:uid="{00000000-0005-0000-0000-00006C640000}"/>
    <cellStyle name="Note 5 3 24" xfId="25702" xr:uid="{00000000-0005-0000-0000-00006D640000}"/>
    <cellStyle name="Note 5 3 25" xfId="25703" xr:uid="{00000000-0005-0000-0000-00006E640000}"/>
    <cellStyle name="Note 5 3 26" xfId="25704" xr:uid="{00000000-0005-0000-0000-00006F640000}"/>
    <cellStyle name="Note 5 3 27" xfId="25705" xr:uid="{00000000-0005-0000-0000-000070640000}"/>
    <cellStyle name="Note 5 3 28" xfId="25706" xr:uid="{00000000-0005-0000-0000-000071640000}"/>
    <cellStyle name="Note 5 3 29" xfId="25707" xr:uid="{00000000-0005-0000-0000-000072640000}"/>
    <cellStyle name="Note 5 3 3" xfId="25708" xr:uid="{00000000-0005-0000-0000-000073640000}"/>
    <cellStyle name="Note 5 3 3 2" xfId="25709" xr:uid="{00000000-0005-0000-0000-000074640000}"/>
    <cellStyle name="Note 5 3 3 2 2" xfId="25710" xr:uid="{00000000-0005-0000-0000-000075640000}"/>
    <cellStyle name="Note 5 3 3 2 3" xfId="25711" xr:uid="{00000000-0005-0000-0000-000076640000}"/>
    <cellStyle name="Note 5 3 3 3" xfId="25712" xr:uid="{00000000-0005-0000-0000-000077640000}"/>
    <cellStyle name="Note 5 3 3 3 2" xfId="25713" xr:uid="{00000000-0005-0000-0000-000078640000}"/>
    <cellStyle name="Note 5 3 3 3 3" xfId="25714" xr:uid="{00000000-0005-0000-0000-000079640000}"/>
    <cellStyle name="Note 5 3 3 4" xfId="25715" xr:uid="{00000000-0005-0000-0000-00007A640000}"/>
    <cellStyle name="Note 5 3 3 5" xfId="25716" xr:uid="{00000000-0005-0000-0000-00007B640000}"/>
    <cellStyle name="Note 5 3 30" xfId="25717" xr:uid="{00000000-0005-0000-0000-00007C640000}"/>
    <cellStyle name="Note 5 3 31" xfId="25718" xr:uid="{00000000-0005-0000-0000-00007D640000}"/>
    <cellStyle name="Note 5 3 32" xfId="25719" xr:uid="{00000000-0005-0000-0000-00007E640000}"/>
    <cellStyle name="Note 5 3 33" xfId="25720" xr:uid="{00000000-0005-0000-0000-00007F640000}"/>
    <cellStyle name="Note 5 3 34" xfId="25721" xr:uid="{00000000-0005-0000-0000-000080640000}"/>
    <cellStyle name="Note 5 3 35" xfId="25722" xr:uid="{00000000-0005-0000-0000-000081640000}"/>
    <cellStyle name="Note 5 3 4" xfId="25723" xr:uid="{00000000-0005-0000-0000-000082640000}"/>
    <cellStyle name="Note 5 3 4 2" xfId="25724" xr:uid="{00000000-0005-0000-0000-000083640000}"/>
    <cellStyle name="Note 5 3 4 3" xfId="25725" xr:uid="{00000000-0005-0000-0000-000084640000}"/>
    <cellStyle name="Note 5 3 5" xfId="25726" xr:uid="{00000000-0005-0000-0000-000085640000}"/>
    <cellStyle name="Note 5 3 5 2" xfId="25727" xr:uid="{00000000-0005-0000-0000-000086640000}"/>
    <cellStyle name="Note 5 3 5 3" xfId="25728" xr:uid="{00000000-0005-0000-0000-000087640000}"/>
    <cellStyle name="Note 5 3 6" xfId="25729" xr:uid="{00000000-0005-0000-0000-000088640000}"/>
    <cellStyle name="Note 5 3 7" xfId="25730" xr:uid="{00000000-0005-0000-0000-000089640000}"/>
    <cellStyle name="Note 5 3 8" xfId="25731" xr:uid="{00000000-0005-0000-0000-00008A640000}"/>
    <cellStyle name="Note 5 3 9" xfId="25732" xr:uid="{00000000-0005-0000-0000-00008B640000}"/>
    <cellStyle name="Note 5 30" xfId="25733" xr:uid="{00000000-0005-0000-0000-00008C640000}"/>
    <cellStyle name="Note 5 31" xfId="25734" xr:uid="{00000000-0005-0000-0000-00008D640000}"/>
    <cellStyle name="Note 5 32" xfId="25735" xr:uid="{00000000-0005-0000-0000-00008E640000}"/>
    <cellStyle name="Note 5 33" xfId="25736" xr:uid="{00000000-0005-0000-0000-00008F640000}"/>
    <cellStyle name="Note 5 34" xfId="25737" xr:uid="{00000000-0005-0000-0000-000090640000}"/>
    <cellStyle name="Note 5 35" xfId="25738" xr:uid="{00000000-0005-0000-0000-000091640000}"/>
    <cellStyle name="Note 5 4" xfId="25739" xr:uid="{00000000-0005-0000-0000-000092640000}"/>
    <cellStyle name="Note 5 4 2" xfId="25740" xr:uid="{00000000-0005-0000-0000-000093640000}"/>
    <cellStyle name="Note 5 4 3" xfId="25741" xr:uid="{00000000-0005-0000-0000-000094640000}"/>
    <cellStyle name="Note 5 5" xfId="25742" xr:uid="{00000000-0005-0000-0000-000095640000}"/>
    <cellStyle name="Note 5 5 2" xfId="25743" xr:uid="{00000000-0005-0000-0000-000096640000}"/>
    <cellStyle name="Note 5 5 3" xfId="25744" xr:uid="{00000000-0005-0000-0000-000097640000}"/>
    <cellStyle name="Note 5 6" xfId="25745" xr:uid="{00000000-0005-0000-0000-000098640000}"/>
    <cellStyle name="Note 5 7" xfId="25746" xr:uid="{00000000-0005-0000-0000-000099640000}"/>
    <cellStyle name="Note 5 8" xfId="25747" xr:uid="{00000000-0005-0000-0000-00009A640000}"/>
    <cellStyle name="Note 5 9" xfId="25748" xr:uid="{00000000-0005-0000-0000-00009B640000}"/>
    <cellStyle name="Note 6" xfId="25749" xr:uid="{00000000-0005-0000-0000-00009C640000}"/>
    <cellStyle name="Note 6 10" xfId="25750" xr:uid="{00000000-0005-0000-0000-00009D640000}"/>
    <cellStyle name="Note 6 11" xfId="25751" xr:uid="{00000000-0005-0000-0000-00009E640000}"/>
    <cellStyle name="Note 6 12" xfId="25752" xr:uid="{00000000-0005-0000-0000-00009F640000}"/>
    <cellStyle name="Note 6 13" xfId="25753" xr:uid="{00000000-0005-0000-0000-0000A0640000}"/>
    <cellStyle name="Note 6 14" xfId="25754" xr:uid="{00000000-0005-0000-0000-0000A1640000}"/>
    <cellStyle name="Note 6 15" xfId="25755" xr:uid="{00000000-0005-0000-0000-0000A2640000}"/>
    <cellStyle name="Note 6 16" xfId="25756" xr:uid="{00000000-0005-0000-0000-0000A3640000}"/>
    <cellStyle name="Note 6 17" xfId="25757" xr:uid="{00000000-0005-0000-0000-0000A4640000}"/>
    <cellStyle name="Note 6 18" xfId="25758" xr:uid="{00000000-0005-0000-0000-0000A5640000}"/>
    <cellStyle name="Note 6 19" xfId="25759" xr:uid="{00000000-0005-0000-0000-0000A6640000}"/>
    <cellStyle name="Note 6 2" xfId="25760" xr:uid="{00000000-0005-0000-0000-0000A7640000}"/>
    <cellStyle name="Note 6 2 10" xfId="25761" xr:uid="{00000000-0005-0000-0000-0000A8640000}"/>
    <cellStyle name="Note 6 2 11" xfId="25762" xr:uid="{00000000-0005-0000-0000-0000A9640000}"/>
    <cellStyle name="Note 6 2 12" xfId="25763" xr:uid="{00000000-0005-0000-0000-0000AA640000}"/>
    <cellStyle name="Note 6 2 13" xfId="25764" xr:uid="{00000000-0005-0000-0000-0000AB640000}"/>
    <cellStyle name="Note 6 2 14" xfId="25765" xr:uid="{00000000-0005-0000-0000-0000AC640000}"/>
    <cellStyle name="Note 6 2 15" xfId="25766" xr:uid="{00000000-0005-0000-0000-0000AD640000}"/>
    <cellStyle name="Note 6 2 16" xfId="25767" xr:uid="{00000000-0005-0000-0000-0000AE640000}"/>
    <cellStyle name="Note 6 2 17" xfId="25768" xr:uid="{00000000-0005-0000-0000-0000AF640000}"/>
    <cellStyle name="Note 6 2 18" xfId="25769" xr:uid="{00000000-0005-0000-0000-0000B0640000}"/>
    <cellStyle name="Note 6 2 19" xfId="25770" xr:uid="{00000000-0005-0000-0000-0000B1640000}"/>
    <cellStyle name="Note 6 2 2" xfId="25771" xr:uid="{00000000-0005-0000-0000-0000B2640000}"/>
    <cellStyle name="Note 6 2 2 10" xfId="25772" xr:uid="{00000000-0005-0000-0000-0000B3640000}"/>
    <cellStyle name="Note 6 2 2 11" xfId="25773" xr:uid="{00000000-0005-0000-0000-0000B4640000}"/>
    <cellStyle name="Note 6 2 2 12" xfId="25774" xr:uid="{00000000-0005-0000-0000-0000B5640000}"/>
    <cellStyle name="Note 6 2 2 13" xfId="25775" xr:uid="{00000000-0005-0000-0000-0000B6640000}"/>
    <cellStyle name="Note 6 2 2 14" xfId="25776" xr:uid="{00000000-0005-0000-0000-0000B7640000}"/>
    <cellStyle name="Note 6 2 2 15" xfId="25777" xr:uid="{00000000-0005-0000-0000-0000B8640000}"/>
    <cellStyle name="Note 6 2 2 16" xfId="25778" xr:uid="{00000000-0005-0000-0000-0000B9640000}"/>
    <cellStyle name="Note 6 2 2 17" xfId="25779" xr:uid="{00000000-0005-0000-0000-0000BA640000}"/>
    <cellStyle name="Note 6 2 2 18" xfId="25780" xr:uid="{00000000-0005-0000-0000-0000BB640000}"/>
    <cellStyle name="Note 6 2 2 19" xfId="25781" xr:uid="{00000000-0005-0000-0000-0000BC640000}"/>
    <cellStyle name="Note 6 2 2 2" xfId="25782" xr:uid="{00000000-0005-0000-0000-0000BD640000}"/>
    <cellStyle name="Note 6 2 2 2 2" xfId="25783" xr:uid="{00000000-0005-0000-0000-0000BE640000}"/>
    <cellStyle name="Note 6 2 2 2 2 2" xfId="25784" xr:uid="{00000000-0005-0000-0000-0000BF640000}"/>
    <cellStyle name="Note 6 2 2 2 2 3" xfId="25785" xr:uid="{00000000-0005-0000-0000-0000C0640000}"/>
    <cellStyle name="Note 6 2 2 2 3" xfId="25786" xr:uid="{00000000-0005-0000-0000-0000C1640000}"/>
    <cellStyle name="Note 6 2 2 2 3 2" xfId="25787" xr:uid="{00000000-0005-0000-0000-0000C2640000}"/>
    <cellStyle name="Note 6 2 2 2 3 3" xfId="25788" xr:uid="{00000000-0005-0000-0000-0000C3640000}"/>
    <cellStyle name="Note 6 2 2 2 4" xfId="25789" xr:uid="{00000000-0005-0000-0000-0000C4640000}"/>
    <cellStyle name="Note 6 2 2 2 5" xfId="25790" xr:uid="{00000000-0005-0000-0000-0000C5640000}"/>
    <cellStyle name="Note 6 2 2 20" xfId="25791" xr:uid="{00000000-0005-0000-0000-0000C6640000}"/>
    <cellStyle name="Note 6 2 2 21" xfId="25792" xr:uid="{00000000-0005-0000-0000-0000C7640000}"/>
    <cellStyle name="Note 6 2 2 22" xfId="25793" xr:uid="{00000000-0005-0000-0000-0000C8640000}"/>
    <cellStyle name="Note 6 2 2 23" xfId="25794" xr:uid="{00000000-0005-0000-0000-0000C9640000}"/>
    <cellStyle name="Note 6 2 2 24" xfId="25795" xr:uid="{00000000-0005-0000-0000-0000CA640000}"/>
    <cellStyle name="Note 6 2 2 25" xfId="25796" xr:uid="{00000000-0005-0000-0000-0000CB640000}"/>
    <cellStyle name="Note 6 2 2 26" xfId="25797" xr:uid="{00000000-0005-0000-0000-0000CC640000}"/>
    <cellStyle name="Note 6 2 2 27" xfId="25798" xr:uid="{00000000-0005-0000-0000-0000CD640000}"/>
    <cellStyle name="Note 6 2 2 28" xfId="25799" xr:uid="{00000000-0005-0000-0000-0000CE640000}"/>
    <cellStyle name="Note 6 2 2 29" xfId="25800" xr:uid="{00000000-0005-0000-0000-0000CF640000}"/>
    <cellStyle name="Note 6 2 2 3" xfId="25801" xr:uid="{00000000-0005-0000-0000-0000D0640000}"/>
    <cellStyle name="Note 6 2 2 3 2" xfId="25802" xr:uid="{00000000-0005-0000-0000-0000D1640000}"/>
    <cellStyle name="Note 6 2 2 3 2 2" xfId="25803" xr:uid="{00000000-0005-0000-0000-0000D2640000}"/>
    <cellStyle name="Note 6 2 2 3 2 3" xfId="25804" xr:uid="{00000000-0005-0000-0000-0000D3640000}"/>
    <cellStyle name="Note 6 2 2 3 3" xfId="25805" xr:uid="{00000000-0005-0000-0000-0000D4640000}"/>
    <cellStyle name="Note 6 2 2 3 3 2" xfId="25806" xr:uid="{00000000-0005-0000-0000-0000D5640000}"/>
    <cellStyle name="Note 6 2 2 3 3 3" xfId="25807" xr:uid="{00000000-0005-0000-0000-0000D6640000}"/>
    <cellStyle name="Note 6 2 2 3 4" xfId="25808" xr:uid="{00000000-0005-0000-0000-0000D7640000}"/>
    <cellStyle name="Note 6 2 2 3 5" xfId="25809" xr:uid="{00000000-0005-0000-0000-0000D8640000}"/>
    <cellStyle name="Note 6 2 2 30" xfId="25810" xr:uid="{00000000-0005-0000-0000-0000D9640000}"/>
    <cellStyle name="Note 6 2 2 31" xfId="25811" xr:uid="{00000000-0005-0000-0000-0000DA640000}"/>
    <cellStyle name="Note 6 2 2 32" xfId="25812" xr:uid="{00000000-0005-0000-0000-0000DB640000}"/>
    <cellStyle name="Note 6 2 2 33" xfId="25813" xr:uid="{00000000-0005-0000-0000-0000DC640000}"/>
    <cellStyle name="Note 6 2 2 34" xfId="25814" xr:uid="{00000000-0005-0000-0000-0000DD640000}"/>
    <cellStyle name="Note 6 2 2 35" xfId="25815" xr:uid="{00000000-0005-0000-0000-0000DE640000}"/>
    <cellStyle name="Note 6 2 2 4" xfId="25816" xr:uid="{00000000-0005-0000-0000-0000DF640000}"/>
    <cellStyle name="Note 6 2 2 4 2" xfId="25817" xr:uid="{00000000-0005-0000-0000-0000E0640000}"/>
    <cellStyle name="Note 6 2 2 4 3" xfId="25818" xr:uid="{00000000-0005-0000-0000-0000E1640000}"/>
    <cellStyle name="Note 6 2 2 5" xfId="25819" xr:uid="{00000000-0005-0000-0000-0000E2640000}"/>
    <cellStyle name="Note 6 2 2 5 2" xfId="25820" xr:uid="{00000000-0005-0000-0000-0000E3640000}"/>
    <cellStyle name="Note 6 2 2 5 3" xfId="25821" xr:uid="{00000000-0005-0000-0000-0000E4640000}"/>
    <cellStyle name="Note 6 2 2 6" xfId="25822" xr:uid="{00000000-0005-0000-0000-0000E5640000}"/>
    <cellStyle name="Note 6 2 2 7" xfId="25823" xr:uid="{00000000-0005-0000-0000-0000E6640000}"/>
    <cellStyle name="Note 6 2 2 8" xfId="25824" xr:uid="{00000000-0005-0000-0000-0000E7640000}"/>
    <cellStyle name="Note 6 2 2 9" xfId="25825" xr:uid="{00000000-0005-0000-0000-0000E8640000}"/>
    <cellStyle name="Note 6 2 20" xfId="25826" xr:uid="{00000000-0005-0000-0000-0000E9640000}"/>
    <cellStyle name="Note 6 2 21" xfId="25827" xr:uid="{00000000-0005-0000-0000-0000EA640000}"/>
    <cellStyle name="Note 6 2 22" xfId="25828" xr:uid="{00000000-0005-0000-0000-0000EB640000}"/>
    <cellStyle name="Note 6 2 23" xfId="25829" xr:uid="{00000000-0005-0000-0000-0000EC640000}"/>
    <cellStyle name="Note 6 2 24" xfId="25830" xr:uid="{00000000-0005-0000-0000-0000ED640000}"/>
    <cellStyle name="Note 6 2 25" xfId="25831" xr:uid="{00000000-0005-0000-0000-0000EE640000}"/>
    <cellStyle name="Note 6 2 26" xfId="25832" xr:uid="{00000000-0005-0000-0000-0000EF640000}"/>
    <cellStyle name="Note 6 2 27" xfId="25833" xr:uid="{00000000-0005-0000-0000-0000F0640000}"/>
    <cellStyle name="Note 6 2 28" xfId="25834" xr:uid="{00000000-0005-0000-0000-0000F1640000}"/>
    <cellStyle name="Note 6 2 29" xfId="25835" xr:uid="{00000000-0005-0000-0000-0000F2640000}"/>
    <cellStyle name="Note 6 2 3" xfId="25836" xr:uid="{00000000-0005-0000-0000-0000F3640000}"/>
    <cellStyle name="Note 6 2 3 2" xfId="25837" xr:uid="{00000000-0005-0000-0000-0000F4640000}"/>
    <cellStyle name="Note 6 2 3 3" xfId="25838" xr:uid="{00000000-0005-0000-0000-0000F5640000}"/>
    <cellStyle name="Note 6 2 30" xfId="25839" xr:uid="{00000000-0005-0000-0000-0000F6640000}"/>
    <cellStyle name="Note 6 2 31" xfId="25840" xr:uid="{00000000-0005-0000-0000-0000F7640000}"/>
    <cellStyle name="Note 6 2 32" xfId="25841" xr:uid="{00000000-0005-0000-0000-0000F8640000}"/>
    <cellStyle name="Note 6 2 33" xfId="25842" xr:uid="{00000000-0005-0000-0000-0000F9640000}"/>
    <cellStyle name="Note 6 2 34" xfId="25843" xr:uid="{00000000-0005-0000-0000-0000FA640000}"/>
    <cellStyle name="Note 6 2 4" xfId="25844" xr:uid="{00000000-0005-0000-0000-0000FB640000}"/>
    <cellStyle name="Note 6 2 4 2" xfId="25845" xr:uid="{00000000-0005-0000-0000-0000FC640000}"/>
    <cellStyle name="Note 6 2 4 3" xfId="25846" xr:uid="{00000000-0005-0000-0000-0000FD640000}"/>
    <cellStyle name="Note 6 2 5" xfId="25847" xr:uid="{00000000-0005-0000-0000-0000FE640000}"/>
    <cellStyle name="Note 6 2 6" xfId="25848" xr:uid="{00000000-0005-0000-0000-0000FF640000}"/>
    <cellStyle name="Note 6 2 7" xfId="25849" xr:uid="{00000000-0005-0000-0000-000000650000}"/>
    <cellStyle name="Note 6 2 8" xfId="25850" xr:uid="{00000000-0005-0000-0000-000001650000}"/>
    <cellStyle name="Note 6 2 9" xfId="25851" xr:uid="{00000000-0005-0000-0000-000002650000}"/>
    <cellStyle name="Note 6 20" xfId="25852" xr:uid="{00000000-0005-0000-0000-000003650000}"/>
    <cellStyle name="Note 6 21" xfId="25853" xr:uid="{00000000-0005-0000-0000-000004650000}"/>
    <cellStyle name="Note 6 22" xfId="25854" xr:uid="{00000000-0005-0000-0000-000005650000}"/>
    <cellStyle name="Note 6 23" xfId="25855" xr:uid="{00000000-0005-0000-0000-000006650000}"/>
    <cellStyle name="Note 6 24" xfId="25856" xr:uid="{00000000-0005-0000-0000-000007650000}"/>
    <cellStyle name="Note 6 25" xfId="25857" xr:uid="{00000000-0005-0000-0000-000008650000}"/>
    <cellStyle name="Note 6 26" xfId="25858" xr:uid="{00000000-0005-0000-0000-000009650000}"/>
    <cellStyle name="Note 6 27" xfId="25859" xr:uid="{00000000-0005-0000-0000-00000A650000}"/>
    <cellStyle name="Note 6 28" xfId="25860" xr:uid="{00000000-0005-0000-0000-00000B650000}"/>
    <cellStyle name="Note 6 29" xfId="25861" xr:uid="{00000000-0005-0000-0000-00000C650000}"/>
    <cellStyle name="Note 6 3" xfId="25862" xr:uid="{00000000-0005-0000-0000-00000D650000}"/>
    <cellStyle name="Note 6 3 10" xfId="25863" xr:uid="{00000000-0005-0000-0000-00000E650000}"/>
    <cellStyle name="Note 6 3 11" xfId="25864" xr:uid="{00000000-0005-0000-0000-00000F650000}"/>
    <cellStyle name="Note 6 3 12" xfId="25865" xr:uid="{00000000-0005-0000-0000-000010650000}"/>
    <cellStyle name="Note 6 3 13" xfId="25866" xr:uid="{00000000-0005-0000-0000-000011650000}"/>
    <cellStyle name="Note 6 3 14" xfId="25867" xr:uid="{00000000-0005-0000-0000-000012650000}"/>
    <cellStyle name="Note 6 3 15" xfId="25868" xr:uid="{00000000-0005-0000-0000-000013650000}"/>
    <cellStyle name="Note 6 3 16" xfId="25869" xr:uid="{00000000-0005-0000-0000-000014650000}"/>
    <cellStyle name="Note 6 3 17" xfId="25870" xr:uid="{00000000-0005-0000-0000-000015650000}"/>
    <cellStyle name="Note 6 3 18" xfId="25871" xr:uid="{00000000-0005-0000-0000-000016650000}"/>
    <cellStyle name="Note 6 3 19" xfId="25872" xr:uid="{00000000-0005-0000-0000-000017650000}"/>
    <cellStyle name="Note 6 3 2" xfId="25873" xr:uid="{00000000-0005-0000-0000-000018650000}"/>
    <cellStyle name="Note 6 3 2 2" xfId="25874" xr:uid="{00000000-0005-0000-0000-000019650000}"/>
    <cellStyle name="Note 6 3 2 2 2" xfId="25875" xr:uid="{00000000-0005-0000-0000-00001A650000}"/>
    <cellStyle name="Note 6 3 2 2 3" xfId="25876" xr:uid="{00000000-0005-0000-0000-00001B650000}"/>
    <cellStyle name="Note 6 3 2 3" xfId="25877" xr:uid="{00000000-0005-0000-0000-00001C650000}"/>
    <cellStyle name="Note 6 3 2 3 2" xfId="25878" xr:uid="{00000000-0005-0000-0000-00001D650000}"/>
    <cellStyle name="Note 6 3 2 3 3" xfId="25879" xr:uid="{00000000-0005-0000-0000-00001E650000}"/>
    <cellStyle name="Note 6 3 2 4" xfId="25880" xr:uid="{00000000-0005-0000-0000-00001F650000}"/>
    <cellStyle name="Note 6 3 2 5" xfId="25881" xr:uid="{00000000-0005-0000-0000-000020650000}"/>
    <cellStyle name="Note 6 3 20" xfId="25882" xr:uid="{00000000-0005-0000-0000-000021650000}"/>
    <cellStyle name="Note 6 3 21" xfId="25883" xr:uid="{00000000-0005-0000-0000-000022650000}"/>
    <cellStyle name="Note 6 3 22" xfId="25884" xr:uid="{00000000-0005-0000-0000-000023650000}"/>
    <cellStyle name="Note 6 3 23" xfId="25885" xr:uid="{00000000-0005-0000-0000-000024650000}"/>
    <cellStyle name="Note 6 3 24" xfId="25886" xr:uid="{00000000-0005-0000-0000-000025650000}"/>
    <cellStyle name="Note 6 3 25" xfId="25887" xr:uid="{00000000-0005-0000-0000-000026650000}"/>
    <cellStyle name="Note 6 3 26" xfId="25888" xr:uid="{00000000-0005-0000-0000-000027650000}"/>
    <cellStyle name="Note 6 3 27" xfId="25889" xr:uid="{00000000-0005-0000-0000-000028650000}"/>
    <cellStyle name="Note 6 3 28" xfId="25890" xr:uid="{00000000-0005-0000-0000-000029650000}"/>
    <cellStyle name="Note 6 3 29" xfId="25891" xr:uid="{00000000-0005-0000-0000-00002A650000}"/>
    <cellStyle name="Note 6 3 3" xfId="25892" xr:uid="{00000000-0005-0000-0000-00002B650000}"/>
    <cellStyle name="Note 6 3 3 2" xfId="25893" xr:uid="{00000000-0005-0000-0000-00002C650000}"/>
    <cellStyle name="Note 6 3 3 2 2" xfId="25894" xr:uid="{00000000-0005-0000-0000-00002D650000}"/>
    <cellStyle name="Note 6 3 3 2 3" xfId="25895" xr:uid="{00000000-0005-0000-0000-00002E650000}"/>
    <cellStyle name="Note 6 3 3 3" xfId="25896" xr:uid="{00000000-0005-0000-0000-00002F650000}"/>
    <cellStyle name="Note 6 3 3 3 2" xfId="25897" xr:uid="{00000000-0005-0000-0000-000030650000}"/>
    <cellStyle name="Note 6 3 3 3 3" xfId="25898" xr:uid="{00000000-0005-0000-0000-000031650000}"/>
    <cellStyle name="Note 6 3 3 4" xfId="25899" xr:uid="{00000000-0005-0000-0000-000032650000}"/>
    <cellStyle name="Note 6 3 3 5" xfId="25900" xr:uid="{00000000-0005-0000-0000-000033650000}"/>
    <cellStyle name="Note 6 3 30" xfId="25901" xr:uid="{00000000-0005-0000-0000-000034650000}"/>
    <cellStyle name="Note 6 3 31" xfId="25902" xr:uid="{00000000-0005-0000-0000-000035650000}"/>
    <cellStyle name="Note 6 3 32" xfId="25903" xr:uid="{00000000-0005-0000-0000-000036650000}"/>
    <cellStyle name="Note 6 3 33" xfId="25904" xr:uid="{00000000-0005-0000-0000-000037650000}"/>
    <cellStyle name="Note 6 3 34" xfId="25905" xr:uid="{00000000-0005-0000-0000-000038650000}"/>
    <cellStyle name="Note 6 3 35" xfId="25906" xr:uid="{00000000-0005-0000-0000-000039650000}"/>
    <cellStyle name="Note 6 3 4" xfId="25907" xr:uid="{00000000-0005-0000-0000-00003A650000}"/>
    <cellStyle name="Note 6 3 4 2" xfId="25908" xr:uid="{00000000-0005-0000-0000-00003B650000}"/>
    <cellStyle name="Note 6 3 4 3" xfId="25909" xr:uid="{00000000-0005-0000-0000-00003C650000}"/>
    <cellStyle name="Note 6 3 5" xfId="25910" xr:uid="{00000000-0005-0000-0000-00003D650000}"/>
    <cellStyle name="Note 6 3 5 2" xfId="25911" xr:uid="{00000000-0005-0000-0000-00003E650000}"/>
    <cellStyle name="Note 6 3 5 3" xfId="25912" xr:uid="{00000000-0005-0000-0000-00003F650000}"/>
    <cellStyle name="Note 6 3 6" xfId="25913" xr:uid="{00000000-0005-0000-0000-000040650000}"/>
    <cellStyle name="Note 6 3 7" xfId="25914" xr:uid="{00000000-0005-0000-0000-000041650000}"/>
    <cellStyle name="Note 6 3 8" xfId="25915" xr:uid="{00000000-0005-0000-0000-000042650000}"/>
    <cellStyle name="Note 6 3 9" xfId="25916" xr:uid="{00000000-0005-0000-0000-000043650000}"/>
    <cellStyle name="Note 6 30" xfId="25917" xr:uid="{00000000-0005-0000-0000-000044650000}"/>
    <cellStyle name="Note 6 31" xfId="25918" xr:uid="{00000000-0005-0000-0000-000045650000}"/>
    <cellStyle name="Note 6 32" xfId="25919" xr:uid="{00000000-0005-0000-0000-000046650000}"/>
    <cellStyle name="Note 6 33" xfId="25920" xr:uid="{00000000-0005-0000-0000-000047650000}"/>
    <cellStyle name="Note 6 34" xfId="25921" xr:uid="{00000000-0005-0000-0000-000048650000}"/>
    <cellStyle name="Note 6 35" xfId="25922" xr:uid="{00000000-0005-0000-0000-000049650000}"/>
    <cellStyle name="Note 6 4" xfId="25923" xr:uid="{00000000-0005-0000-0000-00004A650000}"/>
    <cellStyle name="Note 6 4 2" xfId="25924" xr:uid="{00000000-0005-0000-0000-00004B650000}"/>
    <cellStyle name="Note 6 4 3" xfId="25925" xr:uid="{00000000-0005-0000-0000-00004C650000}"/>
    <cellStyle name="Note 6 5" xfId="25926" xr:uid="{00000000-0005-0000-0000-00004D650000}"/>
    <cellStyle name="Note 6 5 2" xfId="25927" xr:uid="{00000000-0005-0000-0000-00004E650000}"/>
    <cellStyle name="Note 6 5 3" xfId="25928" xr:uid="{00000000-0005-0000-0000-00004F650000}"/>
    <cellStyle name="Note 6 6" xfId="25929" xr:uid="{00000000-0005-0000-0000-000050650000}"/>
    <cellStyle name="Note 6 7" xfId="25930" xr:uid="{00000000-0005-0000-0000-000051650000}"/>
    <cellStyle name="Note 6 8" xfId="25931" xr:uid="{00000000-0005-0000-0000-000052650000}"/>
    <cellStyle name="Note 6 9" xfId="25932" xr:uid="{00000000-0005-0000-0000-000053650000}"/>
    <cellStyle name="Note 7" xfId="25933" xr:uid="{00000000-0005-0000-0000-000054650000}"/>
    <cellStyle name="Note 7 2" xfId="25934" xr:uid="{00000000-0005-0000-0000-000055650000}"/>
    <cellStyle name="Note 8" xfId="25935" xr:uid="{00000000-0005-0000-0000-000056650000}"/>
    <cellStyle name="Note 8 2" xfId="25936" xr:uid="{00000000-0005-0000-0000-000057650000}"/>
    <cellStyle name="Note 9" xfId="25937" xr:uid="{00000000-0005-0000-0000-000058650000}"/>
    <cellStyle name="Note 9 2" xfId="25938" xr:uid="{00000000-0005-0000-0000-000059650000}"/>
    <cellStyle name="Notes_single" xfId="25939" xr:uid="{00000000-0005-0000-0000-00005A650000}"/>
    <cellStyle name="NPPESalesPct" xfId="25940" xr:uid="{00000000-0005-0000-0000-00005B650000}"/>
    <cellStyle name="Number" xfId="25941" xr:uid="{00000000-0005-0000-0000-00005C650000}"/>
    <cellStyle name="Number (2dp)" xfId="25942" xr:uid="{00000000-0005-0000-0000-00005D650000}"/>
    <cellStyle name="Number_finance" xfId="25943" xr:uid="{00000000-0005-0000-0000-00005E650000}"/>
    <cellStyle name="NWI%S" xfId="25944" xr:uid="{00000000-0005-0000-0000-00005F650000}"/>
    <cellStyle name="Œ…‹æØ‚è [0.00]_Region Orders (2)" xfId="25945" xr:uid="{00000000-0005-0000-0000-000060650000}"/>
    <cellStyle name="Œ…‹æØ‚è_Region Orders (2)" xfId="25946" xr:uid="{00000000-0005-0000-0000-000061650000}"/>
    <cellStyle name="Ongeldige configuratie" xfId="25947" xr:uid="{00000000-0005-0000-0000-000062650000}"/>
    <cellStyle name="Orizzontale" xfId="25948" xr:uid="{00000000-0005-0000-0000-000063650000}"/>
    <cellStyle name="Orizzontale 10" xfId="25949" xr:uid="{00000000-0005-0000-0000-000064650000}"/>
    <cellStyle name="Orizzontale 11" xfId="25950" xr:uid="{00000000-0005-0000-0000-000065650000}"/>
    <cellStyle name="Orizzontale 12" xfId="25951" xr:uid="{00000000-0005-0000-0000-000066650000}"/>
    <cellStyle name="Orizzontale 13" xfId="25952" xr:uid="{00000000-0005-0000-0000-000067650000}"/>
    <cellStyle name="Orizzontale 14" xfId="25953" xr:uid="{00000000-0005-0000-0000-000068650000}"/>
    <cellStyle name="Orizzontale 15" xfId="25954" xr:uid="{00000000-0005-0000-0000-000069650000}"/>
    <cellStyle name="Orizzontale 16" xfId="25955" xr:uid="{00000000-0005-0000-0000-00006A650000}"/>
    <cellStyle name="Orizzontale 17" xfId="25956" xr:uid="{00000000-0005-0000-0000-00006B650000}"/>
    <cellStyle name="Orizzontale 18" xfId="25957" xr:uid="{00000000-0005-0000-0000-00006C650000}"/>
    <cellStyle name="Orizzontale 19" xfId="25958" xr:uid="{00000000-0005-0000-0000-00006D650000}"/>
    <cellStyle name="Orizzontale 2" xfId="25959" xr:uid="{00000000-0005-0000-0000-00006E650000}"/>
    <cellStyle name="Orizzontale 2 10" xfId="25960" xr:uid="{00000000-0005-0000-0000-00006F650000}"/>
    <cellStyle name="Orizzontale 2 11" xfId="25961" xr:uid="{00000000-0005-0000-0000-000070650000}"/>
    <cellStyle name="Orizzontale 2 12" xfId="25962" xr:uid="{00000000-0005-0000-0000-000071650000}"/>
    <cellStyle name="Orizzontale 2 13" xfId="25963" xr:uid="{00000000-0005-0000-0000-000072650000}"/>
    <cellStyle name="Orizzontale 2 14" xfId="25964" xr:uid="{00000000-0005-0000-0000-000073650000}"/>
    <cellStyle name="Orizzontale 2 15" xfId="25965" xr:uid="{00000000-0005-0000-0000-000074650000}"/>
    <cellStyle name="Orizzontale 2 16" xfId="25966" xr:uid="{00000000-0005-0000-0000-000075650000}"/>
    <cellStyle name="Orizzontale 2 17" xfId="25967" xr:uid="{00000000-0005-0000-0000-000076650000}"/>
    <cellStyle name="Orizzontale 2 18" xfId="25968" xr:uid="{00000000-0005-0000-0000-000077650000}"/>
    <cellStyle name="Orizzontale 2 19" xfId="25969" xr:uid="{00000000-0005-0000-0000-000078650000}"/>
    <cellStyle name="Orizzontale 2 2" xfId="25970" xr:uid="{00000000-0005-0000-0000-000079650000}"/>
    <cellStyle name="Orizzontale 2 2 2" xfId="25971" xr:uid="{00000000-0005-0000-0000-00007A650000}"/>
    <cellStyle name="Orizzontale 2 2 3" xfId="25972" xr:uid="{00000000-0005-0000-0000-00007B650000}"/>
    <cellStyle name="Orizzontale 2 20" xfId="25973" xr:uid="{00000000-0005-0000-0000-00007C650000}"/>
    <cellStyle name="Orizzontale 2 21" xfId="25974" xr:uid="{00000000-0005-0000-0000-00007D650000}"/>
    <cellStyle name="Orizzontale 2 22" xfId="25975" xr:uid="{00000000-0005-0000-0000-00007E650000}"/>
    <cellStyle name="Orizzontale 2 23" xfId="25976" xr:uid="{00000000-0005-0000-0000-00007F650000}"/>
    <cellStyle name="Orizzontale 2 24" xfId="25977" xr:uid="{00000000-0005-0000-0000-000080650000}"/>
    <cellStyle name="Orizzontale 2 25" xfId="25978" xr:uid="{00000000-0005-0000-0000-000081650000}"/>
    <cellStyle name="Orizzontale 2 26" xfId="25979" xr:uid="{00000000-0005-0000-0000-000082650000}"/>
    <cellStyle name="Orizzontale 2 27" xfId="25980" xr:uid="{00000000-0005-0000-0000-000083650000}"/>
    <cellStyle name="Orizzontale 2 28" xfId="25981" xr:uid="{00000000-0005-0000-0000-000084650000}"/>
    <cellStyle name="Orizzontale 2 29" xfId="25982" xr:uid="{00000000-0005-0000-0000-000085650000}"/>
    <cellStyle name="Orizzontale 2 3" xfId="25983" xr:uid="{00000000-0005-0000-0000-000086650000}"/>
    <cellStyle name="Orizzontale 2 30" xfId="25984" xr:uid="{00000000-0005-0000-0000-000087650000}"/>
    <cellStyle name="Orizzontale 2 31" xfId="25985" xr:uid="{00000000-0005-0000-0000-000088650000}"/>
    <cellStyle name="Orizzontale 2 32" xfId="25986" xr:uid="{00000000-0005-0000-0000-000089650000}"/>
    <cellStyle name="Orizzontale 2 33" xfId="25987" xr:uid="{00000000-0005-0000-0000-00008A650000}"/>
    <cellStyle name="Orizzontale 2 34" xfId="25988" xr:uid="{00000000-0005-0000-0000-00008B650000}"/>
    <cellStyle name="Orizzontale 2 35" xfId="25989" xr:uid="{00000000-0005-0000-0000-00008C650000}"/>
    <cellStyle name="Orizzontale 2 36" xfId="25990" xr:uid="{00000000-0005-0000-0000-00008D650000}"/>
    <cellStyle name="Orizzontale 2 4" xfId="25991" xr:uid="{00000000-0005-0000-0000-00008E650000}"/>
    <cellStyle name="Orizzontale 2 5" xfId="25992" xr:uid="{00000000-0005-0000-0000-00008F650000}"/>
    <cellStyle name="Orizzontale 2 6" xfId="25993" xr:uid="{00000000-0005-0000-0000-000090650000}"/>
    <cellStyle name="Orizzontale 2 7" xfId="25994" xr:uid="{00000000-0005-0000-0000-000091650000}"/>
    <cellStyle name="Orizzontale 2 8" xfId="25995" xr:uid="{00000000-0005-0000-0000-000092650000}"/>
    <cellStyle name="Orizzontale 2 9" xfId="25996" xr:uid="{00000000-0005-0000-0000-000093650000}"/>
    <cellStyle name="Orizzontale 20" xfId="25997" xr:uid="{00000000-0005-0000-0000-000094650000}"/>
    <cellStyle name="Orizzontale 21" xfId="25998" xr:uid="{00000000-0005-0000-0000-000095650000}"/>
    <cellStyle name="Orizzontale 22" xfId="25999" xr:uid="{00000000-0005-0000-0000-000096650000}"/>
    <cellStyle name="Orizzontale 23" xfId="26000" xr:uid="{00000000-0005-0000-0000-000097650000}"/>
    <cellStyle name="Orizzontale 24" xfId="26001" xr:uid="{00000000-0005-0000-0000-000098650000}"/>
    <cellStyle name="Orizzontale 25" xfId="26002" xr:uid="{00000000-0005-0000-0000-000099650000}"/>
    <cellStyle name="Orizzontale 26" xfId="26003" xr:uid="{00000000-0005-0000-0000-00009A650000}"/>
    <cellStyle name="Orizzontale 27" xfId="26004" xr:uid="{00000000-0005-0000-0000-00009B650000}"/>
    <cellStyle name="Orizzontale 28" xfId="26005" xr:uid="{00000000-0005-0000-0000-00009C650000}"/>
    <cellStyle name="Orizzontale 29" xfId="26006" xr:uid="{00000000-0005-0000-0000-00009D650000}"/>
    <cellStyle name="Orizzontale 3" xfId="26007" xr:uid="{00000000-0005-0000-0000-00009E650000}"/>
    <cellStyle name="Orizzontale 3 2" xfId="26008" xr:uid="{00000000-0005-0000-0000-00009F650000}"/>
    <cellStyle name="Orizzontale 3 2 2" xfId="26009" xr:uid="{00000000-0005-0000-0000-0000A0650000}"/>
    <cellStyle name="Orizzontale 3 2 3" xfId="26010" xr:uid="{00000000-0005-0000-0000-0000A1650000}"/>
    <cellStyle name="Orizzontale 3 3" xfId="26011" xr:uid="{00000000-0005-0000-0000-0000A2650000}"/>
    <cellStyle name="Orizzontale 3 3 2" xfId="26012" xr:uid="{00000000-0005-0000-0000-0000A3650000}"/>
    <cellStyle name="Orizzontale 3 3 3" xfId="26013" xr:uid="{00000000-0005-0000-0000-0000A4650000}"/>
    <cellStyle name="Orizzontale 3 4" xfId="26014" xr:uid="{00000000-0005-0000-0000-0000A5650000}"/>
    <cellStyle name="Orizzontale 3 5" xfId="26015" xr:uid="{00000000-0005-0000-0000-0000A6650000}"/>
    <cellStyle name="Orizzontale 30" xfId="26016" xr:uid="{00000000-0005-0000-0000-0000A7650000}"/>
    <cellStyle name="Orizzontale 31" xfId="26017" xr:uid="{00000000-0005-0000-0000-0000A8650000}"/>
    <cellStyle name="Orizzontale 32" xfId="26018" xr:uid="{00000000-0005-0000-0000-0000A9650000}"/>
    <cellStyle name="Orizzontale 33" xfId="26019" xr:uid="{00000000-0005-0000-0000-0000AA650000}"/>
    <cellStyle name="Orizzontale 34" xfId="26020" xr:uid="{00000000-0005-0000-0000-0000AB650000}"/>
    <cellStyle name="Orizzontale 35" xfId="26021" xr:uid="{00000000-0005-0000-0000-0000AC650000}"/>
    <cellStyle name="Orizzontale 36" xfId="26022" xr:uid="{00000000-0005-0000-0000-0000AD650000}"/>
    <cellStyle name="Orizzontale 4" xfId="26023" xr:uid="{00000000-0005-0000-0000-0000AE650000}"/>
    <cellStyle name="Orizzontale 4 2" xfId="26024" xr:uid="{00000000-0005-0000-0000-0000AF650000}"/>
    <cellStyle name="Orizzontale 4 2 2" xfId="26025" xr:uid="{00000000-0005-0000-0000-0000B0650000}"/>
    <cellStyle name="Orizzontale 4 2 3" xfId="26026" xr:uid="{00000000-0005-0000-0000-0000B1650000}"/>
    <cellStyle name="Orizzontale 4 3" xfId="26027" xr:uid="{00000000-0005-0000-0000-0000B2650000}"/>
    <cellStyle name="Orizzontale 4 3 2" xfId="26028" xr:uid="{00000000-0005-0000-0000-0000B3650000}"/>
    <cellStyle name="Orizzontale 4 3 3" xfId="26029" xr:uid="{00000000-0005-0000-0000-0000B4650000}"/>
    <cellStyle name="Orizzontale 4 4" xfId="26030" xr:uid="{00000000-0005-0000-0000-0000B5650000}"/>
    <cellStyle name="Orizzontale 4 5" xfId="26031" xr:uid="{00000000-0005-0000-0000-0000B6650000}"/>
    <cellStyle name="Orizzontale 5" xfId="26032" xr:uid="{00000000-0005-0000-0000-0000B7650000}"/>
    <cellStyle name="Orizzontale 5 2" xfId="26033" xr:uid="{00000000-0005-0000-0000-0000B8650000}"/>
    <cellStyle name="Orizzontale 5 3" xfId="26034" xr:uid="{00000000-0005-0000-0000-0000B9650000}"/>
    <cellStyle name="Orizzontale 6" xfId="26035" xr:uid="{00000000-0005-0000-0000-0000BA650000}"/>
    <cellStyle name="Orizzontale 7" xfId="26036" xr:uid="{00000000-0005-0000-0000-0000BB650000}"/>
    <cellStyle name="Orizzontale 8" xfId="26037" xr:uid="{00000000-0005-0000-0000-0000BC650000}"/>
    <cellStyle name="Orizzontale 9" xfId="26038" xr:uid="{00000000-0005-0000-0000-0000BD650000}"/>
    <cellStyle name="Output 10" xfId="26039" xr:uid="{00000000-0005-0000-0000-0000BE650000}"/>
    <cellStyle name="Output 10 2" xfId="26040" xr:uid="{00000000-0005-0000-0000-0000BF650000}"/>
    <cellStyle name="Output 11" xfId="26041" xr:uid="{00000000-0005-0000-0000-0000C0650000}"/>
    <cellStyle name="Output 11 2" xfId="26042" xr:uid="{00000000-0005-0000-0000-0000C1650000}"/>
    <cellStyle name="Output 12" xfId="26043" xr:uid="{00000000-0005-0000-0000-0000C2650000}"/>
    <cellStyle name="Output 12 2" xfId="26044" xr:uid="{00000000-0005-0000-0000-0000C3650000}"/>
    <cellStyle name="Output 13" xfId="26045" xr:uid="{00000000-0005-0000-0000-0000C4650000}"/>
    <cellStyle name="Output 13 2" xfId="26046" xr:uid="{00000000-0005-0000-0000-0000C5650000}"/>
    <cellStyle name="Output 14" xfId="26047" xr:uid="{00000000-0005-0000-0000-0000C6650000}"/>
    <cellStyle name="Output 14 2" xfId="26048" xr:uid="{00000000-0005-0000-0000-0000C7650000}"/>
    <cellStyle name="Output 15" xfId="26049" xr:uid="{00000000-0005-0000-0000-0000C8650000}"/>
    <cellStyle name="Output 15 2" xfId="26050" xr:uid="{00000000-0005-0000-0000-0000C9650000}"/>
    <cellStyle name="Output 16" xfId="26051" xr:uid="{00000000-0005-0000-0000-0000CA650000}"/>
    <cellStyle name="Output 16 2" xfId="26052" xr:uid="{00000000-0005-0000-0000-0000CB650000}"/>
    <cellStyle name="Output 17" xfId="26053" xr:uid="{00000000-0005-0000-0000-0000CC650000}"/>
    <cellStyle name="Output 17 2" xfId="26054" xr:uid="{00000000-0005-0000-0000-0000CD650000}"/>
    <cellStyle name="Output 18" xfId="26055" xr:uid="{00000000-0005-0000-0000-0000CE650000}"/>
    <cellStyle name="Output 18 2" xfId="26056" xr:uid="{00000000-0005-0000-0000-0000CF650000}"/>
    <cellStyle name="Output 19" xfId="26057" xr:uid="{00000000-0005-0000-0000-0000D0650000}"/>
    <cellStyle name="Output 19 2" xfId="26058" xr:uid="{00000000-0005-0000-0000-0000D1650000}"/>
    <cellStyle name="Output 2" xfId="26059" xr:uid="{00000000-0005-0000-0000-0000D2650000}"/>
    <cellStyle name="Output 2 10" xfId="26060" xr:uid="{00000000-0005-0000-0000-0000D3650000}"/>
    <cellStyle name="Output 2 10 2" xfId="26061" xr:uid="{00000000-0005-0000-0000-0000D4650000}"/>
    <cellStyle name="Output 2 11" xfId="26062" xr:uid="{00000000-0005-0000-0000-0000D5650000}"/>
    <cellStyle name="Output 2 11 2" xfId="26063" xr:uid="{00000000-0005-0000-0000-0000D6650000}"/>
    <cellStyle name="Output 2 12" xfId="26064" xr:uid="{00000000-0005-0000-0000-0000D7650000}"/>
    <cellStyle name="Output 2 12 2" xfId="26065" xr:uid="{00000000-0005-0000-0000-0000D8650000}"/>
    <cellStyle name="Output 2 13" xfId="26066" xr:uid="{00000000-0005-0000-0000-0000D9650000}"/>
    <cellStyle name="Output 2 13 2" xfId="26067" xr:uid="{00000000-0005-0000-0000-0000DA650000}"/>
    <cellStyle name="Output 2 14" xfId="26068" xr:uid="{00000000-0005-0000-0000-0000DB650000}"/>
    <cellStyle name="Output 2 14 2" xfId="26069" xr:uid="{00000000-0005-0000-0000-0000DC650000}"/>
    <cellStyle name="Output 2 15" xfId="26070" xr:uid="{00000000-0005-0000-0000-0000DD650000}"/>
    <cellStyle name="Output 2 15 2" xfId="26071" xr:uid="{00000000-0005-0000-0000-0000DE650000}"/>
    <cellStyle name="Output 2 16" xfId="26072" xr:uid="{00000000-0005-0000-0000-0000DF650000}"/>
    <cellStyle name="Output 2 16 2" xfId="26073" xr:uid="{00000000-0005-0000-0000-0000E0650000}"/>
    <cellStyle name="Output 2 17" xfId="26074" xr:uid="{00000000-0005-0000-0000-0000E1650000}"/>
    <cellStyle name="Output 2 17 2" xfId="26075" xr:uid="{00000000-0005-0000-0000-0000E2650000}"/>
    <cellStyle name="Output 2 18" xfId="26076" xr:uid="{00000000-0005-0000-0000-0000E3650000}"/>
    <cellStyle name="Output 2 18 2" xfId="26077" xr:uid="{00000000-0005-0000-0000-0000E4650000}"/>
    <cellStyle name="Output 2 19" xfId="26078" xr:uid="{00000000-0005-0000-0000-0000E5650000}"/>
    <cellStyle name="Output 2 19 2" xfId="26079" xr:uid="{00000000-0005-0000-0000-0000E6650000}"/>
    <cellStyle name="Output 2 2" xfId="26080" xr:uid="{00000000-0005-0000-0000-0000E7650000}"/>
    <cellStyle name="Output 2 2 10" xfId="26081" xr:uid="{00000000-0005-0000-0000-0000E8650000}"/>
    <cellStyle name="Output 2 2 11" xfId="26082" xr:uid="{00000000-0005-0000-0000-0000E9650000}"/>
    <cellStyle name="Output 2 2 12" xfId="26083" xr:uid="{00000000-0005-0000-0000-0000EA650000}"/>
    <cellStyle name="Output 2 2 13" xfId="26084" xr:uid="{00000000-0005-0000-0000-0000EB650000}"/>
    <cellStyle name="Output 2 2 14" xfId="26085" xr:uid="{00000000-0005-0000-0000-0000EC650000}"/>
    <cellStyle name="Output 2 2 15" xfId="26086" xr:uid="{00000000-0005-0000-0000-0000ED650000}"/>
    <cellStyle name="Output 2 2 16" xfId="26087" xr:uid="{00000000-0005-0000-0000-0000EE650000}"/>
    <cellStyle name="Output 2 2 17" xfId="26088" xr:uid="{00000000-0005-0000-0000-0000EF650000}"/>
    <cellStyle name="Output 2 2 18" xfId="26089" xr:uid="{00000000-0005-0000-0000-0000F0650000}"/>
    <cellStyle name="Output 2 2 19" xfId="26090" xr:uid="{00000000-0005-0000-0000-0000F1650000}"/>
    <cellStyle name="Output 2 2 2" xfId="26091" xr:uid="{00000000-0005-0000-0000-0000F2650000}"/>
    <cellStyle name="Output 2 2 2 2" xfId="26092" xr:uid="{00000000-0005-0000-0000-0000F3650000}"/>
    <cellStyle name="Output 2 2 20" xfId="26093" xr:uid="{00000000-0005-0000-0000-0000F4650000}"/>
    <cellStyle name="Output 2 2 21" xfId="26094" xr:uid="{00000000-0005-0000-0000-0000F5650000}"/>
    <cellStyle name="Output 2 2 22" xfId="26095" xr:uid="{00000000-0005-0000-0000-0000F6650000}"/>
    <cellStyle name="Output 2 2 3" xfId="26096" xr:uid="{00000000-0005-0000-0000-0000F7650000}"/>
    <cellStyle name="Output 2 2 3 10" xfId="26097" xr:uid="{00000000-0005-0000-0000-0000F8650000}"/>
    <cellStyle name="Output 2 2 3 11" xfId="26098" xr:uid="{00000000-0005-0000-0000-0000F9650000}"/>
    <cellStyle name="Output 2 2 3 12" xfId="26099" xr:uid="{00000000-0005-0000-0000-0000FA650000}"/>
    <cellStyle name="Output 2 2 3 13" xfId="26100" xr:uid="{00000000-0005-0000-0000-0000FB650000}"/>
    <cellStyle name="Output 2 2 3 14" xfId="26101" xr:uid="{00000000-0005-0000-0000-0000FC650000}"/>
    <cellStyle name="Output 2 2 3 15" xfId="26102" xr:uid="{00000000-0005-0000-0000-0000FD650000}"/>
    <cellStyle name="Output 2 2 3 16" xfId="26103" xr:uid="{00000000-0005-0000-0000-0000FE650000}"/>
    <cellStyle name="Output 2 2 3 17" xfId="26104" xr:uid="{00000000-0005-0000-0000-0000FF650000}"/>
    <cellStyle name="Output 2 2 3 18" xfId="26105" xr:uid="{00000000-0005-0000-0000-000000660000}"/>
    <cellStyle name="Output 2 2 3 19" xfId="26106" xr:uid="{00000000-0005-0000-0000-000001660000}"/>
    <cellStyle name="Output 2 2 3 2" xfId="26107" xr:uid="{00000000-0005-0000-0000-000002660000}"/>
    <cellStyle name="Output 2 2 3 2 10" xfId="26108" xr:uid="{00000000-0005-0000-0000-000003660000}"/>
    <cellStyle name="Output 2 2 3 2 11" xfId="26109" xr:uid="{00000000-0005-0000-0000-000004660000}"/>
    <cellStyle name="Output 2 2 3 2 12" xfId="26110" xr:uid="{00000000-0005-0000-0000-000005660000}"/>
    <cellStyle name="Output 2 2 3 2 13" xfId="26111" xr:uid="{00000000-0005-0000-0000-000006660000}"/>
    <cellStyle name="Output 2 2 3 2 14" xfId="26112" xr:uid="{00000000-0005-0000-0000-000007660000}"/>
    <cellStyle name="Output 2 2 3 2 15" xfId="26113" xr:uid="{00000000-0005-0000-0000-000008660000}"/>
    <cellStyle name="Output 2 2 3 2 16" xfId="26114" xr:uid="{00000000-0005-0000-0000-000009660000}"/>
    <cellStyle name="Output 2 2 3 2 17" xfId="26115" xr:uid="{00000000-0005-0000-0000-00000A660000}"/>
    <cellStyle name="Output 2 2 3 2 18" xfId="26116" xr:uid="{00000000-0005-0000-0000-00000B660000}"/>
    <cellStyle name="Output 2 2 3 2 19" xfId="26117" xr:uid="{00000000-0005-0000-0000-00000C660000}"/>
    <cellStyle name="Output 2 2 3 2 2" xfId="26118" xr:uid="{00000000-0005-0000-0000-00000D660000}"/>
    <cellStyle name="Output 2 2 3 2 20" xfId="26119" xr:uid="{00000000-0005-0000-0000-00000E660000}"/>
    <cellStyle name="Output 2 2 3 2 21" xfId="26120" xr:uid="{00000000-0005-0000-0000-00000F660000}"/>
    <cellStyle name="Output 2 2 3 2 22" xfId="26121" xr:uid="{00000000-0005-0000-0000-000010660000}"/>
    <cellStyle name="Output 2 2 3 2 23" xfId="26122" xr:uid="{00000000-0005-0000-0000-000011660000}"/>
    <cellStyle name="Output 2 2 3 2 24" xfId="26123" xr:uid="{00000000-0005-0000-0000-000012660000}"/>
    <cellStyle name="Output 2 2 3 2 25" xfId="26124" xr:uid="{00000000-0005-0000-0000-000013660000}"/>
    <cellStyle name="Output 2 2 3 2 26" xfId="26125" xr:uid="{00000000-0005-0000-0000-000014660000}"/>
    <cellStyle name="Output 2 2 3 2 27" xfId="26126" xr:uid="{00000000-0005-0000-0000-000015660000}"/>
    <cellStyle name="Output 2 2 3 2 28" xfId="26127" xr:uid="{00000000-0005-0000-0000-000016660000}"/>
    <cellStyle name="Output 2 2 3 2 29" xfId="26128" xr:uid="{00000000-0005-0000-0000-000017660000}"/>
    <cellStyle name="Output 2 2 3 2 3" xfId="26129" xr:uid="{00000000-0005-0000-0000-000018660000}"/>
    <cellStyle name="Output 2 2 3 2 30" xfId="26130" xr:uid="{00000000-0005-0000-0000-000019660000}"/>
    <cellStyle name="Output 2 2 3 2 31" xfId="26131" xr:uid="{00000000-0005-0000-0000-00001A660000}"/>
    <cellStyle name="Output 2 2 3 2 32" xfId="26132" xr:uid="{00000000-0005-0000-0000-00001B660000}"/>
    <cellStyle name="Output 2 2 3 2 33" xfId="26133" xr:uid="{00000000-0005-0000-0000-00001C660000}"/>
    <cellStyle name="Output 2 2 3 2 34" xfId="26134" xr:uid="{00000000-0005-0000-0000-00001D660000}"/>
    <cellStyle name="Output 2 2 3 2 4" xfId="26135" xr:uid="{00000000-0005-0000-0000-00001E660000}"/>
    <cellStyle name="Output 2 2 3 2 5" xfId="26136" xr:uid="{00000000-0005-0000-0000-00001F660000}"/>
    <cellStyle name="Output 2 2 3 2 6" xfId="26137" xr:uid="{00000000-0005-0000-0000-000020660000}"/>
    <cellStyle name="Output 2 2 3 2 7" xfId="26138" xr:uid="{00000000-0005-0000-0000-000021660000}"/>
    <cellStyle name="Output 2 2 3 2 8" xfId="26139" xr:uid="{00000000-0005-0000-0000-000022660000}"/>
    <cellStyle name="Output 2 2 3 2 9" xfId="26140" xr:uid="{00000000-0005-0000-0000-000023660000}"/>
    <cellStyle name="Output 2 2 3 20" xfId="26141" xr:uid="{00000000-0005-0000-0000-000024660000}"/>
    <cellStyle name="Output 2 2 3 3" xfId="26142" xr:uid="{00000000-0005-0000-0000-000025660000}"/>
    <cellStyle name="Output 2 2 3 3 2" xfId="26143" xr:uid="{00000000-0005-0000-0000-000026660000}"/>
    <cellStyle name="Output 2 2 3 3 3" xfId="26144" xr:uid="{00000000-0005-0000-0000-000027660000}"/>
    <cellStyle name="Output 2 2 3 4" xfId="26145" xr:uid="{00000000-0005-0000-0000-000028660000}"/>
    <cellStyle name="Output 2 2 3 5" xfId="26146" xr:uid="{00000000-0005-0000-0000-000029660000}"/>
    <cellStyle name="Output 2 2 3 6" xfId="26147" xr:uid="{00000000-0005-0000-0000-00002A660000}"/>
    <cellStyle name="Output 2 2 3 7" xfId="26148" xr:uid="{00000000-0005-0000-0000-00002B660000}"/>
    <cellStyle name="Output 2 2 3 8" xfId="26149" xr:uid="{00000000-0005-0000-0000-00002C660000}"/>
    <cellStyle name="Output 2 2 3 9" xfId="26150" xr:uid="{00000000-0005-0000-0000-00002D660000}"/>
    <cellStyle name="Output 2 2 4" xfId="26151" xr:uid="{00000000-0005-0000-0000-00002E660000}"/>
    <cellStyle name="Output 2 2 4 10" xfId="26152" xr:uid="{00000000-0005-0000-0000-00002F660000}"/>
    <cellStyle name="Output 2 2 4 11" xfId="26153" xr:uid="{00000000-0005-0000-0000-000030660000}"/>
    <cellStyle name="Output 2 2 4 12" xfId="26154" xr:uid="{00000000-0005-0000-0000-000031660000}"/>
    <cellStyle name="Output 2 2 4 13" xfId="26155" xr:uid="{00000000-0005-0000-0000-000032660000}"/>
    <cellStyle name="Output 2 2 4 14" xfId="26156" xr:uid="{00000000-0005-0000-0000-000033660000}"/>
    <cellStyle name="Output 2 2 4 15" xfId="26157" xr:uid="{00000000-0005-0000-0000-000034660000}"/>
    <cellStyle name="Output 2 2 4 16" xfId="26158" xr:uid="{00000000-0005-0000-0000-000035660000}"/>
    <cellStyle name="Output 2 2 4 17" xfId="26159" xr:uid="{00000000-0005-0000-0000-000036660000}"/>
    <cellStyle name="Output 2 2 4 18" xfId="26160" xr:uid="{00000000-0005-0000-0000-000037660000}"/>
    <cellStyle name="Output 2 2 4 19" xfId="26161" xr:uid="{00000000-0005-0000-0000-000038660000}"/>
    <cellStyle name="Output 2 2 4 2" xfId="26162" xr:uid="{00000000-0005-0000-0000-000039660000}"/>
    <cellStyle name="Output 2 2 4 20" xfId="26163" xr:uid="{00000000-0005-0000-0000-00003A660000}"/>
    <cellStyle name="Output 2 2 4 21" xfId="26164" xr:uid="{00000000-0005-0000-0000-00003B660000}"/>
    <cellStyle name="Output 2 2 4 22" xfId="26165" xr:uid="{00000000-0005-0000-0000-00003C660000}"/>
    <cellStyle name="Output 2 2 4 23" xfId="26166" xr:uid="{00000000-0005-0000-0000-00003D660000}"/>
    <cellStyle name="Output 2 2 4 24" xfId="26167" xr:uid="{00000000-0005-0000-0000-00003E660000}"/>
    <cellStyle name="Output 2 2 4 25" xfId="26168" xr:uid="{00000000-0005-0000-0000-00003F660000}"/>
    <cellStyle name="Output 2 2 4 26" xfId="26169" xr:uid="{00000000-0005-0000-0000-000040660000}"/>
    <cellStyle name="Output 2 2 4 27" xfId="26170" xr:uid="{00000000-0005-0000-0000-000041660000}"/>
    <cellStyle name="Output 2 2 4 28" xfId="26171" xr:uid="{00000000-0005-0000-0000-000042660000}"/>
    <cellStyle name="Output 2 2 4 29" xfId="26172" xr:uid="{00000000-0005-0000-0000-000043660000}"/>
    <cellStyle name="Output 2 2 4 3" xfId="26173" xr:uid="{00000000-0005-0000-0000-000044660000}"/>
    <cellStyle name="Output 2 2 4 30" xfId="26174" xr:uid="{00000000-0005-0000-0000-000045660000}"/>
    <cellStyle name="Output 2 2 4 31" xfId="26175" xr:uid="{00000000-0005-0000-0000-000046660000}"/>
    <cellStyle name="Output 2 2 4 32" xfId="26176" xr:uid="{00000000-0005-0000-0000-000047660000}"/>
    <cellStyle name="Output 2 2 4 33" xfId="26177" xr:uid="{00000000-0005-0000-0000-000048660000}"/>
    <cellStyle name="Output 2 2 4 34" xfId="26178" xr:uid="{00000000-0005-0000-0000-000049660000}"/>
    <cellStyle name="Output 2 2 4 4" xfId="26179" xr:uid="{00000000-0005-0000-0000-00004A660000}"/>
    <cellStyle name="Output 2 2 4 5" xfId="26180" xr:uid="{00000000-0005-0000-0000-00004B660000}"/>
    <cellStyle name="Output 2 2 4 6" xfId="26181" xr:uid="{00000000-0005-0000-0000-00004C660000}"/>
    <cellStyle name="Output 2 2 4 7" xfId="26182" xr:uid="{00000000-0005-0000-0000-00004D660000}"/>
    <cellStyle name="Output 2 2 4 8" xfId="26183" xr:uid="{00000000-0005-0000-0000-00004E660000}"/>
    <cellStyle name="Output 2 2 4 9" xfId="26184" xr:uid="{00000000-0005-0000-0000-00004F660000}"/>
    <cellStyle name="Output 2 2 5" xfId="26185" xr:uid="{00000000-0005-0000-0000-000050660000}"/>
    <cellStyle name="Output 2 2 5 2" xfId="26186" xr:uid="{00000000-0005-0000-0000-000051660000}"/>
    <cellStyle name="Output 2 2 5 3" xfId="26187" xr:uid="{00000000-0005-0000-0000-000052660000}"/>
    <cellStyle name="Output 2 2 6" xfId="26188" xr:uid="{00000000-0005-0000-0000-000053660000}"/>
    <cellStyle name="Output 2 2 7" xfId="26189" xr:uid="{00000000-0005-0000-0000-000054660000}"/>
    <cellStyle name="Output 2 2 8" xfId="26190" xr:uid="{00000000-0005-0000-0000-000055660000}"/>
    <cellStyle name="Output 2 2 9" xfId="26191" xr:uid="{00000000-0005-0000-0000-000056660000}"/>
    <cellStyle name="Output 2 20" xfId="26192" xr:uid="{00000000-0005-0000-0000-000057660000}"/>
    <cellStyle name="Output 2 20 10" xfId="26193" xr:uid="{00000000-0005-0000-0000-000058660000}"/>
    <cellStyle name="Output 2 20 11" xfId="26194" xr:uid="{00000000-0005-0000-0000-000059660000}"/>
    <cellStyle name="Output 2 20 12" xfId="26195" xr:uid="{00000000-0005-0000-0000-00005A660000}"/>
    <cellStyle name="Output 2 20 13" xfId="26196" xr:uid="{00000000-0005-0000-0000-00005B660000}"/>
    <cellStyle name="Output 2 20 14" xfId="26197" xr:uid="{00000000-0005-0000-0000-00005C660000}"/>
    <cellStyle name="Output 2 20 15" xfId="26198" xr:uid="{00000000-0005-0000-0000-00005D660000}"/>
    <cellStyle name="Output 2 20 16" xfId="26199" xr:uid="{00000000-0005-0000-0000-00005E660000}"/>
    <cellStyle name="Output 2 20 17" xfId="26200" xr:uid="{00000000-0005-0000-0000-00005F660000}"/>
    <cellStyle name="Output 2 20 18" xfId="26201" xr:uid="{00000000-0005-0000-0000-000060660000}"/>
    <cellStyle name="Output 2 20 19" xfId="26202" xr:uid="{00000000-0005-0000-0000-000061660000}"/>
    <cellStyle name="Output 2 20 2" xfId="26203" xr:uid="{00000000-0005-0000-0000-000062660000}"/>
    <cellStyle name="Output 2 20 2 10" xfId="26204" xr:uid="{00000000-0005-0000-0000-000063660000}"/>
    <cellStyle name="Output 2 20 2 11" xfId="26205" xr:uid="{00000000-0005-0000-0000-000064660000}"/>
    <cellStyle name="Output 2 20 2 12" xfId="26206" xr:uid="{00000000-0005-0000-0000-000065660000}"/>
    <cellStyle name="Output 2 20 2 13" xfId="26207" xr:uid="{00000000-0005-0000-0000-000066660000}"/>
    <cellStyle name="Output 2 20 2 14" xfId="26208" xr:uid="{00000000-0005-0000-0000-000067660000}"/>
    <cellStyle name="Output 2 20 2 15" xfId="26209" xr:uid="{00000000-0005-0000-0000-000068660000}"/>
    <cellStyle name="Output 2 20 2 16" xfId="26210" xr:uid="{00000000-0005-0000-0000-000069660000}"/>
    <cellStyle name="Output 2 20 2 17" xfId="26211" xr:uid="{00000000-0005-0000-0000-00006A660000}"/>
    <cellStyle name="Output 2 20 2 18" xfId="26212" xr:uid="{00000000-0005-0000-0000-00006B660000}"/>
    <cellStyle name="Output 2 20 2 19" xfId="26213" xr:uid="{00000000-0005-0000-0000-00006C660000}"/>
    <cellStyle name="Output 2 20 2 2" xfId="26214" xr:uid="{00000000-0005-0000-0000-00006D660000}"/>
    <cellStyle name="Output 2 20 2 20" xfId="26215" xr:uid="{00000000-0005-0000-0000-00006E660000}"/>
    <cellStyle name="Output 2 20 2 21" xfId="26216" xr:uid="{00000000-0005-0000-0000-00006F660000}"/>
    <cellStyle name="Output 2 20 2 22" xfId="26217" xr:uid="{00000000-0005-0000-0000-000070660000}"/>
    <cellStyle name="Output 2 20 2 23" xfId="26218" xr:uid="{00000000-0005-0000-0000-000071660000}"/>
    <cellStyle name="Output 2 20 2 24" xfId="26219" xr:uid="{00000000-0005-0000-0000-000072660000}"/>
    <cellStyle name="Output 2 20 2 25" xfId="26220" xr:uid="{00000000-0005-0000-0000-000073660000}"/>
    <cellStyle name="Output 2 20 2 26" xfId="26221" xr:uid="{00000000-0005-0000-0000-000074660000}"/>
    <cellStyle name="Output 2 20 2 27" xfId="26222" xr:uid="{00000000-0005-0000-0000-000075660000}"/>
    <cellStyle name="Output 2 20 2 28" xfId="26223" xr:uid="{00000000-0005-0000-0000-000076660000}"/>
    <cellStyle name="Output 2 20 2 29" xfId="26224" xr:uid="{00000000-0005-0000-0000-000077660000}"/>
    <cellStyle name="Output 2 20 2 3" xfId="26225" xr:uid="{00000000-0005-0000-0000-000078660000}"/>
    <cellStyle name="Output 2 20 2 30" xfId="26226" xr:uid="{00000000-0005-0000-0000-000079660000}"/>
    <cellStyle name="Output 2 20 2 31" xfId="26227" xr:uid="{00000000-0005-0000-0000-00007A660000}"/>
    <cellStyle name="Output 2 20 2 32" xfId="26228" xr:uid="{00000000-0005-0000-0000-00007B660000}"/>
    <cellStyle name="Output 2 20 2 33" xfId="26229" xr:uid="{00000000-0005-0000-0000-00007C660000}"/>
    <cellStyle name="Output 2 20 2 34" xfId="26230" xr:uid="{00000000-0005-0000-0000-00007D660000}"/>
    <cellStyle name="Output 2 20 2 4" xfId="26231" xr:uid="{00000000-0005-0000-0000-00007E660000}"/>
    <cellStyle name="Output 2 20 2 5" xfId="26232" xr:uid="{00000000-0005-0000-0000-00007F660000}"/>
    <cellStyle name="Output 2 20 2 6" xfId="26233" xr:uid="{00000000-0005-0000-0000-000080660000}"/>
    <cellStyle name="Output 2 20 2 7" xfId="26234" xr:uid="{00000000-0005-0000-0000-000081660000}"/>
    <cellStyle name="Output 2 20 2 8" xfId="26235" xr:uid="{00000000-0005-0000-0000-000082660000}"/>
    <cellStyle name="Output 2 20 2 9" xfId="26236" xr:uid="{00000000-0005-0000-0000-000083660000}"/>
    <cellStyle name="Output 2 20 20" xfId="26237" xr:uid="{00000000-0005-0000-0000-000084660000}"/>
    <cellStyle name="Output 2 20 3" xfId="26238" xr:uid="{00000000-0005-0000-0000-000085660000}"/>
    <cellStyle name="Output 2 20 3 2" xfId="26239" xr:uid="{00000000-0005-0000-0000-000086660000}"/>
    <cellStyle name="Output 2 20 3 3" xfId="26240" xr:uid="{00000000-0005-0000-0000-000087660000}"/>
    <cellStyle name="Output 2 20 4" xfId="26241" xr:uid="{00000000-0005-0000-0000-000088660000}"/>
    <cellStyle name="Output 2 20 5" xfId="26242" xr:uid="{00000000-0005-0000-0000-000089660000}"/>
    <cellStyle name="Output 2 20 6" xfId="26243" xr:uid="{00000000-0005-0000-0000-00008A660000}"/>
    <cellStyle name="Output 2 20 7" xfId="26244" xr:uid="{00000000-0005-0000-0000-00008B660000}"/>
    <cellStyle name="Output 2 20 8" xfId="26245" xr:uid="{00000000-0005-0000-0000-00008C660000}"/>
    <cellStyle name="Output 2 20 9" xfId="26246" xr:uid="{00000000-0005-0000-0000-00008D660000}"/>
    <cellStyle name="Output 2 21" xfId="26247" xr:uid="{00000000-0005-0000-0000-00008E660000}"/>
    <cellStyle name="Output 2 21 10" xfId="26248" xr:uid="{00000000-0005-0000-0000-00008F660000}"/>
    <cellStyle name="Output 2 21 11" xfId="26249" xr:uid="{00000000-0005-0000-0000-000090660000}"/>
    <cellStyle name="Output 2 21 12" xfId="26250" xr:uid="{00000000-0005-0000-0000-000091660000}"/>
    <cellStyle name="Output 2 21 13" xfId="26251" xr:uid="{00000000-0005-0000-0000-000092660000}"/>
    <cellStyle name="Output 2 21 14" xfId="26252" xr:uid="{00000000-0005-0000-0000-000093660000}"/>
    <cellStyle name="Output 2 21 15" xfId="26253" xr:uid="{00000000-0005-0000-0000-000094660000}"/>
    <cellStyle name="Output 2 21 16" xfId="26254" xr:uid="{00000000-0005-0000-0000-000095660000}"/>
    <cellStyle name="Output 2 21 17" xfId="26255" xr:uid="{00000000-0005-0000-0000-000096660000}"/>
    <cellStyle name="Output 2 21 18" xfId="26256" xr:uid="{00000000-0005-0000-0000-000097660000}"/>
    <cellStyle name="Output 2 21 19" xfId="26257" xr:uid="{00000000-0005-0000-0000-000098660000}"/>
    <cellStyle name="Output 2 21 2" xfId="26258" xr:uid="{00000000-0005-0000-0000-000099660000}"/>
    <cellStyle name="Output 2 21 20" xfId="26259" xr:uid="{00000000-0005-0000-0000-00009A660000}"/>
    <cellStyle name="Output 2 21 21" xfId="26260" xr:uid="{00000000-0005-0000-0000-00009B660000}"/>
    <cellStyle name="Output 2 21 22" xfId="26261" xr:uid="{00000000-0005-0000-0000-00009C660000}"/>
    <cellStyle name="Output 2 21 23" xfId="26262" xr:uid="{00000000-0005-0000-0000-00009D660000}"/>
    <cellStyle name="Output 2 21 24" xfId="26263" xr:uid="{00000000-0005-0000-0000-00009E660000}"/>
    <cellStyle name="Output 2 21 25" xfId="26264" xr:uid="{00000000-0005-0000-0000-00009F660000}"/>
    <cellStyle name="Output 2 21 26" xfId="26265" xr:uid="{00000000-0005-0000-0000-0000A0660000}"/>
    <cellStyle name="Output 2 21 27" xfId="26266" xr:uid="{00000000-0005-0000-0000-0000A1660000}"/>
    <cellStyle name="Output 2 21 28" xfId="26267" xr:uid="{00000000-0005-0000-0000-0000A2660000}"/>
    <cellStyle name="Output 2 21 29" xfId="26268" xr:uid="{00000000-0005-0000-0000-0000A3660000}"/>
    <cellStyle name="Output 2 21 3" xfId="26269" xr:uid="{00000000-0005-0000-0000-0000A4660000}"/>
    <cellStyle name="Output 2 21 30" xfId="26270" xr:uid="{00000000-0005-0000-0000-0000A5660000}"/>
    <cellStyle name="Output 2 21 31" xfId="26271" xr:uid="{00000000-0005-0000-0000-0000A6660000}"/>
    <cellStyle name="Output 2 21 32" xfId="26272" xr:uid="{00000000-0005-0000-0000-0000A7660000}"/>
    <cellStyle name="Output 2 21 33" xfId="26273" xr:uid="{00000000-0005-0000-0000-0000A8660000}"/>
    <cellStyle name="Output 2 21 34" xfId="26274" xr:uid="{00000000-0005-0000-0000-0000A9660000}"/>
    <cellStyle name="Output 2 21 4" xfId="26275" xr:uid="{00000000-0005-0000-0000-0000AA660000}"/>
    <cellStyle name="Output 2 21 5" xfId="26276" xr:uid="{00000000-0005-0000-0000-0000AB660000}"/>
    <cellStyle name="Output 2 21 6" xfId="26277" xr:uid="{00000000-0005-0000-0000-0000AC660000}"/>
    <cellStyle name="Output 2 21 7" xfId="26278" xr:uid="{00000000-0005-0000-0000-0000AD660000}"/>
    <cellStyle name="Output 2 21 8" xfId="26279" xr:uid="{00000000-0005-0000-0000-0000AE660000}"/>
    <cellStyle name="Output 2 21 9" xfId="26280" xr:uid="{00000000-0005-0000-0000-0000AF660000}"/>
    <cellStyle name="Output 2 22" xfId="26281" xr:uid="{00000000-0005-0000-0000-0000B0660000}"/>
    <cellStyle name="Output 2 22 2" xfId="26282" xr:uid="{00000000-0005-0000-0000-0000B1660000}"/>
    <cellStyle name="Output 2 22 3" xfId="26283" xr:uid="{00000000-0005-0000-0000-0000B2660000}"/>
    <cellStyle name="Output 2 23" xfId="26284" xr:uid="{00000000-0005-0000-0000-0000B3660000}"/>
    <cellStyle name="Output 2 24" xfId="26285" xr:uid="{00000000-0005-0000-0000-0000B4660000}"/>
    <cellStyle name="Output 2 25" xfId="26286" xr:uid="{00000000-0005-0000-0000-0000B5660000}"/>
    <cellStyle name="Output 2 26" xfId="26287" xr:uid="{00000000-0005-0000-0000-0000B6660000}"/>
    <cellStyle name="Output 2 27" xfId="26288" xr:uid="{00000000-0005-0000-0000-0000B7660000}"/>
    <cellStyle name="Output 2 28" xfId="26289" xr:uid="{00000000-0005-0000-0000-0000B8660000}"/>
    <cellStyle name="Output 2 29" xfId="26290" xr:uid="{00000000-0005-0000-0000-0000B9660000}"/>
    <cellStyle name="Output 2 3" xfId="26291" xr:uid="{00000000-0005-0000-0000-0000BA660000}"/>
    <cellStyle name="Output 2 3 10" xfId="26292" xr:uid="{00000000-0005-0000-0000-0000BB660000}"/>
    <cellStyle name="Output 2 3 11" xfId="26293" xr:uid="{00000000-0005-0000-0000-0000BC660000}"/>
    <cellStyle name="Output 2 3 12" xfId="26294" xr:uid="{00000000-0005-0000-0000-0000BD660000}"/>
    <cellStyle name="Output 2 3 13" xfId="26295" xr:uid="{00000000-0005-0000-0000-0000BE660000}"/>
    <cellStyle name="Output 2 3 14" xfId="26296" xr:uid="{00000000-0005-0000-0000-0000BF660000}"/>
    <cellStyle name="Output 2 3 15" xfId="26297" xr:uid="{00000000-0005-0000-0000-0000C0660000}"/>
    <cellStyle name="Output 2 3 16" xfId="26298" xr:uid="{00000000-0005-0000-0000-0000C1660000}"/>
    <cellStyle name="Output 2 3 17" xfId="26299" xr:uid="{00000000-0005-0000-0000-0000C2660000}"/>
    <cellStyle name="Output 2 3 18" xfId="26300" xr:uid="{00000000-0005-0000-0000-0000C3660000}"/>
    <cellStyle name="Output 2 3 19" xfId="26301" xr:uid="{00000000-0005-0000-0000-0000C4660000}"/>
    <cellStyle name="Output 2 3 2" xfId="26302" xr:uid="{00000000-0005-0000-0000-0000C5660000}"/>
    <cellStyle name="Output 2 3 2 10" xfId="26303" xr:uid="{00000000-0005-0000-0000-0000C6660000}"/>
    <cellStyle name="Output 2 3 2 11" xfId="26304" xr:uid="{00000000-0005-0000-0000-0000C7660000}"/>
    <cellStyle name="Output 2 3 2 12" xfId="26305" xr:uid="{00000000-0005-0000-0000-0000C8660000}"/>
    <cellStyle name="Output 2 3 2 13" xfId="26306" xr:uid="{00000000-0005-0000-0000-0000C9660000}"/>
    <cellStyle name="Output 2 3 2 14" xfId="26307" xr:uid="{00000000-0005-0000-0000-0000CA660000}"/>
    <cellStyle name="Output 2 3 2 15" xfId="26308" xr:uid="{00000000-0005-0000-0000-0000CB660000}"/>
    <cellStyle name="Output 2 3 2 16" xfId="26309" xr:uid="{00000000-0005-0000-0000-0000CC660000}"/>
    <cellStyle name="Output 2 3 2 17" xfId="26310" xr:uid="{00000000-0005-0000-0000-0000CD660000}"/>
    <cellStyle name="Output 2 3 2 18" xfId="26311" xr:uid="{00000000-0005-0000-0000-0000CE660000}"/>
    <cellStyle name="Output 2 3 2 19" xfId="26312" xr:uid="{00000000-0005-0000-0000-0000CF660000}"/>
    <cellStyle name="Output 2 3 2 2" xfId="26313" xr:uid="{00000000-0005-0000-0000-0000D0660000}"/>
    <cellStyle name="Output 2 3 2 2 10" xfId="26314" xr:uid="{00000000-0005-0000-0000-0000D1660000}"/>
    <cellStyle name="Output 2 3 2 2 11" xfId="26315" xr:uid="{00000000-0005-0000-0000-0000D2660000}"/>
    <cellStyle name="Output 2 3 2 2 12" xfId="26316" xr:uid="{00000000-0005-0000-0000-0000D3660000}"/>
    <cellStyle name="Output 2 3 2 2 13" xfId="26317" xr:uid="{00000000-0005-0000-0000-0000D4660000}"/>
    <cellStyle name="Output 2 3 2 2 14" xfId="26318" xr:uid="{00000000-0005-0000-0000-0000D5660000}"/>
    <cellStyle name="Output 2 3 2 2 15" xfId="26319" xr:uid="{00000000-0005-0000-0000-0000D6660000}"/>
    <cellStyle name="Output 2 3 2 2 16" xfId="26320" xr:uid="{00000000-0005-0000-0000-0000D7660000}"/>
    <cellStyle name="Output 2 3 2 2 17" xfId="26321" xr:uid="{00000000-0005-0000-0000-0000D8660000}"/>
    <cellStyle name="Output 2 3 2 2 18" xfId="26322" xr:uid="{00000000-0005-0000-0000-0000D9660000}"/>
    <cellStyle name="Output 2 3 2 2 19" xfId="26323" xr:uid="{00000000-0005-0000-0000-0000DA660000}"/>
    <cellStyle name="Output 2 3 2 2 2" xfId="26324" xr:uid="{00000000-0005-0000-0000-0000DB660000}"/>
    <cellStyle name="Output 2 3 2 2 20" xfId="26325" xr:uid="{00000000-0005-0000-0000-0000DC660000}"/>
    <cellStyle name="Output 2 3 2 2 21" xfId="26326" xr:uid="{00000000-0005-0000-0000-0000DD660000}"/>
    <cellStyle name="Output 2 3 2 2 22" xfId="26327" xr:uid="{00000000-0005-0000-0000-0000DE660000}"/>
    <cellStyle name="Output 2 3 2 2 23" xfId="26328" xr:uid="{00000000-0005-0000-0000-0000DF660000}"/>
    <cellStyle name="Output 2 3 2 2 24" xfId="26329" xr:uid="{00000000-0005-0000-0000-0000E0660000}"/>
    <cellStyle name="Output 2 3 2 2 25" xfId="26330" xr:uid="{00000000-0005-0000-0000-0000E1660000}"/>
    <cellStyle name="Output 2 3 2 2 26" xfId="26331" xr:uid="{00000000-0005-0000-0000-0000E2660000}"/>
    <cellStyle name="Output 2 3 2 2 27" xfId="26332" xr:uid="{00000000-0005-0000-0000-0000E3660000}"/>
    <cellStyle name="Output 2 3 2 2 28" xfId="26333" xr:uid="{00000000-0005-0000-0000-0000E4660000}"/>
    <cellStyle name="Output 2 3 2 2 29" xfId="26334" xr:uid="{00000000-0005-0000-0000-0000E5660000}"/>
    <cellStyle name="Output 2 3 2 2 3" xfId="26335" xr:uid="{00000000-0005-0000-0000-0000E6660000}"/>
    <cellStyle name="Output 2 3 2 2 30" xfId="26336" xr:uid="{00000000-0005-0000-0000-0000E7660000}"/>
    <cellStyle name="Output 2 3 2 2 31" xfId="26337" xr:uid="{00000000-0005-0000-0000-0000E8660000}"/>
    <cellStyle name="Output 2 3 2 2 32" xfId="26338" xr:uid="{00000000-0005-0000-0000-0000E9660000}"/>
    <cellStyle name="Output 2 3 2 2 33" xfId="26339" xr:uid="{00000000-0005-0000-0000-0000EA660000}"/>
    <cellStyle name="Output 2 3 2 2 34" xfId="26340" xr:uid="{00000000-0005-0000-0000-0000EB660000}"/>
    <cellStyle name="Output 2 3 2 2 4" xfId="26341" xr:uid="{00000000-0005-0000-0000-0000EC660000}"/>
    <cellStyle name="Output 2 3 2 2 5" xfId="26342" xr:uid="{00000000-0005-0000-0000-0000ED660000}"/>
    <cellStyle name="Output 2 3 2 2 6" xfId="26343" xr:uid="{00000000-0005-0000-0000-0000EE660000}"/>
    <cellStyle name="Output 2 3 2 2 7" xfId="26344" xr:uid="{00000000-0005-0000-0000-0000EF660000}"/>
    <cellStyle name="Output 2 3 2 2 8" xfId="26345" xr:uid="{00000000-0005-0000-0000-0000F0660000}"/>
    <cellStyle name="Output 2 3 2 2 9" xfId="26346" xr:uid="{00000000-0005-0000-0000-0000F1660000}"/>
    <cellStyle name="Output 2 3 2 20" xfId="26347" xr:uid="{00000000-0005-0000-0000-0000F2660000}"/>
    <cellStyle name="Output 2 3 2 3" xfId="26348" xr:uid="{00000000-0005-0000-0000-0000F3660000}"/>
    <cellStyle name="Output 2 3 2 3 2" xfId="26349" xr:uid="{00000000-0005-0000-0000-0000F4660000}"/>
    <cellStyle name="Output 2 3 2 3 3" xfId="26350" xr:uid="{00000000-0005-0000-0000-0000F5660000}"/>
    <cellStyle name="Output 2 3 2 4" xfId="26351" xr:uid="{00000000-0005-0000-0000-0000F6660000}"/>
    <cellStyle name="Output 2 3 2 5" xfId="26352" xr:uid="{00000000-0005-0000-0000-0000F7660000}"/>
    <cellStyle name="Output 2 3 2 6" xfId="26353" xr:uid="{00000000-0005-0000-0000-0000F8660000}"/>
    <cellStyle name="Output 2 3 2 7" xfId="26354" xr:uid="{00000000-0005-0000-0000-0000F9660000}"/>
    <cellStyle name="Output 2 3 2 8" xfId="26355" xr:uid="{00000000-0005-0000-0000-0000FA660000}"/>
    <cellStyle name="Output 2 3 2 9" xfId="26356" xr:uid="{00000000-0005-0000-0000-0000FB660000}"/>
    <cellStyle name="Output 2 3 20" xfId="26357" xr:uid="{00000000-0005-0000-0000-0000FC660000}"/>
    <cellStyle name="Output 2 3 21" xfId="26358" xr:uid="{00000000-0005-0000-0000-0000FD660000}"/>
    <cellStyle name="Output 2 3 3" xfId="26359" xr:uid="{00000000-0005-0000-0000-0000FE660000}"/>
    <cellStyle name="Output 2 3 3 10" xfId="26360" xr:uid="{00000000-0005-0000-0000-0000FF660000}"/>
    <cellStyle name="Output 2 3 3 11" xfId="26361" xr:uid="{00000000-0005-0000-0000-000000670000}"/>
    <cellStyle name="Output 2 3 3 12" xfId="26362" xr:uid="{00000000-0005-0000-0000-000001670000}"/>
    <cellStyle name="Output 2 3 3 13" xfId="26363" xr:uid="{00000000-0005-0000-0000-000002670000}"/>
    <cellStyle name="Output 2 3 3 14" xfId="26364" xr:uid="{00000000-0005-0000-0000-000003670000}"/>
    <cellStyle name="Output 2 3 3 15" xfId="26365" xr:uid="{00000000-0005-0000-0000-000004670000}"/>
    <cellStyle name="Output 2 3 3 16" xfId="26366" xr:uid="{00000000-0005-0000-0000-000005670000}"/>
    <cellStyle name="Output 2 3 3 17" xfId="26367" xr:uid="{00000000-0005-0000-0000-000006670000}"/>
    <cellStyle name="Output 2 3 3 18" xfId="26368" xr:uid="{00000000-0005-0000-0000-000007670000}"/>
    <cellStyle name="Output 2 3 3 19" xfId="26369" xr:uid="{00000000-0005-0000-0000-000008670000}"/>
    <cellStyle name="Output 2 3 3 2" xfId="26370" xr:uid="{00000000-0005-0000-0000-000009670000}"/>
    <cellStyle name="Output 2 3 3 20" xfId="26371" xr:uid="{00000000-0005-0000-0000-00000A670000}"/>
    <cellStyle name="Output 2 3 3 21" xfId="26372" xr:uid="{00000000-0005-0000-0000-00000B670000}"/>
    <cellStyle name="Output 2 3 3 22" xfId="26373" xr:uid="{00000000-0005-0000-0000-00000C670000}"/>
    <cellStyle name="Output 2 3 3 23" xfId="26374" xr:uid="{00000000-0005-0000-0000-00000D670000}"/>
    <cellStyle name="Output 2 3 3 24" xfId="26375" xr:uid="{00000000-0005-0000-0000-00000E670000}"/>
    <cellStyle name="Output 2 3 3 25" xfId="26376" xr:uid="{00000000-0005-0000-0000-00000F670000}"/>
    <cellStyle name="Output 2 3 3 26" xfId="26377" xr:uid="{00000000-0005-0000-0000-000010670000}"/>
    <cellStyle name="Output 2 3 3 27" xfId="26378" xr:uid="{00000000-0005-0000-0000-000011670000}"/>
    <cellStyle name="Output 2 3 3 28" xfId="26379" xr:uid="{00000000-0005-0000-0000-000012670000}"/>
    <cellStyle name="Output 2 3 3 29" xfId="26380" xr:uid="{00000000-0005-0000-0000-000013670000}"/>
    <cellStyle name="Output 2 3 3 3" xfId="26381" xr:uid="{00000000-0005-0000-0000-000014670000}"/>
    <cellStyle name="Output 2 3 3 30" xfId="26382" xr:uid="{00000000-0005-0000-0000-000015670000}"/>
    <cellStyle name="Output 2 3 3 31" xfId="26383" xr:uid="{00000000-0005-0000-0000-000016670000}"/>
    <cellStyle name="Output 2 3 3 32" xfId="26384" xr:uid="{00000000-0005-0000-0000-000017670000}"/>
    <cellStyle name="Output 2 3 3 33" xfId="26385" xr:uid="{00000000-0005-0000-0000-000018670000}"/>
    <cellStyle name="Output 2 3 3 34" xfId="26386" xr:uid="{00000000-0005-0000-0000-000019670000}"/>
    <cellStyle name="Output 2 3 3 4" xfId="26387" xr:uid="{00000000-0005-0000-0000-00001A670000}"/>
    <cellStyle name="Output 2 3 3 5" xfId="26388" xr:uid="{00000000-0005-0000-0000-00001B670000}"/>
    <cellStyle name="Output 2 3 3 6" xfId="26389" xr:uid="{00000000-0005-0000-0000-00001C670000}"/>
    <cellStyle name="Output 2 3 3 7" xfId="26390" xr:uid="{00000000-0005-0000-0000-00001D670000}"/>
    <cellStyle name="Output 2 3 3 8" xfId="26391" xr:uid="{00000000-0005-0000-0000-00001E670000}"/>
    <cellStyle name="Output 2 3 3 9" xfId="26392" xr:uid="{00000000-0005-0000-0000-00001F670000}"/>
    <cellStyle name="Output 2 3 4" xfId="26393" xr:uid="{00000000-0005-0000-0000-000020670000}"/>
    <cellStyle name="Output 2 3 4 2" xfId="26394" xr:uid="{00000000-0005-0000-0000-000021670000}"/>
    <cellStyle name="Output 2 3 4 3" xfId="26395" xr:uid="{00000000-0005-0000-0000-000022670000}"/>
    <cellStyle name="Output 2 3 5" xfId="26396" xr:uid="{00000000-0005-0000-0000-000023670000}"/>
    <cellStyle name="Output 2 3 6" xfId="26397" xr:uid="{00000000-0005-0000-0000-000024670000}"/>
    <cellStyle name="Output 2 3 7" xfId="26398" xr:uid="{00000000-0005-0000-0000-000025670000}"/>
    <cellStyle name="Output 2 3 8" xfId="26399" xr:uid="{00000000-0005-0000-0000-000026670000}"/>
    <cellStyle name="Output 2 3 9" xfId="26400" xr:uid="{00000000-0005-0000-0000-000027670000}"/>
    <cellStyle name="Output 2 30" xfId="26401" xr:uid="{00000000-0005-0000-0000-000028670000}"/>
    <cellStyle name="Output 2 31" xfId="26402" xr:uid="{00000000-0005-0000-0000-000029670000}"/>
    <cellStyle name="Output 2 32" xfId="26403" xr:uid="{00000000-0005-0000-0000-00002A670000}"/>
    <cellStyle name="Output 2 33" xfId="26404" xr:uid="{00000000-0005-0000-0000-00002B670000}"/>
    <cellStyle name="Output 2 34" xfId="26405" xr:uid="{00000000-0005-0000-0000-00002C670000}"/>
    <cellStyle name="Output 2 35" xfId="26406" xr:uid="{00000000-0005-0000-0000-00002D670000}"/>
    <cellStyle name="Output 2 36" xfId="26407" xr:uid="{00000000-0005-0000-0000-00002E670000}"/>
    <cellStyle name="Output 2 37" xfId="26408" xr:uid="{00000000-0005-0000-0000-00002F670000}"/>
    <cellStyle name="Output 2 38" xfId="26409" xr:uid="{00000000-0005-0000-0000-000030670000}"/>
    <cellStyle name="Output 2 39" xfId="26410" xr:uid="{00000000-0005-0000-0000-000031670000}"/>
    <cellStyle name="Output 2 4" xfId="26411" xr:uid="{00000000-0005-0000-0000-000032670000}"/>
    <cellStyle name="Output 2 4 10" xfId="26412" xr:uid="{00000000-0005-0000-0000-000033670000}"/>
    <cellStyle name="Output 2 4 11" xfId="26413" xr:uid="{00000000-0005-0000-0000-000034670000}"/>
    <cellStyle name="Output 2 4 12" xfId="26414" xr:uid="{00000000-0005-0000-0000-000035670000}"/>
    <cellStyle name="Output 2 4 13" xfId="26415" xr:uid="{00000000-0005-0000-0000-000036670000}"/>
    <cellStyle name="Output 2 4 14" xfId="26416" xr:uid="{00000000-0005-0000-0000-000037670000}"/>
    <cellStyle name="Output 2 4 15" xfId="26417" xr:uid="{00000000-0005-0000-0000-000038670000}"/>
    <cellStyle name="Output 2 4 16" xfId="26418" xr:uid="{00000000-0005-0000-0000-000039670000}"/>
    <cellStyle name="Output 2 4 17" xfId="26419" xr:uid="{00000000-0005-0000-0000-00003A670000}"/>
    <cellStyle name="Output 2 4 18" xfId="26420" xr:uid="{00000000-0005-0000-0000-00003B670000}"/>
    <cellStyle name="Output 2 4 19" xfId="26421" xr:uid="{00000000-0005-0000-0000-00003C670000}"/>
    <cellStyle name="Output 2 4 2" xfId="26422" xr:uid="{00000000-0005-0000-0000-00003D670000}"/>
    <cellStyle name="Output 2 4 2 10" xfId="26423" xr:uid="{00000000-0005-0000-0000-00003E670000}"/>
    <cellStyle name="Output 2 4 2 11" xfId="26424" xr:uid="{00000000-0005-0000-0000-00003F670000}"/>
    <cellStyle name="Output 2 4 2 12" xfId="26425" xr:uid="{00000000-0005-0000-0000-000040670000}"/>
    <cellStyle name="Output 2 4 2 13" xfId="26426" xr:uid="{00000000-0005-0000-0000-000041670000}"/>
    <cellStyle name="Output 2 4 2 14" xfId="26427" xr:uid="{00000000-0005-0000-0000-000042670000}"/>
    <cellStyle name="Output 2 4 2 15" xfId="26428" xr:uid="{00000000-0005-0000-0000-000043670000}"/>
    <cellStyle name="Output 2 4 2 16" xfId="26429" xr:uid="{00000000-0005-0000-0000-000044670000}"/>
    <cellStyle name="Output 2 4 2 17" xfId="26430" xr:uid="{00000000-0005-0000-0000-000045670000}"/>
    <cellStyle name="Output 2 4 2 18" xfId="26431" xr:uid="{00000000-0005-0000-0000-000046670000}"/>
    <cellStyle name="Output 2 4 2 19" xfId="26432" xr:uid="{00000000-0005-0000-0000-000047670000}"/>
    <cellStyle name="Output 2 4 2 2" xfId="26433" xr:uid="{00000000-0005-0000-0000-000048670000}"/>
    <cellStyle name="Output 2 4 2 2 10" xfId="26434" xr:uid="{00000000-0005-0000-0000-000049670000}"/>
    <cellStyle name="Output 2 4 2 2 11" xfId="26435" xr:uid="{00000000-0005-0000-0000-00004A670000}"/>
    <cellStyle name="Output 2 4 2 2 12" xfId="26436" xr:uid="{00000000-0005-0000-0000-00004B670000}"/>
    <cellStyle name="Output 2 4 2 2 13" xfId="26437" xr:uid="{00000000-0005-0000-0000-00004C670000}"/>
    <cellStyle name="Output 2 4 2 2 14" xfId="26438" xr:uid="{00000000-0005-0000-0000-00004D670000}"/>
    <cellStyle name="Output 2 4 2 2 15" xfId="26439" xr:uid="{00000000-0005-0000-0000-00004E670000}"/>
    <cellStyle name="Output 2 4 2 2 16" xfId="26440" xr:uid="{00000000-0005-0000-0000-00004F670000}"/>
    <cellStyle name="Output 2 4 2 2 17" xfId="26441" xr:uid="{00000000-0005-0000-0000-000050670000}"/>
    <cellStyle name="Output 2 4 2 2 18" xfId="26442" xr:uid="{00000000-0005-0000-0000-000051670000}"/>
    <cellStyle name="Output 2 4 2 2 19" xfId="26443" xr:uid="{00000000-0005-0000-0000-000052670000}"/>
    <cellStyle name="Output 2 4 2 2 2" xfId="26444" xr:uid="{00000000-0005-0000-0000-000053670000}"/>
    <cellStyle name="Output 2 4 2 2 20" xfId="26445" xr:uid="{00000000-0005-0000-0000-000054670000}"/>
    <cellStyle name="Output 2 4 2 2 21" xfId="26446" xr:uid="{00000000-0005-0000-0000-000055670000}"/>
    <cellStyle name="Output 2 4 2 2 22" xfId="26447" xr:uid="{00000000-0005-0000-0000-000056670000}"/>
    <cellStyle name="Output 2 4 2 2 23" xfId="26448" xr:uid="{00000000-0005-0000-0000-000057670000}"/>
    <cellStyle name="Output 2 4 2 2 24" xfId="26449" xr:uid="{00000000-0005-0000-0000-000058670000}"/>
    <cellStyle name="Output 2 4 2 2 25" xfId="26450" xr:uid="{00000000-0005-0000-0000-000059670000}"/>
    <cellStyle name="Output 2 4 2 2 26" xfId="26451" xr:uid="{00000000-0005-0000-0000-00005A670000}"/>
    <cellStyle name="Output 2 4 2 2 27" xfId="26452" xr:uid="{00000000-0005-0000-0000-00005B670000}"/>
    <cellStyle name="Output 2 4 2 2 28" xfId="26453" xr:uid="{00000000-0005-0000-0000-00005C670000}"/>
    <cellStyle name="Output 2 4 2 2 29" xfId="26454" xr:uid="{00000000-0005-0000-0000-00005D670000}"/>
    <cellStyle name="Output 2 4 2 2 3" xfId="26455" xr:uid="{00000000-0005-0000-0000-00005E670000}"/>
    <cellStyle name="Output 2 4 2 2 30" xfId="26456" xr:uid="{00000000-0005-0000-0000-00005F670000}"/>
    <cellStyle name="Output 2 4 2 2 31" xfId="26457" xr:uid="{00000000-0005-0000-0000-000060670000}"/>
    <cellStyle name="Output 2 4 2 2 32" xfId="26458" xr:uid="{00000000-0005-0000-0000-000061670000}"/>
    <cellStyle name="Output 2 4 2 2 33" xfId="26459" xr:uid="{00000000-0005-0000-0000-000062670000}"/>
    <cellStyle name="Output 2 4 2 2 34" xfId="26460" xr:uid="{00000000-0005-0000-0000-000063670000}"/>
    <cellStyle name="Output 2 4 2 2 4" xfId="26461" xr:uid="{00000000-0005-0000-0000-000064670000}"/>
    <cellStyle name="Output 2 4 2 2 5" xfId="26462" xr:uid="{00000000-0005-0000-0000-000065670000}"/>
    <cellStyle name="Output 2 4 2 2 6" xfId="26463" xr:uid="{00000000-0005-0000-0000-000066670000}"/>
    <cellStyle name="Output 2 4 2 2 7" xfId="26464" xr:uid="{00000000-0005-0000-0000-000067670000}"/>
    <cellStyle name="Output 2 4 2 2 8" xfId="26465" xr:uid="{00000000-0005-0000-0000-000068670000}"/>
    <cellStyle name="Output 2 4 2 2 9" xfId="26466" xr:uid="{00000000-0005-0000-0000-000069670000}"/>
    <cellStyle name="Output 2 4 2 20" xfId="26467" xr:uid="{00000000-0005-0000-0000-00006A670000}"/>
    <cellStyle name="Output 2 4 2 3" xfId="26468" xr:uid="{00000000-0005-0000-0000-00006B670000}"/>
    <cellStyle name="Output 2 4 2 3 2" xfId="26469" xr:uid="{00000000-0005-0000-0000-00006C670000}"/>
    <cellStyle name="Output 2 4 2 3 3" xfId="26470" xr:uid="{00000000-0005-0000-0000-00006D670000}"/>
    <cellStyle name="Output 2 4 2 4" xfId="26471" xr:uid="{00000000-0005-0000-0000-00006E670000}"/>
    <cellStyle name="Output 2 4 2 5" xfId="26472" xr:uid="{00000000-0005-0000-0000-00006F670000}"/>
    <cellStyle name="Output 2 4 2 6" xfId="26473" xr:uid="{00000000-0005-0000-0000-000070670000}"/>
    <cellStyle name="Output 2 4 2 7" xfId="26474" xr:uid="{00000000-0005-0000-0000-000071670000}"/>
    <cellStyle name="Output 2 4 2 8" xfId="26475" xr:uid="{00000000-0005-0000-0000-000072670000}"/>
    <cellStyle name="Output 2 4 2 9" xfId="26476" xr:uid="{00000000-0005-0000-0000-000073670000}"/>
    <cellStyle name="Output 2 4 20" xfId="26477" xr:uid="{00000000-0005-0000-0000-000074670000}"/>
    <cellStyle name="Output 2 4 21" xfId="26478" xr:uid="{00000000-0005-0000-0000-000075670000}"/>
    <cellStyle name="Output 2 4 3" xfId="26479" xr:uid="{00000000-0005-0000-0000-000076670000}"/>
    <cellStyle name="Output 2 4 3 10" xfId="26480" xr:uid="{00000000-0005-0000-0000-000077670000}"/>
    <cellStyle name="Output 2 4 3 11" xfId="26481" xr:uid="{00000000-0005-0000-0000-000078670000}"/>
    <cellStyle name="Output 2 4 3 12" xfId="26482" xr:uid="{00000000-0005-0000-0000-000079670000}"/>
    <cellStyle name="Output 2 4 3 13" xfId="26483" xr:uid="{00000000-0005-0000-0000-00007A670000}"/>
    <cellStyle name="Output 2 4 3 14" xfId="26484" xr:uid="{00000000-0005-0000-0000-00007B670000}"/>
    <cellStyle name="Output 2 4 3 15" xfId="26485" xr:uid="{00000000-0005-0000-0000-00007C670000}"/>
    <cellStyle name="Output 2 4 3 16" xfId="26486" xr:uid="{00000000-0005-0000-0000-00007D670000}"/>
    <cellStyle name="Output 2 4 3 17" xfId="26487" xr:uid="{00000000-0005-0000-0000-00007E670000}"/>
    <cellStyle name="Output 2 4 3 18" xfId="26488" xr:uid="{00000000-0005-0000-0000-00007F670000}"/>
    <cellStyle name="Output 2 4 3 19" xfId="26489" xr:uid="{00000000-0005-0000-0000-000080670000}"/>
    <cellStyle name="Output 2 4 3 2" xfId="26490" xr:uid="{00000000-0005-0000-0000-000081670000}"/>
    <cellStyle name="Output 2 4 3 20" xfId="26491" xr:uid="{00000000-0005-0000-0000-000082670000}"/>
    <cellStyle name="Output 2 4 3 21" xfId="26492" xr:uid="{00000000-0005-0000-0000-000083670000}"/>
    <cellStyle name="Output 2 4 3 22" xfId="26493" xr:uid="{00000000-0005-0000-0000-000084670000}"/>
    <cellStyle name="Output 2 4 3 23" xfId="26494" xr:uid="{00000000-0005-0000-0000-000085670000}"/>
    <cellStyle name="Output 2 4 3 24" xfId="26495" xr:uid="{00000000-0005-0000-0000-000086670000}"/>
    <cellStyle name="Output 2 4 3 25" xfId="26496" xr:uid="{00000000-0005-0000-0000-000087670000}"/>
    <cellStyle name="Output 2 4 3 26" xfId="26497" xr:uid="{00000000-0005-0000-0000-000088670000}"/>
    <cellStyle name="Output 2 4 3 27" xfId="26498" xr:uid="{00000000-0005-0000-0000-000089670000}"/>
    <cellStyle name="Output 2 4 3 28" xfId="26499" xr:uid="{00000000-0005-0000-0000-00008A670000}"/>
    <cellStyle name="Output 2 4 3 29" xfId="26500" xr:uid="{00000000-0005-0000-0000-00008B670000}"/>
    <cellStyle name="Output 2 4 3 3" xfId="26501" xr:uid="{00000000-0005-0000-0000-00008C670000}"/>
    <cellStyle name="Output 2 4 3 30" xfId="26502" xr:uid="{00000000-0005-0000-0000-00008D670000}"/>
    <cellStyle name="Output 2 4 3 31" xfId="26503" xr:uid="{00000000-0005-0000-0000-00008E670000}"/>
    <cellStyle name="Output 2 4 3 32" xfId="26504" xr:uid="{00000000-0005-0000-0000-00008F670000}"/>
    <cellStyle name="Output 2 4 3 33" xfId="26505" xr:uid="{00000000-0005-0000-0000-000090670000}"/>
    <cellStyle name="Output 2 4 3 34" xfId="26506" xr:uid="{00000000-0005-0000-0000-000091670000}"/>
    <cellStyle name="Output 2 4 3 4" xfId="26507" xr:uid="{00000000-0005-0000-0000-000092670000}"/>
    <cellStyle name="Output 2 4 3 5" xfId="26508" xr:uid="{00000000-0005-0000-0000-000093670000}"/>
    <cellStyle name="Output 2 4 3 6" xfId="26509" xr:uid="{00000000-0005-0000-0000-000094670000}"/>
    <cellStyle name="Output 2 4 3 7" xfId="26510" xr:uid="{00000000-0005-0000-0000-000095670000}"/>
    <cellStyle name="Output 2 4 3 8" xfId="26511" xr:uid="{00000000-0005-0000-0000-000096670000}"/>
    <cellStyle name="Output 2 4 3 9" xfId="26512" xr:uid="{00000000-0005-0000-0000-000097670000}"/>
    <cellStyle name="Output 2 4 4" xfId="26513" xr:uid="{00000000-0005-0000-0000-000098670000}"/>
    <cellStyle name="Output 2 4 4 2" xfId="26514" xr:uid="{00000000-0005-0000-0000-000099670000}"/>
    <cellStyle name="Output 2 4 4 3" xfId="26515" xr:uid="{00000000-0005-0000-0000-00009A670000}"/>
    <cellStyle name="Output 2 4 5" xfId="26516" xr:uid="{00000000-0005-0000-0000-00009B670000}"/>
    <cellStyle name="Output 2 4 6" xfId="26517" xr:uid="{00000000-0005-0000-0000-00009C670000}"/>
    <cellStyle name="Output 2 4 7" xfId="26518" xr:uid="{00000000-0005-0000-0000-00009D670000}"/>
    <cellStyle name="Output 2 4 8" xfId="26519" xr:uid="{00000000-0005-0000-0000-00009E670000}"/>
    <cellStyle name="Output 2 4 9" xfId="26520" xr:uid="{00000000-0005-0000-0000-00009F670000}"/>
    <cellStyle name="Output 2 5" xfId="26521" xr:uid="{00000000-0005-0000-0000-0000A0670000}"/>
    <cellStyle name="Output 2 5 2" xfId="26522" xr:uid="{00000000-0005-0000-0000-0000A1670000}"/>
    <cellStyle name="Output 2 6" xfId="26523" xr:uid="{00000000-0005-0000-0000-0000A2670000}"/>
    <cellStyle name="Output 2 6 2" xfId="26524" xr:uid="{00000000-0005-0000-0000-0000A3670000}"/>
    <cellStyle name="Output 2 7" xfId="26525" xr:uid="{00000000-0005-0000-0000-0000A4670000}"/>
    <cellStyle name="Output 2 7 2" xfId="26526" xr:uid="{00000000-0005-0000-0000-0000A5670000}"/>
    <cellStyle name="Output 2 8" xfId="26527" xr:uid="{00000000-0005-0000-0000-0000A6670000}"/>
    <cellStyle name="Output 2 8 2" xfId="26528" xr:uid="{00000000-0005-0000-0000-0000A7670000}"/>
    <cellStyle name="Output 2 9" xfId="26529" xr:uid="{00000000-0005-0000-0000-0000A8670000}"/>
    <cellStyle name="Output 2 9 2" xfId="26530" xr:uid="{00000000-0005-0000-0000-0000A9670000}"/>
    <cellStyle name="Output 20" xfId="26531" xr:uid="{00000000-0005-0000-0000-0000AA670000}"/>
    <cellStyle name="Output 20 2" xfId="26532" xr:uid="{00000000-0005-0000-0000-0000AB670000}"/>
    <cellStyle name="Output 21" xfId="26533" xr:uid="{00000000-0005-0000-0000-0000AC670000}"/>
    <cellStyle name="Output 21 2" xfId="26534" xr:uid="{00000000-0005-0000-0000-0000AD670000}"/>
    <cellStyle name="Output 22" xfId="26535" xr:uid="{00000000-0005-0000-0000-0000AE670000}"/>
    <cellStyle name="Output 22 2" xfId="26536" xr:uid="{00000000-0005-0000-0000-0000AF670000}"/>
    <cellStyle name="Output 23" xfId="26537" xr:uid="{00000000-0005-0000-0000-0000B0670000}"/>
    <cellStyle name="Output 23 2" xfId="26538" xr:uid="{00000000-0005-0000-0000-0000B1670000}"/>
    <cellStyle name="Output 24" xfId="26539" xr:uid="{00000000-0005-0000-0000-0000B2670000}"/>
    <cellStyle name="Output 24 2" xfId="26540" xr:uid="{00000000-0005-0000-0000-0000B3670000}"/>
    <cellStyle name="Output 25" xfId="26541" xr:uid="{00000000-0005-0000-0000-0000B4670000}"/>
    <cellStyle name="Output 25 2" xfId="26542" xr:uid="{00000000-0005-0000-0000-0000B5670000}"/>
    <cellStyle name="Output 26" xfId="26543" xr:uid="{00000000-0005-0000-0000-0000B6670000}"/>
    <cellStyle name="Output 26 2" xfId="26544" xr:uid="{00000000-0005-0000-0000-0000B7670000}"/>
    <cellStyle name="Output 27" xfId="26545" xr:uid="{00000000-0005-0000-0000-0000B8670000}"/>
    <cellStyle name="Output 27 2" xfId="26546" xr:uid="{00000000-0005-0000-0000-0000B9670000}"/>
    <cellStyle name="Output 3" xfId="26547" xr:uid="{00000000-0005-0000-0000-0000BA670000}"/>
    <cellStyle name="Output 3 10" xfId="26548" xr:uid="{00000000-0005-0000-0000-0000BB670000}"/>
    <cellStyle name="Output 3 11" xfId="26549" xr:uid="{00000000-0005-0000-0000-0000BC670000}"/>
    <cellStyle name="Output 3 12" xfId="26550" xr:uid="{00000000-0005-0000-0000-0000BD670000}"/>
    <cellStyle name="Output 3 13" xfId="26551" xr:uid="{00000000-0005-0000-0000-0000BE670000}"/>
    <cellStyle name="Output 3 14" xfId="26552" xr:uid="{00000000-0005-0000-0000-0000BF670000}"/>
    <cellStyle name="Output 3 15" xfId="26553" xr:uid="{00000000-0005-0000-0000-0000C0670000}"/>
    <cellStyle name="Output 3 16" xfId="26554" xr:uid="{00000000-0005-0000-0000-0000C1670000}"/>
    <cellStyle name="Output 3 17" xfId="26555" xr:uid="{00000000-0005-0000-0000-0000C2670000}"/>
    <cellStyle name="Output 3 18" xfId="26556" xr:uid="{00000000-0005-0000-0000-0000C3670000}"/>
    <cellStyle name="Output 3 19" xfId="26557" xr:uid="{00000000-0005-0000-0000-0000C4670000}"/>
    <cellStyle name="Output 3 2" xfId="26558" xr:uid="{00000000-0005-0000-0000-0000C5670000}"/>
    <cellStyle name="Output 3 2 10" xfId="26559" xr:uid="{00000000-0005-0000-0000-0000C6670000}"/>
    <cellStyle name="Output 3 2 11" xfId="26560" xr:uid="{00000000-0005-0000-0000-0000C7670000}"/>
    <cellStyle name="Output 3 2 12" xfId="26561" xr:uid="{00000000-0005-0000-0000-0000C8670000}"/>
    <cellStyle name="Output 3 2 13" xfId="26562" xr:uid="{00000000-0005-0000-0000-0000C9670000}"/>
    <cellStyle name="Output 3 2 14" xfId="26563" xr:uid="{00000000-0005-0000-0000-0000CA670000}"/>
    <cellStyle name="Output 3 2 15" xfId="26564" xr:uid="{00000000-0005-0000-0000-0000CB670000}"/>
    <cellStyle name="Output 3 2 16" xfId="26565" xr:uid="{00000000-0005-0000-0000-0000CC670000}"/>
    <cellStyle name="Output 3 2 17" xfId="26566" xr:uid="{00000000-0005-0000-0000-0000CD670000}"/>
    <cellStyle name="Output 3 2 18" xfId="26567" xr:uid="{00000000-0005-0000-0000-0000CE670000}"/>
    <cellStyle name="Output 3 2 19" xfId="26568" xr:uid="{00000000-0005-0000-0000-0000CF670000}"/>
    <cellStyle name="Output 3 2 2" xfId="26569" xr:uid="{00000000-0005-0000-0000-0000D0670000}"/>
    <cellStyle name="Output 3 2 2 10" xfId="26570" xr:uid="{00000000-0005-0000-0000-0000D1670000}"/>
    <cellStyle name="Output 3 2 2 11" xfId="26571" xr:uid="{00000000-0005-0000-0000-0000D2670000}"/>
    <cellStyle name="Output 3 2 2 12" xfId="26572" xr:uid="{00000000-0005-0000-0000-0000D3670000}"/>
    <cellStyle name="Output 3 2 2 13" xfId="26573" xr:uid="{00000000-0005-0000-0000-0000D4670000}"/>
    <cellStyle name="Output 3 2 2 14" xfId="26574" xr:uid="{00000000-0005-0000-0000-0000D5670000}"/>
    <cellStyle name="Output 3 2 2 15" xfId="26575" xr:uid="{00000000-0005-0000-0000-0000D6670000}"/>
    <cellStyle name="Output 3 2 2 16" xfId="26576" xr:uid="{00000000-0005-0000-0000-0000D7670000}"/>
    <cellStyle name="Output 3 2 2 17" xfId="26577" xr:uid="{00000000-0005-0000-0000-0000D8670000}"/>
    <cellStyle name="Output 3 2 2 18" xfId="26578" xr:uid="{00000000-0005-0000-0000-0000D9670000}"/>
    <cellStyle name="Output 3 2 2 19" xfId="26579" xr:uid="{00000000-0005-0000-0000-0000DA670000}"/>
    <cellStyle name="Output 3 2 2 2" xfId="26580" xr:uid="{00000000-0005-0000-0000-0000DB670000}"/>
    <cellStyle name="Output 3 2 2 2 10" xfId="26581" xr:uid="{00000000-0005-0000-0000-0000DC670000}"/>
    <cellStyle name="Output 3 2 2 2 11" xfId="26582" xr:uid="{00000000-0005-0000-0000-0000DD670000}"/>
    <cellStyle name="Output 3 2 2 2 12" xfId="26583" xr:uid="{00000000-0005-0000-0000-0000DE670000}"/>
    <cellStyle name="Output 3 2 2 2 13" xfId="26584" xr:uid="{00000000-0005-0000-0000-0000DF670000}"/>
    <cellStyle name="Output 3 2 2 2 14" xfId="26585" xr:uid="{00000000-0005-0000-0000-0000E0670000}"/>
    <cellStyle name="Output 3 2 2 2 15" xfId="26586" xr:uid="{00000000-0005-0000-0000-0000E1670000}"/>
    <cellStyle name="Output 3 2 2 2 16" xfId="26587" xr:uid="{00000000-0005-0000-0000-0000E2670000}"/>
    <cellStyle name="Output 3 2 2 2 17" xfId="26588" xr:uid="{00000000-0005-0000-0000-0000E3670000}"/>
    <cellStyle name="Output 3 2 2 2 18" xfId="26589" xr:uid="{00000000-0005-0000-0000-0000E4670000}"/>
    <cellStyle name="Output 3 2 2 2 19" xfId="26590" xr:uid="{00000000-0005-0000-0000-0000E5670000}"/>
    <cellStyle name="Output 3 2 2 2 2" xfId="26591" xr:uid="{00000000-0005-0000-0000-0000E6670000}"/>
    <cellStyle name="Output 3 2 2 2 20" xfId="26592" xr:uid="{00000000-0005-0000-0000-0000E7670000}"/>
    <cellStyle name="Output 3 2 2 2 21" xfId="26593" xr:uid="{00000000-0005-0000-0000-0000E8670000}"/>
    <cellStyle name="Output 3 2 2 2 22" xfId="26594" xr:uid="{00000000-0005-0000-0000-0000E9670000}"/>
    <cellStyle name="Output 3 2 2 2 23" xfId="26595" xr:uid="{00000000-0005-0000-0000-0000EA670000}"/>
    <cellStyle name="Output 3 2 2 2 24" xfId="26596" xr:uid="{00000000-0005-0000-0000-0000EB670000}"/>
    <cellStyle name="Output 3 2 2 2 25" xfId="26597" xr:uid="{00000000-0005-0000-0000-0000EC670000}"/>
    <cellStyle name="Output 3 2 2 2 26" xfId="26598" xr:uid="{00000000-0005-0000-0000-0000ED670000}"/>
    <cellStyle name="Output 3 2 2 2 27" xfId="26599" xr:uid="{00000000-0005-0000-0000-0000EE670000}"/>
    <cellStyle name="Output 3 2 2 2 28" xfId="26600" xr:uid="{00000000-0005-0000-0000-0000EF670000}"/>
    <cellStyle name="Output 3 2 2 2 29" xfId="26601" xr:uid="{00000000-0005-0000-0000-0000F0670000}"/>
    <cellStyle name="Output 3 2 2 2 3" xfId="26602" xr:uid="{00000000-0005-0000-0000-0000F1670000}"/>
    <cellStyle name="Output 3 2 2 2 30" xfId="26603" xr:uid="{00000000-0005-0000-0000-0000F2670000}"/>
    <cellStyle name="Output 3 2 2 2 31" xfId="26604" xr:uid="{00000000-0005-0000-0000-0000F3670000}"/>
    <cellStyle name="Output 3 2 2 2 32" xfId="26605" xr:uid="{00000000-0005-0000-0000-0000F4670000}"/>
    <cellStyle name="Output 3 2 2 2 33" xfId="26606" xr:uid="{00000000-0005-0000-0000-0000F5670000}"/>
    <cellStyle name="Output 3 2 2 2 34" xfId="26607" xr:uid="{00000000-0005-0000-0000-0000F6670000}"/>
    <cellStyle name="Output 3 2 2 2 4" xfId="26608" xr:uid="{00000000-0005-0000-0000-0000F7670000}"/>
    <cellStyle name="Output 3 2 2 2 5" xfId="26609" xr:uid="{00000000-0005-0000-0000-0000F8670000}"/>
    <cellStyle name="Output 3 2 2 2 6" xfId="26610" xr:uid="{00000000-0005-0000-0000-0000F9670000}"/>
    <cellStyle name="Output 3 2 2 2 7" xfId="26611" xr:uid="{00000000-0005-0000-0000-0000FA670000}"/>
    <cellStyle name="Output 3 2 2 2 8" xfId="26612" xr:uid="{00000000-0005-0000-0000-0000FB670000}"/>
    <cellStyle name="Output 3 2 2 2 9" xfId="26613" xr:uid="{00000000-0005-0000-0000-0000FC670000}"/>
    <cellStyle name="Output 3 2 2 20" xfId="26614" xr:uid="{00000000-0005-0000-0000-0000FD670000}"/>
    <cellStyle name="Output 3 2 2 3" xfId="26615" xr:uid="{00000000-0005-0000-0000-0000FE670000}"/>
    <cellStyle name="Output 3 2 2 3 2" xfId="26616" xr:uid="{00000000-0005-0000-0000-0000FF670000}"/>
    <cellStyle name="Output 3 2 2 3 3" xfId="26617" xr:uid="{00000000-0005-0000-0000-000000680000}"/>
    <cellStyle name="Output 3 2 2 4" xfId="26618" xr:uid="{00000000-0005-0000-0000-000001680000}"/>
    <cellStyle name="Output 3 2 2 5" xfId="26619" xr:uid="{00000000-0005-0000-0000-000002680000}"/>
    <cellStyle name="Output 3 2 2 6" xfId="26620" xr:uid="{00000000-0005-0000-0000-000003680000}"/>
    <cellStyle name="Output 3 2 2 7" xfId="26621" xr:uid="{00000000-0005-0000-0000-000004680000}"/>
    <cellStyle name="Output 3 2 2 8" xfId="26622" xr:uid="{00000000-0005-0000-0000-000005680000}"/>
    <cellStyle name="Output 3 2 2 9" xfId="26623" xr:uid="{00000000-0005-0000-0000-000006680000}"/>
    <cellStyle name="Output 3 2 20" xfId="26624" xr:uid="{00000000-0005-0000-0000-000007680000}"/>
    <cellStyle name="Output 3 2 21" xfId="26625" xr:uid="{00000000-0005-0000-0000-000008680000}"/>
    <cellStyle name="Output 3 2 3" xfId="26626" xr:uid="{00000000-0005-0000-0000-000009680000}"/>
    <cellStyle name="Output 3 2 3 10" xfId="26627" xr:uid="{00000000-0005-0000-0000-00000A680000}"/>
    <cellStyle name="Output 3 2 3 11" xfId="26628" xr:uid="{00000000-0005-0000-0000-00000B680000}"/>
    <cellStyle name="Output 3 2 3 12" xfId="26629" xr:uid="{00000000-0005-0000-0000-00000C680000}"/>
    <cellStyle name="Output 3 2 3 13" xfId="26630" xr:uid="{00000000-0005-0000-0000-00000D680000}"/>
    <cellStyle name="Output 3 2 3 14" xfId="26631" xr:uid="{00000000-0005-0000-0000-00000E680000}"/>
    <cellStyle name="Output 3 2 3 15" xfId="26632" xr:uid="{00000000-0005-0000-0000-00000F680000}"/>
    <cellStyle name="Output 3 2 3 16" xfId="26633" xr:uid="{00000000-0005-0000-0000-000010680000}"/>
    <cellStyle name="Output 3 2 3 17" xfId="26634" xr:uid="{00000000-0005-0000-0000-000011680000}"/>
    <cellStyle name="Output 3 2 3 18" xfId="26635" xr:uid="{00000000-0005-0000-0000-000012680000}"/>
    <cellStyle name="Output 3 2 3 19" xfId="26636" xr:uid="{00000000-0005-0000-0000-000013680000}"/>
    <cellStyle name="Output 3 2 3 2" xfId="26637" xr:uid="{00000000-0005-0000-0000-000014680000}"/>
    <cellStyle name="Output 3 2 3 20" xfId="26638" xr:uid="{00000000-0005-0000-0000-000015680000}"/>
    <cellStyle name="Output 3 2 3 21" xfId="26639" xr:uid="{00000000-0005-0000-0000-000016680000}"/>
    <cellStyle name="Output 3 2 3 22" xfId="26640" xr:uid="{00000000-0005-0000-0000-000017680000}"/>
    <cellStyle name="Output 3 2 3 23" xfId="26641" xr:uid="{00000000-0005-0000-0000-000018680000}"/>
    <cellStyle name="Output 3 2 3 24" xfId="26642" xr:uid="{00000000-0005-0000-0000-000019680000}"/>
    <cellStyle name="Output 3 2 3 25" xfId="26643" xr:uid="{00000000-0005-0000-0000-00001A680000}"/>
    <cellStyle name="Output 3 2 3 26" xfId="26644" xr:uid="{00000000-0005-0000-0000-00001B680000}"/>
    <cellStyle name="Output 3 2 3 27" xfId="26645" xr:uid="{00000000-0005-0000-0000-00001C680000}"/>
    <cellStyle name="Output 3 2 3 28" xfId="26646" xr:uid="{00000000-0005-0000-0000-00001D680000}"/>
    <cellStyle name="Output 3 2 3 29" xfId="26647" xr:uid="{00000000-0005-0000-0000-00001E680000}"/>
    <cellStyle name="Output 3 2 3 3" xfId="26648" xr:uid="{00000000-0005-0000-0000-00001F680000}"/>
    <cellStyle name="Output 3 2 3 30" xfId="26649" xr:uid="{00000000-0005-0000-0000-000020680000}"/>
    <cellStyle name="Output 3 2 3 31" xfId="26650" xr:uid="{00000000-0005-0000-0000-000021680000}"/>
    <cellStyle name="Output 3 2 3 32" xfId="26651" xr:uid="{00000000-0005-0000-0000-000022680000}"/>
    <cellStyle name="Output 3 2 3 33" xfId="26652" xr:uid="{00000000-0005-0000-0000-000023680000}"/>
    <cellStyle name="Output 3 2 3 34" xfId="26653" xr:uid="{00000000-0005-0000-0000-000024680000}"/>
    <cellStyle name="Output 3 2 3 4" xfId="26654" xr:uid="{00000000-0005-0000-0000-000025680000}"/>
    <cellStyle name="Output 3 2 3 5" xfId="26655" xr:uid="{00000000-0005-0000-0000-000026680000}"/>
    <cellStyle name="Output 3 2 3 6" xfId="26656" xr:uid="{00000000-0005-0000-0000-000027680000}"/>
    <cellStyle name="Output 3 2 3 7" xfId="26657" xr:uid="{00000000-0005-0000-0000-000028680000}"/>
    <cellStyle name="Output 3 2 3 8" xfId="26658" xr:uid="{00000000-0005-0000-0000-000029680000}"/>
    <cellStyle name="Output 3 2 3 9" xfId="26659" xr:uid="{00000000-0005-0000-0000-00002A680000}"/>
    <cellStyle name="Output 3 2 4" xfId="26660" xr:uid="{00000000-0005-0000-0000-00002B680000}"/>
    <cellStyle name="Output 3 2 4 2" xfId="26661" xr:uid="{00000000-0005-0000-0000-00002C680000}"/>
    <cellStyle name="Output 3 2 4 3" xfId="26662" xr:uid="{00000000-0005-0000-0000-00002D680000}"/>
    <cellStyle name="Output 3 2 5" xfId="26663" xr:uid="{00000000-0005-0000-0000-00002E680000}"/>
    <cellStyle name="Output 3 2 6" xfId="26664" xr:uid="{00000000-0005-0000-0000-00002F680000}"/>
    <cellStyle name="Output 3 2 7" xfId="26665" xr:uid="{00000000-0005-0000-0000-000030680000}"/>
    <cellStyle name="Output 3 2 8" xfId="26666" xr:uid="{00000000-0005-0000-0000-000031680000}"/>
    <cellStyle name="Output 3 2 9" xfId="26667" xr:uid="{00000000-0005-0000-0000-000032680000}"/>
    <cellStyle name="Output 3 20" xfId="26668" xr:uid="{00000000-0005-0000-0000-000033680000}"/>
    <cellStyle name="Output 3 21" xfId="26669" xr:uid="{00000000-0005-0000-0000-000034680000}"/>
    <cellStyle name="Output 3 22" xfId="26670" xr:uid="{00000000-0005-0000-0000-000035680000}"/>
    <cellStyle name="Output 3 3" xfId="26671" xr:uid="{00000000-0005-0000-0000-000036680000}"/>
    <cellStyle name="Output 3 3 10" xfId="26672" xr:uid="{00000000-0005-0000-0000-000037680000}"/>
    <cellStyle name="Output 3 3 11" xfId="26673" xr:uid="{00000000-0005-0000-0000-000038680000}"/>
    <cellStyle name="Output 3 3 12" xfId="26674" xr:uid="{00000000-0005-0000-0000-000039680000}"/>
    <cellStyle name="Output 3 3 13" xfId="26675" xr:uid="{00000000-0005-0000-0000-00003A680000}"/>
    <cellStyle name="Output 3 3 14" xfId="26676" xr:uid="{00000000-0005-0000-0000-00003B680000}"/>
    <cellStyle name="Output 3 3 15" xfId="26677" xr:uid="{00000000-0005-0000-0000-00003C680000}"/>
    <cellStyle name="Output 3 3 16" xfId="26678" xr:uid="{00000000-0005-0000-0000-00003D680000}"/>
    <cellStyle name="Output 3 3 17" xfId="26679" xr:uid="{00000000-0005-0000-0000-00003E680000}"/>
    <cellStyle name="Output 3 3 18" xfId="26680" xr:uid="{00000000-0005-0000-0000-00003F680000}"/>
    <cellStyle name="Output 3 3 19" xfId="26681" xr:uid="{00000000-0005-0000-0000-000040680000}"/>
    <cellStyle name="Output 3 3 2" xfId="26682" xr:uid="{00000000-0005-0000-0000-000041680000}"/>
    <cellStyle name="Output 3 3 2 10" xfId="26683" xr:uid="{00000000-0005-0000-0000-000042680000}"/>
    <cellStyle name="Output 3 3 2 11" xfId="26684" xr:uid="{00000000-0005-0000-0000-000043680000}"/>
    <cellStyle name="Output 3 3 2 12" xfId="26685" xr:uid="{00000000-0005-0000-0000-000044680000}"/>
    <cellStyle name="Output 3 3 2 13" xfId="26686" xr:uid="{00000000-0005-0000-0000-000045680000}"/>
    <cellStyle name="Output 3 3 2 14" xfId="26687" xr:uid="{00000000-0005-0000-0000-000046680000}"/>
    <cellStyle name="Output 3 3 2 15" xfId="26688" xr:uid="{00000000-0005-0000-0000-000047680000}"/>
    <cellStyle name="Output 3 3 2 16" xfId="26689" xr:uid="{00000000-0005-0000-0000-000048680000}"/>
    <cellStyle name="Output 3 3 2 17" xfId="26690" xr:uid="{00000000-0005-0000-0000-000049680000}"/>
    <cellStyle name="Output 3 3 2 18" xfId="26691" xr:uid="{00000000-0005-0000-0000-00004A680000}"/>
    <cellStyle name="Output 3 3 2 19" xfId="26692" xr:uid="{00000000-0005-0000-0000-00004B680000}"/>
    <cellStyle name="Output 3 3 2 2" xfId="26693" xr:uid="{00000000-0005-0000-0000-00004C680000}"/>
    <cellStyle name="Output 3 3 2 20" xfId="26694" xr:uid="{00000000-0005-0000-0000-00004D680000}"/>
    <cellStyle name="Output 3 3 2 21" xfId="26695" xr:uid="{00000000-0005-0000-0000-00004E680000}"/>
    <cellStyle name="Output 3 3 2 22" xfId="26696" xr:uid="{00000000-0005-0000-0000-00004F680000}"/>
    <cellStyle name="Output 3 3 2 23" xfId="26697" xr:uid="{00000000-0005-0000-0000-000050680000}"/>
    <cellStyle name="Output 3 3 2 24" xfId="26698" xr:uid="{00000000-0005-0000-0000-000051680000}"/>
    <cellStyle name="Output 3 3 2 25" xfId="26699" xr:uid="{00000000-0005-0000-0000-000052680000}"/>
    <cellStyle name="Output 3 3 2 26" xfId="26700" xr:uid="{00000000-0005-0000-0000-000053680000}"/>
    <cellStyle name="Output 3 3 2 27" xfId="26701" xr:uid="{00000000-0005-0000-0000-000054680000}"/>
    <cellStyle name="Output 3 3 2 28" xfId="26702" xr:uid="{00000000-0005-0000-0000-000055680000}"/>
    <cellStyle name="Output 3 3 2 29" xfId="26703" xr:uid="{00000000-0005-0000-0000-000056680000}"/>
    <cellStyle name="Output 3 3 2 3" xfId="26704" xr:uid="{00000000-0005-0000-0000-000057680000}"/>
    <cellStyle name="Output 3 3 2 30" xfId="26705" xr:uid="{00000000-0005-0000-0000-000058680000}"/>
    <cellStyle name="Output 3 3 2 31" xfId="26706" xr:uid="{00000000-0005-0000-0000-000059680000}"/>
    <cellStyle name="Output 3 3 2 32" xfId="26707" xr:uid="{00000000-0005-0000-0000-00005A680000}"/>
    <cellStyle name="Output 3 3 2 33" xfId="26708" xr:uid="{00000000-0005-0000-0000-00005B680000}"/>
    <cellStyle name="Output 3 3 2 34" xfId="26709" xr:uid="{00000000-0005-0000-0000-00005C680000}"/>
    <cellStyle name="Output 3 3 2 4" xfId="26710" xr:uid="{00000000-0005-0000-0000-00005D680000}"/>
    <cellStyle name="Output 3 3 2 5" xfId="26711" xr:uid="{00000000-0005-0000-0000-00005E680000}"/>
    <cellStyle name="Output 3 3 2 6" xfId="26712" xr:uid="{00000000-0005-0000-0000-00005F680000}"/>
    <cellStyle name="Output 3 3 2 7" xfId="26713" xr:uid="{00000000-0005-0000-0000-000060680000}"/>
    <cellStyle name="Output 3 3 2 8" xfId="26714" xr:uid="{00000000-0005-0000-0000-000061680000}"/>
    <cellStyle name="Output 3 3 2 9" xfId="26715" xr:uid="{00000000-0005-0000-0000-000062680000}"/>
    <cellStyle name="Output 3 3 20" xfId="26716" xr:uid="{00000000-0005-0000-0000-000063680000}"/>
    <cellStyle name="Output 3 3 3" xfId="26717" xr:uid="{00000000-0005-0000-0000-000064680000}"/>
    <cellStyle name="Output 3 3 3 2" xfId="26718" xr:uid="{00000000-0005-0000-0000-000065680000}"/>
    <cellStyle name="Output 3 3 3 3" xfId="26719" xr:uid="{00000000-0005-0000-0000-000066680000}"/>
    <cellStyle name="Output 3 3 4" xfId="26720" xr:uid="{00000000-0005-0000-0000-000067680000}"/>
    <cellStyle name="Output 3 3 5" xfId="26721" xr:uid="{00000000-0005-0000-0000-000068680000}"/>
    <cellStyle name="Output 3 3 6" xfId="26722" xr:uid="{00000000-0005-0000-0000-000069680000}"/>
    <cellStyle name="Output 3 3 7" xfId="26723" xr:uid="{00000000-0005-0000-0000-00006A680000}"/>
    <cellStyle name="Output 3 3 8" xfId="26724" xr:uid="{00000000-0005-0000-0000-00006B680000}"/>
    <cellStyle name="Output 3 3 9" xfId="26725" xr:uid="{00000000-0005-0000-0000-00006C680000}"/>
    <cellStyle name="Output 3 4" xfId="26726" xr:uid="{00000000-0005-0000-0000-00006D680000}"/>
    <cellStyle name="Output 3 4 10" xfId="26727" xr:uid="{00000000-0005-0000-0000-00006E680000}"/>
    <cellStyle name="Output 3 4 11" xfId="26728" xr:uid="{00000000-0005-0000-0000-00006F680000}"/>
    <cellStyle name="Output 3 4 12" xfId="26729" xr:uid="{00000000-0005-0000-0000-000070680000}"/>
    <cellStyle name="Output 3 4 13" xfId="26730" xr:uid="{00000000-0005-0000-0000-000071680000}"/>
    <cellStyle name="Output 3 4 14" xfId="26731" xr:uid="{00000000-0005-0000-0000-000072680000}"/>
    <cellStyle name="Output 3 4 15" xfId="26732" xr:uid="{00000000-0005-0000-0000-000073680000}"/>
    <cellStyle name="Output 3 4 16" xfId="26733" xr:uid="{00000000-0005-0000-0000-000074680000}"/>
    <cellStyle name="Output 3 4 17" xfId="26734" xr:uid="{00000000-0005-0000-0000-000075680000}"/>
    <cellStyle name="Output 3 4 18" xfId="26735" xr:uid="{00000000-0005-0000-0000-000076680000}"/>
    <cellStyle name="Output 3 4 19" xfId="26736" xr:uid="{00000000-0005-0000-0000-000077680000}"/>
    <cellStyle name="Output 3 4 2" xfId="26737" xr:uid="{00000000-0005-0000-0000-000078680000}"/>
    <cellStyle name="Output 3 4 20" xfId="26738" xr:uid="{00000000-0005-0000-0000-000079680000}"/>
    <cellStyle name="Output 3 4 21" xfId="26739" xr:uid="{00000000-0005-0000-0000-00007A680000}"/>
    <cellStyle name="Output 3 4 22" xfId="26740" xr:uid="{00000000-0005-0000-0000-00007B680000}"/>
    <cellStyle name="Output 3 4 23" xfId="26741" xr:uid="{00000000-0005-0000-0000-00007C680000}"/>
    <cellStyle name="Output 3 4 24" xfId="26742" xr:uid="{00000000-0005-0000-0000-00007D680000}"/>
    <cellStyle name="Output 3 4 25" xfId="26743" xr:uid="{00000000-0005-0000-0000-00007E680000}"/>
    <cellStyle name="Output 3 4 26" xfId="26744" xr:uid="{00000000-0005-0000-0000-00007F680000}"/>
    <cellStyle name="Output 3 4 27" xfId="26745" xr:uid="{00000000-0005-0000-0000-000080680000}"/>
    <cellStyle name="Output 3 4 28" xfId="26746" xr:uid="{00000000-0005-0000-0000-000081680000}"/>
    <cellStyle name="Output 3 4 29" xfId="26747" xr:uid="{00000000-0005-0000-0000-000082680000}"/>
    <cellStyle name="Output 3 4 3" xfId="26748" xr:uid="{00000000-0005-0000-0000-000083680000}"/>
    <cellStyle name="Output 3 4 30" xfId="26749" xr:uid="{00000000-0005-0000-0000-000084680000}"/>
    <cellStyle name="Output 3 4 31" xfId="26750" xr:uid="{00000000-0005-0000-0000-000085680000}"/>
    <cellStyle name="Output 3 4 32" xfId="26751" xr:uid="{00000000-0005-0000-0000-000086680000}"/>
    <cellStyle name="Output 3 4 33" xfId="26752" xr:uid="{00000000-0005-0000-0000-000087680000}"/>
    <cellStyle name="Output 3 4 34" xfId="26753" xr:uid="{00000000-0005-0000-0000-000088680000}"/>
    <cellStyle name="Output 3 4 4" xfId="26754" xr:uid="{00000000-0005-0000-0000-000089680000}"/>
    <cellStyle name="Output 3 4 5" xfId="26755" xr:uid="{00000000-0005-0000-0000-00008A680000}"/>
    <cellStyle name="Output 3 4 6" xfId="26756" xr:uid="{00000000-0005-0000-0000-00008B680000}"/>
    <cellStyle name="Output 3 4 7" xfId="26757" xr:uid="{00000000-0005-0000-0000-00008C680000}"/>
    <cellStyle name="Output 3 4 8" xfId="26758" xr:uid="{00000000-0005-0000-0000-00008D680000}"/>
    <cellStyle name="Output 3 4 9" xfId="26759" xr:uid="{00000000-0005-0000-0000-00008E680000}"/>
    <cellStyle name="Output 3 5" xfId="26760" xr:uid="{00000000-0005-0000-0000-00008F680000}"/>
    <cellStyle name="Output 3 5 2" xfId="26761" xr:uid="{00000000-0005-0000-0000-000090680000}"/>
    <cellStyle name="Output 3 5 3" xfId="26762" xr:uid="{00000000-0005-0000-0000-000091680000}"/>
    <cellStyle name="Output 3 6" xfId="26763" xr:uid="{00000000-0005-0000-0000-000092680000}"/>
    <cellStyle name="Output 3 7" xfId="26764" xr:uid="{00000000-0005-0000-0000-000093680000}"/>
    <cellStyle name="Output 3 8" xfId="26765" xr:uid="{00000000-0005-0000-0000-000094680000}"/>
    <cellStyle name="Output 3 9" xfId="26766" xr:uid="{00000000-0005-0000-0000-000095680000}"/>
    <cellStyle name="Output 4" xfId="26767" xr:uid="{00000000-0005-0000-0000-000096680000}"/>
    <cellStyle name="Output 4 2" xfId="26768" xr:uid="{00000000-0005-0000-0000-000097680000}"/>
    <cellStyle name="Output 4 2 2" xfId="26769" xr:uid="{00000000-0005-0000-0000-000098680000}"/>
    <cellStyle name="Output 4 3" xfId="26770" xr:uid="{00000000-0005-0000-0000-000099680000}"/>
    <cellStyle name="Output 4 3 10" xfId="26771" xr:uid="{00000000-0005-0000-0000-00009A680000}"/>
    <cellStyle name="Output 4 3 11" xfId="26772" xr:uid="{00000000-0005-0000-0000-00009B680000}"/>
    <cellStyle name="Output 4 3 12" xfId="26773" xr:uid="{00000000-0005-0000-0000-00009C680000}"/>
    <cellStyle name="Output 4 3 13" xfId="26774" xr:uid="{00000000-0005-0000-0000-00009D680000}"/>
    <cellStyle name="Output 4 3 14" xfId="26775" xr:uid="{00000000-0005-0000-0000-00009E680000}"/>
    <cellStyle name="Output 4 3 15" xfId="26776" xr:uid="{00000000-0005-0000-0000-00009F680000}"/>
    <cellStyle name="Output 4 3 16" xfId="26777" xr:uid="{00000000-0005-0000-0000-0000A0680000}"/>
    <cellStyle name="Output 4 3 17" xfId="26778" xr:uid="{00000000-0005-0000-0000-0000A1680000}"/>
    <cellStyle name="Output 4 3 18" xfId="26779" xr:uid="{00000000-0005-0000-0000-0000A2680000}"/>
    <cellStyle name="Output 4 3 19" xfId="26780" xr:uid="{00000000-0005-0000-0000-0000A3680000}"/>
    <cellStyle name="Output 4 3 2" xfId="26781" xr:uid="{00000000-0005-0000-0000-0000A4680000}"/>
    <cellStyle name="Output 4 3 2 10" xfId="26782" xr:uid="{00000000-0005-0000-0000-0000A5680000}"/>
    <cellStyle name="Output 4 3 2 11" xfId="26783" xr:uid="{00000000-0005-0000-0000-0000A6680000}"/>
    <cellStyle name="Output 4 3 2 12" xfId="26784" xr:uid="{00000000-0005-0000-0000-0000A7680000}"/>
    <cellStyle name="Output 4 3 2 13" xfId="26785" xr:uid="{00000000-0005-0000-0000-0000A8680000}"/>
    <cellStyle name="Output 4 3 2 14" xfId="26786" xr:uid="{00000000-0005-0000-0000-0000A9680000}"/>
    <cellStyle name="Output 4 3 2 15" xfId="26787" xr:uid="{00000000-0005-0000-0000-0000AA680000}"/>
    <cellStyle name="Output 4 3 2 16" xfId="26788" xr:uid="{00000000-0005-0000-0000-0000AB680000}"/>
    <cellStyle name="Output 4 3 2 17" xfId="26789" xr:uid="{00000000-0005-0000-0000-0000AC680000}"/>
    <cellStyle name="Output 4 3 2 18" xfId="26790" xr:uid="{00000000-0005-0000-0000-0000AD680000}"/>
    <cellStyle name="Output 4 3 2 19" xfId="26791" xr:uid="{00000000-0005-0000-0000-0000AE680000}"/>
    <cellStyle name="Output 4 3 2 2" xfId="26792" xr:uid="{00000000-0005-0000-0000-0000AF680000}"/>
    <cellStyle name="Output 4 3 2 20" xfId="26793" xr:uid="{00000000-0005-0000-0000-0000B0680000}"/>
    <cellStyle name="Output 4 3 2 21" xfId="26794" xr:uid="{00000000-0005-0000-0000-0000B1680000}"/>
    <cellStyle name="Output 4 3 2 22" xfId="26795" xr:uid="{00000000-0005-0000-0000-0000B2680000}"/>
    <cellStyle name="Output 4 3 2 23" xfId="26796" xr:uid="{00000000-0005-0000-0000-0000B3680000}"/>
    <cellStyle name="Output 4 3 2 24" xfId="26797" xr:uid="{00000000-0005-0000-0000-0000B4680000}"/>
    <cellStyle name="Output 4 3 2 25" xfId="26798" xr:uid="{00000000-0005-0000-0000-0000B5680000}"/>
    <cellStyle name="Output 4 3 2 26" xfId="26799" xr:uid="{00000000-0005-0000-0000-0000B6680000}"/>
    <cellStyle name="Output 4 3 2 27" xfId="26800" xr:uid="{00000000-0005-0000-0000-0000B7680000}"/>
    <cellStyle name="Output 4 3 2 28" xfId="26801" xr:uid="{00000000-0005-0000-0000-0000B8680000}"/>
    <cellStyle name="Output 4 3 2 29" xfId="26802" xr:uid="{00000000-0005-0000-0000-0000B9680000}"/>
    <cellStyle name="Output 4 3 2 3" xfId="26803" xr:uid="{00000000-0005-0000-0000-0000BA680000}"/>
    <cellStyle name="Output 4 3 2 30" xfId="26804" xr:uid="{00000000-0005-0000-0000-0000BB680000}"/>
    <cellStyle name="Output 4 3 2 31" xfId="26805" xr:uid="{00000000-0005-0000-0000-0000BC680000}"/>
    <cellStyle name="Output 4 3 2 32" xfId="26806" xr:uid="{00000000-0005-0000-0000-0000BD680000}"/>
    <cellStyle name="Output 4 3 2 33" xfId="26807" xr:uid="{00000000-0005-0000-0000-0000BE680000}"/>
    <cellStyle name="Output 4 3 2 34" xfId="26808" xr:uid="{00000000-0005-0000-0000-0000BF680000}"/>
    <cellStyle name="Output 4 3 2 4" xfId="26809" xr:uid="{00000000-0005-0000-0000-0000C0680000}"/>
    <cellStyle name="Output 4 3 2 5" xfId="26810" xr:uid="{00000000-0005-0000-0000-0000C1680000}"/>
    <cellStyle name="Output 4 3 2 6" xfId="26811" xr:uid="{00000000-0005-0000-0000-0000C2680000}"/>
    <cellStyle name="Output 4 3 2 7" xfId="26812" xr:uid="{00000000-0005-0000-0000-0000C3680000}"/>
    <cellStyle name="Output 4 3 2 8" xfId="26813" xr:uid="{00000000-0005-0000-0000-0000C4680000}"/>
    <cellStyle name="Output 4 3 2 9" xfId="26814" xr:uid="{00000000-0005-0000-0000-0000C5680000}"/>
    <cellStyle name="Output 4 3 20" xfId="26815" xr:uid="{00000000-0005-0000-0000-0000C6680000}"/>
    <cellStyle name="Output 4 3 3" xfId="26816" xr:uid="{00000000-0005-0000-0000-0000C7680000}"/>
    <cellStyle name="Output 4 3 3 2" xfId="26817" xr:uid="{00000000-0005-0000-0000-0000C8680000}"/>
    <cellStyle name="Output 4 3 3 3" xfId="26818" xr:uid="{00000000-0005-0000-0000-0000C9680000}"/>
    <cellStyle name="Output 4 3 4" xfId="26819" xr:uid="{00000000-0005-0000-0000-0000CA680000}"/>
    <cellStyle name="Output 4 3 5" xfId="26820" xr:uid="{00000000-0005-0000-0000-0000CB680000}"/>
    <cellStyle name="Output 4 3 6" xfId="26821" xr:uid="{00000000-0005-0000-0000-0000CC680000}"/>
    <cellStyle name="Output 4 3 7" xfId="26822" xr:uid="{00000000-0005-0000-0000-0000CD680000}"/>
    <cellStyle name="Output 4 3 8" xfId="26823" xr:uid="{00000000-0005-0000-0000-0000CE680000}"/>
    <cellStyle name="Output 4 3 9" xfId="26824" xr:uid="{00000000-0005-0000-0000-0000CF680000}"/>
    <cellStyle name="Output 5" xfId="26825" xr:uid="{00000000-0005-0000-0000-0000D0680000}"/>
    <cellStyle name="Output 5 10" xfId="26826" xr:uid="{00000000-0005-0000-0000-0000D1680000}"/>
    <cellStyle name="Output 5 11" xfId="26827" xr:uid="{00000000-0005-0000-0000-0000D2680000}"/>
    <cellStyle name="Output 5 12" xfId="26828" xr:uid="{00000000-0005-0000-0000-0000D3680000}"/>
    <cellStyle name="Output 5 13" xfId="26829" xr:uid="{00000000-0005-0000-0000-0000D4680000}"/>
    <cellStyle name="Output 5 14" xfId="26830" xr:uid="{00000000-0005-0000-0000-0000D5680000}"/>
    <cellStyle name="Output 5 15" xfId="26831" xr:uid="{00000000-0005-0000-0000-0000D6680000}"/>
    <cellStyle name="Output 5 16" xfId="26832" xr:uid="{00000000-0005-0000-0000-0000D7680000}"/>
    <cellStyle name="Output 5 17" xfId="26833" xr:uid="{00000000-0005-0000-0000-0000D8680000}"/>
    <cellStyle name="Output 5 18" xfId="26834" xr:uid="{00000000-0005-0000-0000-0000D9680000}"/>
    <cellStyle name="Output 5 19" xfId="26835" xr:uid="{00000000-0005-0000-0000-0000DA680000}"/>
    <cellStyle name="Output 5 2" xfId="26836" xr:uid="{00000000-0005-0000-0000-0000DB680000}"/>
    <cellStyle name="Output 5 2 10" xfId="26837" xr:uid="{00000000-0005-0000-0000-0000DC680000}"/>
    <cellStyle name="Output 5 2 11" xfId="26838" xr:uid="{00000000-0005-0000-0000-0000DD680000}"/>
    <cellStyle name="Output 5 2 12" xfId="26839" xr:uid="{00000000-0005-0000-0000-0000DE680000}"/>
    <cellStyle name="Output 5 2 13" xfId="26840" xr:uid="{00000000-0005-0000-0000-0000DF680000}"/>
    <cellStyle name="Output 5 2 14" xfId="26841" xr:uid="{00000000-0005-0000-0000-0000E0680000}"/>
    <cellStyle name="Output 5 2 15" xfId="26842" xr:uid="{00000000-0005-0000-0000-0000E1680000}"/>
    <cellStyle name="Output 5 2 16" xfId="26843" xr:uid="{00000000-0005-0000-0000-0000E2680000}"/>
    <cellStyle name="Output 5 2 17" xfId="26844" xr:uid="{00000000-0005-0000-0000-0000E3680000}"/>
    <cellStyle name="Output 5 2 18" xfId="26845" xr:uid="{00000000-0005-0000-0000-0000E4680000}"/>
    <cellStyle name="Output 5 2 19" xfId="26846" xr:uid="{00000000-0005-0000-0000-0000E5680000}"/>
    <cellStyle name="Output 5 2 2" xfId="26847" xr:uid="{00000000-0005-0000-0000-0000E6680000}"/>
    <cellStyle name="Output 5 2 2 10" xfId="26848" xr:uid="{00000000-0005-0000-0000-0000E7680000}"/>
    <cellStyle name="Output 5 2 2 11" xfId="26849" xr:uid="{00000000-0005-0000-0000-0000E8680000}"/>
    <cellStyle name="Output 5 2 2 12" xfId="26850" xr:uid="{00000000-0005-0000-0000-0000E9680000}"/>
    <cellStyle name="Output 5 2 2 13" xfId="26851" xr:uid="{00000000-0005-0000-0000-0000EA680000}"/>
    <cellStyle name="Output 5 2 2 14" xfId="26852" xr:uid="{00000000-0005-0000-0000-0000EB680000}"/>
    <cellStyle name="Output 5 2 2 15" xfId="26853" xr:uid="{00000000-0005-0000-0000-0000EC680000}"/>
    <cellStyle name="Output 5 2 2 16" xfId="26854" xr:uid="{00000000-0005-0000-0000-0000ED680000}"/>
    <cellStyle name="Output 5 2 2 17" xfId="26855" xr:uid="{00000000-0005-0000-0000-0000EE680000}"/>
    <cellStyle name="Output 5 2 2 18" xfId="26856" xr:uid="{00000000-0005-0000-0000-0000EF680000}"/>
    <cellStyle name="Output 5 2 2 19" xfId="26857" xr:uid="{00000000-0005-0000-0000-0000F0680000}"/>
    <cellStyle name="Output 5 2 2 2" xfId="26858" xr:uid="{00000000-0005-0000-0000-0000F1680000}"/>
    <cellStyle name="Output 5 2 2 20" xfId="26859" xr:uid="{00000000-0005-0000-0000-0000F2680000}"/>
    <cellStyle name="Output 5 2 2 21" xfId="26860" xr:uid="{00000000-0005-0000-0000-0000F3680000}"/>
    <cellStyle name="Output 5 2 2 22" xfId="26861" xr:uid="{00000000-0005-0000-0000-0000F4680000}"/>
    <cellStyle name="Output 5 2 2 23" xfId="26862" xr:uid="{00000000-0005-0000-0000-0000F5680000}"/>
    <cellStyle name="Output 5 2 2 24" xfId="26863" xr:uid="{00000000-0005-0000-0000-0000F6680000}"/>
    <cellStyle name="Output 5 2 2 25" xfId="26864" xr:uid="{00000000-0005-0000-0000-0000F7680000}"/>
    <cellStyle name="Output 5 2 2 26" xfId="26865" xr:uid="{00000000-0005-0000-0000-0000F8680000}"/>
    <cellStyle name="Output 5 2 2 27" xfId="26866" xr:uid="{00000000-0005-0000-0000-0000F9680000}"/>
    <cellStyle name="Output 5 2 2 28" xfId="26867" xr:uid="{00000000-0005-0000-0000-0000FA680000}"/>
    <cellStyle name="Output 5 2 2 29" xfId="26868" xr:uid="{00000000-0005-0000-0000-0000FB680000}"/>
    <cellStyle name="Output 5 2 2 3" xfId="26869" xr:uid="{00000000-0005-0000-0000-0000FC680000}"/>
    <cellStyle name="Output 5 2 2 30" xfId="26870" xr:uid="{00000000-0005-0000-0000-0000FD680000}"/>
    <cellStyle name="Output 5 2 2 31" xfId="26871" xr:uid="{00000000-0005-0000-0000-0000FE680000}"/>
    <cellStyle name="Output 5 2 2 32" xfId="26872" xr:uid="{00000000-0005-0000-0000-0000FF680000}"/>
    <cellStyle name="Output 5 2 2 33" xfId="26873" xr:uid="{00000000-0005-0000-0000-000000690000}"/>
    <cellStyle name="Output 5 2 2 34" xfId="26874" xr:uid="{00000000-0005-0000-0000-000001690000}"/>
    <cellStyle name="Output 5 2 2 4" xfId="26875" xr:uid="{00000000-0005-0000-0000-000002690000}"/>
    <cellStyle name="Output 5 2 2 5" xfId="26876" xr:uid="{00000000-0005-0000-0000-000003690000}"/>
    <cellStyle name="Output 5 2 2 6" xfId="26877" xr:uid="{00000000-0005-0000-0000-000004690000}"/>
    <cellStyle name="Output 5 2 2 7" xfId="26878" xr:uid="{00000000-0005-0000-0000-000005690000}"/>
    <cellStyle name="Output 5 2 2 8" xfId="26879" xr:uid="{00000000-0005-0000-0000-000006690000}"/>
    <cellStyle name="Output 5 2 2 9" xfId="26880" xr:uid="{00000000-0005-0000-0000-000007690000}"/>
    <cellStyle name="Output 5 2 20" xfId="26881" xr:uid="{00000000-0005-0000-0000-000008690000}"/>
    <cellStyle name="Output 5 2 3" xfId="26882" xr:uid="{00000000-0005-0000-0000-000009690000}"/>
    <cellStyle name="Output 5 2 3 2" xfId="26883" xr:uid="{00000000-0005-0000-0000-00000A690000}"/>
    <cellStyle name="Output 5 2 3 3" xfId="26884" xr:uid="{00000000-0005-0000-0000-00000B690000}"/>
    <cellStyle name="Output 5 2 4" xfId="26885" xr:uid="{00000000-0005-0000-0000-00000C690000}"/>
    <cellStyle name="Output 5 2 5" xfId="26886" xr:uid="{00000000-0005-0000-0000-00000D690000}"/>
    <cellStyle name="Output 5 2 6" xfId="26887" xr:uid="{00000000-0005-0000-0000-00000E690000}"/>
    <cellStyle name="Output 5 2 7" xfId="26888" xr:uid="{00000000-0005-0000-0000-00000F690000}"/>
    <cellStyle name="Output 5 2 8" xfId="26889" xr:uid="{00000000-0005-0000-0000-000010690000}"/>
    <cellStyle name="Output 5 2 9" xfId="26890" xr:uid="{00000000-0005-0000-0000-000011690000}"/>
    <cellStyle name="Output 5 20" xfId="26891" xr:uid="{00000000-0005-0000-0000-000012690000}"/>
    <cellStyle name="Output 5 21" xfId="26892" xr:uid="{00000000-0005-0000-0000-000013690000}"/>
    <cellStyle name="Output 5 3" xfId="26893" xr:uid="{00000000-0005-0000-0000-000014690000}"/>
    <cellStyle name="Output 5 3 10" xfId="26894" xr:uid="{00000000-0005-0000-0000-000015690000}"/>
    <cellStyle name="Output 5 3 11" xfId="26895" xr:uid="{00000000-0005-0000-0000-000016690000}"/>
    <cellStyle name="Output 5 3 12" xfId="26896" xr:uid="{00000000-0005-0000-0000-000017690000}"/>
    <cellStyle name="Output 5 3 13" xfId="26897" xr:uid="{00000000-0005-0000-0000-000018690000}"/>
    <cellStyle name="Output 5 3 14" xfId="26898" xr:uid="{00000000-0005-0000-0000-000019690000}"/>
    <cellStyle name="Output 5 3 15" xfId="26899" xr:uid="{00000000-0005-0000-0000-00001A690000}"/>
    <cellStyle name="Output 5 3 16" xfId="26900" xr:uid="{00000000-0005-0000-0000-00001B690000}"/>
    <cellStyle name="Output 5 3 17" xfId="26901" xr:uid="{00000000-0005-0000-0000-00001C690000}"/>
    <cellStyle name="Output 5 3 18" xfId="26902" xr:uid="{00000000-0005-0000-0000-00001D690000}"/>
    <cellStyle name="Output 5 3 19" xfId="26903" xr:uid="{00000000-0005-0000-0000-00001E690000}"/>
    <cellStyle name="Output 5 3 2" xfId="26904" xr:uid="{00000000-0005-0000-0000-00001F690000}"/>
    <cellStyle name="Output 5 3 20" xfId="26905" xr:uid="{00000000-0005-0000-0000-000020690000}"/>
    <cellStyle name="Output 5 3 21" xfId="26906" xr:uid="{00000000-0005-0000-0000-000021690000}"/>
    <cellStyle name="Output 5 3 22" xfId="26907" xr:uid="{00000000-0005-0000-0000-000022690000}"/>
    <cellStyle name="Output 5 3 23" xfId="26908" xr:uid="{00000000-0005-0000-0000-000023690000}"/>
    <cellStyle name="Output 5 3 24" xfId="26909" xr:uid="{00000000-0005-0000-0000-000024690000}"/>
    <cellStyle name="Output 5 3 25" xfId="26910" xr:uid="{00000000-0005-0000-0000-000025690000}"/>
    <cellStyle name="Output 5 3 26" xfId="26911" xr:uid="{00000000-0005-0000-0000-000026690000}"/>
    <cellStyle name="Output 5 3 27" xfId="26912" xr:uid="{00000000-0005-0000-0000-000027690000}"/>
    <cellStyle name="Output 5 3 28" xfId="26913" xr:uid="{00000000-0005-0000-0000-000028690000}"/>
    <cellStyle name="Output 5 3 29" xfId="26914" xr:uid="{00000000-0005-0000-0000-000029690000}"/>
    <cellStyle name="Output 5 3 3" xfId="26915" xr:uid="{00000000-0005-0000-0000-00002A690000}"/>
    <cellStyle name="Output 5 3 30" xfId="26916" xr:uid="{00000000-0005-0000-0000-00002B690000}"/>
    <cellStyle name="Output 5 3 31" xfId="26917" xr:uid="{00000000-0005-0000-0000-00002C690000}"/>
    <cellStyle name="Output 5 3 32" xfId="26918" xr:uid="{00000000-0005-0000-0000-00002D690000}"/>
    <cellStyle name="Output 5 3 33" xfId="26919" xr:uid="{00000000-0005-0000-0000-00002E690000}"/>
    <cellStyle name="Output 5 3 34" xfId="26920" xr:uid="{00000000-0005-0000-0000-00002F690000}"/>
    <cellStyle name="Output 5 3 4" xfId="26921" xr:uid="{00000000-0005-0000-0000-000030690000}"/>
    <cellStyle name="Output 5 3 5" xfId="26922" xr:uid="{00000000-0005-0000-0000-000031690000}"/>
    <cellStyle name="Output 5 3 6" xfId="26923" xr:uid="{00000000-0005-0000-0000-000032690000}"/>
    <cellStyle name="Output 5 3 7" xfId="26924" xr:uid="{00000000-0005-0000-0000-000033690000}"/>
    <cellStyle name="Output 5 3 8" xfId="26925" xr:uid="{00000000-0005-0000-0000-000034690000}"/>
    <cellStyle name="Output 5 3 9" xfId="26926" xr:uid="{00000000-0005-0000-0000-000035690000}"/>
    <cellStyle name="Output 5 4" xfId="26927" xr:uid="{00000000-0005-0000-0000-000036690000}"/>
    <cellStyle name="Output 5 4 2" xfId="26928" xr:uid="{00000000-0005-0000-0000-000037690000}"/>
    <cellStyle name="Output 5 4 3" xfId="26929" xr:uid="{00000000-0005-0000-0000-000038690000}"/>
    <cellStyle name="Output 5 5" xfId="26930" xr:uid="{00000000-0005-0000-0000-000039690000}"/>
    <cellStyle name="Output 5 6" xfId="26931" xr:uid="{00000000-0005-0000-0000-00003A690000}"/>
    <cellStyle name="Output 5 7" xfId="26932" xr:uid="{00000000-0005-0000-0000-00003B690000}"/>
    <cellStyle name="Output 5 8" xfId="26933" xr:uid="{00000000-0005-0000-0000-00003C690000}"/>
    <cellStyle name="Output 5 9" xfId="26934" xr:uid="{00000000-0005-0000-0000-00003D690000}"/>
    <cellStyle name="Output 6" xfId="26935" xr:uid="{00000000-0005-0000-0000-00003E690000}"/>
    <cellStyle name="Output 6 10" xfId="26936" xr:uid="{00000000-0005-0000-0000-00003F690000}"/>
    <cellStyle name="Output 6 11" xfId="26937" xr:uid="{00000000-0005-0000-0000-000040690000}"/>
    <cellStyle name="Output 6 12" xfId="26938" xr:uid="{00000000-0005-0000-0000-000041690000}"/>
    <cellStyle name="Output 6 13" xfId="26939" xr:uid="{00000000-0005-0000-0000-000042690000}"/>
    <cellStyle name="Output 6 14" xfId="26940" xr:uid="{00000000-0005-0000-0000-000043690000}"/>
    <cellStyle name="Output 6 15" xfId="26941" xr:uid="{00000000-0005-0000-0000-000044690000}"/>
    <cellStyle name="Output 6 16" xfId="26942" xr:uid="{00000000-0005-0000-0000-000045690000}"/>
    <cellStyle name="Output 6 17" xfId="26943" xr:uid="{00000000-0005-0000-0000-000046690000}"/>
    <cellStyle name="Output 6 18" xfId="26944" xr:uid="{00000000-0005-0000-0000-000047690000}"/>
    <cellStyle name="Output 6 19" xfId="26945" xr:uid="{00000000-0005-0000-0000-000048690000}"/>
    <cellStyle name="Output 6 2" xfId="26946" xr:uid="{00000000-0005-0000-0000-000049690000}"/>
    <cellStyle name="Output 6 2 10" xfId="26947" xr:uid="{00000000-0005-0000-0000-00004A690000}"/>
    <cellStyle name="Output 6 2 11" xfId="26948" xr:uid="{00000000-0005-0000-0000-00004B690000}"/>
    <cellStyle name="Output 6 2 12" xfId="26949" xr:uid="{00000000-0005-0000-0000-00004C690000}"/>
    <cellStyle name="Output 6 2 13" xfId="26950" xr:uid="{00000000-0005-0000-0000-00004D690000}"/>
    <cellStyle name="Output 6 2 14" xfId="26951" xr:uid="{00000000-0005-0000-0000-00004E690000}"/>
    <cellStyle name="Output 6 2 15" xfId="26952" xr:uid="{00000000-0005-0000-0000-00004F690000}"/>
    <cellStyle name="Output 6 2 16" xfId="26953" xr:uid="{00000000-0005-0000-0000-000050690000}"/>
    <cellStyle name="Output 6 2 17" xfId="26954" xr:uid="{00000000-0005-0000-0000-000051690000}"/>
    <cellStyle name="Output 6 2 18" xfId="26955" xr:uid="{00000000-0005-0000-0000-000052690000}"/>
    <cellStyle name="Output 6 2 19" xfId="26956" xr:uid="{00000000-0005-0000-0000-000053690000}"/>
    <cellStyle name="Output 6 2 2" xfId="26957" xr:uid="{00000000-0005-0000-0000-000054690000}"/>
    <cellStyle name="Output 6 2 2 10" xfId="26958" xr:uid="{00000000-0005-0000-0000-000055690000}"/>
    <cellStyle name="Output 6 2 2 11" xfId="26959" xr:uid="{00000000-0005-0000-0000-000056690000}"/>
    <cellStyle name="Output 6 2 2 12" xfId="26960" xr:uid="{00000000-0005-0000-0000-000057690000}"/>
    <cellStyle name="Output 6 2 2 13" xfId="26961" xr:uid="{00000000-0005-0000-0000-000058690000}"/>
    <cellStyle name="Output 6 2 2 14" xfId="26962" xr:uid="{00000000-0005-0000-0000-000059690000}"/>
    <cellStyle name="Output 6 2 2 15" xfId="26963" xr:uid="{00000000-0005-0000-0000-00005A690000}"/>
    <cellStyle name="Output 6 2 2 16" xfId="26964" xr:uid="{00000000-0005-0000-0000-00005B690000}"/>
    <cellStyle name="Output 6 2 2 17" xfId="26965" xr:uid="{00000000-0005-0000-0000-00005C690000}"/>
    <cellStyle name="Output 6 2 2 18" xfId="26966" xr:uid="{00000000-0005-0000-0000-00005D690000}"/>
    <cellStyle name="Output 6 2 2 19" xfId="26967" xr:uid="{00000000-0005-0000-0000-00005E690000}"/>
    <cellStyle name="Output 6 2 2 2" xfId="26968" xr:uid="{00000000-0005-0000-0000-00005F690000}"/>
    <cellStyle name="Output 6 2 2 20" xfId="26969" xr:uid="{00000000-0005-0000-0000-000060690000}"/>
    <cellStyle name="Output 6 2 2 21" xfId="26970" xr:uid="{00000000-0005-0000-0000-000061690000}"/>
    <cellStyle name="Output 6 2 2 22" xfId="26971" xr:uid="{00000000-0005-0000-0000-000062690000}"/>
    <cellStyle name="Output 6 2 2 23" xfId="26972" xr:uid="{00000000-0005-0000-0000-000063690000}"/>
    <cellStyle name="Output 6 2 2 24" xfId="26973" xr:uid="{00000000-0005-0000-0000-000064690000}"/>
    <cellStyle name="Output 6 2 2 25" xfId="26974" xr:uid="{00000000-0005-0000-0000-000065690000}"/>
    <cellStyle name="Output 6 2 2 26" xfId="26975" xr:uid="{00000000-0005-0000-0000-000066690000}"/>
    <cellStyle name="Output 6 2 2 27" xfId="26976" xr:uid="{00000000-0005-0000-0000-000067690000}"/>
    <cellStyle name="Output 6 2 2 28" xfId="26977" xr:uid="{00000000-0005-0000-0000-000068690000}"/>
    <cellStyle name="Output 6 2 2 29" xfId="26978" xr:uid="{00000000-0005-0000-0000-000069690000}"/>
    <cellStyle name="Output 6 2 2 3" xfId="26979" xr:uid="{00000000-0005-0000-0000-00006A690000}"/>
    <cellStyle name="Output 6 2 2 30" xfId="26980" xr:uid="{00000000-0005-0000-0000-00006B690000}"/>
    <cellStyle name="Output 6 2 2 31" xfId="26981" xr:uid="{00000000-0005-0000-0000-00006C690000}"/>
    <cellStyle name="Output 6 2 2 32" xfId="26982" xr:uid="{00000000-0005-0000-0000-00006D690000}"/>
    <cellStyle name="Output 6 2 2 33" xfId="26983" xr:uid="{00000000-0005-0000-0000-00006E690000}"/>
    <cellStyle name="Output 6 2 2 34" xfId="26984" xr:uid="{00000000-0005-0000-0000-00006F690000}"/>
    <cellStyle name="Output 6 2 2 4" xfId="26985" xr:uid="{00000000-0005-0000-0000-000070690000}"/>
    <cellStyle name="Output 6 2 2 5" xfId="26986" xr:uid="{00000000-0005-0000-0000-000071690000}"/>
    <cellStyle name="Output 6 2 2 6" xfId="26987" xr:uid="{00000000-0005-0000-0000-000072690000}"/>
    <cellStyle name="Output 6 2 2 7" xfId="26988" xr:uid="{00000000-0005-0000-0000-000073690000}"/>
    <cellStyle name="Output 6 2 2 8" xfId="26989" xr:uid="{00000000-0005-0000-0000-000074690000}"/>
    <cellStyle name="Output 6 2 2 9" xfId="26990" xr:uid="{00000000-0005-0000-0000-000075690000}"/>
    <cellStyle name="Output 6 2 20" xfId="26991" xr:uid="{00000000-0005-0000-0000-000076690000}"/>
    <cellStyle name="Output 6 2 3" xfId="26992" xr:uid="{00000000-0005-0000-0000-000077690000}"/>
    <cellStyle name="Output 6 2 3 2" xfId="26993" xr:uid="{00000000-0005-0000-0000-000078690000}"/>
    <cellStyle name="Output 6 2 3 3" xfId="26994" xr:uid="{00000000-0005-0000-0000-000079690000}"/>
    <cellStyle name="Output 6 2 4" xfId="26995" xr:uid="{00000000-0005-0000-0000-00007A690000}"/>
    <cellStyle name="Output 6 2 5" xfId="26996" xr:uid="{00000000-0005-0000-0000-00007B690000}"/>
    <cellStyle name="Output 6 2 6" xfId="26997" xr:uid="{00000000-0005-0000-0000-00007C690000}"/>
    <cellStyle name="Output 6 2 7" xfId="26998" xr:uid="{00000000-0005-0000-0000-00007D690000}"/>
    <cellStyle name="Output 6 2 8" xfId="26999" xr:uid="{00000000-0005-0000-0000-00007E690000}"/>
    <cellStyle name="Output 6 2 9" xfId="27000" xr:uid="{00000000-0005-0000-0000-00007F690000}"/>
    <cellStyle name="Output 6 20" xfId="27001" xr:uid="{00000000-0005-0000-0000-000080690000}"/>
    <cellStyle name="Output 6 21" xfId="27002" xr:uid="{00000000-0005-0000-0000-000081690000}"/>
    <cellStyle name="Output 6 3" xfId="27003" xr:uid="{00000000-0005-0000-0000-000082690000}"/>
    <cellStyle name="Output 6 3 10" xfId="27004" xr:uid="{00000000-0005-0000-0000-000083690000}"/>
    <cellStyle name="Output 6 3 11" xfId="27005" xr:uid="{00000000-0005-0000-0000-000084690000}"/>
    <cellStyle name="Output 6 3 12" xfId="27006" xr:uid="{00000000-0005-0000-0000-000085690000}"/>
    <cellStyle name="Output 6 3 13" xfId="27007" xr:uid="{00000000-0005-0000-0000-000086690000}"/>
    <cellStyle name="Output 6 3 14" xfId="27008" xr:uid="{00000000-0005-0000-0000-000087690000}"/>
    <cellStyle name="Output 6 3 15" xfId="27009" xr:uid="{00000000-0005-0000-0000-000088690000}"/>
    <cellStyle name="Output 6 3 16" xfId="27010" xr:uid="{00000000-0005-0000-0000-000089690000}"/>
    <cellStyle name="Output 6 3 17" xfId="27011" xr:uid="{00000000-0005-0000-0000-00008A690000}"/>
    <cellStyle name="Output 6 3 18" xfId="27012" xr:uid="{00000000-0005-0000-0000-00008B690000}"/>
    <cellStyle name="Output 6 3 19" xfId="27013" xr:uid="{00000000-0005-0000-0000-00008C690000}"/>
    <cellStyle name="Output 6 3 2" xfId="27014" xr:uid="{00000000-0005-0000-0000-00008D690000}"/>
    <cellStyle name="Output 6 3 20" xfId="27015" xr:uid="{00000000-0005-0000-0000-00008E690000}"/>
    <cellStyle name="Output 6 3 21" xfId="27016" xr:uid="{00000000-0005-0000-0000-00008F690000}"/>
    <cellStyle name="Output 6 3 22" xfId="27017" xr:uid="{00000000-0005-0000-0000-000090690000}"/>
    <cellStyle name="Output 6 3 23" xfId="27018" xr:uid="{00000000-0005-0000-0000-000091690000}"/>
    <cellStyle name="Output 6 3 24" xfId="27019" xr:uid="{00000000-0005-0000-0000-000092690000}"/>
    <cellStyle name="Output 6 3 25" xfId="27020" xr:uid="{00000000-0005-0000-0000-000093690000}"/>
    <cellStyle name="Output 6 3 26" xfId="27021" xr:uid="{00000000-0005-0000-0000-000094690000}"/>
    <cellStyle name="Output 6 3 27" xfId="27022" xr:uid="{00000000-0005-0000-0000-000095690000}"/>
    <cellStyle name="Output 6 3 28" xfId="27023" xr:uid="{00000000-0005-0000-0000-000096690000}"/>
    <cellStyle name="Output 6 3 29" xfId="27024" xr:uid="{00000000-0005-0000-0000-000097690000}"/>
    <cellStyle name="Output 6 3 3" xfId="27025" xr:uid="{00000000-0005-0000-0000-000098690000}"/>
    <cellStyle name="Output 6 3 30" xfId="27026" xr:uid="{00000000-0005-0000-0000-000099690000}"/>
    <cellStyle name="Output 6 3 31" xfId="27027" xr:uid="{00000000-0005-0000-0000-00009A690000}"/>
    <cellStyle name="Output 6 3 32" xfId="27028" xr:uid="{00000000-0005-0000-0000-00009B690000}"/>
    <cellStyle name="Output 6 3 33" xfId="27029" xr:uid="{00000000-0005-0000-0000-00009C690000}"/>
    <cellStyle name="Output 6 3 34" xfId="27030" xr:uid="{00000000-0005-0000-0000-00009D690000}"/>
    <cellStyle name="Output 6 3 4" xfId="27031" xr:uid="{00000000-0005-0000-0000-00009E690000}"/>
    <cellStyle name="Output 6 3 5" xfId="27032" xr:uid="{00000000-0005-0000-0000-00009F690000}"/>
    <cellStyle name="Output 6 3 6" xfId="27033" xr:uid="{00000000-0005-0000-0000-0000A0690000}"/>
    <cellStyle name="Output 6 3 7" xfId="27034" xr:uid="{00000000-0005-0000-0000-0000A1690000}"/>
    <cellStyle name="Output 6 3 8" xfId="27035" xr:uid="{00000000-0005-0000-0000-0000A2690000}"/>
    <cellStyle name="Output 6 3 9" xfId="27036" xr:uid="{00000000-0005-0000-0000-0000A3690000}"/>
    <cellStyle name="Output 6 4" xfId="27037" xr:uid="{00000000-0005-0000-0000-0000A4690000}"/>
    <cellStyle name="Output 6 4 2" xfId="27038" xr:uid="{00000000-0005-0000-0000-0000A5690000}"/>
    <cellStyle name="Output 6 4 3" xfId="27039" xr:uid="{00000000-0005-0000-0000-0000A6690000}"/>
    <cellStyle name="Output 6 5" xfId="27040" xr:uid="{00000000-0005-0000-0000-0000A7690000}"/>
    <cellStyle name="Output 6 6" xfId="27041" xr:uid="{00000000-0005-0000-0000-0000A8690000}"/>
    <cellStyle name="Output 6 7" xfId="27042" xr:uid="{00000000-0005-0000-0000-0000A9690000}"/>
    <cellStyle name="Output 6 8" xfId="27043" xr:uid="{00000000-0005-0000-0000-0000AA690000}"/>
    <cellStyle name="Output 6 9" xfId="27044" xr:uid="{00000000-0005-0000-0000-0000AB690000}"/>
    <cellStyle name="Output 7" xfId="27045" xr:uid="{00000000-0005-0000-0000-0000AC690000}"/>
    <cellStyle name="Output 7 2" xfId="27046" xr:uid="{00000000-0005-0000-0000-0000AD690000}"/>
    <cellStyle name="Output 8" xfId="27047" xr:uid="{00000000-0005-0000-0000-0000AE690000}"/>
    <cellStyle name="Output 8 2" xfId="27048" xr:uid="{00000000-0005-0000-0000-0000AF690000}"/>
    <cellStyle name="Output 9" xfId="27049" xr:uid="{00000000-0005-0000-0000-0000B0690000}"/>
    <cellStyle name="Output 9 2" xfId="27050" xr:uid="{00000000-0005-0000-0000-0000B1690000}"/>
    <cellStyle name="Output Amounts" xfId="27051" xr:uid="{00000000-0005-0000-0000-0000B2690000}"/>
    <cellStyle name="Output Column Headings" xfId="27052" xr:uid="{00000000-0005-0000-0000-0000B3690000}"/>
    <cellStyle name="Output Line Items" xfId="27053" xr:uid="{00000000-0005-0000-0000-0000B4690000}"/>
    <cellStyle name="Output Report Heading" xfId="27054" xr:uid="{00000000-0005-0000-0000-0000B5690000}"/>
    <cellStyle name="Output Report Title" xfId="27055" xr:uid="{00000000-0005-0000-0000-0000B6690000}"/>
    <cellStyle name="OverHead" xfId="27056" xr:uid="{00000000-0005-0000-0000-0000B7690000}"/>
    <cellStyle name="OverHead 10" xfId="27057" xr:uid="{00000000-0005-0000-0000-0000B8690000}"/>
    <cellStyle name="OverHead 11" xfId="27058" xr:uid="{00000000-0005-0000-0000-0000B9690000}"/>
    <cellStyle name="OverHead 12" xfId="27059" xr:uid="{00000000-0005-0000-0000-0000BA690000}"/>
    <cellStyle name="OverHead 13" xfId="27060" xr:uid="{00000000-0005-0000-0000-0000BB690000}"/>
    <cellStyle name="OverHead 14" xfId="27061" xr:uid="{00000000-0005-0000-0000-0000BC690000}"/>
    <cellStyle name="OverHead 15" xfId="27062" xr:uid="{00000000-0005-0000-0000-0000BD690000}"/>
    <cellStyle name="OverHead 16" xfId="27063" xr:uid="{00000000-0005-0000-0000-0000BE690000}"/>
    <cellStyle name="OverHead 17" xfId="27064" xr:uid="{00000000-0005-0000-0000-0000BF690000}"/>
    <cellStyle name="OverHead 18" xfId="27065" xr:uid="{00000000-0005-0000-0000-0000C0690000}"/>
    <cellStyle name="OverHead 19" xfId="27066" xr:uid="{00000000-0005-0000-0000-0000C1690000}"/>
    <cellStyle name="OverHead 2" xfId="27067" xr:uid="{00000000-0005-0000-0000-0000C2690000}"/>
    <cellStyle name="OverHead 2 10" xfId="27068" xr:uid="{00000000-0005-0000-0000-0000C3690000}"/>
    <cellStyle name="OverHead 2 11" xfId="27069" xr:uid="{00000000-0005-0000-0000-0000C4690000}"/>
    <cellStyle name="OverHead 2 12" xfId="27070" xr:uid="{00000000-0005-0000-0000-0000C5690000}"/>
    <cellStyle name="OverHead 2 13" xfId="27071" xr:uid="{00000000-0005-0000-0000-0000C6690000}"/>
    <cellStyle name="OverHead 2 14" xfId="27072" xr:uid="{00000000-0005-0000-0000-0000C7690000}"/>
    <cellStyle name="OverHead 2 15" xfId="27073" xr:uid="{00000000-0005-0000-0000-0000C8690000}"/>
    <cellStyle name="OverHead 2 16" xfId="27074" xr:uid="{00000000-0005-0000-0000-0000C9690000}"/>
    <cellStyle name="OverHead 2 17" xfId="27075" xr:uid="{00000000-0005-0000-0000-0000CA690000}"/>
    <cellStyle name="OverHead 2 18" xfId="27076" xr:uid="{00000000-0005-0000-0000-0000CB690000}"/>
    <cellStyle name="OverHead 2 19" xfId="27077" xr:uid="{00000000-0005-0000-0000-0000CC690000}"/>
    <cellStyle name="OverHead 2 2" xfId="27078" xr:uid="{00000000-0005-0000-0000-0000CD690000}"/>
    <cellStyle name="OverHead 2 2 2" xfId="27079" xr:uid="{00000000-0005-0000-0000-0000CE690000}"/>
    <cellStyle name="OverHead 2 2 3" xfId="27080" xr:uid="{00000000-0005-0000-0000-0000CF690000}"/>
    <cellStyle name="OverHead 2 20" xfId="27081" xr:uid="{00000000-0005-0000-0000-0000D0690000}"/>
    <cellStyle name="OverHead 2 21" xfId="27082" xr:uid="{00000000-0005-0000-0000-0000D1690000}"/>
    <cellStyle name="OverHead 2 22" xfId="27083" xr:uid="{00000000-0005-0000-0000-0000D2690000}"/>
    <cellStyle name="OverHead 2 23" xfId="27084" xr:uid="{00000000-0005-0000-0000-0000D3690000}"/>
    <cellStyle name="OverHead 2 24" xfId="27085" xr:uid="{00000000-0005-0000-0000-0000D4690000}"/>
    <cellStyle name="OverHead 2 25" xfId="27086" xr:uid="{00000000-0005-0000-0000-0000D5690000}"/>
    <cellStyle name="OverHead 2 26" xfId="27087" xr:uid="{00000000-0005-0000-0000-0000D6690000}"/>
    <cellStyle name="OverHead 2 27" xfId="27088" xr:uid="{00000000-0005-0000-0000-0000D7690000}"/>
    <cellStyle name="OverHead 2 28" xfId="27089" xr:uid="{00000000-0005-0000-0000-0000D8690000}"/>
    <cellStyle name="OverHead 2 29" xfId="27090" xr:uid="{00000000-0005-0000-0000-0000D9690000}"/>
    <cellStyle name="OverHead 2 3" xfId="27091" xr:uid="{00000000-0005-0000-0000-0000DA690000}"/>
    <cellStyle name="OverHead 2 30" xfId="27092" xr:uid="{00000000-0005-0000-0000-0000DB690000}"/>
    <cellStyle name="OverHead 2 31" xfId="27093" xr:uid="{00000000-0005-0000-0000-0000DC690000}"/>
    <cellStyle name="OverHead 2 32" xfId="27094" xr:uid="{00000000-0005-0000-0000-0000DD690000}"/>
    <cellStyle name="OverHead 2 33" xfId="27095" xr:uid="{00000000-0005-0000-0000-0000DE690000}"/>
    <cellStyle name="OverHead 2 34" xfId="27096" xr:uid="{00000000-0005-0000-0000-0000DF690000}"/>
    <cellStyle name="OverHead 2 35" xfId="27097" xr:uid="{00000000-0005-0000-0000-0000E0690000}"/>
    <cellStyle name="OverHead 2 36" xfId="27098" xr:uid="{00000000-0005-0000-0000-0000E1690000}"/>
    <cellStyle name="OverHead 2 4" xfId="27099" xr:uid="{00000000-0005-0000-0000-0000E2690000}"/>
    <cellStyle name="OverHead 2 5" xfId="27100" xr:uid="{00000000-0005-0000-0000-0000E3690000}"/>
    <cellStyle name="OverHead 2 6" xfId="27101" xr:uid="{00000000-0005-0000-0000-0000E4690000}"/>
    <cellStyle name="OverHead 2 7" xfId="27102" xr:uid="{00000000-0005-0000-0000-0000E5690000}"/>
    <cellStyle name="OverHead 2 8" xfId="27103" xr:uid="{00000000-0005-0000-0000-0000E6690000}"/>
    <cellStyle name="OverHead 2 9" xfId="27104" xr:uid="{00000000-0005-0000-0000-0000E7690000}"/>
    <cellStyle name="OverHead 20" xfId="27105" xr:uid="{00000000-0005-0000-0000-0000E8690000}"/>
    <cellStyle name="OverHead 21" xfId="27106" xr:uid="{00000000-0005-0000-0000-0000E9690000}"/>
    <cellStyle name="OverHead 22" xfId="27107" xr:uid="{00000000-0005-0000-0000-0000EA690000}"/>
    <cellStyle name="OverHead 23" xfId="27108" xr:uid="{00000000-0005-0000-0000-0000EB690000}"/>
    <cellStyle name="OverHead 24" xfId="27109" xr:uid="{00000000-0005-0000-0000-0000EC690000}"/>
    <cellStyle name="OverHead 25" xfId="27110" xr:uid="{00000000-0005-0000-0000-0000ED690000}"/>
    <cellStyle name="OverHead 26" xfId="27111" xr:uid="{00000000-0005-0000-0000-0000EE690000}"/>
    <cellStyle name="OverHead 27" xfId="27112" xr:uid="{00000000-0005-0000-0000-0000EF690000}"/>
    <cellStyle name="OverHead 28" xfId="27113" xr:uid="{00000000-0005-0000-0000-0000F0690000}"/>
    <cellStyle name="OverHead 29" xfId="27114" xr:uid="{00000000-0005-0000-0000-0000F1690000}"/>
    <cellStyle name="OverHead 3" xfId="27115" xr:uid="{00000000-0005-0000-0000-0000F2690000}"/>
    <cellStyle name="OverHead 3 2" xfId="27116" xr:uid="{00000000-0005-0000-0000-0000F3690000}"/>
    <cellStyle name="OverHead 3 2 2" xfId="27117" xr:uid="{00000000-0005-0000-0000-0000F4690000}"/>
    <cellStyle name="OverHead 3 2 3" xfId="27118" xr:uid="{00000000-0005-0000-0000-0000F5690000}"/>
    <cellStyle name="OverHead 3 3" xfId="27119" xr:uid="{00000000-0005-0000-0000-0000F6690000}"/>
    <cellStyle name="OverHead 3 3 2" xfId="27120" xr:uid="{00000000-0005-0000-0000-0000F7690000}"/>
    <cellStyle name="OverHead 3 3 3" xfId="27121" xr:uid="{00000000-0005-0000-0000-0000F8690000}"/>
    <cellStyle name="OverHead 3 4" xfId="27122" xr:uid="{00000000-0005-0000-0000-0000F9690000}"/>
    <cellStyle name="OverHead 3 5" xfId="27123" xr:uid="{00000000-0005-0000-0000-0000FA690000}"/>
    <cellStyle name="OverHead 30" xfId="27124" xr:uid="{00000000-0005-0000-0000-0000FB690000}"/>
    <cellStyle name="OverHead 31" xfId="27125" xr:uid="{00000000-0005-0000-0000-0000FC690000}"/>
    <cellStyle name="OverHead 32" xfId="27126" xr:uid="{00000000-0005-0000-0000-0000FD690000}"/>
    <cellStyle name="OverHead 33" xfId="27127" xr:uid="{00000000-0005-0000-0000-0000FE690000}"/>
    <cellStyle name="OverHead 34" xfId="27128" xr:uid="{00000000-0005-0000-0000-0000FF690000}"/>
    <cellStyle name="OverHead 35" xfId="27129" xr:uid="{00000000-0005-0000-0000-0000006A0000}"/>
    <cellStyle name="OverHead 36" xfId="27130" xr:uid="{00000000-0005-0000-0000-0000016A0000}"/>
    <cellStyle name="OverHead 4" xfId="27131" xr:uid="{00000000-0005-0000-0000-0000026A0000}"/>
    <cellStyle name="OverHead 4 2" xfId="27132" xr:uid="{00000000-0005-0000-0000-0000036A0000}"/>
    <cellStyle name="OverHead 4 2 2" xfId="27133" xr:uid="{00000000-0005-0000-0000-0000046A0000}"/>
    <cellStyle name="OverHead 4 2 3" xfId="27134" xr:uid="{00000000-0005-0000-0000-0000056A0000}"/>
    <cellStyle name="OverHead 4 3" xfId="27135" xr:uid="{00000000-0005-0000-0000-0000066A0000}"/>
    <cellStyle name="OverHead 4 3 2" xfId="27136" xr:uid="{00000000-0005-0000-0000-0000076A0000}"/>
    <cellStyle name="OverHead 4 3 3" xfId="27137" xr:uid="{00000000-0005-0000-0000-0000086A0000}"/>
    <cellStyle name="OverHead 4 4" xfId="27138" xr:uid="{00000000-0005-0000-0000-0000096A0000}"/>
    <cellStyle name="OverHead 4 5" xfId="27139" xr:uid="{00000000-0005-0000-0000-00000A6A0000}"/>
    <cellStyle name="OverHead 5" xfId="27140" xr:uid="{00000000-0005-0000-0000-00000B6A0000}"/>
    <cellStyle name="OverHead 5 2" xfId="27141" xr:uid="{00000000-0005-0000-0000-00000C6A0000}"/>
    <cellStyle name="OverHead 5 3" xfId="27142" xr:uid="{00000000-0005-0000-0000-00000D6A0000}"/>
    <cellStyle name="OverHead 6" xfId="27143" xr:uid="{00000000-0005-0000-0000-00000E6A0000}"/>
    <cellStyle name="OverHead 7" xfId="27144" xr:uid="{00000000-0005-0000-0000-00000F6A0000}"/>
    <cellStyle name="OverHead 8" xfId="27145" xr:uid="{00000000-0005-0000-0000-0000106A0000}"/>
    <cellStyle name="OverHead 9" xfId="27146" xr:uid="{00000000-0005-0000-0000-0000116A0000}"/>
    <cellStyle name="Overskrift" xfId="27147" xr:uid="{00000000-0005-0000-0000-0000126A0000}"/>
    <cellStyle name="pc1" xfId="27148" xr:uid="{00000000-0005-0000-0000-0000136A0000}"/>
    <cellStyle name="per.style" xfId="27149" xr:uid="{00000000-0005-0000-0000-0000146A0000}"/>
    <cellStyle name="Percen - Style2" xfId="27150" xr:uid="{00000000-0005-0000-0000-0000156A0000}"/>
    <cellStyle name="Percent [0]" xfId="27151" xr:uid="{00000000-0005-0000-0000-0000166A0000}"/>
    <cellStyle name="Percent [0] 2" xfId="27152" xr:uid="{00000000-0005-0000-0000-0000176A0000}"/>
    <cellStyle name="Percent [0] 3" xfId="27153" xr:uid="{00000000-0005-0000-0000-0000186A0000}"/>
    <cellStyle name="Percent [00]" xfId="27154" xr:uid="{00000000-0005-0000-0000-0000196A0000}"/>
    <cellStyle name="Percent [00] 2" xfId="27155" xr:uid="{00000000-0005-0000-0000-00001A6A0000}"/>
    <cellStyle name="Percent [00] 3" xfId="27156" xr:uid="{00000000-0005-0000-0000-00001B6A0000}"/>
    <cellStyle name="Percent [1]" xfId="27157" xr:uid="{00000000-0005-0000-0000-00001C6A0000}"/>
    <cellStyle name="Percent [2]" xfId="27158" xr:uid="{00000000-0005-0000-0000-00001D6A0000}"/>
    <cellStyle name="Percent [2] 2" xfId="27159" xr:uid="{00000000-0005-0000-0000-00001E6A0000}"/>
    <cellStyle name="Percent [2] 2 2" xfId="27160" xr:uid="{00000000-0005-0000-0000-00001F6A0000}"/>
    <cellStyle name="Percent [2] 3" xfId="27161" xr:uid="{00000000-0005-0000-0000-0000206A0000}"/>
    <cellStyle name="Percent [2] 3 2" xfId="27162" xr:uid="{00000000-0005-0000-0000-0000216A0000}"/>
    <cellStyle name="Percent 10" xfId="27163" xr:uid="{00000000-0005-0000-0000-0000226A0000}"/>
    <cellStyle name="Percent 11" xfId="27164" xr:uid="{00000000-0005-0000-0000-0000236A0000}"/>
    <cellStyle name="Percent 2" xfId="27165" xr:uid="{00000000-0005-0000-0000-0000246A0000}"/>
    <cellStyle name="Percent 2 10" xfId="27166" xr:uid="{00000000-0005-0000-0000-0000256A0000}"/>
    <cellStyle name="Percent 2 11" xfId="27167" xr:uid="{00000000-0005-0000-0000-0000266A0000}"/>
    <cellStyle name="Percent 2 12" xfId="27168" xr:uid="{00000000-0005-0000-0000-0000276A0000}"/>
    <cellStyle name="Percent 2 13" xfId="27169" xr:uid="{00000000-0005-0000-0000-0000286A0000}"/>
    <cellStyle name="Percent 2 14" xfId="27170" xr:uid="{00000000-0005-0000-0000-0000296A0000}"/>
    <cellStyle name="Percent 2 15" xfId="27171" xr:uid="{00000000-0005-0000-0000-00002A6A0000}"/>
    <cellStyle name="Percent 2 16" xfId="27172" xr:uid="{00000000-0005-0000-0000-00002B6A0000}"/>
    <cellStyle name="Percent 2 17" xfId="27173" xr:uid="{00000000-0005-0000-0000-00002C6A0000}"/>
    <cellStyle name="Percent 2 18" xfId="27174" xr:uid="{00000000-0005-0000-0000-00002D6A0000}"/>
    <cellStyle name="Percent 2 19" xfId="27175" xr:uid="{00000000-0005-0000-0000-00002E6A0000}"/>
    <cellStyle name="Percent 2 2" xfId="27176" xr:uid="{00000000-0005-0000-0000-00002F6A0000}"/>
    <cellStyle name="Percent 2 2 2" xfId="27177" xr:uid="{00000000-0005-0000-0000-0000306A0000}"/>
    <cellStyle name="Percent 2 2 3" xfId="27178" xr:uid="{00000000-0005-0000-0000-0000316A0000}"/>
    <cellStyle name="Percent 2 2 4" xfId="27179" xr:uid="{00000000-0005-0000-0000-0000326A0000}"/>
    <cellStyle name="Percent 2 2 5" xfId="27180" xr:uid="{00000000-0005-0000-0000-0000336A0000}"/>
    <cellStyle name="Percent 2 2 6" xfId="27181" xr:uid="{00000000-0005-0000-0000-0000346A0000}"/>
    <cellStyle name="Percent 2 20" xfId="27182" xr:uid="{00000000-0005-0000-0000-0000356A0000}"/>
    <cellStyle name="Percent 2 3" xfId="27183" xr:uid="{00000000-0005-0000-0000-0000366A0000}"/>
    <cellStyle name="Percent 2 4" xfId="27184" xr:uid="{00000000-0005-0000-0000-0000376A0000}"/>
    <cellStyle name="Percent 2 5" xfId="27185" xr:uid="{00000000-0005-0000-0000-0000386A0000}"/>
    <cellStyle name="Percent 2 6" xfId="27186" xr:uid="{00000000-0005-0000-0000-0000396A0000}"/>
    <cellStyle name="Percent 2 7" xfId="27187" xr:uid="{00000000-0005-0000-0000-00003A6A0000}"/>
    <cellStyle name="Percent 2 8" xfId="27188" xr:uid="{00000000-0005-0000-0000-00003B6A0000}"/>
    <cellStyle name="Percent 2 9" xfId="27189" xr:uid="{00000000-0005-0000-0000-00003C6A0000}"/>
    <cellStyle name="Percent 3" xfId="27190" xr:uid="{00000000-0005-0000-0000-00003D6A0000}"/>
    <cellStyle name="Percent 3 2" xfId="27191" xr:uid="{00000000-0005-0000-0000-00003E6A0000}"/>
    <cellStyle name="Percent 3 2 2" xfId="27192" xr:uid="{00000000-0005-0000-0000-00003F6A0000}"/>
    <cellStyle name="Percent 3 2 2 2" xfId="27193" xr:uid="{00000000-0005-0000-0000-0000406A0000}"/>
    <cellStyle name="Percent 3 2 2 2 2" xfId="27194" xr:uid="{00000000-0005-0000-0000-0000416A0000}"/>
    <cellStyle name="Percent 3 2 2 2 2 2" xfId="27195" xr:uid="{00000000-0005-0000-0000-0000426A0000}"/>
    <cellStyle name="Percent 3 2 2 2 3" xfId="27196" xr:uid="{00000000-0005-0000-0000-0000436A0000}"/>
    <cellStyle name="Percent 3 2 2 3" xfId="27197" xr:uid="{00000000-0005-0000-0000-0000446A0000}"/>
    <cellStyle name="Percent 3 2 2 3 2" xfId="27198" xr:uid="{00000000-0005-0000-0000-0000456A0000}"/>
    <cellStyle name="Percent 3 2 2 4" xfId="27199" xr:uid="{00000000-0005-0000-0000-0000466A0000}"/>
    <cellStyle name="Percent 3 2 3" xfId="27200" xr:uid="{00000000-0005-0000-0000-0000476A0000}"/>
    <cellStyle name="Percent 3 2 3 2" xfId="27201" xr:uid="{00000000-0005-0000-0000-0000486A0000}"/>
    <cellStyle name="Percent 3 2 3 2 2" xfId="27202" xr:uid="{00000000-0005-0000-0000-0000496A0000}"/>
    <cellStyle name="Percent 3 2 3 3" xfId="27203" xr:uid="{00000000-0005-0000-0000-00004A6A0000}"/>
    <cellStyle name="Percent 3 2 4" xfId="27204" xr:uid="{00000000-0005-0000-0000-00004B6A0000}"/>
    <cellStyle name="Percent 3 2 4 2" xfId="27205" xr:uid="{00000000-0005-0000-0000-00004C6A0000}"/>
    <cellStyle name="Percent 3 2 5" xfId="27206" xr:uid="{00000000-0005-0000-0000-00004D6A0000}"/>
    <cellStyle name="Percent 3 3" xfId="27207" xr:uid="{00000000-0005-0000-0000-00004E6A0000}"/>
    <cellStyle name="Percent 3 3 2" xfId="27208" xr:uid="{00000000-0005-0000-0000-00004F6A0000}"/>
    <cellStyle name="Percent 3 3 2 2" xfId="27209" xr:uid="{00000000-0005-0000-0000-0000506A0000}"/>
    <cellStyle name="Percent 3 3 2 2 2" xfId="27210" xr:uid="{00000000-0005-0000-0000-0000516A0000}"/>
    <cellStyle name="Percent 3 3 2 3" xfId="27211" xr:uid="{00000000-0005-0000-0000-0000526A0000}"/>
    <cellStyle name="Percent 3 3 3" xfId="27212" xr:uid="{00000000-0005-0000-0000-0000536A0000}"/>
    <cellStyle name="Percent 3 3 3 2" xfId="27213" xr:uid="{00000000-0005-0000-0000-0000546A0000}"/>
    <cellStyle name="Percent 3 3 4" xfId="27214" xr:uid="{00000000-0005-0000-0000-0000556A0000}"/>
    <cellStyle name="Percent 3 4" xfId="27215" xr:uid="{00000000-0005-0000-0000-0000566A0000}"/>
    <cellStyle name="Percent 3 4 2" xfId="27216" xr:uid="{00000000-0005-0000-0000-0000576A0000}"/>
    <cellStyle name="Percent 3 4 2 2" xfId="27217" xr:uid="{00000000-0005-0000-0000-0000586A0000}"/>
    <cellStyle name="Percent 3 4 3" xfId="27218" xr:uid="{00000000-0005-0000-0000-0000596A0000}"/>
    <cellStyle name="Percent 3 5" xfId="27219" xr:uid="{00000000-0005-0000-0000-00005A6A0000}"/>
    <cellStyle name="Percent 3 5 2" xfId="27220" xr:uid="{00000000-0005-0000-0000-00005B6A0000}"/>
    <cellStyle name="Percent 3 6" xfId="27221" xr:uid="{00000000-0005-0000-0000-00005C6A0000}"/>
    <cellStyle name="Percent 4" xfId="27222" xr:uid="{00000000-0005-0000-0000-00005D6A0000}"/>
    <cellStyle name="Percent 4 2" xfId="27223" xr:uid="{00000000-0005-0000-0000-00005E6A0000}"/>
    <cellStyle name="Percent 4 3" xfId="27224" xr:uid="{00000000-0005-0000-0000-00005F6A0000}"/>
    <cellStyle name="Percent 4 3 2" xfId="27225" xr:uid="{00000000-0005-0000-0000-0000606A0000}"/>
    <cellStyle name="Percent 5" xfId="27226" xr:uid="{00000000-0005-0000-0000-0000616A0000}"/>
    <cellStyle name="Percent 5 2" xfId="27227" xr:uid="{00000000-0005-0000-0000-0000626A0000}"/>
    <cellStyle name="Percent 5 3" xfId="27228" xr:uid="{00000000-0005-0000-0000-0000636A0000}"/>
    <cellStyle name="Percent 6" xfId="27229" xr:uid="{00000000-0005-0000-0000-0000646A0000}"/>
    <cellStyle name="Percent 6 2" xfId="27230" xr:uid="{00000000-0005-0000-0000-0000656A0000}"/>
    <cellStyle name="Percent 7" xfId="27231" xr:uid="{00000000-0005-0000-0000-0000666A0000}"/>
    <cellStyle name="Percent 7 2" xfId="27232" xr:uid="{00000000-0005-0000-0000-0000676A0000}"/>
    <cellStyle name="Percent 8" xfId="27233" xr:uid="{00000000-0005-0000-0000-0000686A0000}"/>
    <cellStyle name="Percent 8 2" xfId="27234" xr:uid="{00000000-0005-0000-0000-0000696A0000}"/>
    <cellStyle name="Percent 9" xfId="27235" xr:uid="{00000000-0005-0000-0000-00006A6A0000}"/>
    <cellStyle name="PERCENTAGE" xfId="27236" xr:uid="{00000000-0005-0000-0000-00006B6A0000}"/>
    <cellStyle name="Percentage (2dp)" xfId="27237" xr:uid="{00000000-0005-0000-0000-00006C6A0000}"/>
    <cellStyle name="PERCENTAGE 10" xfId="27238" xr:uid="{00000000-0005-0000-0000-00006D6A0000}"/>
    <cellStyle name="PERCENTAGE 11" xfId="27239" xr:uid="{00000000-0005-0000-0000-00006E6A0000}"/>
    <cellStyle name="PERCENTAGE 12" xfId="27240" xr:uid="{00000000-0005-0000-0000-00006F6A0000}"/>
    <cellStyle name="PERCENTAGE 13" xfId="27241" xr:uid="{00000000-0005-0000-0000-0000706A0000}"/>
    <cellStyle name="PERCENTAGE 14" xfId="27242" xr:uid="{00000000-0005-0000-0000-0000716A0000}"/>
    <cellStyle name="PERCENTAGE 15" xfId="27243" xr:uid="{00000000-0005-0000-0000-0000726A0000}"/>
    <cellStyle name="PERCENTAGE 16" xfId="27244" xr:uid="{00000000-0005-0000-0000-0000736A0000}"/>
    <cellStyle name="PERCENTAGE 17" xfId="27245" xr:uid="{00000000-0005-0000-0000-0000746A0000}"/>
    <cellStyle name="PERCENTAGE 18" xfId="27246" xr:uid="{00000000-0005-0000-0000-0000756A0000}"/>
    <cellStyle name="PERCENTAGE 19" xfId="27247" xr:uid="{00000000-0005-0000-0000-0000766A0000}"/>
    <cellStyle name="PERCENTAGE 2" xfId="27248" xr:uid="{00000000-0005-0000-0000-0000776A0000}"/>
    <cellStyle name="PERCENTAGE 20" xfId="27249" xr:uid="{00000000-0005-0000-0000-0000786A0000}"/>
    <cellStyle name="PERCENTAGE 21" xfId="27250" xr:uid="{00000000-0005-0000-0000-0000796A0000}"/>
    <cellStyle name="PERCENTAGE 22" xfId="27251" xr:uid="{00000000-0005-0000-0000-00007A6A0000}"/>
    <cellStyle name="PERCENTAGE 23" xfId="27252" xr:uid="{00000000-0005-0000-0000-00007B6A0000}"/>
    <cellStyle name="PERCENTAGE 24" xfId="27253" xr:uid="{00000000-0005-0000-0000-00007C6A0000}"/>
    <cellStyle name="PERCENTAGE 25" xfId="27254" xr:uid="{00000000-0005-0000-0000-00007D6A0000}"/>
    <cellStyle name="PERCENTAGE 26" xfId="27255" xr:uid="{00000000-0005-0000-0000-00007E6A0000}"/>
    <cellStyle name="PERCENTAGE 27" xfId="27256" xr:uid="{00000000-0005-0000-0000-00007F6A0000}"/>
    <cellStyle name="PERCENTAGE 28" xfId="27257" xr:uid="{00000000-0005-0000-0000-0000806A0000}"/>
    <cellStyle name="PERCENTAGE 29" xfId="27258" xr:uid="{00000000-0005-0000-0000-0000816A0000}"/>
    <cellStyle name="PERCENTAGE 3" xfId="27259" xr:uid="{00000000-0005-0000-0000-0000826A0000}"/>
    <cellStyle name="PERCENTAGE 30" xfId="27260" xr:uid="{00000000-0005-0000-0000-0000836A0000}"/>
    <cellStyle name="PERCENTAGE 31" xfId="27261" xr:uid="{00000000-0005-0000-0000-0000846A0000}"/>
    <cellStyle name="PERCENTAGE 32" xfId="27262" xr:uid="{00000000-0005-0000-0000-0000856A0000}"/>
    <cellStyle name="PERCENTAGE 33" xfId="27263" xr:uid="{00000000-0005-0000-0000-0000866A0000}"/>
    <cellStyle name="PERCENTAGE 34" xfId="27264" xr:uid="{00000000-0005-0000-0000-0000876A0000}"/>
    <cellStyle name="PERCENTAGE 35" xfId="27265" xr:uid="{00000000-0005-0000-0000-0000886A0000}"/>
    <cellStyle name="PERCENTAGE 36" xfId="27266" xr:uid="{00000000-0005-0000-0000-0000896A0000}"/>
    <cellStyle name="PERCENTAGE 37" xfId="27267" xr:uid="{00000000-0005-0000-0000-00008A6A0000}"/>
    <cellStyle name="PERCENTAGE 38" xfId="27268" xr:uid="{00000000-0005-0000-0000-00008B6A0000}"/>
    <cellStyle name="PERCENTAGE 39" xfId="27269" xr:uid="{00000000-0005-0000-0000-00008C6A0000}"/>
    <cellStyle name="PERCENTAGE 4" xfId="27270" xr:uid="{00000000-0005-0000-0000-00008D6A0000}"/>
    <cellStyle name="PERCENTAGE 40" xfId="27271" xr:uid="{00000000-0005-0000-0000-00008E6A0000}"/>
    <cellStyle name="PERCENTAGE 41" xfId="27272" xr:uid="{00000000-0005-0000-0000-00008F6A0000}"/>
    <cellStyle name="PERCENTAGE 42" xfId="27273" xr:uid="{00000000-0005-0000-0000-0000906A0000}"/>
    <cellStyle name="PERCENTAGE 5" xfId="27274" xr:uid="{00000000-0005-0000-0000-0000916A0000}"/>
    <cellStyle name="PERCENTAGE 6" xfId="27275" xr:uid="{00000000-0005-0000-0000-0000926A0000}"/>
    <cellStyle name="PERCENTAGE 7" xfId="27276" xr:uid="{00000000-0005-0000-0000-0000936A0000}"/>
    <cellStyle name="PERCENTAGE 8" xfId="27277" xr:uid="{00000000-0005-0000-0000-0000946A0000}"/>
    <cellStyle name="PERCENTAGE 9" xfId="27278" xr:uid="{00000000-0005-0000-0000-0000956A0000}"/>
    <cellStyle name="Percentage_MobileV12" xfId="27279" xr:uid="{00000000-0005-0000-0000-0000966A0000}"/>
    <cellStyle name="PercentSales" xfId="27280" xr:uid="{00000000-0005-0000-0000-0000976A0000}"/>
    <cellStyle name="Porcentaje" xfId="27281" xr:uid="{00000000-0005-0000-0000-0000986A0000}"/>
    <cellStyle name="Porcentaje 2" xfId="27282" xr:uid="{00000000-0005-0000-0000-0000996A0000}"/>
    <cellStyle name="Porcentaje 2 2" xfId="27283" xr:uid="{00000000-0005-0000-0000-00009A6A0000}"/>
    <cellStyle name="Porcentaje 3" xfId="27284" xr:uid="{00000000-0005-0000-0000-00009B6A0000}"/>
    <cellStyle name="Porcentaje 3 2" xfId="27285" xr:uid="{00000000-0005-0000-0000-00009C6A0000}"/>
    <cellStyle name="Porcentaje 4" xfId="27286" xr:uid="{00000000-0005-0000-0000-00009D6A0000}"/>
    <cellStyle name="pourcent" xfId="27287" xr:uid="{00000000-0005-0000-0000-00009E6A0000}"/>
    <cellStyle name="Pourcentage_pldt" xfId="27288" xr:uid="{00000000-0005-0000-0000-00009F6A0000}"/>
    <cellStyle name="Prefilled" xfId="27289" xr:uid="{00000000-0005-0000-0000-0000A06A0000}"/>
    <cellStyle name="Prefilled 10" xfId="27290" xr:uid="{00000000-0005-0000-0000-0000A16A0000}"/>
    <cellStyle name="Prefilled 11" xfId="27291" xr:uid="{00000000-0005-0000-0000-0000A26A0000}"/>
    <cellStyle name="Prefilled 12" xfId="27292" xr:uid="{00000000-0005-0000-0000-0000A36A0000}"/>
    <cellStyle name="Prefilled 13" xfId="27293" xr:uid="{00000000-0005-0000-0000-0000A46A0000}"/>
    <cellStyle name="Prefilled 14" xfId="27294" xr:uid="{00000000-0005-0000-0000-0000A56A0000}"/>
    <cellStyle name="Prefilled 15" xfId="27295" xr:uid="{00000000-0005-0000-0000-0000A66A0000}"/>
    <cellStyle name="Prefilled 16" xfId="27296" xr:uid="{00000000-0005-0000-0000-0000A76A0000}"/>
    <cellStyle name="Prefilled 17" xfId="27297" xr:uid="{00000000-0005-0000-0000-0000A86A0000}"/>
    <cellStyle name="Prefilled 18" xfId="27298" xr:uid="{00000000-0005-0000-0000-0000A96A0000}"/>
    <cellStyle name="Prefilled 19" xfId="27299" xr:uid="{00000000-0005-0000-0000-0000AA6A0000}"/>
    <cellStyle name="Prefilled 2" xfId="27300" xr:uid="{00000000-0005-0000-0000-0000AB6A0000}"/>
    <cellStyle name="Prefilled 2 10" xfId="27301" xr:uid="{00000000-0005-0000-0000-0000AC6A0000}"/>
    <cellStyle name="Prefilled 2 11" xfId="27302" xr:uid="{00000000-0005-0000-0000-0000AD6A0000}"/>
    <cellStyle name="Prefilled 2 12" xfId="27303" xr:uid="{00000000-0005-0000-0000-0000AE6A0000}"/>
    <cellStyle name="Prefilled 2 13" xfId="27304" xr:uid="{00000000-0005-0000-0000-0000AF6A0000}"/>
    <cellStyle name="Prefilled 2 14" xfId="27305" xr:uid="{00000000-0005-0000-0000-0000B06A0000}"/>
    <cellStyle name="Prefilled 2 15" xfId="27306" xr:uid="{00000000-0005-0000-0000-0000B16A0000}"/>
    <cellStyle name="Prefilled 2 16" xfId="27307" xr:uid="{00000000-0005-0000-0000-0000B26A0000}"/>
    <cellStyle name="Prefilled 2 17" xfId="27308" xr:uid="{00000000-0005-0000-0000-0000B36A0000}"/>
    <cellStyle name="Prefilled 2 18" xfId="27309" xr:uid="{00000000-0005-0000-0000-0000B46A0000}"/>
    <cellStyle name="Prefilled 2 19" xfId="27310" xr:uid="{00000000-0005-0000-0000-0000B56A0000}"/>
    <cellStyle name="Prefilled 2 2" xfId="27311" xr:uid="{00000000-0005-0000-0000-0000B66A0000}"/>
    <cellStyle name="Prefilled 2 2 10" xfId="27312" xr:uid="{00000000-0005-0000-0000-0000B76A0000}"/>
    <cellStyle name="Prefilled 2 2 11" xfId="27313" xr:uid="{00000000-0005-0000-0000-0000B86A0000}"/>
    <cellStyle name="Prefilled 2 2 12" xfId="27314" xr:uid="{00000000-0005-0000-0000-0000B96A0000}"/>
    <cellStyle name="Prefilled 2 2 13" xfId="27315" xr:uid="{00000000-0005-0000-0000-0000BA6A0000}"/>
    <cellStyle name="Prefilled 2 2 14" xfId="27316" xr:uid="{00000000-0005-0000-0000-0000BB6A0000}"/>
    <cellStyle name="Prefilled 2 2 15" xfId="27317" xr:uid="{00000000-0005-0000-0000-0000BC6A0000}"/>
    <cellStyle name="Prefilled 2 2 16" xfId="27318" xr:uid="{00000000-0005-0000-0000-0000BD6A0000}"/>
    <cellStyle name="Prefilled 2 2 17" xfId="27319" xr:uid="{00000000-0005-0000-0000-0000BE6A0000}"/>
    <cellStyle name="Prefilled 2 2 18" xfId="27320" xr:uid="{00000000-0005-0000-0000-0000BF6A0000}"/>
    <cellStyle name="Prefilled 2 2 19" xfId="27321" xr:uid="{00000000-0005-0000-0000-0000C06A0000}"/>
    <cellStyle name="Prefilled 2 2 2" xfId="27322" xr:uid="{00000000-0005-0000-0000-0000C16A0000}"/>
    <cellStyle name="Prefilled 2 2 2 10" xfId="27323" xr:uid="{00000000-0005-0000-0000-0000C26A0000}"/>
    <cellStyle name="Prefilled 2 2 2 11" xfId="27324" xr:uid="{00000000-0005-0000-0000-0000C36A0000}"/>
    <cellStyle name="Prefilled 2 2 2 12" xfId="27325" xr:uid="{00000000-0005-0000-0000-0000C46A0000}"/>
    <cellStyle name="Prefilled 2 2 2 13" xfId="27326" xr:uid="{00000000-0005-0000-0000-0000C56A0000}"/>
    <cellStyle name="Prefilled 2 2 2 14" xfId="27327" xr:uid="{00000000-0005-0000-0000-0000C66A0000}"/>
    <cellStyle name="Prefilled 2 2 2 15" xfId="27328" xr:uid="{00000000-0005-0000-0000-0000C76A0000}"/>
    <cellStyle name="Prefilled 2 2 2 16" xfId="27329" xr:uid="{00000000-0005-0000-0000-0000C86A0000}"/>
    <cellStyle name="Prefilled 2 2 2 17" xfId="27330" xr:uid="{00000000-0005-0000-0000-0000C96A0000}"/>
    <cellStyle name="Prefilled 2 2 2 18" xfId="27331" xr:uid="{00000000-0005-0000-0000-0000CA6A0000}"/>
    <cellStyle name="Prefilled 2 2 2 19" xfId="27332" xr:uid="{00000000-0005-0000-0000-0000CB6A0000}"/>
    <cellStyle name="Prefilled 2 2 2 2" xfId="27333" xr:uid="{00000000-0005-0000-0000-0000CC6A0000}"/>
    <cellStyle name="Prefilled 2 2 2 2 2" xfId="27334" xr:uid="{00000000-0005-0000-0000-0000CD6A0000}"/>
    <cellStyle name="Prefilled 2 2 2 2 3" xfId="27335" xr:uid="{00000000-0005-0000-0000-0000CE6A0000}"/>
    <cellStyle name="Prefilled 2 2 2 20" xfId="27336" xr:uid="{00000000-0005-0000-0000-0000CF6A0000}"/>
    <cellStyle name="Prefilled 2 2 2 21" xfId="27337" xr:uid="{00000000-0005-0000-0000-0000D06A0000}"/>
    <cellStyle name="Prefilled 2 2 2 22" xfId="27338" xr:uid="{00000000-0005-0000-0000-0000D16A0000}"/>
    <cellStyle name="Prefilled 2 2 2 23" xfId="27339" xr:uid="{00000000-0005-0000-0000-0000D26A0000}"/>
    <cellStyle name="Prefilled 2 2 2 24" xfId="27340" xr:uid="{00000000-0005-0000-0000-0000D36A0000}"/>
    <cellStyle name="Prefilled 2 2 2 25" xfId="27341" xr:uid="{00000000-0005-0000-0000-0000D46A0000}"/>
    <cellStyle name="Prefilled 2 2 2 26" xfId="27342" xr:uid="{00000000-0005-0000-0000-0000D56A0000}"/>
    <cellStyle name="Prefilled 2 2 2 27" xfId="27343" xr:uid="{00000000-0005-0000-0000-0000D66A0000}"/>
    <cellStyle name="Prefilled 2 2 2 28" xfId="27344" xr:uid="{00000000-0005-0000-0000-0000D76A0000}"/>
    <cellStyle name="Prefilled 2 2 2 29" xfId="27345" xr:uid="{00000000-0005-0000-0000-0000D86A0000}"/>
    <cellStyle name="Prefilled 2 2 2 3" xfId="27346" xr:uid="{00000000-0005-0000-0000-0000D96A0000}"/>
    <cellStyle name="Prefilled 2 2 2 30" xfId="27347" xr:uid="{00000000-0005-0000-0000-0000DA6A0000}"/>
    <cellStyle name="Prefilled 2 2 2 31" xfId="27348" xr:uid="{00000000-0005-0000-0000-0000DB6A0000}"/>
    <cellStyle name="Prefilled 2 2 2 32" xfId="27349" xr:uid="{00000000-0005-0000-0000-0000DC6A0000}"/>
    <cellStyle name="Prefilled 2 2 2 33" xfId="27350" xr:uid="{00000000-0005-0000-0000-0000DD6A0000}"/>
    <cellStyle name="Prefilled 2 2 2 34" xfId="27351" xr:uid="{00000000-0005-0000-0000-0000DE6A0000}"/>
    <cellStyle name="Prefilled 2 2 2 35" xfId="27352" xr:uid="{00000000-0005-0000-0000-0000DF6A0000}"/>
    <cellStyle name="Prefilled 2 2 2 36" xfId="27353" xr:uid="{00000000-0005-0000-0000-0000E06A0000}"/>
    <cellStyle name="Prefilled 2 2 2 4" xfId="27354" xr:uid="{00000000-0005-0000-0000-0000E16A0000}"/>
    <cellStyle name="Prefilled 2 2 2 5" xfId="27355" xr:uid="{00000000-0005-0000-0000-0000E26A0000}"/>
    <cellStyle name="Prefilled 2 2 2 6" xfId="27356" xr:uid="{00000000-0005-0000-0000-0000E36A0000}"/>
    <cellStyle name="Prefilled 2 2 2 7" xfId="27357" xr:uid="{00000000-0005-0000-0000-0000E46A0000}"/>
    <cellStyle name="Prefilled 2 2 2 8" xfId="27358" xr:uid="{00000000-0005-0000-0000-0000E56A0000}"/>
    <cellStyle name="Prefilled 2 2 2 9" xfId="27359" xr:uid="{00000000-0005-0000-0000-0000E66A0000}"/>
    <cellStyle name="Prefilled 2 2 20" xfId="27360" xr:uid="{00000000-0005-0000-0000-0000E76A0000}"/>
    <cellStyle name="Prefilled 2 2 21" xfId="27361" xr:uid="{00000000-0005-0000-0000-0000E86A0000}"/>
    <cellStyle name="Prefilled 2 2 22" xfId="27362" xr:uid="{00000000-0005-0000-0000-0000E96A0000}"/>
    <cellStyle name="Prefilled 2 2 23" xfId="27363" xr:uid="{00000000-0005-0000-0000-0000EA6A0000}"/>
    <cellStyle name="Prefilled 2 2 24" xfId="27364" xr:uid="{00000000-0005-0000-0000-0000EB6A0000}"/>
    <cellStyle name="Prefilled 2 2 25" xfId="27365" xr:uid="{00000000-0005-0000-0000-0000EC6A0000}"/>
    <cellStyle name="Prefilled 2 2 26" xfId="27366" xr:uid="{00000000-0005-0000-0000-0000ED6A0000}"/>
    <cellStyle name="Prefilled 2 2 27" xfId="27367" xr:uid="{00000000-0005-0000-0000-0000EE6A0000}"/>
    <cellStyle name="Prefilled 2 2 28" xfId="27368" xr:uid="{00000000-0005-0000-0000-0000EF6A0000}"/>
    <cellStyle name="Prefilled 2 2 29" xfId="27369" xr:uid="{00000000-0005-0000-0000-0000F06A0000}"/>
    <cellStyle name="Prefilled 2 2 3" xfId="27370" xr:uid="{00000000-0005-0000-0000-0000F16A0000}"/>
    <cellStyle name="Prefilled 2 2 3 2" xfId="27371" xr:uid="{00000000-0005-0000-0000-0000F26A0000}"/>
    <cellStyle name="Prefilled 2 2 3 2 2" xfId="27372" xr:uid="{00000000-0005-0000-0000-0000F36A0000}"/>
    <cellStyle name="Prefilled 2 2 3 2 3" xfId="27373" xr:uid="{00000000-0005-0000-0000-0000F46A0000}"/>
    <cellStyle name="Prefilled 2 2 3 3" xfId="27374" xr:uid="{00000000-0005-0000-0000-0000F56A0000}"/>
    <cellStyle name="Prefilled 2 2 3 3 2" xfId="27375" xr:uid="{00000000-0005-0000-0000-0000F66A0000}"/>
    <cellStyle name="Prefilled 2 2 3 3 3" xfId="27376" xr:uid="{00000000-0005-0000-0000-0000F76A0000}"/>
    <cellStyle name="Prefilled 2 2 3 4" xfId="27377" xr:uid="{00000000-0005-0000-0000-0000F86A0000}"/>
    <cellStyle name="Prefilled 2 2 3 5" xfId="27378" xr:uid="{00000000-0005-0000-0000-0000F96A0000}"/>
    <cellStyle name="Prefilled 2 2 30" xfId="27379" xr:uid="{00000000-0005-0000-0000-0000FA6A0000}"/>
    <cellStyle name="Prefilled 2 2 31" xfId="27380" xr:uid="{00000000-0005-0000-0000-0000FB6A0000}"/>
    <cellStyle name="Prefilled 2 2 32" xfId="27381" xr:uid="{00000000-0005-0000-0000-0000FC6A0000}"/>
    <cellStyle name="Prefilled 2 2 33" xfId="27382" xr:uid="{00000000-0005-0000-0000-0000FD6A0000}"/>
    <cellStyle name="Prefilled 2 2 34" xfId="27383" xr:uid="{00000000-0005-0000-0000-0000FE6A0000}"/>
    <cellStyle name="Prefilled 2 2 35" xfId="27384" xr:uid="{00000000-0005-0000-0000-0000FF6A0000}"/>
    <cellStyle name="Prefilled 2 2 36" xfId="27385" xr:uid="{00000000-0005-0000-0000-0000006B0000}"/>
    <cellStyle name="Prefilled 2 2 4" xfId="27386" xr:uid="{00000000-0005-0000-0000-0000016B0000}"/>
    <cellStyle name="Prefilled 2 2 4 2" xfId="27387" xr:uid="{00000000-0005-0000-0000-0000026B0000}"/>
    <cellStyle name="Prefilled 2 2 4 2 2" xfId="27388" xr:uid="{00000000-0005-0000-0000-0000036B0000}"/>
    <cellStyle name="Prefilled 2 2 4 2 3" xfId="27389" xr:uid="{00000000-0005-0000-0000-0000046B0000}"/>
    <cellStyle name="Prefilled 2 2 4 3" xfId="27390" xr:uid="{00000000-0005-0000-0000-0000056B0000}"/>
    <cellStyle name="Prefilled 2 2 4 3 2" xfId="27391" xr:uid="{00000000-0005-0000-0000-0000066B0000}"/>
    <cellStyle name="Prefilled 2 2 4 3 3" xfId="27392" xr:uid="{00000000-0005-0000-0000-0000076B0000}"/>
    <cellStyle name="Prefilled 2 2 4 4" xfId="27393" xr:uid="{00000000-0005-0000-0000-0000086B0000}"/>
    <cellStyle name="Prefilled 2 2 4 5" xfId="27394" xr:uid="{00000000-0005-0000-0000-0000096B0000}"/>
    <cellStyle name="Prefilled 2 2 5" xfId="27395" xr:uid="{00000000-0005-0000-0000-00000A6B0000}"/>
    <cellStyle name="Prefilled 2 2 5 2" xfId="27396" xr:uid="{00000000-0005-0000-0000-00000B6B0000}"/>
    <cellStyle name="Prefilled 2 2 5 3" xfId="27397" xr:uid="{00000000-0005-0000-0000-00000C6B0000}"/>
    <cellStyle name="Prefilled 2 2 6" xfId="27398" xr:uid="{00000000-0005-0000-0000-00000D6B0000}"/>
    <cellStyle name="Prefilled 2 2 7" xfId="27399" xr:uid="{00000000-0005-0000-0000-00000E6B0000}"/>
    <cellStyle name="Prefilled 2 2 8" xfId="27400" xr:uid="{00000000-0005-0000-0000-00000F6B0000}"/>
    <cellStyle name="Prefilled 2 2 9" xfId="27401" xr:uid="{00000000-0005-0000-0000-0000106B0000}"/>
    <cellStyle name="Prefilled 2 20" xfId="27402" xr:uid="{00000000-0005-0000-0000-0000116B0000}"/>
    <cellStyle name="Prefilled 2 21" xfId="27403" xr:uid="{00000000-0005-0000-0000-0000126B0000}"/>
    <cellStyle name="Prefilled 2 22" xfId="27404" xr:uid="{00000000-0005-0000-0000-0000136B0000}"/>
    <cellStyle name="Prefilled 2 23" xfId="27405" xr:uid="{00000000-0005-0000-0000-0000146B0000}"/>
    <cellStyle name="Prefilled 2 24" xfId="27406" xr:uid="{00000000-0005-0000-0000-0000156B0000}"/>
    <cellStyle name="Prefilled 2 25" xfId="27407" xr:uid="{00000000-0005-0000-0000-0000166B0000}"/>
    <cellStyle name="Prefilled 2 26" xfId="27408" xr:uid="{00000000-0005-0000-0000-0000176B0000}"/>
    <cellStyle name="Prefilled 2 27" xfId="27409" xr:uid="{00000000-0005-0000-0000-0000186B0000}"/>
    <cellStyle name="Prefilled 2 28" xfId="27410" xr:uid="{00000000-0005-0000-0000-0000196B0000}"/>
    <cellStyle name="Prefilled 2 29" xfId="27411" xr:uid="{00000000-0005-0000-0000-00001A6B0000}"/>
    <cellStyle name="Prefilled 2 3" xfId="27412" xr:uid="{00000000-0005-0000-0000-00001B6B0000}"/>
    <cellStyle name="Prefilled 2 3 10" xfId="27413" xr:uid="{00000000-0005-0000-0000-00001C6B0000}"/>
    <cellStyle name="Prefilled 2 3 11" xfId="27414" xr:uid="{00000000-0005-0000-0000-00001D6B0000}"/>
    <cellStyle name="Prefilled 2 3 12" xfId="27415" xr:uid="{00000000-0005-0000-0000-00001E6B0000}"/>
    <cellStyle name="Prefilled 2 3 13" xfId="27416" xr:uid="{00000000-0005-0000-0000-00001F6B0000}"/>
    <cellStyle name="Prefilled 2 3 14" xfId="27417" xr:uid="{00000000-0005-0000-0000-0000206B0000}"/>
    <cellStyle name="Prefilled 2 3 15" xfId="27418" xr:uid="{00000000-0005-0000-0000-0000216B0000}"/>
    <cellStyle name="Prefilled 2 3 16" xfId="27419" xr:uid="{00000000-0005-0000-0000-0000226B0000}"/>
    <cellStyle name="Prefilled 2 3 17" xfId="27420" xr:uid="{00000000-0005-0000-0000-0000236B0000}"/>
    <cellStyle name="Prefilled 2 3 18" xfId="27421" xr:uid="{00000000-0005-0000-0000-0000246B0000}"/>
    <cellStyle name="Prefilled 2 3 19" xfId="27422" xr:uid="{00000000-0005-0000-0000-0000256B0000}"/>
    <cellStyle name="Prefilled 2 3 2" xfId="27423" xr:uid="{00000000-0005-0000-0000-0000266B0000}"/>
    <cellStyle name="Prefilled 2 3 2 2" xfId="27424" xr:uid="{00000000-0005-0000-0000-0000276B0000}"/>
    <cellStyle name="Prefilled 2 3 2 3" xfId="27425" xr:uid="{00000000-0005-0000-0000-0000286B0000}"/>
    <cellStyle name="Prefilled 2 3 20" xfId="27426" xr:uid="{00000000-0005-0000-0000-0000296B0000}"/>
    <cellStyle name="Prefilled 2 3 21" xfId="27427" xr:uid="{00000000-0005-0000-0000-00002A6B0000}"/>
    <cellStyle name="Prefilled 2 3 22" xfId="27428" xr:uid="{00000000-0005-0000-0000-00002B6B0000}"/>
    <cellStyle name="Prefilled 2 3 23" xfId="27429" xr:uid="{00000000-0005-0000-0000-00002C6B0000}"/>
    <cellStyle name="Prefilled 2 3 24" xfId="27430" xr:uid="{00000000-0005-0000-0000-00002D6B0000}"/>
    <cellStyle name="Prefilled 2 3 25" xfId="27431" xr:uid="{00000000-0005-0000-0000-00002E6B0000}"/>
    <cellStyle name="Prefilled 2 3 26" xfId="27432" xr:uid="{00000000-0005-0000-0000-00002F6B0000}"/>
    <cellStyle name="Prefilled 2 3 27" xfId="27433" xr:uid="{00000000-0005-0000-0000-0000306B0000}"/>
    <cellStyle name="Prefilled 2 3 28" xfId="27434" xr:uid="{00000000-0005-0000-0000-0000316B0000}"/>
    <cellStyle name="Prefilled 2 3 29" xfId="27435" xr:uid="{00000000-0005-0000-0000-0000326B0000}"/>
    <cellStyle name="Prefilled 2 3 3" xfId="27436" xr:uid="{00000000-0005-0000-0000-0000336B0000}"/>
    <cellStyle name="Prefilled 2 3 30" xfId="27437" xr:uid="{00000000-0005-0000-0000-0000346B0000}"/>
    <cellStyle name="Prefilled 2 3 31" xfId="27438" xr:uid="{00000000-0005-0000-0000-0000356B0000}"/>
    <cellStyle name="Prefilled 2 3 32" xfId="27439" xr:uid="{00000000-0005-0000-0000-0000366B0000}"/>
    <cellStyle name="Prefilled 2 3 33" xfId="27440" xr:uid="{00000000-0005-0000-0000-0000376B0000}"/>
    <cellStyle name="Prefilled 2 3 34" xfId="27441" xr:uid="{00000000-0005-0000-0000-0000386B0000}"/>
    <cellStyle name="Prefilled 2 3 35" xfId="27442" xr:uid="{00000000-0005-0000-0000-0000396B0000}"/>
    <cellStyle name="Prefilled 2 3 36" xfId="27443" xr:uid="{00000000-0005-0000-0000-00003A6B0000}"/>
    <cellStyle name="Prefilled 2 3 4" xfId="27444" xr:uid="{00000000-0005-0000-0000-00003B6B0000}"/>
    <cellStyle name="Prefilled 2 3 5" xfId="27445" xr:uid="{00000000-0005-0000-0000-00003C6B0000}"/>
    <cellStyle name="Prefilled 2 3 6" xfId="27446" xr:uid="{00000000-0005-0000-0000-00003D6B0000}"/>
    <cellStyle name="Prefilled 2 3 7" xfId="27447" xr:uid="{00000000-0005-0000-0000-00003E6B0000}"/>
    <cellStyle name="Prefilled 2 3 8" xfId="27448" xr:uid="{00000000-0005-0000-0000-00003F6B0000}"/>
    <cellStyle name="Prefilled 2 3 9" xfId="27449" xr:uid="{00000000-0005-0000-0000-0000406B0000}"/>
    <cellStyle name="Prefilled 2 30" xfId="27450" xr:uid="{00000000-0005-0000-0000-0000416B0000}"/>
    <cellStyle name="Prefilled 2 31" xfId="27451" xr:uid="{00000000-0005-0000-0000-0000426B0000}"/>
    <cellStyle name="Prefilled 2 32" xfId="27452" xr:uid="{00000000-0005-0000-0000-0000436B0000}"/>
    <cellStyle name="Prefilled 2 33" xfId="27453" xr:uid="{00000000-0005-0000-0000-0000446B0000}"/>
    <cellStyle name="Prefilled 2 34" xfId="27454" xr:uid="{00000000-0005-0000-0000-0000456B0000}"/>
    <cellStyle name="Prefilled 2 35" xfId="27455" xr:uid="{00000000-0005-0000-0000-0000466B0000}"/>
    <cellStyle name="Prefilled 2 36" xfId="27456" xr:uid="{00000000-0005-0000-0000-0000476B0000}"/>
    <cellStyle name="Prefilled 2 37" xfId="27457" xr:uid="{00000000-0005-0000-0000-0000486B0000}"/>
    <cellStyle name="Prefilled 2 4" xfId="27458" xr:uid="{00000000-0005-0000-0000-0000496B0000}"/>
    <cellStyle name="Prefilled 2 4 2" xfId="27459" xr:uid="{00000000-0005-0000-0000-00004A6B0000}"/>
    <cellStyle name="Prefilled 2 4 2 2" xfId="27460" xr:uid="{00000000-0005-0000-0000-00004B6B0000}"/>
    <cellStyle name="Prefilled 2 4 2 3" xfId="27461" xr:uid="{00000000-0005-0000-0000-00004C6B0000}"/>
    <cellStyle name="Prefilled 2 4 3" xfId="27462" xr:uid="{00000000-0005-0000-0000-00004D6B0000}"/>
    <cellStyle name="Prefilled 2 4 3 2" xfId="27463" xr:uid="{00000000-0005-0000-0000-00004E6B0000}"/>
    <cellStyle name="Prefilled 2 4 3 3" xfId="27464" xr:uid="{00000000-0005-0000-0000-00004F6B0000}"/>
    <cellStyle name="Prefilled 2 4 4" xfId="27465" xr:uid="{00000000-0005-0000-0000-0000506B0000}"/>
    <cellStyle name="Prefilled 2 4 5" xfId="27466" xr:uid="{00000000-0005-0000-0000-0000516B0000}"/>
    <cellStyle name="Prefilled 2 5" xfId="27467" xr:uid="{00000000-0005-0000-0000-0000526B0000}"/>
    <cellStyle name="Prefilled 2 5 2" xfId="27468" xr:uid="{00000000-0005-0000-0000-0000536B0000}"/>
    <cellStyle name="Prefilled 2 5 2 2" xfId="27469" xr:uid="{00000000-0005-0000-0000-0000546B0000}"/>
    <cellStyle name="Prefilled 2 5 2 3" xfId="27470" xr:uid="{00000000-0005-0000-0000-0000556B0000}"/>
    <cellStyle name="Prefilled 2 5 3" xfId="27471" xr:uid="{00000000-0005-0000-0000-0000566B0000}"/>
    <cellStyle name="Prefilled 2 5 3 2" xfId="27472" xr:uid="{00000000-0005-0000-0000-0000576B0000}"/>
    <cellStyle name="Prefilled 2 5 3 3" xfId="27473" xr:uid="{00000000-0005-0000-0000-0000586B0000}"/>
    <cellStyle name="Prefilled 2 5 4" xfId="27474" xr:uid="{00000000-0005-0000-0000-0000596B0000}"/>
    <cellStyle name="Prefilled 2 5 5" xfId="27475" xr:uid="{00000000-0005-0000-0000-00005A6B0000}"/>
    <cellStyle name="Prefilled 2 6" xfId="27476" xr:uid="{00000000-0005-0000-0000-00005B6B0000}"/>
    <cellStyle name="Prefilled 2 6 2" xfId="27477" xr:uid="{00000000-0005-0000-0000-00005C6B0000}"/>
    <cellStyle name="Prefilled 2 6 3" xfId="27478" xr:uid="{00000000-0005-0000-0000-00005D6B0000}"/>
    <cellStyle name="Prefilled 2 7" xfId="27479" xr:uid="{00000000-0005-0000-0000-00005E6B0000}"/>
    <cellStyle name="Prefilled 2 8" xfId="27480" xr:uid="{00000000-0005-0000-0000-00005F6B0000}"/>
    <cellStyle name="Prefilled 2 9" xfId="27481" xr:uid="{00000000-0005-0000-0000-0000606B0000}"/>
    <cellStyle name="Prefilled 20" xfId="27482" xr:uid="{00000000-0005-0000-0000-0000616B0000}"/>
    <cellStyle name="Prefilled 21" xfId="27483" xr:uid="{00000000-0005-0000-0000-0000626B0000}"/>
    <cellStyle name="Prefilled 22" xfId="27484" xr:uid="{00000000-0005-0000-0000-0000636B0000}"/>
    <cellStyle name="Prefilled 23" xfId="27485" xr:uid="{00000000-0005-0000-0000-0000646B0000}"/>
    <cellStyle name="Prefilled 24" xfId="27486" xr:uid="{00000000-0005-0000-0000-0000656B0000}"/>
    <cellStyle name="Prefilled 25" xfId="27487" xr:uid="{00000000-0005-0000-0000-0000666B0000}"/>
    <cellStyle name="Prefilled 26" xfId="27488" xr:uid="{00000000-0005-0000-0000-0000676B0000}"/>
    <cellStyle name="Prefilled 27" xfId="27489" xr:uid="{00000000-0005-0000-0000-0000686B0000}"/>
    <cellStyle name="Prefilled 28" xfId="27490" xr:uid="{00000000-0005-0000-0000-0000696B0000}"/>
    <cellStyle name="Prefilled 29" xfId="27491" xr:uid="{00000000-0005-0000-0000-00006A6B0000}"/>
    <cellStyle name="Prefilled 3" xfId="27492" xr:uid="{00000000-0005-0000-0000-00006B6B0000}"/>
    <cellStyle name="Prefilled 3 10" xfId="27493" xr:uid="{00000000-0005-0000-0000-00006C6B0000}"/>
    <cellStyle name="Prefilled 3 11" xfId="27494" xr:uid="{00000000-0005-0000-0000-00006D6B0000}"/>
    <cellStyle name="Prefilled 3 12" xfId="27495" xr:uid="{00000000-0005-0000-0000-00006E6B0000}"/>
    <cellStyle name="Prefilled 3 13" xfId="27496" xr:uid="{00000000-0005-0000-0000-00006F6B0000}"/>
    <cellStyle name="Prefilled 3 14" xfId="27497" xr:uid="{00000000-0005-0000-0000-0000706B0000}"/>
    <cellStyle name="Prefilled 3 15" xfId="27498" xr:uid="{00000000-0005-0000-0000-0000716B0000}"/>
    <cellStyle name="Prefilled 3 16" xfId="27499" xr:uid="{00000000-0005-0000-0000-0000726B0000}"/>
    <cellStyle name="Prefilled 3 17" xfId="27500" xr:uid="{00000000-0005-0000-0000-0000736B0000}"/>
    <cellStyle name="Prefilled 3 18" xfId="27501" xr:uid="{00000000-0005-0000-0000-0000746B0000}"/>
    <cellStyle name="Prefilled 3 19" xfId="27502" xr:uid="{00000000-0005-0000-0000-0000756B0000}"/>
    <cellStyle name="Prefilled 3 2" xfId="27503" xr:uid="{00000000-0005-0000-0000-0000766B0000}"/>
    <cellStyle name="Prefilled 3 2 10" xfId="27504" xr:uid="{00000000-0005-0000-0000-0000776B0000}"/>
    <cellStyle name="Prefilled 3 2 11" xfId="27505" xr:uid="{00000000-0005-0000-0000-0000786B0000}"/>
    <cellStyle name="Prefilled 3 2 12" xfId="27506" xr:uid="{00000000-0005-0000-0000-0000796B0000}"/>
    <cellStyle name="Prefilled 3 2 13" xfId="27507" xr:uid="{00000000-0005-0000-0000-00007A6B0000}"/>
    <cellStyle name="Prefilled 3 2 14" xfId="27508" xr:uid="{00000000-0005-0000-0000-00007B6B0000}"/>
    <cellStyle name="Prefilled 3 2 15" xfId="27509" xr:uid="{00000000-0005-0000-0000-00007C6B0000}"/>
    <cellStyle name="Prefilled 3 2 16" xfId="27510" xr:uid="{00000000-0005-0000-0000-00007D6B0000}"/>
    <cellStyle name="Prefilled 3 2 17" xfId="27511" xr:uid="{00000000-0005-0000-0000-00007E6B0000}"/>
    <cellStyle name="Prefilled 3 2 18" xfId="27512" xr:uid="{00000000-0005-0000-0000-00007F6B0000}"/>
    <cellStyle name="Prefilled 3 2 19" xfId="27513" xr:uid="{00000000-0005-0000-0000-0000806B0000}"/>
    <cellStyle name="Prefilled 3 2 2" xfId="27514" xr:uid="{00000000-0005-0000-0000-0000816B0000}"/>
    <cellStyle name="Prefilled 3 2 2 2" xfId="27515" xr:uid="{00000000-0005-0000-0000-0000826B0000}"/>
    <cellStyle name="Prefilled 3 2 2 3" xfId="27516" xr:uid="{00000000-0005-0000-0000-0000836B0000}"/>
    <cellStyle name="Prefilled 3 2 20" xfId="27517" xr:uid="{00000000-0005-0000-0000-0000846B0000}"/>
    <cellStyle name="Prefilled 3 2 21" xfId="27518" xr:uid="{00000000-0005-0000-0000-0000856B0000}"/>
    <cellStyle name="Prefilled 3 2 22" xfId="27519" xr:uid="{00000000-0005-0000-0000-0000866B0000}"/>
    <cellStyle name="Prefilled 3 2 23" xfId="27520" xr:uid="{00000000-0005-0000-0000-0000876B0000}"/>
    <cellStyle name="Prefilled 3 2 24" xfId="27521" xr:uid="{00000000-0005-0000-0000-0000886B0000}"/>
    <cellStyle name="Prefilled 3 2 25" xfId="27522" xr:uid="{00000000-0005-0000-0000-0000896B0000}"/>
    <cellStyle name="Prefilled 3 2 26" xfId="27523" xr:uid="{00000000-0005-0000-0000-00008A6B0000}"/>
    <cellStyle name="Prefilled 3 2 27" xfId="27524" xr:uid="{00000000-0005-0000-0000-00008B6B0000}"/>
    <cellStyle name="Prefilled 3 2 28" xfId="27525" xr:uid="{00000000-0005-0000-0000-00008C6B0000}"/>
    <cellStyle name="Prefilled 3 2 29" xfId="27526" xr:uid="{00000000-0005-0000-0000-00008D6B0000}"/>
    <cellStyle name="Prefilled 3 2 3" xfId="27527" xr:uid="{00000000-0005-0000-0000-00008E6B0000}"/>
    <cellStyle name="Prefilled 3 2 30" xfId="27528" xr:uid="{00000000-0005-0000-0000-00008F6B0000}"/>
    <cellStyle name="Prefilled 3 2 31" xfId="27529" xr:uid="{00000000-0005-0000-0000-0000906B0000}"/>
    <cellStyle name="Prefilled 3 2 32" xfId="27530" xr:uid="{00000000-0005-0000-0000-0000916B0000}"/>
    <cellStyle name="Prefilled 3 2 33" xfId="27531" xr:uid="{00000000-0005-0000-0000-0000926B0000}"/>
    <cellStyle name="Prefilled 3 2 34" xfId="27532" xr:uid="{00000000-0005-0000-0000-0000936B0000}"/>
    <cellStyle name="Prefilled 3 2 35" xfId="27533" xr:uid="{00000000-0005-0000-0000-0000946B0000}"/>
    <cellStyle name="Prefilled 3 2 36" xfId="27534" xr:uid="{00000000-0005-0000-0000-0000956B0000}"/>
    <cellStyle name="Prefilled 3 2 4" xfId="27535" xr:uid="{00000000-0005-0000-0000-0000966B0000}"/>
    <cellStyle name="Prefilled 3 2 5" xfId="27536" xr:uid="{00000000-0005-0000-0000-0000976B0000}"/>
    <cellStyle name="Prefilled 3 2 6" xfId="27537" xr:uid="{00000000-0005-0000-0000-0000986B0000}"/>
    <cellStyle name="Prefilled 3 2 7" xfId="27538" xr:uid="{00000000-0005-0000-0000-0000996B0000}"/>
    <cellStyle name="Prefilled 3 2 8" xfId="27539" xr:uid="{00000000-0005-0000-0000-00009A6B0000}"/>
    <cellStyle name="Prefilled 3 2 9" xfId="27540" xr:uid="{00000000-0005-0000-0000-00009B6B0000}"/>
    <cellStyle name="Prefilled 3 20" xfId="27541" xr:uid="{00000000-0005-0000-0000-00009C6B0000}"/>
    <cellStyle name="Prefilled 3 21" xfId="27542" xr:uid="{00000000-0005-0000-0000-00009D6B0000}"/>
    <cellStyle name="Prefilled 3 22" xfId="27543" xr:uid="{00000000-0005-0000-0000-00009E6B0000}"/>
    <cellStyle name="Prefilled 3 23" xfId="27544" xr:uid="{00000000-0005-0000-0000-00009F6B0000}"/>
    <cellStyle name="Prefilled 3 24" xfId="27545" xr:uid="{00000000-0005-0000-0000-0000A06B0000}"/>
    <cellStyle name="Prefilled 3 25" xfId="27546" xr:uid="{00000000-0005-0000-0000-0000A16B0000}"/>
    <cellStyle name="Prefilled 3 26" xfId="27547" xr:uid="{00000000-0005-0000-0000-0000A26B0000}"/>
    <cellStyle name="Prefilled 3 27" xfId="27548" xr:uid="{00000000-0005-0000-0000-0000A36B0000}"/>
    <cellStyle name="Prefilled 3 28" xfId="27549" xr:uid="{00000000-0005-0000-0000-0000A46B0000}"/>
    <cellStyle name="Prefilled 3 29" xfId="27550" xr:uid="{00000000-0005-0000-0000-0000A56B0000}"/>
    <cellStyle name="Prefilled 3 3" xfId="27551" xr:uid="{00000000-0005-0000-0000-0000A66B0000}"/>
    <cellStyle name="Prefilled 3 3 2" xfId="27552" xr:uid="{00000000-0005-0000-0000-0000A76B0000}"/>
    <cellStyle name="Prefilled 3 3 2 2" xfId="27553" xr:uid="{00000000-0005-0000-0000-0000A86B0000}"/>
    <cellStyle name="Prefilled 3 3 2 3" xfId="27554" xr:uid="{00000000-0005-0000-0000-0000A96B0000}"/>
    <cellStyle name="Prefilled 3 3 3" xfId="27555" xr:uid="{00000000-0005-0000-0000-0000AA6B0000}"/>
    <cellStyle name="Prefilled 3 3 3 2" xfId="27556" xr:uid="{00000000-0005-0000-0000-0000AB6B0000}"/>
    <cellStyle name="Prefilled 3 3 3 3" xfId="27557" xr:uid="{00000000-0005-0000-0000-0000AC6B0000}"/>
    <cellStyle name="Prefilled 3 3 4" xfId="27558" xr:uid="{00000000-0005-0000-0000-0000AD6B0000}"/>
    <cellStyle name="Prefilled 3 3 5" xfId="27559" xr:uid="{00000000-0005-0000-0000-0000AE6B0000}"/>
    <cellStyle name="Prefilled 3 30" xfId="27560" xr:uid="{00000000-0005-0000-0000-0000AF6B0000}"/>
    <cellStyle name="Prefilled 3 31" xfId="27561" xr:uid="{00000000-0005-0000-0000-0000B06B0000}"/>
    <cellStyle name="Prefilled 3 32" xfId="27562" xr:uid="{00000000-0005-0000-0000-0000B16B0000}"/>
    <cellStyle name="Prefilled 3 33" xfId="27563" xr:uid="{00000000-0005-0000-0000-0000B26B0000}"/>
    <cellStyle name="Prefilled 3 34" xfId="27564" xr:uid="{00000000-0005-0000-0000-0000B36B0000}"/>
    <cellStyle name="Prefilled 3 35" xfId="27565" xr:uid="{00000000-0005-0000-0000-0000B46B0000}"/>
    <cellStyle name="Prefilled 3 36" xfId="27566" xr:uid="{00000000-0005-0000-0000-0000B56B0000}"/>
    <cellStyle name="Prefilled 3 4" xfId="27567" xr:uid="{00000000-0005-0000-0000-0000B66B0000}"/>
    <cellStyle name="Prefilled 3 4 2" xfId="27568" xr:uid="{00000000-0005-0000-0000-0000B76B0000}"/>
    <cellStyle name="Prefilled 3 4 2 2" xfId="27569" xr:uid="{00000000-0005-0000-0000-0000B86B0000}"/>
    <cellStyle name="Prefilled 3 4 2 3" xfId="27570" xr:uid="{00000000-0005-0000-0000-0000B96B0000}"/>
    <cellStyle name="Prefilled 3 4 3" xfId="27571" xr:uid="{00000000-0005-0000-0000-0000BA6B0000}"/>
    <cellStyle name="Prefilled 3 4 3 2" xfId="27572" xr:uid="{00000000-0005-0000-0000-0000BB6B0000}"/>
    <cellStyle name="Prefilled 3 4 3 3" xfId="27573" xr:uid="{00000000-0005-0000-0000-0000BC6B0000}"/>
    <cellStyle name="Prefilled 3 4 4" xfId="27574" xr:uid="{00000000-0005-0000-0000-0000BD6B0000}"/>
    <cellStyle name="Prefilled 3 4 5" xfId="27575" xr:uid="{00000000-0005-0000-0000-0000BE6B0000}"/>
    <cellStyle name="Prefilled 3 5" xfId="27576" xr:uid="{00000000-0005-0000-0000-0000BF6B0000}"/>
    <cellStyle name="Prefilled 3 5 2" xfId="27577" xr:uid="{00000000-0005-0000-0000-0000C06B0000}"/>
    <cellStyle name="Prefilled 3 5 3" xfId="27578" xr:uid="{00000000-0005-0000-0000-0000C16B0000}"/>
    <cellStyle name="Prefilled 3 6" xfId="27579" xr:uid="{00000000-0005-0000-0000-0000C26B0000}"/>
    <cellStyle name="Prefilled 3 7" xfId="27580" xr:uid="{00000000-0005-0000-0000-0000C36B0000}"/>
    <cellStyle name="Prefilled 3 8" xfId="27581" xr:uid="{00000000-0005-0000-0000-0000C46B0000}"/>
    <cellStyle name="Prefilled 3 9" xfId="27582" xr:uid="{00000000-0005-0000-0000-0000C56B0000}"/>
    <cellStyle name="Prefilled 30" xfId="27583" xr:uid="{00000000-0005-0000-0000-0000C66B0000}"/>
    <cellStyle name="Prefilled 31" xfId="27584" xr:uid="{00000000-0005-0000-0000-0000C76B0000}"/>
    <cellStyle name="Prefilled 32" xfId="27585" xr:uid="{00000000-0005-0000-0000-0000C86B0000}"/>
    <cellStyle name="Prefilled 33" xfId="27586" xr:uid="{00000000-0005-0000-0000-0000C96B0000}"/>
    <cellStyle name="Prefilled 34" xfId="27587" xr:uid="{00000000-0005-0000-0000-0000CA6B0000}"/>
    <cellStyle name="Prefilled 35" xfId="27588" xr:uid="{00000000-0005-0000-0000-0000CB6B0000}"/>
    <cellStyle name="Prefilled 36" xfId="27589" xr:uid="{00000000-0005-0000-0000-0000CC6B0000}"/>
    <cellStyle name="Prefilled 37" xfId="27590" xr:uid="{00000000-0005-0000-0000-0000CD6B0000}"/>
    <cellStyle name="Prefilled 38" xfId="27591" xr:uid="{00000000-0005-0000-0000-0000CE6B0000}"/>
    <cellStyle name="Prefilled 4" xfId="27592" xr:uid="{00000000-0005-0000-0000-0000CF6B0000}"/>
    <cellStyle name="Prefilled 4 10" xfId="27593" xr:uid="{00000000-0005-0000-0000-0000D06B0000}"/>
    <cellStyle name="Prefilled 4 11" xfId="27594" xr:uid="{00000000-0005-0000-0000-0000D16B0000}"/>
    <cellStyle name="Prefilled 4 12" xfId="27595" xr:uid="{00000000-0005-0000-0000-0000D26B0000}"/>
    <cellStyle name="Prefilled 4 13" xfId="27596" xr:uid="{00000000-0005-0000-0000-0000D36B0000}"/>
    <cellStyle name="Prefilled 4 14" xfId="27597" xr:uid="{00000000-0005-0000-0000-0000D46B0000}"/>
    <cellStyle name="Prefilled 4 15" xfId="27598" xr:uid="{00000000-0005-0000-0000-0000D56B0000}"/>
    <cellStyle name="Prefilled 4 16" xfId="27599" xr:uid="{00000000-0005-0000-0000-0000D66B0000}"/>
    <cellStyle name="Prefilled 4 17" xfId="27600" xr:uid="{00000000-0005-0000-0000-0000D76B0000}"/>
    <cellStyle name="Prefilled 4 18" xfId="27601" xr:uid="{00000000-0005-0000-0000-0000D86B0000}"/>
    <cellStyle name="Prefilled 4 19" xfId="27602" xr:uid="{00000000-0005-0000-0000-0000D96B0000}"/>
    <cellStyle name="Prefilled 4 2" xfId="27603" xr:uid="{00000000-0005-0000-0000-0000DA6B0000}"/>
    <cellStyle name="Prefilled 4 2 2" xfId="27604" xr:uid="{00000000-0005-0000-0000-0000DB6B0000}"/>
    <cellStyle name="Prefilled 4 2 3" xfId="27605" xr:uid="{00000000-0005-0000-0000-0000DC6B0000}"/>
    <cellStyle name="Prefilled 4 20" xfId="27606" xr:uid="{00000000-0005-0000-0000-0000DD6B0000}"/>
    <cellStyle name="Prefilled 4 21" xfId="27607" xr:uid="{00000000-0005-0000-0000-0000DE6B0000}"/>
    <cellStyle name="Prefilled 4 22" xfId="27608" xr:uid="{00000000-0005-0000-0000-0000DF6B0000}"/>
    <cellStyle name="Prefilled 4 23" xfId="27609" xr:uid="{00000000-0005-0000-0000-0000E06B0000}"/>
    <cellStyle name="Prefilled 4 24" xfId="27610" xr:uid="{00000000-0005-0000-0000-0000E16B0000}"/>
    <cellStyle name="Prefilled 4 25" xfId="27611" xr:uid="{00000000-0005-0000-0000-0000E26B0000}"/>
    <cellStyle name="Prefilled 4 26" xfId="27612" xr:uid="{00000000-0005-0000-0000-0000E36B0000}"/>
    <cellStyle name="Prefilled 4 27" xfId="27613" xr:uid="{00000000-0005-0000-0000-0000E46B0000}"/>
    <cellStyle name="Prefilled 4 28" xfId="27614" xr:uid="{00000000-0005-0000-0000-0000E56B0000}"/>
    <cellStyle name="Prefilled 4 29" xfId="27615" xr:uid="{00000000-0005-0000-0000-0000E66B0000}"/>
    <cellStyle name="Prefilled 4 3" xfId="27616" xr:uid="{00000000-0005-0000-0000-0000E76B0000}"/>
    <cellStyle name="Prefilled 4 30" xfId="27617" xr:uid="{00000000-0005-0000-0000-0000E86B0000}"/>
    <cellStyle name="Prefilled 4 31" xfId="27618" xr:uid="{00000000-0005-0000-0000-0000E96B0000}"/>
    <cellStyle name="Prefilled 4 32" xfId="27619" xr:uid="{00000000-0005-0000-0000-0000EA6B0000}"/>
    <cellStyle name="Prefilled 4 33" xfId="27620" xr:uid="{00000000-0005-0000-0000-0000EB6B0000}"/>
    <cellStyle name="Prefilled 4 34" xfId="27621" xr:uid="{00000000-0005-0000-0000-0000EC6B0000}"/>
    <cellStyle name="Prefilled 4 35" xfId="27622" xr:uid="{00000000-0005-0000-0000-0000ED6B0000}"/>
    <cellStyle name="Prefilled 4 36" xfId="27623" xr:uid="{00000000-0005-0000-0000-0000EE6B0000}"/>
    <cellStyle name="Prefilled 4 4" xfId="27624" xr:uid="{00000000-0005-0000-0000-0000EF6B0000}"/>
    <cellStyle name="Prefilled 4 5" xfId="27625" xr:uid="{00000000-0005-0000-0000-0000F06B0000}"/>
    <cellStyle name="Prefilled 4 6" xfId="27626" xr:uid="{00000000-0005-0000-0000-0000F16B0000}"/>
    <cellStyle name="Prefilled 4 7" xfId="27627" xr:uid="{00000000-0005-0000-0000-0000F26B0000}"/>
    <cellStyle name="Prefilled 4 8" xfId="27628" xr:uid="{00000000-0005-0000-0000-0000F36B0000}"/>
    <cellStyle name="Prefilled 4 9" xfId="27629" xr:uid="{00000000-0005-0000-0000-0000F46B0000}"/>
    <cellStyle name="Prefilled 5" xfId="27630" xr:uid="{00000000-0005-0000-0000-0000F56B0000}"/>
    <cellStyle name="Prefilled 5 2" xfId="27631" xr:uid="{00000000-0005-0000-0000-0000F66B0000}"/>
    <cellStyle name="Prefilled 5 2 2" xfId="27632" xr:uid="{00000000-0005-0000-0000-0000F76B0000}"/>
    <cellStyle name="Prefilled 5 2 3" xfId="27633" xr:uid="{00000000-0005-0000-0000-0000F86B0000}"/>
    <cellStyle name="Prefilled 5 3" xfId="27634" xr:uid="{00000000-0005-0000-0000-0000F96B0000}"/>
    <cellStyle name="Prefilled 5 3 2" xfId="27635" xr:uid="{00000000-0005-0000-0000-0000FA6B0000}"/>
    <cellStyle name="Prefilled 5 3 3" xfId="27636" xr:uid="{00000000-0005-0000-0000-0000FB6B0000}"/>
    <cellStyle name="Prefilled 5 4" xfId="27637" xr:uid="{00000000-0005-0000-0000-0000FC6B0000}"/>
    <cellStyle name="Prefilled 5 5" xfId="27638" xr:uid="{00000000-0005-0000-0000-0000FD6B0000}"/>
    <cellStyle name="Prefilled 6" xfId="27639" xr:uid="{00000000-0005-0000-0000-0000FE6B0000}"/>
    <cellStyle name="Prefilled 6 2" xfId="27640" xr:uid="{00000000-0005-0000-0000-0000FF6B0000}"/>
    <cellStyle name="Prefilled 6 2 2" xfId="27641" xr:uid="{00000000-0005-0000-0000-0000006C0000}"/>
    <cellStyle name="Prefilled 6 2 3" xfId="27642" xr:uid="{00000000-0005-0000-0000-0000016C0000}"/>
    <cellStyle name="Prefilled 6 3" xfId="27643" xr:uid="{00000000-0005-0000-0000-0000026C0000}"/>
    <cellStyle name="Prefilled 6 3 2" xfId="27644" xr:uid="{00000000-0005-0000-0000-0000036C0000}"/>
    <cellStyle name="Prefilled 6 3 3" xfId="27645" xr:uid="{00000000-0005-0000-0000-0000046C0000}"/>
    <cellStyle name="Prefilled 6 4" xfId="27646" xr:uid="{00000000-0005-0000-0000-0000056C0000}"/>
    <cellStyle name="Prefilled 6 5" xfId="27647" xr:uid="{00000000-0005-0000-0000-0000066C0000}"/>
    <cellStyle name="Prefilled 7" xfId="27648" xr:uid="{00000000-0005-0000-0000-0000076C0000}"/>
    <cellStyle name="Prefilled 7 2" xfId="27649" xr:uid="{00000000-0005-0000-0000-0000086C0000}"/>
    <cellStyle name="Prefilled 7 3" xfId="27650" xr:uid="{00000000-0005-0000-0000-0000096C0000}"/>
    <cellStyle name="Prefilled 8" xfId="27651" xr:uid="{00000000-0005-0000-0000-00000A6C0000}"/>
    <cellStyle name="Prefilled 9" xfId="27652" xr:uid="{00000000-0005-0000-0000-00000B6C0000}"/>
    <cellStyle name="PrePop Currency (0)" xfId="27653" xr:uid="{00000000-0005-0000-0000-00000C6C0000}"/>
    <cellStyle name="PrePop Currency (0) 2" xfId="27654" xr:uid="{00000000-0005-0000-0000-00000D6C0000}"/>
    <cellStyle name="PrePop Currency (0) 2 2" xfId="27655" xr:uid="{00000000-0005-0000-0000-00000E6C0000}"/>
    <cellStyle name="PrePop Currency (0) 3" xfId="27656" xr:uid="{00000000-0005-0000-0000-00000F6C0000}"/>
    <cellStyle name="PrePop Currency (2)" xfId="27657" xr:uid="{00000000-0005-0000-0000-0000106C0000}"/>
    <cellStyle name="PrePop Units (0)" xfId="27658" xr:uid="{00000000-0005-0000-0000-0000116C0000}"/>
    <cellStyle name="PrePop Units (0) 2" xfId="27659" xr:uid="{00000000-0005-0000-0000-0000126C0000}"/>
    <cellStyle name="PrePop Units (0) 2 2" xfId="27660" xr:uid="{00000000-0005-0000-0000-0000136C0000}"/>
    <cellStyle name="PrePop Units (0) 3" xfId="27661" xr:uid="{00000000-0005-0000-0000-0000146C0000}"/>
    <cellStyle name="PrePop Units (1)" xfId="27662" xr:uid="{00000000-0005-0000-0000-0000156C0000}"/>
    <cellStyle name="PrePop Units (1) 2" xfId="27663" xr:uid="{00000000-0005-0000-0000-0000166C0000}"/>
    <cellStyle name="PrePop Units (1) 3" xfId="27664" xr:uid="{00000000-0005-0000-0000-0000176C0000}"/>
    <cellStyle name="PrePop Units (2)" xfId="27665" xr:uid="{00000000-0005-0000-0000-0000186C0000}"/>
    <cellStyle name="Price" xfId="27666" xr:uid="{00000000-0005-0000-0000-0000196C0000}"/>
    <cellStyle name="Problem Var" xfId="27667" xr:uid="{00000000-0005-0000-0000-00001A6C0000}"/>
    <cellStyle name="Prosent_Oversikt" xfId="27668" xr:uid="{00000000-0005-0000-0000-00001B6C0000}"/>
    <cellStyle name="Protected" xfId="27669" xr:uid="{00000000-0005-0000-0000-00001C6C0000}"/>
    <cellStyle name="Qté calculées" xfId="27670" xr:uid="{00000000-0005-0000-0000-00001D6C0000}"/>
    <cellStyle name="Qté calculées 10" xfId="27671" xr:uid="{00000000-0005-0000-0000-00001E6C0000}"/>
    <cellStyle name="Qté calculées 11" xfId="27672" xr:uid="{00000000-0005-0000-0000-00001F6C0000}"/>
    <cellStyle name="Qté calculées 12" xfId="27673" xr:uid="{00000000-0005-0000-0000-0000206C0000}"/>
    <cellStyle name="Qté calculées 13" xfId="27674" xr:uid="{00000000-0005-0000-0000-0000216C0000}"/>
    <cellStyle name="Qté calculées 14" xfId="27675" xr:uid="{00000000-0005-0000-0000-0000226C0000}"/>
    <cellStyle name="Qté calculées 15" xfId="27676" xr:uid="{00000000-0005-0000-0000-0000236C0000}"/>
    <cellStyle name="Qté calculées 16" xfId="27677" xr:uid="{00000000-0005-0000-0000-0000246C0000}"/>
    <cellStyle name="Qté calculées 17" xfId="27678" xr:uid="{00000000-0005-0000-0000-0000256C0000}"/>
    <cellStyle name="Qté calculées 18" xfId="27679" xr:uid="{00000000-0005-0000-0000-0000266C0000}"/>
    <cellStyle name="Qté calculées 19" xfId="27680" xr:uid="{00000000-0005-0000-0000-0000276C0000}"/>
    <cellStyle name="Qté calculées 2" xfId="27681" xr:uid="{00000000-0005-0000-0000-0000286C0000}"/>
    <cellStyle name="Qté calculées 2 10" xfId="27682" xr:uid="{00000000-0005-0000-0000-0000296C0000}"/>
    <cellStyle name="Qté calculées 2 11" xfId="27683" xr:uid="{00000000-0005-0000-0000-00002A6C0000}"/>
    <cellStyle name="Qté calculées 2 12" xfId="27684" xr:uid="{00000000-0005-0000-0000-00002B6C0000}"/>
    <cellStyle name="Qté calculées 2 13" xfId="27685" xr:uid="{00000000-0005-0000-0000-00002C6C0000}"/>
    <cellStyle name="Qté calculées 2 14" xfId="27686" xr:uid="{00000000-0005-0000-0000-00002D6C0000}"/>
    <cellStyle name="Qté calculées 2 15" xfId="27687" xr:uid="{00000000-0005-0000-0000-00002E6C0000}"/>
    <cellStyle name="Qté calculées 2 16" xfId="27688" xr:uid="{00000000-0005-0000-0000-00002F6C0000}"/>
    <cellStyle name="Qté calculées 2 17" xfId="27689" xr:uid="{00000000-0005-0000-0000-0000306C0000}"/>
    <cellStyle name="Qté calculées 2 18" xfId="27690" xr:uid="{00000000-0005-0000-0000-0000316C0000}"/>
    <cellStyle name="Qté calculées 2 19" xfId="27691" xr:uid="{00000000-0005-0000-0000-0000326C0000}"/>
    <cellStyle name="Qté calculées 2 2" xfId="27692" xr:uid="{00000000-0005-0000-0000-0000336C0000}"/>
    <cellStyle name="Qté calculées 2 2 10" xfId="27693" xr:uid="{00000000-0005-0000-0000-0000346C0000}"/>
    <cellStyle name="Qté calculées 2 2 11" xfId="27694" xr:uid="{00000000-0005-0000-0000-0000356C0000}"/>
    <cellStyle name="Qté calculées 2 2 12" xfId="27695" xr:uid="{00000000-0005-0000-0000-0000366C0000}"/>
    <cellStyle name="Qté calculées 2 2 13" xfId="27696" xr:uid="{00000000-0005-0000-0000-0000376C0000}"/>
    <cellStyle name="Qté calculées 2 2 14" xfId="27697" xr:uid="{00000000-0005-0000-0000-0000386C0000}"/>
    <cellStyle name="Qté calculées 2 2 15" xfId="27698" xr:uid="{00000000-0005-0000-0000-0000396C0000}"/>
    <cellStyle name="Qté calculées 2 2 16" xfId="27699" xr:uid="{00000000-0005-0000-0000-00003A6C0000}"/>
    <cellStyle name="Qté calculées 2 2 17" xfId="27700" xr:uid="{00000000-0005-0000-0000-00003B6C0000}"/>
    <cellStyle name="Qté calculées 2 2 18" xfId="27701" xr:uid="{00000000-0005-0000-0000-00003C6C0000}"/>
    <cellStyle name="Qté calculées 2 2 19" xfId="27702" xr:uid="{00000000-0005-0000-0000-00003D6C0000}"/>
    <cellStyle name="Qté calculées 2 2 2" xfId="27703" xr:uid="{00000000-0005-0000-0000-00003E6C0000}"/>
    <cellStyle name="Qté calculées 2 2 2 10" xfId="27704" xr:uid="{00000000-0005-0000-0000-00003F6C0000}"/>
    <cellStyle name="Qté calculées 2 2 2 11" xfId="27705" xr:uid="{00000000-0005-0000-0000-0000406C0000}"/>
    <cellStyle name="Qté calculées 2 2 2 12" xfId="27706" xr:uid="{00000000-0005-0000-0000-0000416C0000}"/>
    <cellStyle name="Qté calculées 2 2 2 13" xfId="27707" xr:uid="{00000000-0005-0000-0000-0000426C0000}"/>
    <cellStyle name="Qté calculées 2 2 2 14" xfId="27708" xr:uid="{00000000-0005-0000-0000-0000436C0000}"/>
    <cellStyle name="Qté calculées 2 2 2 15" xfId="27709" xr:uid="{00000000-0005-0000-0000-0000446C0000}"/>
    <cellStyle name="Qté calculées 2 2 2 16" xfId="27710" xr:uid="{00000000-0005-0000-0000-0000456C0000}"/>
    <cellStyle name="Qté calculées 2 2 2 17" xfId="27711" xr:uid="{00000000-0005-0000-0000-0000466C0000}"/>
    <cellStyle name="Qté calculées 2 2 2 18" xfId="27712" xr:uid="{00000000-0005-0000-0000-0000476C0000}"/>
    <cellStyle name="Qté calculées 2 2 2 19" xfId="27713" xr:uid="{00000000-0005-0000-0000-0000486C0000}"/>
    <cellStyle name="Qté calculées 2 2 2 2" xfId="27714" xr:uid="{00000000-0005-0000-0000-0000496C0000}"/>
    <cellStyle name="Qté calculées 2 2 2 2 2" xfId="27715" xr:uid="{00000000-0005-0000-0000-00004A6C0000}"/>
    <cellStyle name="Qté calculées 2 2 2 2 3" xfId="27716" xr:uid="{00000000-0005-0000-0000-00004B6C0000}"/>
    <cellStyle name="Qté calculées 2 2 2 20" xfId="27717" xr:uid="{00000000-0005-0000-0000-00004C6C0000}"/>
    <cellStyle name="Qté calculées 2 2 2 21" xfId="27718" xr:uid="{00000000-0005-0000-0000-00004D6C0000}"/>
    <cellStyle name="Qté calculées 2 2 2 22" xfId="27719" xr:uid="{00000000-0005-0000-0000-00004E6C0000}"/>
    <cellStyle name="Qté calculées 2 2 2 23" xfId="27720" xr:uid="{00000000-0005-0000-0000-00004F6C0000}"/>
    <cellStyle name="Qté calculées 2 2 2 24" xfId="27721" xr:uid="{00000000-0005-0000-0000-0000506C0000}"/>
    <cellStyle name="Qté calculées 2 2 2 25" xfId="27722" xr:uid="{00000000-0005-0000-0000-0000516C0000}"/>
    <cellStyle name="Qté calculées 2 2 2 26" xfId="27723" xr:uid="{00000000-0005-0000-0000-0000526C0000}"/>
    <cellStyle name="Qté calculées 2 2 2 27" xfId="27724" xr:uid="{00000000-0005-0000-0000-0000536C0000}"/>
    <cellStyle name="Qté calculées 2 2 2 28" xfId="27725" xr:uid="{00000000-0005-0000-0000-0000546C0000}"/>
    <cellStyle name="Qté calculées 2 2 2 29" xfId="27726" xr:uid="{00000000-0005-0000-0000-0000556C0000}"/>
    <cellStyle name="Qté calculées 2 2 2 3" xfId="27727" xr:uid="{00000000-0005-0000-0000-0000566C0000}"/>
    <cellStyle name="Qté calculées 2 2 2 30" xfId="27728" xr:uid="{00000000-0005-0000-0000-0000576C0000}"/>
    <cellStyle name="Qté calculées 2 2 2 31" xfId="27729" xr:uid="{00000000-0005-0000-0000-0000586C0000}"/>
    <cellStyle name="Qté calculées 2 2 2 32" xfId="27730" xr:uid="{00000000-0005-0000-0000-0000596C0000}"/>
    <cellStyle name="Qté calculées 2 2 2 33" xfId="27731" xr:uid="{00000000-0005-0000-0000-00005A6C0000}"/>
    <cellStyle name="Qté calculées 2 2 2 34" xfId="27732" xr:uid="{00000000-0005-0000-0000-00005B6C0000}"/>
    <cellStyle name="Qté calculées 2 2 2 35" xfId="27733" xr:uid="{00000000-0005-0000-0000-00005C6C0000}"/>
    <cellStyle name="Qté calculées 2 2 2 36" xfId="27734" xr:uid="{00000000-0005-0000-0000-00005D6C0000}"/>
    <cellStyle name="Qté calculées 2 2 2 4" xfId="27735" xr:uid="{00000000-0005-0000-0000-00005E6C0000}"/>
    <cellStyle name="Qté calculées 2 2 2 5" xfId="27736" xr:uid="{00000000-0005-0000-0000-00005F6C0000}"/>
    <cellStyle name="Qté calculées 2 2 2 6" xfId="27737" xr:uid="{00000000-0005-0000-0000-0000606C0000}"/>
    <cellStyle name="Qté calculées 2 2 2 7" xfId="27738" xr:uid="{00000000-0005-0000-0000-0000616C0000}"/>
    <cellStyle name="Qté calculées 2 2 2 8" xfId="27739" xr:uid="{00000000-0005-0000-0000-0000626C0000}"/>
    <cellStyle name="Qté calculées 2 2 2 9" xfId="27740" xr:uid="{00000000-0005-0000-0000-0000636C0000}"/>
    <cellStyle name="Qté calculées 2 2 20" xfId="27741" xr:uid="{00000000-0005-0000-0000-0000646C0000}"/>
    <cellStyle name="Qté calculées 2 2 21" xfId="27742" xr:uid="{00000000-0005-0000-0000-0000656C0000}"/>
    <cellStyle name="Qté calculées 2 2 22" xfId="27743" xr:uid="{00000000-0005-0000-0000-0000666C0000}"/>
    <cellStyle name="Qté calculées 2 2 23" xfId="27744" xr:uid="{00000000-0005-0000-0000-0000676C0000}"/>
    <cellStyle name="Qté calculées 2 2 24" xfId="27745" xr:uid="{00000000-0005-0000-0000-0000686C0000}"/>
    <cellStyle name="Qté calculées 2 2 25" xfId="27746" xr:uid="{00000000-0005-0000-0000-0000696C0000}"/>
    <cellStyle name="Qté calculées 2 2 26" xfId="27747" xr:uid="{00000000-0005-0000-0000-00006A6C0000}"/>
    <cellStyle name="Qté calculées 2 2 27" xfId="27748" xr:uid="{00000000-0005-0000-0000-00006B6C0000}"/>
    <cellStyle name="Qté calculées 2 2 28" xfId="27749" xr:uid="{00000000-0005-0000-0000-00006C6C0000}"/>
    <cellStyle name="Qté calculées 2 2 29" xfId="27750" xr:uid="{00000000-0005-0000-0000-00006D6C0000}"/>
    <cellStyle name="Qté calculées 2 2 3" xfId="27751" xr:uid="{00000000-0005-0000-0000-00006E6C0000}"/>
    <cellStyle name="Qté calculées 2 2 3 2" xfId="27752" xr:uid="{00000000-0005-0000-0000-00006F6C0000}"/>
    <cellStyle name="Qté calculées 2 2 3 2 2" xfId="27753" xr:uid="{00000000-0005-0000-0000-0000706C0000}"/>
    <cellStyle name="Qté calculées 2 2 3 2 3" xfId="27754" xr:uid="{00000000-0005-0000-0000-0000716C0000}"/>
    <cellStyle name="Qté calculées 2 2 3 3" xfId="27755" xr:uid="{00000000-0005-0000-0000-0000726C0000}"/>
    <cellStyle name="Qté calculées 2 2 3 3 2" xfId="27756" xr:uid="{00000000-0005-0000-0000-0000736C0000}"/>
    <cellStyle name="Qté calculées 2 2 3 3 3" xfId="27757" xr:uid="{00000000-0005-0000-0000-0000746C0000}"/>
    <cellStyle name="Qté calculées 2 2 3 4" xfId="27758" xr:uid="{00000000-0005-0000-0000-0000756C0000}"/>
    <cellStyle name="Qté calculées 2 2 3 5" xfId="27759" xr:uid="{00000000-0005-0000-0000-0000766C0000}"/>
    <cellStyle name="Qté calculées 2 2 30" xfId="27760" xr:uid="{00000000-0005-0000-0000-0000776C0000}"/>
    <cellStyle name="Qté calculées 2 2 31" xfId="27761" xr:uid="{00000000-0005-0000-0000-0000786C0000}"/>
    <cellStyle name="Qté calculées 2 2 32" xfId="27762" xr:uid="{00000000-0005-0000-0000-0000796C0000}"/>
    <cellStyle name="Qté calculées 2 2 33" xfId="27763" xr:uid="{00000000-0005-0000-0000-00007A6C0000}"/>
    <cellStyle name="Qté calculées 2 2 34" xfId="27764" xr:uid="{00000000-0005-0000-0000-00007B6C0000}"/>
    <cellStyle name="Qté calculées 2 2 35" xfId="27765" xr:uid="{00000000-0005-0000-0000-00007C6C0000}"/>
    <cellStyle name="Qté calculées 2 2 36" xfId="27766" xr:uid="{00000000-0005-0000-0000-00007D6C0000}"/>
    <cellStyle name="Qté calculées 2 2 4" xfId="27767" xr:uid="{00000000-0005-0000-0000-00007E6C0000}"/>
    <cellStyle name="Qté calculées 2 2 4 2" xfId="27768" xr:uid="{00000000-0005-0000-0000-00007F6C0000}"/>
    <cellStyle name="Qté calculées 2 2 4 2 2" xfId="27769" xr:uid="{00000000-0005-0000-0000-0000806C0000}"/>
    <cellStyle name="Qté calculées 2 2 4 2 3" xfId="27770" xr:uid="{00000000-0005-0000-0000-0000816C0000}"/>
    <cellStyle name="Qté calculées 2 2 4 3" xfId="27771" xr:uid="{00000000-0005-0000-0000-0000826C0000}"/>
    <cellStyle name="Qté calculées 2 2 4 3 2" xfId="27772" xr:uid="{00000000-0005-0000-0000-0000836C0000}"/>
    <cellStyle name="Qté calculées 2 2 4 3 3" xfId="27773" xr:uid="{00000000-0005-0000-0000-0000846C0000}"/>
    <cellStyle name="Qté calculées 2 2 4 4" xfId="27774" xr:uid="{00000000-0005-0000-0000-0000856C0000}"/>
    <cellStyle name="Qté calculées 2 2 4 5" xfId="27775" xr:uid="{00000000-0005-0000-0000-0000866C0000}"/>
    <cellStyle name="Qté calculées 2 2 5" xfId="27776" xr:uid="{00000000-0005-0000-0000-0000876C0000}"/>
    <cellStyle name="Qté calculées 2 2 5 2" xfId="27777" xr:uid="{00000000-0005-0000-0000-0000886C0000}"/>
    <cellStyle name="Qté calculées 2 2 5 3" xfId="27778" xr:uid="{00000000-0005-0000-0000-0000896C0000}"/>
    <cellStyle name="Qté calculées 2 2 6" xfId="27779" xr:uid="{00000000-0005-0000-0000-00008A6C0000}"/>
    <cellStyle name="Qté calculées 2 2 7" xfId="27780" xr:uid="{00000000-0005-0000-0000-00008B6C0000}"/>
    <cellStyle name="Qté calculées 2 2 8" xfId="27781" xr:uid="{00000000-0005-0000-0000-00008C6C0000}"/>
    <cellStyle name="Qté calculées 2 2 9" xfId="27782" xr:uid="{00000000-0005-0000-0000-00008D6C0000}"/>
    <cellStyle name="Qté calculées 2 20" xfId="27783" xr:uid="{00000000-0005-0000-0000-00008E6C0000}"/>
    <cellStyle name="Qté calculées 2 21" xfId="27784" xr:uid="{00000000-0005-0000-0000-00008F6C0000}"/>
    <cellStyle name="Qté calculées 2 22" xfId="27785" xr:uid="{00000000-0005-0000-0000-0000906C0000}"/>
    <cellStyle name="Qté calculées 2 23" xfId="27786" xr:uid="{00000000-0005-0000-0000-0000916C0000}"/>
    <cellStyle name="Qté calculées 2 24" xfId="27787" xr:uid="{00000000-0005-0000-0000-0000926C0000}"/>
    <cellStyle name="Qté calculées 2 25" xfId="27788" xr:uid="{00000000-0005-0000-0000-0000936C0000}"/>
    <cellStyle name="Qté calculées 2 26" xfId="27789" xr:uid="{00000000-0005-0000-0000-0000946C0000}"/>
    <cellStyle name="Qté calculées 2 27" xfId="27790" xr:uid="{00000000-0005-0000-0000-0000956C0000}"/>
    <cellStyle name="Qté calculées 2 28" xfId="27791" xr:uid="{00000000-0005-0000-0000-0000966C0000}"/>
    <cellStyle name="Qté calculées 2 29" xfId="27792" xr:uid="{00000000-0005-0000-0000-0000976C0000}"/>
    <cellStyle name="Qté calculées 2 3" xfId="27793" xr:uid="{00000000-0005-0000-0000-0000986C0000}"/>
    <cellStyle name="Qté calculées 2 3 10" xfId="27794" xr:uid="{00000000-0005-0000-0000-0000996C0000}"/>
    <cellStyle name="Qté calculées 2 3 11" xfId="27795" xr:uid="{00000000-0005-0000-0000-00009A6C0000}"/>
    <cellStyle name="Qté calculées 2 3 12" xfId="27796" xr:uid="{00000000-0005-0000-0000-00009B6C0000}"/>
    <cellStyle name="Qté calculées 2 3 13" xfId="27797" xr:uid="{00000000-0005-0000-0000-00009C6C0000}"/>
    <cellStyle name="Qté calculées 2 3 14" xfId="27798" xr:uid="{00000000-0005-0000-0000-00009D6C0000}"/>
    <cellStyle name="Qté calculées 2 3 15" xfId="27799" xr:uid="{00000000-0005-0000-0000-00009E6C0000}"/>
    <cellStyle name="Qté calculées 2 3 16" xfId="27800" xr:uid="{00000000-0005-0000-0000-00009F6C0000}"/>
    <cellStyle name="Qté calculées 2 3 17" xfId="27801" xr:uid="{00000000-0005-0000-0000-0000A06C0000}"/>
    <cellStyle name="Qté calculées 2 3 18" xfId="27802" xr:uid="{00000000-0005-0000-0000-0000A16C0000}"/>
    <cellStyle name="Qté calculées 2 3 19" xfId="27803" xr:uid="{00000000-0005-0000-0000-0000A26C0000}"/>
    <cellStyle name="Qté calculées 2 3 2" xfId="27804" xr:uid="{00000000-0005-0000-0000-0000A36C0000}"/>
    <cellStyle name="Qté calculées 2 3 2 2" xfId="27805" xr:uid="{00000000-0005-0000-0000-0000A46C0000}"/>
    <cellStyle name="Qté calculées 2 3 2 3" xfId="27806" xr:uid="{00000000-0005-0000-0000-0000A56C0000}"/>
    <cellStyle name="Qté calculées 2 3 20" xfId="27807" xr:uid="{00000000-0005-0000-0000-0000A66C0000}"/>
    <cellStyle name="Qté calculées 2 3 21" xfId="27808" xr:uid="{00000000-0005-0000-0000-0000A76C0000}"/>
    <cellStyle name="Qté calculées 2 3 22" xfId="27809" xr:uid="{00000000-0005-0000-0000-0000A86C0000}"/>
    <cellStyle name="Qté calculées 2 3 23" xfId="27810" xr:uid="{00000000-0005-0000-0000-0000A96C0000}"/>
    <cellStyle name="Qté calculées 2 3 24" xfId="27811" xr:uid="{00000000-0005-0000-0000-0000AA6C0000}"/>
    <cellStyle name="Qté calculées 2 3 25" xfId="27812" xr:uid="{00000000-0005-0000-0000-0000AB6C0000}"/>
    <cellStyle name="Qté calculées 2 3 26" xfId="27813" xr:uid="{00000000-0005-0000-0000-0000AC6C0000}"/>
    <cellStyle name="Qté calculées 2 3 27" xfId="27814" xr:uid="{00000000-0005-0000-0000-0000AD6C0000}"/>
    <cellStyle name="Qté calculées 2 3 28" xfId="27815" xr:uid="{00000000-0005-0000-0000-0000AE6C0000}"/>
    <cellStyle name="Qté calculées 2 3 29" xfId="27816" xr:uid="{00000000-0005-0000-0000-0000AF6C0000}"/>
    <cellStyle name="Qté calculées 2 3 3" xfId="27817" xr:uid="{00000000-0005-0000-0000-0000B06C0000}"/>
    <cellStyle name="Qté calculées 2 3 30" xfId="27818" xr:uid="{00000000-0005-0000-0000-0000B16C0000}"/>
    <cellStyle name="Qté calculées 2 3 31" xfId="27819" xr:uid="{00000000-0005-0000-0000-0000B26C0000}"/>
    <cellStyle name="Qté calculées 2 3 32" xfId="27820" xr:uid="{00000000-0005-0000-0000-0000B36C0000}"/>
    <cellStyle name="Qté calculées 2 3 33" xfId="27821" xr:uid="{00000000-0005-0000-0000-0000B46C0000}"/>
    <cellStyle name="Qté calculées 2 3 34" xfId="27822" xr:uid="{00000000-0005-0000-0000-0000B56C0000}"/>
    <cellStyle name="Qté calculées 2 3 35" xfId="27823" xr:uid="{00000000-0005-0000-0000-0000B66C0000}"/>
    <cellStyle name="Qté calculées 2 3 36" xfId="27824" xr:uid="{00000000-0005-0000-0000-0000B76C0000}"/>
    <cellStyle name="Qté calculées 2 3 4" xfId="27825" xr:uid="{00000000-0005-0000-0000-0000B86C0000}"/>
    <cellStyle name="Qté calculées 2 3 5" xfId="27826" xr:uid="{00000000-0005-0000-0000-0000B96C0000}"/>
    <cellStyle name="Qté calculées 2 3 6" xfId="27827" xr:uid="{00000000-0005-0000-0000-0000BA6C0000}"/>
    <cellStyle name="Qté calculées 2 3 7" xfId="27828" xr:uid="{00000000-0005-0000-0000-0000BB6C0000}"/>
    <cellStyle name="Qté calculées 2 3 8" xfId="27829" xr:uid="{00000000-0005-0000-0000-0000BC6C0000}"/>
    <cellStyle name="Qté calculées 2 3 9" xfId="27830" xr:uid="{00000000-0005-0000-0000-0000BD6C0000}"/>
    <cellStyle name="Qté calculées 2 30" xfId="27831" xr:uid="{00000000-0005-0000-0000-0000BE6C0000}"/>
    <cellStyle name="Qté calculées 2 31" xfId="27832" xr:uid="{00000000-0005-0000-0000-0000BF6C0000}"/>
    <cellStyle name="Qté calculées 2 32" xfId="27833" xr:uid="{00000000-0005-0000-0000-0000C06C0000}"/>
    <cellStyle name="Qté calculées 2 33" xfId="27834" xr:uid="{00000000-0005-0000-0000-0000C16C0000}"/>
    <cellStyle name="Qté calculées 2 34" xfId="27835" xr:uid="{00000000-0005-0000-0000-0000C26C0000}"/>
    <cellStyle name="Qté calculées 2 35" xfId="27836" xr:uid="{00000000-0005-0000-0000-0000C36C0000}"/>
    <cellStyle name="Qté calculées 2 36" xfId="27837" xr:uid="{00000000-0005-0000-0000-0000C46C0000}"/>
    <cellStyle name="Qté calculées 2 37" xfId="27838" xr:uid="{00000000-0005-0000-0000-0000C56C0000}"/>
    <cellStyle name="Qté calculées 2 4" xfId="27839" xr:uid="{00000000-0005-0000-0000-0000C66C0000}"/>
    <cellStyle name="Qté calculées 2 4 2" xfId="27840" xr:uid="{00000000-0005-0000-0000-0000C76C0000}"/>
    <cellStyle name="Qté calculées 2 4 2 2" xfId="27841" xr:uid="{00000000-0005-0000-0000-0000C86C0000}"/>
    <cellStyle name="Qté calculées 2 4 2 3" xfId="27842" xr:uid="{00000000-0005-0000-0000-0000C96C0000}"/>
    <cellStyle name="Qté calculées 2 4 3" xfId="27843" xr:uid="{00000000-0005-0000-0000-0000CA6C0000}"/>
    <cellStyle name="Qté calculées 2 4 3 2" xfId="27844" xr:uid="{00000000-0005-0000-0000-0000CB6C0000}"/>
    <cellStyle name="Qté calculées 2 4 3 3" xfId="27845" xr:uid="{00000000-0005-0000-0000-0000CC6C0000}"/>
    <cellStyle name="Qté calculées 2 4 4" xfId="27846" xr:uid="{00000000-0005-0000-0000-0000CD6C0000}"/>
    <cellStyle name="Qté calculées 2 4 5" xfId="27847" xr:uid="{00000000-0005-0000-0000-0000CE6C0000}"/>
    <cellStyle name="Qté calculées 2 5" xfId="27848" xr:uid="{00000000-0005-0000-0000-0000CF6C0000}"/>
    <cellStyle name="Qté calculées 2 5 2" xfId="27849" xr:uid="{00000000-0005-0000-0000-0000D06C0000}"/>
    <cellStyle name="Qté calculées 2 5 2 2" xfId="27850" xr:uid="{00000000-0005-0000-0000-0000D16C0000}"/>
    <cellStyle name="Qté calculées 2 5 2 3" xfId="27851" xr:uid="{00000000-0005-0000-0000-0000D26C0000}"/>
    <cellStyle name="Qté calculées 2 5 3" xfId="27852" xr:uid="{00000000-0005-0000-0000-0000D36C0000}"/>
    <cellStyle name="Qté calculées 2 5 3 2" xfId="27853" xr:uid="{00000000-0005-0000-0000-0000D46C0000}"/>
    <cellStyle name="Qté calculées 2 5 3 3" xfId="27854" xr:uid="{00000000-0005-0000-0000-0000D56C0000}"/>
    <cellStyle name="Qté calculées 2 5 4" xfId="27855" xr:uid="{00000000-0005-0000-0000-0000D66C0000}"/>
    <cellStyle name="Qté calculées 2 5 5" xfId="27856" xr:uid="{00000000-0005-0000-0000-0000D76C0000}"/>
    <cellStyle name="Qté calculées 2 6" xfId="27857" xr:uid="{00000000-0005-0000-0000-0000D86C0000}"/>
    <cellStyle name="Qté calculées 2 6 2" xfId="27858" xr:uid="{00000000-0005-0000-0000-0000D96C0000}"/>
    <cellStyle name="Qté calculées 2 6 3" xfId="27859" xr:uid="{00000000-0005-0000-0000-0000DA6C0000}"/>
    <cellStyle name="Qté calculées 2 7" xfId="27860" xr:uid="{00000000-0005-0000-0000-0000DB6C0000}"/>
    <cellStyle name="Qté calculées 2 8" xfId="27861" xr:uid="{00000000-0005-0000-0000-0000DC6C0000}"/>
    <cellStyle name="Qté calculées 2 9" xfId="27862" xr:uid="{00000000-0005-0000-0000-0000DD6C0000}"/>
    <cellStyle name="Qté calculées 20" xfId="27863" xr:uid="{00000000-0005-0000-0000-0000DE6C0000}"/>
    <cellStyle name="Qté calculées 21" xfId="27864" xr:uid="{00000000-0005-0000-0000-0000DF6C0000}"/>
    <cellStyle name="Qté calculées 22" xfId="27865" xr:uid="{00000000-0005-0000-0000-0000E06C0000}"/>
    <cellStyle name="Qté calculées 23" xfId="27866" xr:uid="{00000000-0005-0000-0000-0000E16C0000}"/>
    <cellStyle name="Qté calculées 24" xfId="27867" xr:uid="{00000000-0005-0000-0000-0000E26C0000}"/>
    <cellStyle name="Qté calculées 25" xfId="27868" xr:uid="{00000000-0005-0000-0000-0000E36C0000}"/>
    <cellStyle name="Qté calculées 26" xfId="27869" xr:uid="{00000000-0005-0000-0000-0000E46C0000}"/>
    <cellStyle name="Qté calculées 27" xfId="27870" xr:uid="{00000000-0005-0000-0000-0000E56C0000}"/>
    <cellStyle name="Qté calculées 28" xfId="27871" xr:uid="{00000000-0005-0000-0000-0000E66C0000}"/>
    <cellStyle name="Qté calculées 29" xfId="27872" xr:uid="{00000000-0005-0000-0000-0000E76C0000}"/>
    <cellStyle name="Qté calculées 3" xfId="27873" xr:uid="{00000000-0005-0000-0000-0000E86C0000}"/>
    <cellStyle name="Qté calculées 3 10" xfId="27874" xr:uid="{00000000-0005-0000-0000-0000E96C0000}"/>
    <cellStyle name="Qté calculées 3 11" xfId="27875" xr:uid="{00000000-0005-0000-0000-0000EA6C0000}"/>
    <cellStyle name="Qté calculées 3 12" xfId="27876" xr:uid="{00000000-0005-0000-0000-0000EB6C0000}"/>
    <cellStyle name="Qté calculées 3 13" xfId="27877" xr:uid="{00000000-0005-0000-0000-0000EC6C0000}"/>
    <cellStyle name="Qté calculées 3 14" xfId="27878" xr:uid="{00000000-0005-0000-0000-0000ED6C0000}"/>
    <cellStyle name="Qté calculées 3 15" xfId="27879" xr:uid="{00000000-0005-0000-0000-0000EE6C0000}"/>
    <cellStyle name="Qté calculées 3 16" xfId="27880" xr:uid="{00000000-0005-0000-0000-0000EF6C0000}"/>
    <cellStyle name="Qté calculées 3 17" xfId="27881" xr:uid="{00000000-0005-0000-0000-0000F06C0000}"/>
    <cellStyle name="Qté calculées 3 18" xfId="27882" xr:uid="{00000000-0005-0000-0000-0000F16C0000}"/>
    <cellStyle name="Qté calculées 3 19" xfId="27883" xr:uid="{00000000-0005-0000-0000-0000F26C0000}"/>
    <cellStyle name="Qté calculées 3 2" xfId="27884" xr:uid="{00000000-0005-0000-0000-0000F36C0000}"/>
    <cellStyle name="Qté calculées 3 2 10" xfId="27885" xr:uid="{00000000-0005-0000-0000-0000F46C0000}"/>
    <cellStyle name="Qté calculées 3 2 11" xfId="27886" xr:uid="{00000000-0005-0000-0000-0000F56C0000}"/>
    <cellStyle name="Qté calculées 3 2 12" xfId="27887" xr:uid="{00000000-0005-0000-0000-0000F66C0000}"/>
    <cellStyle name="Qté calculées 3 2 13" xfId="27888" xr:uid="{00000000-0005-0000-0000-0000F76C0000}"/>
    <cellStyle name="Qté calculées 3 2 14" xfId="27889" xr:uid="{00000000-0005-0000-0000-0000F86C0000}"/>
    <cellStyle name="Qté calculées 3 2 15" xfId="27890" xr:uid="{00000000-0005-0000-0000-0000F96C0000}"/>
    <cellStyle name="Qté calculées 3 2 16" xfId="27891" xr:uid="{00000000-0005-0000-0000-0000FA6C0000}"/>
    <cellStyle name="Qté calculées 3 2 17" xfId="27892" xr:uid="{00000000-0005-0000-0000-0000FB6C0000}"/>
    <cellStyle name="Qté calculées 3 2 18" xfId="27893" xr:uid="{00000000-0005-0000-0000-0000FC6C0000}"/>
    <cellStyle name="Qté calculées 3 2 19" xfId="27894" xr:uid="{00000000-0005-0000-0000-0000FD6C0000}"/>
    <cellStyle name="Qté calculées 3 2 2" xfId="27895" xr:uid="{00000000-0005-0000-0000-0000FE6C0000}"/>
    <cellStyle name="Qté calculées 3 2 2 2" xfId="27896" xr:uid="{00000000-0005-0000-0000-0000FF6C0000}"/>
    <cellStyle name="Qté calculées 3 2 2 3" xfId="27897" xr:uid="{00000000-0005-0000-0000-0000006D0000}"/>
    <cellStyle name="Qté calculées 3 2 20" xfId="27898" xr:uid="{00000000-0005-0000-0000-0000016D0000}"/>
    <cellStyle name="Qté calculées 3 2 21" xfId="27899" xr:uid="{00000000-0005-0000-0000-0000026D0000}"/>
    <cellStyle name="Qté calculées 3 2 22" xfId="27900" xr:uid="{00000000-0005-0000-0000-0000036D0000}"/>
    <cellStyle name="Qté calculées 3 2 23" xfId="27901" xr:uid="{00000000-0005-0000-0000-0000046D0000}"/>
    <cellStyle name="Qté calculées 3 2 24" xfId="27902" xr:uid="{00000000-0005-0000-0000-0000056D0000}"/>
    <cellStyle name="Qté calculées 3 2 25" xfId="27903" xr:uid="{00000000-0005-0000-0000-0000066D0000}"/>
    <cellStyle name="Qté calculées 3 2 26" xfId="27904" xr:uid="{00000000-0005-0000-0000-0000076D0000}"/>
    <cellStyle name="Qté calculées 3 2 27" xfId="27905" xr:uid="{00000000-0005-0000-0000-0000086D0000}"/>
    <cellStyle name="Qté calculées 3 2 28" xfId="27906" xr:uid="{00000000-0005-0000-0000-0000096D0000}"/>
    <cellStyle name="Qté calculées 3 2 29" xfId="27907" xr:uid="{00000000-0005-0000-0000-00000A6D0000}"/>
    <cellStyle name="Qté calculées 3 2 3" xfId="27908" xr:uid="{00000000-0005-0000-0000-00000B6D0000}"/>
    <cellStyle name="Qté calculées 3 2 30" xfId="27909" xr:uid="{00000000-0005-0000-0000-00000C6D0000}"/>
    <cellStyle name="Qté calculées 3 2 31" xfId="27910" xr:uid="{00000000-0005-0000-0000-00000D6D0000}"/>
    <cellStyle name="Qté calculées 3 2 32" xfId="27911" xr:uid="{00000000-0005-0000-0000-00000E6D0000}"/>
    <cellStyle name="Qté calculées 3 2 33" xfId="27912" xr:uid="{00000000-0005-0000-0000-00000F6D0000}"/>
    <cellStyle name="Qté calculées 3 2 34" xfId="27913" xr:uid="{00000000-0005-0000-0000-0000106D0000}"/>
    <cellStyle name="Qté calculées 3 2 35" xfId="27914" xr:uid="{00000000-0005-0000-0000-0000116D0000}"/>
    <cellStyle name="Qté calculées 3 2 36" xfId="27915" xr:uid="{00000000-0005-0000-0000-0000126D0000}"/>
    <cellStyle name="Qté calculées 3 2 4" xfId="27916" xr:uid="{00000000-0005-0000-0000-0000136D0000}"/>
    <cellStyle name="Qté calculées 3 2 5" xfId="27917" xr:uid="{00000000-0005-0000-0000-0000146D0000}"/>
    <cellStyle name="Qté calculées 3 2 6" xfId="27918" xr:uid="{00000000-0005-0000-0000-0000156D0000}"/>
    <cellStyle name="Qté calculées 3 2 7" xfId="27919" xr:uid="{00000000-0005-0000-0000-0000166D0000}"/>
    <cellStyle name="Qté calculées 3 2 8" xfId="27920" xr:uid="{00000000-0005-0000-0000-0000176D0000}"/>
    <cellStyle name="Qté calculées 3 2 9" xfId="27921" xr:uid="{00000000-0005-0000-0000-0000186D0000}"/>
    <cellStyle name="Qté calculées 3 20" xfId="27922" xr:uid="{00000000-0005-0000-0000-0000196D0000}"/>
    <cellStyle name="Qté calculées 3 21" xfId="27923" xr:uid="{00000000-0005-0000-0000-00001A6D0000}"/>
    <cellStyle name="Qté calculées 3 22" xfId="27924" xr:uid="{00000000-0005-0000-0000-00001B6D0000}"/>
    <cellStyle name="Qté calculées 3 23" xfId="27925" xr:uid="{00000000-0005-0000-0000-00001C6D0000}"/>
    <cellStyle name="Qté calculées 3 24" xfId="27926" xr:uid="{00000000-0005-0000-0000-00001D6D0000}"/>
    <cellStyle name="Qté calculées 3 25" xfId="27927" xr:uid="{00000000-0005-0000-0000-00001E6D0000}"/>
    <cellStyle name="Qté calculées 3 26" xfId="27928" xr:uid="{00000000-0005-0000-0000-00001F6D0000}"/>
    <cellStyle name="Qté calculées 3 27" xfId="27929" xr:uid="{00000000-0005-0000-0000-0000206D0000}"/>
    <cellStyle name="Qté calculées 3 28" xfId="27930" xr:uid="{00000000-0005-0000-0000-0000216D0000}"/>
    <cellStyle name="Qté calculées 3 29" xfId="27931" xr:uid="{00000000-0005-0000-0000-0000226D0000}"/>
    <cellStyle name="Qté calculées 3 3" xfId="27932" xr:uid="{00000000-0005-0000-0000-0000236D0000}"/>
    <cellStyle name="Qté calculées 3 3 2" xfId="27933" xr:uid="{00000000-0005-0000-0000-0000246D0000}"/>
    <cellStyle name="Qté calculées 3 3 2 2" xfId="27934" xr:uid="{00000000-0005-0000-0000-0000256D0000}"/>
    <cellStyle name="Qté calculées 3 3 2 3" xfId="27935" xr:uid="{00000000-0005-0000-0000-0000266D0000}"/>
    <cellStyle name="Qté calculées 3 3 3" xfId="27936" xr:uid="{00000000-0005-0000-0000-0000276D0000}"/>
    <cellStyle name="Qté calculées 3 3 3 2" xfId="27937" xr:uid="{00000000-0005-0000-0000-0000286D0000}"/>
    <cellStyle name="Qté calculées 3 3 3 3" xfId="27938" xr:uid="{00000000-0005-0000-0000-0000296D0000}"/>
    <cellStyle name="Qté calculées 3 3 4" xfId="27939" xr:uid="{00000000-0005-0000-0000-00002A6D0000}"/>
    <cellStyle name="Qté calculées 3 3 5" xfId="27940" xr:uid="{00000000-0005-0000-0000-00002B6D0000}"/>
    <cellStyle name="Qté calculées 3 30" xfId="27941" xr:uid="{00000000-0005-0000-0000-00002C6D0000}"/>
    <cellStyle name="Qté calculées 3 31" xfId="27942" xr:uid="{00000000-0005-0000-0000-00002D6D0000}"/>
    <cellStyle name="Qté calculées 3 32" xfId="27943" xr:uid="{00000000-0005-0000-0000-00002E6D0000}"/>
    <cellStyle name="Qté calculées 3 33" xfId="27944" xr:uid="{00000000-0005-0000-0000-00002F6D0000}"/>
    <cellStyle name="Qté calculées 3 34" xfId="27945" xr:uid="{00000000-0005-0000-0000-0000306D0000}"/>
    <cellStyle name="Qté calculées 3 35" xfId="27946" xr:uid="{00000000-0005-0000-0000-0000316D0000}"/>
    <cellStyle name="Qté calculées 3 36" xfId="27947" xr:uid="{00000000-0005-0000-0000-0000326D0000}"/>
    <cellStyle name="Qté calculées 3 4" xfId="27948" xr:uid="{00000000-0005-0000-0000-0000336D0000}"/>
    <cellStyle name="Qté calculées 3 4 2" xfId="27949" xr:uid="{00000000-0005-0000-0000-0000346D0000}"/>
    <cellStyle name="Qté calculées 3 4 2 2" xfId="27950" xr:uid="{00000000-0005-0000-0000-0000356D0000}"/>
    <cellStyle name="Qté calculées 3 4 2 3" xfId="27951" xr:uid="{00000000-0005-0000-0000-0000366D0000}"/>
    <cellStyle name="Qté calculées 3 4 3" xfId="27952" xr:uid="{00000000-0005-0000-0000-0000376D0000}"/>
    <cellStyle name="Qté calculées 3 4 3 2" xfId="27953" xr:uid="{00000000-0005-0000-0000-0000386D0000}"/>
    <cellStyle name="Qté calculées 3 4 3 3" xfId="27954" xr:uid="{00000000-0005-0000-0000-0000396D0000}"/>
    <cellStyle name="Qté calculées 3 4 4" xfId="27955" xr:uid="{00000000-0005-0000-0000-00003A6D0000}"/>
    <cellStyle name="Qté calculées 3 4 5" xfId="27956" xr:uid="{00000000-0005-0000-0000-00003B6D0000}"/>
    <cellStyle name="Qté calculées 3 5" xfId="27957" xr:uid="{00000000-0005-0000-0000-00003C6D0000}"/>
    <cellStyle name="Qté calculées 3 5 2" xfId="27958" xr:uid="{00000000-0005-0000-0000-00003D6D0000}"/>
    <cellStyle name="Qté calculées 3 5 3" xfId="27959" xr:uid="{00000000-0005-0000-0000-00003E6D0000}"/>
    <cellStyle name="Qté calculées 3 6" xfId="27960" xr:uid="{00000000-0005-0000-0000-00003F6D0000}"/>
    <cellStyle name="Qté calculées 3 7" xfId="27961" xr:uid="{00000000-0005-0000-0000-0000406D0000}"/>
    <cellStyle name="Qté calculées 3 8" xfId="27962" xr:uid="{00000000-0005-0000-0000-0000416D0000}"/>
    <cellStyle name="Qté calculées 3 9" xfId="27963" xr:uid="{00000000-0005-0000-0000-0000426D0000}"/>
    <cellStyle name="Qté calculées 30" xfId="27964" xr:uid="{00000000-0005-0000-0000-0000436D0000}"/>
    <cellStyle name="Qté calculées 31" xfId="27965" xr:uid="{00000000-0005-0000-0000-0000446D0000}"/>
    <cellStyle name="Qté calculées 32" xfId="27966" xr:uid="{00000000-0005-0000-0000-0000456D0000}"/>
    <cellStyle name="Qté calculées 33" xfId="27967" xr:uid="{00000000-0005-0000-0000-0000466D0000}"/>
    <cellStyle name="Qté calculées 34" xfId="27968" xr:uid="{00000000-0005-0000-0000-0000476D0000}"/>
    <cellStyle name="Qté calculées 35" xfId="27969" xr:uid="{00000000-0005-0000-0000-0000486D0000}"/>
    <cellStyle name="Qté calculées 36" xfId="27970" xr:uid="{00000000-0005-0000-0000-0000496D0000}"/>
    <cellStyle name="Qté calculées 37" xfId="27971" xr:uid="{00000000-0005-0000-0000-00004A6D0000}"/>
    <cellStyle name="Qté calculées 38" xfId="27972" xr:uid="{00000000-0005-0000-0000-00004B6D0000}"/>
    <cellStyle name="Qté calculées 4" xfId="27973" xr:uid="{00000000-0005-0000-0000-00004C6D0000}"/>
    <cellStyle name="Qté calculées 4 10" xfId="27974" xr:uid="{00000000-0005-0000-0000-00004D6D0000}"/>
    <cellStyle name="Qté calculées 4 11" xfId="27975" xr:uid="{00000000-0005-0000-0000-00004E6D0000}"/>
    <cellStyle name="Qté calculées 4 12" xfId="27976" xr:uid="{00000000-0005-0000-0000-00004F6D0000}"/>
    <cellStyle name="Qté calculées 4 13" xfId="27977" xr:uid="{00000000-0005-0000-0000-0000506D0000}"/>
    <cellStyle name="Qté calculées 4 14" xfId="27978" xr:uid="{00000000-0005-0000-0000-0000516D0000}"/>
    <cellStyle name="Qté calculées 4 15" xfId="27979" xr:uid="{00000000-0005-0000-0000-0000526D0000}"/>
    <cellStyle name="Qté calculées 4 16" xfId="27980" xr:uid="{00000000-0005-0000-0000-0000536D0000}"/>
    <cellStyle name="Qté calculées 4 17" xfId="27981" xr:uid="{00000000-0005-0000-0000-0000546D0000}"/>
    <cellStyle name="Qté calculées 4 18" xfId="27982" xr:uid="{00000000-0005-0000-0000-0000556D0000}"/>
    <cellStyle name="Qté calculées 4 19" xfId="27983" xr:uid="{00000000-0005-0000-0000-0000566D0000}"/>
    <cellStyle name="Qté calculées 4 2" xfId="27984" xr:uid="{00000000-0005-0000-0000-0000576D0000}"/>
    <cellStyle name="Qté calculées 4 2 2" xfId="27985" xr:uid="{00000000-0005-0000-0000-0000586D0000}"/>
    <cellStyle name="Qté calculées 4 2 3" xfId="27986" xr:uid="{00000000-0005-0000-0000-0000596D0000}"/>
    <cellStyle name="Qté calculées 4 20" xfId="27987" xr:uid="{00000000-0005-0000-0000-00005A6D0000}"/>
    <cellStyle name="Qté calculées 4 21" xfId="27988" xr:uid="{00000000-0005-0000-0000-00005B6D0000}"/>
    <cellStyle name="Qté calculées 4 22" xfId="27989" xr:uid="{00000000-0005-0000-0000-00005C6D0000}"/>
    <cellStyle name="Qté calculées 4 23" xfId="27990" xr:uid="{00000000-0005-0000-0000-00005D6D0000}"/>
    <cellStyle name="Qté calculées 4 24" xfId="27991" xr:uid="{00000000-0005-0000-0000-00005E6D0000}"/>
    <cellStyle name="Qté calculées 4 25" xfId="27992" xr:uid="{00000000-0005-0000-0000-00005F6D0000}"/>
    <cellStyle name="Qté calculées 4 26" xfId="27993" xr:uid="{00000000-0005-0000-0000-0000606D0000}"/>
    <cellStyle name="Qté calculées 4 27" xfId="27994" xr:uid="{00000000-0005-0000-0000-0000616D0000}"/>
    <cellStyle name="Qté calculées 4 28" xfId="27995" xr:uid="{00000000-0005-0000-0000-0000626D0000}"/>
    <cellStyle name="Qté calculées 4 29" xfId="27996" xr:uid="{00000000-0005-0000-0000-0000636D0000}"/>
    <cellStyle name="Qté calculées 4 3" xfId="27997" xr:uid="{00000000-0005-0000-0000-0000646D0000}"/>
    <cellStyle name="Qté calculées 4 30" xfId="27998" xr:uid="{00000000-0005-0000-0000-0000656D0000}"/>
    <cellStyle name="Qté calculées 4 31" xfId="27999" xr:uid="{00000000-0005-0000-0000-0000666D0000}"/>
    <cellStyle name="Qté calculées 4 32" xfId="28000" xr:uid="{00000000-0005-0000-0000-0000676D0000}"/>
    <cellStyle name="Qté calculées 4 33" xfId="28001" xr:uid="{00000000-0005-0000-0000-0000686D0000}"/>
    <cellStyle name="Qté calculées 4 34" xfId="28002" xr:uid="{00000000-0005-0000-0000-0000696D0000}"/>
    <cellStyle name="Qté calculées 4 35" xfId="28003" xr:uid="{00000000-0005-0000-0000-00006A6D0000}"/>
    <cellStyle name="Qté calculées 4 36" xfId="28004" xr:uid="{00000000-0005-0000-0000-00006B6D0000}"/>
    <cellStyle name="Qté calculées 4 4" xfId="28005" xr:uid="{00000000-0005-0000-0000-00006C6D0000}"/>
    <cellStyle name="Qté calculées 4 5" xfId="28006" xr:uid="{00000000-0005-0000-0000-00006D6D0000}"/>
    <cellStyle name="Qté calculées 4 6" xfId="28007" xr:uid="{00000000-0005-0000-0000-00006E6D0000}"/>
    <cellStyle name="Qté calculées 4 7" xfId="28008" xr:uid="{00000000-0005-0000-0000-00006F6D0000}"/>
    <cellStyle name="Qté calculées 4 8" xfId="28009" xr:uid="{00000000-0005-0000-0000-0000706D0000}"/>
    <cellStyle name="Qté calculées 4 9" xfId="28010" xr:uid="{00000000-0005-0000-0000-0000716D0000}"/>
    <cellStyle name="Qté calculées 5" xfId="28011" xr:uid="{00000000-0005-0000-0000-0000726D0000}"/>
    <cellStyle name="Qté calculées 5 2" xfId="28012" xr:uid="{00000000-0005-0000-0000-0000736D0000}"/>
    <cellStyle name="Qté calculées 5 2 2" xfId="28013" xr:uid="{00000000-0005-0000-0000-0000746D0000}"/>
    <cellStyle name="Qté calculées 5 2 3" xfId="28014" xr:uid="{00000000-0005-0000-0000-0000756D0000}"/>
    <cellStyle name="Qté calculées 5 3" xfId="28015" xr:uid="{00000000-0005-0000-0000-0000766D0000}"/>
    <cellStyle name="Qté calculées 5 3 2" xfId="28016" xr:uid="{00000000-0005-0000-0000-0000776D0000}"/>
    <cellStyle name="Qté calculées 5 3 3" xfId="28017" xr:uid="{00000000-0005-0000-0000-0000786D0000}"/>
    <cellStyle name="Qté calculées 5 4" xfId="28018" xr:uid="{00000000-0005-0000-0000-0000796D0000}"/>
    <cellStyle name="Qté calculées 5 5" xfId="28019" xr:uid="{00000000-0005-0000-0000-00007A6D0000}"/>
    <cellStyle name="Qté calculées 6" xfId="28020" xr:uid="{00000000-0005-0000-0000-00007B6D0000}"/>
    <cellStyle name="Qté calculées 6 2" xfId="28021" xr:uid="{00000000-0005-0000-0000-00007C6D0000}"/>
    <cellStyle name="Qté calculées 6 2 2" xfId="28022" xr:uid="{00000000-0005-0000-0000-00007D6D0000}"/>
    <cellStyle name="Qté calculées 6 2 3" xfId="28023" xr:uid="{00000000-0005-0000-0000-00007E6D0000}"/>
    <cellStyle name="Qté calculées 6 3" xfId="28024" xr:uid="{00000000-0005-0000-0000-00007F6D0000}"/>
    <cellStyle name="Qté calculées 6 3 2" xfId="28025" xr:uid="{00000000-0005-0000-0000-0000806D0000}"/>
    <cellStyle name="Qté calculées 6 3 3" xfId="28026" xr:uid="{00000000-0005-0000-0000-0000816D0000}"/>
    <cellStyle name="Qté calculées 6 4" xfId="28027" xr:uid="{00000000-0005-0000-0000-0000826D0000}"/>
    <cellStyle name="Qté calculées 6 5" xfId="28028" xr:uid="{00000000-0005-0000-0000-0000836D0000}"/>
    <cellStyle name="Qté calculées 7" xfId="28029" xr:uid="{00000000-0005-0000-0000-0000846D0000}"/>
    <cellStyle name="Qté calculées 7 2" xfId="28030" xr:uid="{00000000-0005-0000-0000-0000856D0000}"/>
    <cellStyle name="Qté calculées 7 3" xfId="28031" xr:uid="{00000000-0005-0000-0000-0000866D0000}"/>
    <cellStyle name="Qté calculées 8" xfId="28032" xr:uid="{00000000-0005-0000-0000-0000876D0000}"/>
    <cellStyle name="Qté calculées 9" xfId="28033" xr:uid="{00000000-0005-0000-0000-0000886D0000}"/>
    <cellStyle name="QTé entrées" xfId="28034" xr:uid="{00000000-0005-0000-0000-0000896D0000}"/>
    <cellStyle name="QTé entrées 2" xfId="28035" xr:uid="{00000000-0005-0000-0000-00008A6D0000}"/>
    <cellStyle name="QTé entrées 2 2" xfId="28036" xr:uid="{00000000-0005-0000-0000-00008B6D0000}"/>
    <cellStyle name="QTé entrées 2 2 2" xfId="28037" xr:uid="{00000000-0005-0000-0000-00008C6D0000}"/>
    <cellStyle name="QTé entrées 2 2 2 2" xfId="28038" xr:uid="{00000000-0005-0000-0000-00008D6D0000}"/>
    <cellStyle name="QTé entrées 2 2 3" xfId="28039" xr:uid="{00000000-0005-0000-0000-00008E6D0000}"/>
    <cellStyle name="QTé entrées 2 2 4" xfId="28040" xr:uid="{00000000-0005-0000-0000-00008F6D0000}"/>
    <cellStyle name="QTé entrées 2 3" xfId="28041" xr:uid="{00000000-0005-0000-0000-0000906D0000}"/>
    <cellStyle name="QTé entrées 2 3 2" xfId="28042" xr:uid="{00000000-0005-0000-0000-0000916D0000}"/>
    <cellStyle name="QTé entrées 2 4" xfId="28043" xr:uid="{00000000-0005-0000-0000-0000926D0000}"/>
    <cellStyle name="QTé entrées 2 5" xfId="28044" xr:uid="{00000000-0005-0000-0000-0000936D0000}"/>
    <cellStyle name="QTé entrées 3" xfId="28045" xr:uid="{00000000-0005-0000-0000-0000946D0000}"/>
    <cellStyle name="QTé entrées 3 2" xfId="28046" xr:uid="{00000000-0005-0000-0000-0000956D0000}"/>
    <cellStyle name="QTé entrées 3 2 2" xfId="28047" xr:uid="{00000000-0005-0000-0000-0000966D0000}"/>
    <cellStyle name="QTé entrées 3 3" xfId="28048" xr:uid="{00000000-0005-0000-0000-0000976D0000}"/>
    <cellStyle name="QTé entrées 3 4" xfId="28049" xr:uid="{00000000-0005-0000-0000-0000986D0000}"/>
    <cellStyle name="QTé entrées 4" xfId="28050" xr:uid="{00000000-0005-0000-0000-0000996D0000}"/>
    <cellStyle name="QTé entrées 4 2" xfId="28051" xr:uid="{00000000-0005-0000-0000-00009A6D0000}"/>
    <cellStyle name="QTé entrées 5" xfId="28052" xr:uid="{00000000-0005-0000-0000-00009B6D0000}"/>
    <cellStyle name="QTé entrées 6" xfId="28053" xr:uid="{00000000-0005-0000-0000-00009C6D0000}"/>
    <cellStyle name="Quantity" xfId="28054" xr:uid="{00000000-0005-0000-0000-00009D6D0000}"/>
    <cellStyle name="Quantity 2" xfId="28055" xr:uid="{00000000-0005-0000-0000-00009E6D0000}"/>
    <cellStyle name="Quantity 2 2" xfId="28056" xr:uid="{00000000-0005-0000-0000-00009F6D0000}"/>
    <cellStyle name="Quantity 2 2 2" xfId="28057" xr:uid="{00000000-0005-0000-0000-0000A06D0000}"/>
    <cellStyle name="Quantity 2 2 3" xfId="28058" xr:uid="{00000000-0005-0000-0000-0000A16D0000}"/>
    <cellStyle name="Quantity 2 3" xfId="28059" xr:uid="{00000000-0005-0000-0000-0000A26D0000}"/>
    <cellStyle name="Quantity 3" xfId="28060" xr:uid="{00000000-0005-0000-0000-0000A36D0000}"/>
    <cellStyle name="Quantity 3 2" xfId="28061" xr:uid="{00000000-0005-0000-0000-0000A46D0000}"/>
    <cellStyle name="Quantity 3 2 2" xfId="28062" xr:uid="{00000000-0005-0000-0000-0000A56D0000}"/>
    <cellStyle name="Quantity 3 2 3" xfId="28063" xr:uid="{00000000-0005-0000-0000-0000A66D0000}"/>
    <cellStyle name="Quantity 3 3" xfId="28064" xr:uid="{00000000-0005-0000-0000-0000A76D0000}"/>
    <cellStyle name="Quantity 4" xfId="28065" xr:uid="{00000000-0005-0000-0000-0000A86D0000}"/>
    <cellStyle name="Quantity 4 2" xfId="28066" xr:uid="{00000000-0005-0000-0000-0000A96D0000}"/>
    <cellStyle name="Quantity 4 3" xfId="28067" xr:uid="{00000000-0005-0000-0000-0000AA6D0000}"/>
    <cellStyle name="Quantity 5" xfId="28068" xr:uid="{00000000-0005-0000-0000-0000AB6D0000}"/>
    <cellStyle name="Red font" xfId="28069" xr:uid="{00000000-0005-0000-0000-0000AC6D0000}"/>
    <cellStyle name="Released" xfId="28070" xr:uid="{00000000-0005-0000-0000-0000AD6D0000}"/>
    <cellStyle name="Released 10" xfId="28071" xr:uid="{00000000-0005-0000-0000-0000AE6D0000}"/>
    <cellStyle name="Released 11" xfId="28072" xr:uid="{00000000-0005-0000-0000-0000AF6D0000}"/>
    <cellStyle name="Released 12" xfId="28073" xr:uid="{00000000-0005-0000-0000-0000B06D0000}"/>
    <cellStyle name="Released 13" xfId="28074" xr:uid="{00000000-0005-0000-0000-0000B16D0000}"/>
    <cellStyle name="Released 14" xfId="28075" xr:uid="{00000000-0005-0000-0000-0000B26D0000}"/>
    <cellStyle name="Released 15" xfId="28076" xr:uid="{00000000-0005-0000-0000-0000B36D0000}"/>
    <cellStyle name="Released 16" xfId="28077" xr:uid="{00000000-0005-0000-0000-0000B46D0000}"/>
    <cellStyle name="Released 17" xfId="28078" xr:uid="{00000000-0005-0000-0000-0000B56D0000}"/>
    <cellStyle name="Released 18" xfId="28079" xr:uid="{00000000-0005-0000-0000-0000B66D0000}"/>
    <cellStyle name="Released 19" xfId="28080" xr:uid="{00000000-0005-0000-0000-0000B76D0000}"/>
    <cellStyle name="Released 2" xfId="28081" xr:uid="{00000000-0005-0000-0000-0000B86D0000}"/>
    <cellStyle name="Released 2 10" xfId="28082" xr:uid="{00000000-0005-0000-0000-0000B96D0000}"/>
    <cellStyle name="Released 2 11" xfId="28083" xr:uid="{00000000-0005-0000-0000-0000BA6D0000}"/>
    <cellStyle name="Released 2 12" xfId="28084" xr:uid="{00000000-0005-0000-0000-0000BB6D0000}"/>
    <cellStyle name="Released 2 13" xfId="28085" xr:uid="{00000000-0005-0000-0000-0000BC6D0000}"/>
    <cellStyle name="Released 2 14" xfId="28086" xr:uid="{00000000-0005-0000-0000-0000BD6D0000}"/>
    <cellStyle name="Released 2 15" xfId="28087" xr:uid="{00000000-0005-0000-0000-0000BE6D0000}"/>
    <cellStyle name="Released 2 16" xfId="28088" xr:uid="{00000000-0005-0000-0000-0000BF6D0000}"/>
    <cellStyle name="Released 2 17" xfId="28089" xr:uid="{00000000-0005-0000-0000-0000C06D0000}"/>
    <cellStyle name="Released 2 18" xfId="28090" xr:uid="{00000000-0005-0000-0000-0000C16D0000}"/>
    <cellStyle name="Released 2 19" xfId="28091" xr:uid="{00000000-0005-0000-0000-0000C26D0000}"/>
    <cellStyle name="Released 2 2" xfId="28092" xr:uid="{00000000-0005-0000-0000-0000C36D0000}"/>
    <cellStyle name="Released 2 2 2" xfId="28093" xr:uid="{00000000-0005-0000-0000-0000C46D0000}"/>
    <cellStyle name="Released 2 2 3" xfId="28094" xr:uid="{00000000-0005-0000-0000-0000C56D0000}"/>
    <cellStyle name="Released 2 20" xfId="28095" xr:uid="{00000000-0005-0000-0000-0000C66D0000}"/>
    <cellStyle name="Released 2 21" xfId="28096" xr:uid="{00000000-0005-0000-0000-0000C76D0000}"/>
    <cellStyle name="Released 2 22" xfId="28097" xr:uid="{00000000-0005-0000-0000-0000C86D0000}"/>
    <cellStyle name="Released 2 23" xfId="28098" xr:uid="{00000000-0005-0000-0000-0000C96D0000}"/>
    <cellStyle name="Released 2 24" xfId="28099" xr:uid="{00000000-0005-0000-0000-0000CA6D0000}"/>
    <cellStyle name="Released 2 25" xfId="28100" xr:uid="{00000000-0005-0000-0000-0000CB6D0000}"/>
    <cellStyle name="Released 2 26" xfId="28101" xr:uid="{00000000-0005-0000-0000-0000CC6D0000}"/>
    <cellStyle name="Released 2 27" xfId="28102" xr:uid="{00000000-0005-0000-0000-0000CD6D0000}"/>
    <cellStyle name="Released 2 28" xfId="28103" xr:uid="{00000000-0005-0000-0000-0000CE6D0000}"/>
    <cellStyle name="Released 2 29" xfId="28104" xr:uid="{00000000-0005-0000-0000-0000CF6D0000}"/>
    <cellStyle name="Released 2 3" xfId="28105" xr:uid="{00000000-0005-0000-0000-0000D06D0000}"/>
    <cellStyle name="Released 2 30" xfId="28106" xr:uid="{00000000-0005-0000-0000-0000D16D0000}"/>
    <cellStyle name="Released 2 31" xfId="28107" xr:uid="{00000000-0005-0000-0000-0000D26D0000}"/>
    <cellStyle name="Released 2 32" xfId="28108" xr:uid="{00000000-0005-0000-0000-0000D36D0000}"/>
    <cellStyle name="Released 2 33" xfId="28109" xr:uid="{00000000-0005-0000-0000-0000D46D0000}"/>
    <cellStyle name="Released 2 34" xfId="28110" xr:uid="{00000000-0005-0000-0000-0000D56D0000}"/>
    <cellStyle name="Released 2 35" xfId="28111" xr:uid="{00000000-0005-0000-0000-0000D66D0000}"/>
    <cellStyle name="Released 2 36" xfId="28112" xr:uid="{00000000-0005-0000-0000-0000D76D0000}"/>
    <cellStyle name="Released 2 4" xfId="28113" xr:uid="{00000000-0005-0000-0000-0000D86D0000}"/>
    <cellStyle name="Released 2 5" xfId="28114" xr:uid="{00000000-0005-0000-0000-0000D96D0000}"/>
    <cellStyle name="Released 2 6" xfId="28115" xr:uid="{00000000-0005-0000-0000-0000DA6D0000}"/>
    <cellStyle name="Released 2 7" xfId="28116" xr:uid="{00000000-0005-0000-0000-0000DB6D0000}"/>
    <cellStyle name="Released 2 8" xfId="28117" xr:uid="{00000000-0005-0000-0000-0000DC6D0000}"/>
    <cellStyle name="Released 2 9" xfId="28118" xr:uid="{00000000-0005-0000-0000-0000DD6D0000}"/>
    <cellStyle name="Released 20" xfId="28119" xr:uid="{00000000-0005-0000-0000-0000DE6D0000}"/>
    <cellStyle name="Released 21" xfId="28120" xr:uid="{00000000-0005-0000-0000-0000DF6D0000}"/>
    <cellStyle name="Released 22" xfId="28121" xr:uid="{00000000-0005-0000-0000-0000E06D0000}"/>
    <cellStyle name="Released 23" xfId="28122" xr:uid="{00000000-0005-0000-0000-0000E16D0000}"/>
    <cellStyle name="Released 24" xfId="28123" xr:uid="{00000000-0005-0000-0000-0000E26D0000}"/>
    <cellStyle name="Released 25" xfId="28124" xr:uid="{00000000-0005-0000-0000-0000E36D0000}"/>
    <cellStyle name="Released 26" xfId="28125" xr:uid="{00000000-0005-0000-0000-0000E46D0000}"/>
    <cellStyle name="Released 27" xfId="28126" xr:uid="{00000000-0005-0000-0000-0000E56D0000}"/>
    <cellStyle name="Released 28" xfId="28127" xr:uid="{00000000-0005-0000-0000-0000E66D0000}"/>
    <cellStyle name="Released 29" xfId="28128" xr:uid="{00000000-0005-0000-0000-0000E76D0000}"/>
    <cellStyle name="Released 3" xfId="28129" xr:uid="{00000000-0005-0000-0000-0000E86D0000}"/>
    <cellStyle name="Released 3 2" xfId="28130" xr:uid="{00000000-0005-0000-0000-0000E96D0000}"/>
    <cellStyle name="Released 3 2 2" xfId="28131" xr:uid="{00000000-0005-0000-0000-0000EA6D0000}"/>
    <cellStyle name="Released 3 2 3" xfId="28132" xr:uid="{00000000-0005-0000-0000-0000EB6D0000}"/>
    <cellStyle name="Released 3 3" xfId="28133" xr:uid="{00000000-0005-0000-0000-0000EC6D0000}"/>
    <cellStyle name="Released 3 3 2" xfId="28134" xr:uid="{00000000-0005-0000-0000-0000ED6D0000}"/>
    <cellStyle name="Released 3 3 3" xfId="28135" xr:uid="{00000000-0005-0000-0000-0000EE6D0000}"/>
    <cellStyle name="Released 3 4" xfId="28136" xr:uid="{00000000-0005-0000-0000-0000EF6D0000}"/>
    <cellStyle name="Released 3 5" xfId="28137" xr:uid="{00000000-0005-0000-0000-0000F06D0000}"/>
    <cellStyle name="Released 30" xfId="28138" xr:uid="{00000000-0005-0000-0000-0000F16D0000}"/>
    <cellStyle name="Released 31" xfId="28139" xr:uid="{00000000-0005-0000-0000-0000F26D0000}"/>
    <cellStyle name="Released 32" xfId="28140" xr:uid="{00000000-0005-0000-0000-0000F36D0000}"/>
    <cellStyle name="Released 33" xfId="28141" xr:uid="{00000000-0005-0000-0000-0000F46D0000}"/>
    <cellStyle name="Released 34" xfId="28142" xr:uid="{00000000-0005-0000-0000-0000F56D0000}"/>
    <cellStyle name="Released 35" xfId="28143" xr:uid="{00000000-0005-0000-0000-0000F66D0000}"/>
    <cellStyle name="Released 36" xfId="28144" xr:uid="{00000000-0005-0000-0000-0000F76D0000}"/>
    <cellStyle name="Released 4" xfId="28145" xr:uid="{00000000-0005-0000-0000-0000F86D0000}"/>
    <cellStyle name="Released 4 2" xfId="28146" xr:uid="{00000000-0005-0000-0000-0000F96D0000}"/>
    <cellStyle name="Released 4 2 2" xfId="28147" xr:uid="{00000000-0005-0000-0000-0000FA6D0000}"/>
    <cellStyle name="Released 4 2 3" xfId="28148" xr:uid="{00000000-0005-0000-0000-0000FB6D0000}"/>
    <cellStyle name="Released 4 3" xfId="28149" xr:uid="{00000000-0005-0000-0000-0000FC6D0000}"/>
    <cellStyle name="Released 4 3 2" xfId="28150" xr:uid="{00000000-0005-0000-0000-0000FD6D0000}"/>
    <cellStyle name="Released 4 3 3" xfId="28151" xr:uid="{00000000-0005-0000-0000-0000FE6D0000}"/>
    <cellStyle name="Released 4 4" xfId="28152" xr:uid="{00000000-0005-0000-0000-0000FF6D0000}"/>
    <cellStyle name="Released 4 5" xfId="28153" xr:uid="{00000000-0005-0000-0000-0000006E0000}"/>
    <cellStyle name="Released 5" xfId="28154" xr:uid="{00000000-0005-0000-0000-0000016E0000}"/>
    <cellStyle name="Released 5 2" xfId="28155" xr:uid="{00000000-0005-0000-0000-0000026E0000}"/>
    <cellStyle name="Released 5 3" xfId="28156" xr:uid="{00000000-0005-0000-0000-0000036E0000}"/>
    <cellStyle name="Released 6" xfId="28157" xr:uid="{00000000-0005-0000-0000-0000046E0000}"/>
    <cellStyle name="Released 7" xfId="28158" xr:uid="{00000000-0005-0000-0000-0000056E0000}"/>
    <cellStyle name="Released 8" xfId="28159" xr:uid="{00000000-0005-0000-0000-0000066E0000}"/>
    <cellStyle name="Released 9" xfId="28160" xr:uid="{00000000-0005-0000-0000-0000076E0000}"/>
    <cellStyle name="RM" xfId="28161" xr:uid="{00000000-0005-0000-0000-0000086E0000}"/>
    <cellStyle name="Row label" xfId="28162" xr:uid="{00000000-0005-0000-0000-0000096E0000}"/>
    <cellStyle name="Row label (indent)" xfId="28163" xr:uid="{00000000-0005-0000-0000-00000A6E0000}"/>
    <cellStyle name="S" xfId="28164" xr:uid="{00000000-0005-0000-0000-00000B6E0000}"/>
    <cellStyle name="S by Region Pg 2" xfId="28165" xr:uid="{00000000-0005-0000-0000-00000C6E0000}"/>
    <cellStyle name="S_BellTel MS RFP Annex 7 Pricing Template 081312" xfId="28166" xr:uid="{00000000-0005-0000-0000-00000D6E0000}"/>
    <cellStyle name="Saída" xfId="28167" xr:uid="{00000000-0005-0000-0000-00000E6E0000}"/>
    <cellStyle name="Saída 10" xfId="28168" xr:uid="{00000000-0005-0000-0000-00000F6E0000}"/>
    <cellStyle name="Saída 11" xfId="28169" xr:uid="{00000000-0005-0000-0000-0000106E0000}"/>
    <cellStyle name="Saída 12" xfId="28170" xr:uid="{00000000-0005-0000-0000-0000116E0000}"/>
    <cellStyle name="Saída 13" xfId="28171" xr:uid="{00000000-0005-0000-0000-0000126E0000}"/>
    <cellStyle name="Saída 14" xfId="28172" xr:uid="{00000000-0005-0000-0000-0000136E0000}"/>
    <cellStyle name="Saída 15" xfId="28173" xr:uid="{00000000-0005-0000-0000-0000146E0000}"/>
    <cellStyle name="Saída 16" xfId="28174" xr:uid="{00000000-0005-0000-0000-0000156E0000}"/>
    <cellStyle name="Saída 17" xfId="28175" xr:uid="{00000000-0005-0000-0000-0000166E0000}"/>
    <cellStyle name="Saída 18" xfId="28176" xr:uid="{00000000-0005-0000-0000-0000176E0000}"/>
    <cellStyle name="Saída 19" xfId="28177" xr:uid="{00000000-0005-0000-0000-0000186E0000}"/>
    <cellStyle name="Saída 2" xfId="28178" xr:uid="{00000000-0005-0000-0000-0000196E0000}"/>
    <cellStyle name="Saída 2 10" xfId="28179" xr:uid="{00000000-0005-0000-0000-00001A6E0000}"/>
    <cellStyle name="Saída 2 11" xfId="28180" xr:uid="{00000000-0005-0000-0000-00001B6E0000}"/>
    <cellStyle name="Saída 2 12" xfId="28181" xr:uid="{00000000-0005-0000-0000-00001C6E0000}"/>
    <cellStyle name="Saída 2 13" xfId="28182" xr:uid="{00000000-0005-0000-0000-00001D6E0000}"/>
    <cellStyle name="Saída 2 14" xfId="28183" xr:uid="{00000000-0005-0000-0000-00001E6E0000}"/>
    <cellStyle name="Saída 2 15" xfId="28184" xr:uid="{00000000-0005-0000-0000-00001F6E0000}"/>
    <cellStyle name="Saída 2 16" xfId="28185" xr:uid="{00000000-0005-0000-0000-0000206E0000}"/>
    <cellStyle name="Saída 2 17" xfId="28186" xr:uid="{00000000-0005-0000-0000-0000216E0000}"/>
    <cellStyle name="Saída 2 18" xfId="28187" xr:uid="{00000000-0005-0000-0000-0000226E0000}"/>
    <cellStyle name="Saída 2 19" xfId="28188" xr:uid="{00000000-0005-0000-0000-0000236E0000}"/>
    <cellStyle name="Saída 2 2" xfId="28189" xr:uid="{00000000-0005-0000-0000-0000246E0000}"/>
    <cellStyle name="Saída 2 20" xfId="28190" xr:uid="{00000000-0005-0000-0000-0000256E0000}"/>
    <cellStyle name="Saída 2 21" xfId="28191" xr:uid="{00000000-0005-0000-0000-0000266E0000}"/>
    <cellStyle name="Saída 2 22" xfId="28192" xr:uid="{00000000-0005-0000-0000-0000276E0000}"/>
    <cellStyle name="Saída 2 23" xfId="28193" xr:uid="{00000000-0005-0000-0000-0000286E0000}"/>
    <cellStyle name="Saída 2 24" xfId="28194" xr:uid="{00000000-0005-0000-0000-0000296E0000}"/>
    <cellStyle name="Saída 2 25" xfId="28195" xr:uid="{00000000-0005-0000-0000-00002A6E0000}"/>
    <cellStyle name="Saída 2 26" xfId="28196" xr:uid="{00000000-0005-0000-0000-00002B6E0000}"/>
    <cellStyle name="Saída 2 27" xfId="28197" xr:uid="{00000000-0005-0000-0000-00002C6E0000}"/>
    <cellStyle name="Saída 2 28" xfId="28198" xr:uid="{00000000-0005-0000-0000-00002D6E0000}"/>
    <cellStyle name="Saída 2 29" xfId="28199" xr:uid="{00000000-0005-0000-0000-00002E6E0000}"/>
    <cellStyle name="Saída 2 3" xfId="28200" xr:uid="{00000000-0005-0000-0000-00002F6E0000}"/>
    <cellStyle name="Saída 2 30" xfId="28201" xr:uid="{00000000-0005-0000-0000-0000306E0000}"/>
    <cellStyle name="Saída 2 31" xfId="28202" xr:uid="{00000000-0005-0000-0000-0000316E0000}"/>
    <cellStyle name="Saída 2 32" xfId="28203" xr:uid="{00000000-0005-0000-0000-0000326E0000}"/>
    <cellStyle name="Saída 2 33" xfId="28204" xr:uid="{00000000-0005-0000-0000-0000336E0000}"/>
    <cellStyle name="Saída 2 34" xfId="28205" xr:uid="{00000000-0005-0000-0000-0000346E0000}"/>
    <cellStyle name="Saída 2 4" xfId="28206" xr:uid="{00000000-0005-0000-0000-0000356E0000}"/>
    <cellStyle name="Saída 2 5" xfId="28207" xr:uid="{00000000-0005-0000-0000-0000366E0000}"/>
    <cellStyle name="Saída 2 6" xfId="28208" xr:uid="{00000000-0005-0000-0000-0000376E0000}"/>
    <cellStyle name="Saída 2 7" xfId="28209" xr:uid="{00000000-0005-0000-0000-0000386E0000}"/>
    <cellStyle name="Saída 2 8" xfId="28210" xr:uid="{00000000-0005-0000-0000-0000396E0000}"/>
    <cellStyle name="Saída 2 9" xfId="28211" xr:uid="{00000000-0005-0000-0000-00003A6E0000}"/>
    <cellStyle name="Saída 20" xfId="28212" xr:uid="{00000000-0005-0000-0000-00003B6E0000}"/>
    <cellStyle name="Saída 3" xfId="28213" xr:uid="{00000000-0005-0000-0000-00003C6E0000}"/>
    <cellStyle name="Saída 3 2" xfId="28214" xr:uid="{00000000-0005-0000-0000-00003D6E0000}"/>
    <cellStyle name="Saída 3 3" xfId="28215" xr:uid="{00000000-0005-0000-0000-00003E6E0000}"/>
    <cellStyle name="Saída 4" xfId="28216" xr:uid="{00000000-0005-0000-0000-00003F6E0000}"/>
    <cellStyle name="Saída 5" xfId="28217" xr:uid="{00000000-0005-0000-0000-0000406E0000}"/>
    <cellStyle name="Saída 6" xfId="28218" xr:uid="{00000000-0005-0000-0000-0000416E0000}"/>
    <cellStyle name="Saída 7" xfId="28219" xr:uid="{00000000-0005-0000-0000-0000426E0000}"/>
    <cellStyle name="Saída 8" xfId="28220" xr:uid="{00000000-0005-0000-0000-0000436E0000}"/>
    <cellStyle name="Saída 9" xfId="28221" xr:uid="{00000000-0005-0000-0000-0000446E0000}"/>
    <cellStyle name="SAPBEXaggData" xfId="28222" xr:uid="{00000000-0005-0000-0000-0000456E0000}"/>
    <cellStyle name="SAPBEXaggData 10" xfId="28223" xr:uid="{00000000-0005-0000-0000-0000466E0000}"/>
    <cellStyle name="SAPBEXaggData 11" xfId="28224" xr:uid="{00000000-0005-0000-0000-0000476E0000}"/>
    <cellStyle name="SAPBEXaggData 12" xfId="28225" xr:uid="{00000000-0005-0000-0000-0000486E0000}"/>
    <cellStyle name="SAPBEXaggData 13" xfId="28226" xr:uid="{00000000-0005-0000-0000-0000496E0000}"/>
    <cellStyle name="SAPBEXaggData 14" xfId="28227" xr:uid="{00000000-0005-0000-0000-00004A6E0000}"/>
    <cellStyle name="SAPBEXaggData 15" xfId="28228" xr:uid="{00000000-0005-0000-0000-00004B6E0000}"/>
    <cellStyle name="SAPBEXaggData 16" xfId="28229" xr:uid="{00000000-0005-0000-0000-00004C6E0000}"/>
    <cellStyle name="SAPBEXaggData 17" xfId="28230" xr:uid="{00000000-0005-0000-0000-00004D6E0000}"/>
    <cellStyle name="SAPBEXaggData 18" xfId="28231" xr:uid="{00000000-0005-0000-0000-00004E6E0000}"/>
    <cellStyle name="SAPBEXaggData 19" xfId="28232" xr:uid="{00000000-0005-0000-0000-00004F6E0000}"/>
    <cellStyle name="SAPBEXaggData 2" xfId="28233" xr:uid="{00000000-0005-0000-0000-0000506E0000}"/>
    <cellStyle name="SAPBEXaggData 2 10" xfId="28234" xr:uid="{00000000-0005-0000-0000-0000516E0000}"/>
    <cellStyle name="SAPBEXaggData 2 11" xfId="28235" xr:uid="{00000000-0005-0000-0000-0000526E0000}"/>
    <cellStyle name="SAPBEXaggData 2 12" xfId="28236" xr:uid="{00000000-0005-0000-0000-0000536E0000}"/>
    <cellStyle name="SAPBEXaggData 2 13" xfId="28237" xr:uid="{00000000-0005-0000-0000-0000546E0000}"/>
    <cellStyle name="SAPBEXaggData 2 14" xfId="28238" xr:uid="{00000000-0005-0000-0000-0000556E0000}"/>
    <cellStyle name="SAPBEXaggData 2 15" xfId="28239" xr:uid="{00000000-0005-0000-0000-0000566E0000}"/>
    <cellStyle name="SAPBEXaggData 2 16" xfId="28240" xr:uid="{00000000-0005-0000-0000-0000576E0000}"/>
    <cellStyle name="SAPBEXaggData 2 17" xfId="28241" xr:uid="{00000000-0005-0000-0000-0000586E0000}"/>
    <cellStyle name="SAPBEXaggData 2 18" xfId="28242" xr:uid="{00000000-0005-0000-0000-0000596E0000}"/>
    <cellStyle name="SAPBEXaggData 2 19" xfId="28243" xr:uid="{00000000-0005-0000-0000-00005A6E0000}"/>
    <cellStyle name="SAPBEXaggData 2 2" xfId="28244" xr:uid="{00000000-0005-0000-0000-00005B6E0000}"/>
    <cellStyle name="SAPBEXaggData 2 20" xfId="28245" xr:uid="{00000000-0005-0000-0000-00005C6E0000}"/>
    <cellStyle name="SAPBEXaggData 2 21" xfId="28246" xr:uid="{00000000-0005-0000-0000-00005D6E0000}"/>
    <cellStyle name="SAPBEXaggData 2 22" xfId="28247" xr:uid="{00000000-0005-0000-0000-00005E6E0000}"/>
    <cellStyle name="SAPBEXaggData 2 23" xfId="28248" xr:uid="{00000000-0005-0000-0000-00005F6E0000}"/>
    <cellStyle name="SAPBEXaggData 2 24" xfId="28249" xr:uid="{00000000-0005-0000-0000-0000606E0000}"/>
    <cellStyle name="SAPBEXaggData 2 25" xfId="28250" xr:uid="{00000000-0005-0000-0000-0000616E0000}"/>
    <cellStyle name="SAPBEXaggData 2 26" xfId="28251" xr:uid="{00000000-0005-0000-0000-0000626E0000}"/>
    <cellStyle name="SAPBEXaggData 2 27" xfId="28252" xr:uid="{00000000-0005-0000-0000-0000636E0000}"/>
    <cellStyle name="SAPBEXaggData 2 28" xfId="28253" xr:uid="{00000000-0005-0000-0000-0000646E0000}"/>
    <cellStyle name="SAPBEXaggData 2 29" xfId="28254" xr:uid="{00000000-0005-0000-0000-0000656E0000}"/>
    <cellStyle name="SAPBEXaggData 2 3" xfId="28255" xr:uid="{00000000-0005-0000-0000-0000666E0000}"/>
    <cellStyle name="SAPBEXaggData 2 30" xfId="28256" xr:uid="{00000000-0005-0000-0000-0000676E0000}"/>
    <cellStyle name="SAPBEXaggData 2 31" xfId="28257" xr:uid="{00000000-0005-0000-0000-0000686E0000}"/>
    <cellStyle name="SAPBEXaggData 2 32" xfId="28258" xr:uid="{00000000-0005-0000-0000-0000696E0000}"/>
    <cellStyle name="SAPBEXaggData 2 33" xfId="28259" xr:uid="{00000000-0005-0000-0000-00006A6E0000}"/>
    <cellStyle name="SAPBEXaggData 2 34" xfId="28260" xr:uid="{00000000-0005-0000-0000-00006B6E0000}"/>
    <cellStyle name="SAPBEXaggData 2 4" xfId="28261" xr:uid="{00000000-0005-0000-0000-00006C6E0000}"/>
    <cellStyle name="SAPBEXaggData 2 5" xfId="28262" xr:uid="{00000000-0005-0000-0000-00006D6E0000}"/>
    <cellStyle name="SAPBEXaggData 2 6" xfId="28263" xr:uid="{00000000-0005-0000-0000-00006E6E0000}"/>
    <cellStyle name="SAPBEXaggData 2 7" xfId="28264" xr:uid="{00000000-0005-0000-0000-00006F6E0000}"/>
    <cellStyle name="SAPBEXaggData 2 8" xfId="28265" xr:uid="{00000000-0005-0000-0000-0000706E0000}"/>
    <cellStyle name="SAPBEXaggData 2 9" xfId="28266" xr:uid="{00000000-0005-0000-0000-0000716E0000}"/>
    <cellStyle name="SAPBEXaggData 20" xfId="28267" xr:uid="{00000000-0005-0000-0000-0000726E0000}"/>
    <cellStyle name="SAPBEXaggData 3" xfId="28268" xr:uid="{00000000-0005-0000-0000-0000736E0000}"/>
    <cellStyle name="SAPBEXaggData 3 2" xfId="28269" xr:uid="{00000000-0005-0000-0000-0000746E0000}"/>
    <cellStyle name="SAPBEXaggData 3 3" xfId="28270" xr:uid="{00000000-0005-0000-0000-0000756E0000}"/>
    <cellStyle name="SAPBEXaggData 4" xfId="28271" xr:uid="{00000000-0005-0000-0000-0000766E0000}"/>
    <cellStyle name="SAPBEXaggData 5" xfId="28272" xr:uid="{00000000-0005-0000-0000-0000776E0000}"/>
    <cellStyle name="SAPBEXaggData 6" xfId="28273" xr:uid="{00000000-0005-0000-0000-0000786E0000}"/>
    <cellStyle name="SAPBEXaggData 7" xfId="28274" xr:uid="{00000000-0005-0000-0000-0000796E0000}"/>
    <cellStyle name="SAPBEXaggData 8" xfId="28275" xr:uid="{00000000-0005-0000-0000-00007A6E0000}"/>
    <cellStyle name="SAPBEXaggData 9" xfId="28276" xr:uid="{00000000-0005-0000-0000-00007B6E0000}"/>
    <cellStyle name="SAPBEXaggItem" xfId="28277" xr:uid="{00000000-0005-0000-0000-00007C6E0000}"/>
    <cellStyle name="SAPBEXaggItem 10" xfId="28278" xr:uid="{00000000-0005-0000-0000-00007D6E0000}"/>
    <cellStyle name="SAPBEXaggItem 11" xfId="28279" xr:uid="{00000000-0005-0000-0000-00007E6E0000}"/>
    <cellStyle name="SAPBEXaggItem 12" xfId="28280" xr:uid="{00000000-0005-0000-0000-00007F6E0000}"/>
    <cellStyle name="SAPBEXaggItem 13" xfId="28281" xr:uid="{00000000-0005-0000-0000-0000806E0000}"/>
    <cellStyle name="SAPBEXaggItem 14" xfId="28282" xr:uid="{00000000-0005-0000-0000-0000816E0000}"/>
    <cellStyle name="SAPBEXaggItem 15" xfId="28283" xr:uid="{00000000-0005-0000-0000-0000826E0000}"/>
    <cellStyle name="SAPBEXaggItem 16" xfId="28284" xr:uid="{00000000-0005-0000-0000-0000836E0000}"/>
    <cellStyle name="SAPBEXaggItem 17" xfId="28285" xr:uid="{00000000-0005-0000-0000-0000846E0000}"/>
    <cellStyle name="SAPBEXaggItem 18" xfId="28286" xr:uid="{00000000-0005-0000-0000-0000856E0000}"/>
    <cellStyle name="SAPBEXaggItem 19" xfId="28287" xr:uid="{00000000-0005-0000-0000-0000866E0000}"/>
    <cellStyle name="SAPBEXaggItem 2" xfId="28288" xr:uid="{00000000-0005-0000-0000-0000876E0000}"/>
    <cellStyle name="SAPBEXaggItem 2 10" xfId="28289" xr:uid="{00000000-0005-0000-0000-0000886E0000}"/>
    <cellStyle name="SAPBEXaggItem 2 11" xfId="28290" xr:uid="{00000000-0005-0000-0000-0000896E0000}"/>
    <cellStyle name="SAPBEXaggItem 2 12" xfId="28291" xr:uid="{00000000-0005-0000-0000-00008A6E0000}"/>
    <cellStyle name="SAPBEXaggItem 2 13" xfId="28292" xr:uid="{00000000-0005-0000-0000-00008B6E0000}"/>
    <cellStyle name="SAPBEXaggItem 2 14" xfId="28293" xr:uid="{00000000-0005-0000-0000-00008C6E0000}"/>
    <cellStyle name="SAPBEXaggItem 2 15" xfId="28294" xr:uid="{00000000-0005-0000-0000-00008D6E0000}"/>
    <cellStyle name="SAPBEXaggItem 2 16" xfId="28295" xr:uid="{00000000-0005-0000-0000-00008E6E0000}"/>
    <cellStyle name="SAPBEXaggItem 2 17" xfId="28296" xr:uid="{00000000-0005-0000-0000-00008F6E0000}"/>
    <cellStyle name="SAPBEXaggItem 2 18" xfId="28297" xr:uid="{00000000-0005-0000-0000-0000906E0000}"/>
    <cellStyle name="SAPBEXaggItem 2 19" xfId="28298" xr:uid="{00000000-0005-0000-0000-0000916E0000}"/>
    <cellStyle name="SAPBEXaggItem 2 2" xfId="28299" xr:uid="{00000000-0005-0000-0000-0000926E0000}"/>
    <cellStyle name="SAPBEXaggItem 2 20" xfId="28300" xr:uid="{00000000-0005-0000-0000-0000936E0000}"/>
    <cellStyle name="SAPBEXaggItem 2 21" xfId="28301" xr:uid="{00000000-0005-0000-0000-0000946E0000}"/>
    <cellStyle name="SAPBEXaggItem 2 22" xfId="28302" xr:uid="{00000000-0005-0000-0000-0000956E0000}"/>
    <cellStyle name="SAPBEXaggItem 2 23" xfId="28303" xr:uid="{00000000-0005-0000-0000-0000966E0000}"/>
    <cellStyle name="SAPBEXaggItem 2 24" xfId="28304" xr:uid="{00000000-0005-0000-0000-0000976E0000}"/>
    <cellStyle name="SAPBEXaggItem 2 25" xfId="28305" xr:uid="{00000000-0005-0000-0000-0000986E0000}"/>
    <cellStyle name="SAPBEXaggItem 2 26" xfId="28306" xr:uid="{00000000-0005-0000-0000-0000996E0000}"/>
    <cellStyle name="SAPBEXaggItem 2 27" xfId="28307" xr:uid="{00000000-0005-0000-0000-00009A6E0000}"/>
    <cellStyle name="SAPBEXaggItem 2 28" xfId="28308" xr:uid="{00000000-0005-0000-0000-00009B6E0000}"/>
    <cellStyle name="SAPBEXaggItem 2 29" xfId="28309" xr:uid="{00000000-0005-0000-0000-00009C6E0000}"/>
    <cellStyle name="SAPBEXaggItem 2 3" xfId="28310" xr:uid="{00000000-0005-0000-0000-00009D6E0000}"/>
    <cellStyle name="SAPBEXaggItem 2 30" xfId="28311" xr:uid="{00000000-0005-0000-0000-00009E6E0000}"/>
    <cellStyle name="SAPBEXaggItem 2 31" xfId="28312" xr:uid="{00000000-0005-0000-0000-00009F6E0000}"/>
    <cellStyle name="SAPBEXaggItem 2 32" xfId="28313" xr:uid="{00000000-0005-0000-0000-0000A06E0000}"/>
    <cellStyle name="SAPBEXaggItem 2 33" xfId="28314" xr:uid="{00000000-0005-0000-0000-0000A16E0000}"/>
    <cellStyle name="SAPBEXaggItem 2 34" xfId="28315" xr:uid="{00000000-0005-0000-0000-0000A26E0000}"/>
    <cellStyle name="SAPBEXaggItem 2 4" xfId="28316" xr:uid="{00000000-0005-0000-0000-0000A36E0000}"/>
    <cellStyle name="SAPBEXaggItem 2 5" xfId="28317" xr:uid="{00000000-0005-0000-0000-0000A46E0000}"/>
    <cellStyle name="SAPBEXaggItem 2 6" xfId="28318" xr:uid="{00000000-0005-0000-0000-0000A56E0000}"/>
    <cellStyle name="SAPBEXaggItem 2 7" xfId="28319" xr:uid="{00000000-0005-0000-0000-0000A66E0000}"/>
    <cellStyle name="SAPBEXaggItem 2 8" xfId="28320" xr:uid="{00000000-0005-0000-0000-0000A76E0000}"/>
    <cellStyle name="SAPBEXaggItem 2 9" xfId="28321" xr:uid="{00000000-0005-0000-0000-0000A86E0000}"/>
    <cellStyle name="SAPBEXaggItem 20" xfId="28322" xr:uid="{00000000-0005-0000-0000-0000A96E0000}"/>
    <cellStyle name="SAPBEXaggItem 3" xfId="28323" xr:uid="{00000000-0005-0000-0000-0000AA6E0000}"/>
    <cellStyle name="SAPBEXaggItem 3 2" xfId="28324" xr:uid="{00000000-0005-0000-0000-0000AB6E0000}"/>
    <cellStyle name="SAPBEXaggItem 3 3" xfId="28325" xr:uid="{00000000-0005-0000-0000-0000AC6E0000}"/>
    <cellStyle name="SAPBEXaggItem 4" xfId="28326" xr:uid="{00000000-0005-0000-0000-0000AD6E0000}"/>
    <cellStyle name="SAPBEXaggItem 5" xfId="28327" xr:uid="{00000000-0005-0000-0000-0000AE6E0000}"/>
    <cellStyle name="SAPBEXaggItem 6" xfId="28328" xr:uid="{00000000-0005-0000-0000-0000AF6E0000}"/>
    <cellStyle name="SAPBEXaggItem 7" xfId="28329" xr:uid="{00000000-0005-0000-0000-0000B06E0000}"/>
    <cellStyle name="SAPBEXaggItem 8" xfId="28330" xr:uid="{00000000-0005-0000-0000-0000B16E0000}"/>
    <cellStyle name="SAPBEXaggItem 9" xfId="28331" xr:uid="{00000000-0005-0000-0000-0000B26E0000}"/>
    <cellStyle name="SAPBEXchaText" xfId="28332" xr:uid="{00000000-0005-0000-0000-0000B36E0000}"/>
    <cellStyle name="SAPBEXHLevel1" xfId="28333" xr:uid="{00000000-0005-0000-0000-0000B46E0000}"/>
    <cellStyle name="SAPBEXHLevel1 10" xfId="28334" xr:uid="{00000000-0005-0000-0000-0000B56E0000}"/>
    <cellStyle name="SAPBEXHLevel1 11" xfId="28335" xr:uid="{00000000-0005-0000-0000-0000B66E0000}"/>
    <cellStyle name="SAPBEXHLevel1 12" xfId="28336" xr:uid="{00000000-0005-0000-0000-0000B76E0000}"/>
    <cellStyle name="SAPBEXHLevel1 13" xfId="28337" xr:uid="{00000000-0005-0000-0000-0000B86E0000}"/>
    <cellStyle name="SAPBEXHLevel1 14" xfId="28338" xr:uid="{00000000-0005-0000-0000-0000B96E0000}"/>
    <cellStyle name="SAPBEXHLevel1 15" xfId="28339" xr:uid="{00000000-0005-0000-0000-0000BA6E0000}"/>
    <cellStyle name="SAPBEXHLevel1 16" xfId="28340" xr:uid="{00000000-0005-0000-0000-0000BB6E0000}"/>
    <cellStyle name="SAPBEXHLevel1 17" xfId="28341" xr:uid="{00000000-0005-0000-0000-0000BC6E0000}"/>
    <cellStyle name="SAPBEXHLevel1 18" xfId="28342" xr:uid="{00000000-0005-0000-0000-0000BD6E0000}"/>
    <cellStyle name="SAPBEXHLevel1 19" xfId="28343" xr:uid="{00000000-0005-0000-0000-0000BE6E0000}"/>
    <cellStyle name="SAPBEXHLevel1 2" xfId="28344" xr:uid="{00000000-0005-0000-0000-0000BF6E0000}"/>
    <cellStyle name="SAPBEXHLevel1 2 10" xfId="28345" xr:uid="{00000000-0005-0000-0000-0000C06E0000}"/>
    <cellStyle name="SAPBEXHLevel1 2 11" xfId="28346" xr:uid="{00000000-0005-0000-0000-0000C16E0000}"/>
    <cellStyle name="SAPBEXHLevel1 2 12" xfId="28347" xr:uid="{00000000-0005-0000-0000-0000C26E0000}"/>
    <cellStyle name="SAPBEXHLevel1 2 13" xfId="28348" xr:uid="{00000000-0005-0000-0000-0000C36E0000}"/>
    <cellStyle name="SAPBEXHLevel1 2 14" xfId="28349" xr:uid="{00000000-0005-0000-0000-0000C46E0000}"/>
    <cellStyle name="SAPBEXHLevel1 2 15" xfId="28350" xr:uid="{00000000-0005-0000-0000-0000C56E0000}"/>
    <cellStyle name="SAPBEXHLevel1 2 16" xfId="28351" xr:uid="{00000000-0005-0000-0000-0000C66E0000}"/>
    <cellStyle name="SAPBEXHLevel1 2 17" xfId="28352" xr:uid="{00000000-0005-0000-0000-0000C76E0000}"/>
    <cellStyle name="SAPBEXHLevel1 2 18" xfId="28353" xr:uid="{00000000-0005-0000-0000-0000C86E0000}"/>
    <cellStyle name="SAPBEXHLevel1 2 19" xfId="28354" xr:uid="{00000000-0005-0000-0000-0000C96E0000}"/>
    <cellStyle name="SAPBEXHLevel1 2 2" xfId="28355" xr:uid="{00000000-0005-0000-0000-0000CA6E0000}"/>
    <cellStyle name="SAPBEXHLevel1 2 20" xfId="28356" xr:uid="{00000000-0005-0000-0000-0000CB6E0000}"/>
    <cellStyle name="SAPBEXHLevel1 2 21" xfId="28357" xr:uid="{00000000-0005-0000-0000-0000CC6E0000}"/>
    <cellStyle name="SAPBEXHLevel1 2 22" xfId="28358" xr:uid="{00000000-0005-0000-0000-0000CD6E0000}"/>
    <cellStyle name="SAPBEXHLevel1 2 23" xfId="28359" xr:uid="{00000000-0005-0000-0000-0000CE6E0000}"/>
    <cellStyle name="SAPBEXHLevel1 2 24" xfId="28360" xr:uid="{00000000-0005-0000-0000-0000CF6E0000}"/>
    <cellStyle name="SAPBEXHLevel1 2 25" xfId="28361" xr:uid="{00000000-0005-0000-0000-0000D06E0000}"/>
    <cellStyle name="SAPBEXHLevel1 2 26" xfId="28362" xr:uid="{00000000-0005-0000-0000-0000D16E0000}"/>
    <cellStyle name="SAPBEXHLevel1 2 27" xfId="28363" xr:uid="{00000000-0005-0000-0000-0000D26E0000}"/>
    <cellStyle name="SAPBEXHLevel1 2 28" xfId="28364" xr:uid="{00000000-0005-0000-0000-0000D36E0000}"/>
    <cellStyle name="SAPBEXHLevel1 2 29" xfId="28365" xr:uid="{00000000-0005-0000-0000-0000D46E0000}"/>
    <cellStyle name="SAPBEXHLevel1 2 3" xfId="28366" xr:uid="{00000000-0005-0000-0000-0000D56E0000}"/>
    <cellStyle name="SAPBEXHLevel1 2 30" xfId="28367" xr:uid="{00000000-0005-0000-0000-0000D66E0000}"/>
    <cellStyle name="SAPBEXHLevel1 2 31" xfId="28368" xr:uid="{00000000-0005-0000-0000-0000D76E0000}"/>
    <cellStyle name="SAPBEXHLevel1 2 32" xfId="28369" xr:uid="{00000000-0005-0000-0000-0000D86E0000}"/>
    <cellStyle name="SAPBEXHLevel1 2 33" xfId="28370" xr:uid="{00000000-0005-0000-0000-0000D96E0000}"/>
    <cellStyle name="SAPBEXHLevel1 2 34" xfId="28371" xr:uid="{00000000-0005-0000-0000-0000DA6E0000}"/>
    <cellStyle name="SAPBEXHLevel1 2 4" xfId="28372" xr:uid="{00000000-0005-0000-0000-0000DB6E0000}"/>
    <cellStyle name="SAPBEXHLevel1 2 5" xfId="28373" xr:uid="{00000000-0005-0000-0000-0000DC6E0000}"/>
    <cellStyle name="SAPBEXHLevel1 2 6" xfId="28374" xr:uid="{00000000-0005-0000-0000-0000DD6E0000}"/>
    <cellStyle name="SAPBEXHLevel1 2 7" xfId="28375" xr:uid="{00000000-0005-0000-0000-0000DE6E0000}"/>
    <cellStyle name="SAPBEXHLevel1 2 8" xfId="28376" xr:uid="{00000000-0005-0000-0000-0000DF6E0000}"/>
    <cellStyle name="SAPBEXHLevel1 2 9" xfId="28377" xr:uid="{00000000-0005-0000-0000-0000E06E0000}"/>
    <cellStyle name="SAPBEXHLevel1 20" xfId="28378" xr:uid="{00000000-0005-0000-0000-0000E16E0000}"/>
    <cellStyle name="SAPBEXHLevel1 3" xfId="28379" xr:uid="{00000000-0005-0000-0000-0000E26E0000}"/>
    <cellStyle name="SAPBEXHLevel1 3 2" xfId="28380" xr:uid="{00000000-0005-0000-0000-0000E36E0000}"/>
    <cellStyle name="SAPBEXHLevel1 3 3" xfId="28381" xr:uid="{00000000-0005-0000-0000-0000E46E0000}"/>
    <cellStyle name="SAPBEXHLevel1 4" xfId="28382" xr:uid="{00000000-0005-0000-0000-0000E56E0000}"/>
    <cellStyle name="SAPBEXHLevel1 5" xfId="28383" xr:uid="{00000000-0005-0000-0000-0000E66E0000}"/>
    <cellStyle name="SAPBEXHLevel1 6" xfId="28384" xr:uid="{00000000-0005-0000-0000-0000E76E0000}"/>
    <cellStyle name="SAPBEXHLevel1 7" xfId="28385" xr:uid="{00000000-0005-0000-0000-0000E86E0000}"/>
    <cellStyle name="SAPBEXHLevel1 8" xfId="28386" xr:uid="{00000000-0005-0000-0000-0000E96E0000}"/>
    <cellStyle name="SAPBEXHLevel1 9" xfId="28387" xr:uid="{00000000-0005-0000-0000-0000EA6E0000}"/>
    <cellStyle name="SAPBEXstdData" xfId="28388" xr:uid="{00000000-0005-0000-0000-0000EB6E0000}"/>
    <cellStyle name="SAPBEXstdData 10" xfId="28389" xr:uid="{00000000-0005-0000-0000-0000EC6E0000}"/>
    <cellStyle name="SAPBEXstdData 11" xfId="28390" xr:uid="{00000000-0005-0000-0000-0000ED6E0000}"/>
    <cellStyle name="SAPBEXstdData 12" xfId="28391" xr:uid="{00000000-0005-0000-0000-0000EE6E0000}"/>
    <cellStyle name="SAPBEXstdData 13" xfId="28392" xr:uid="{00000000-0005-0000-0000-0000EF6E0000}"/>
    <cellStyle name="SAPBEXstdData 14" xfId="28393" xr:uid="{00000000-0005-0000-0000-0000F06E0000}"/>
    <cellStyle name="SAPBEXstdData 15" xfId="28394" xr:uid="{00000000-0005-0000-0000-0000F16E0000}"/>
    <cellStyle name="SAPBEXstdData 16" xfId="28395" xr:uid="{00000000-0005-0000-0000-0000F26E0000}"/>
    <cellStyle name="SAPBEXstdData 17" xfId="28396" xr:uid="{00000000-0005-0000-0000-0000F36E0000}"/>
    <cellStyle name="SAPBEXstdData 18" xfId="28397" xr:uid="{00000000-0005-0000-0000-0000F46E0000}"/>
    <cellStyle name="SAPBEXstdData 19" xfId="28398" xr:uid="{00000000-0005-0000-0000-0000F56E0000}"/>
    <cellStyle name="SAPBEXstdData 2" xfId="28399" xr:uid="{00000000-0005-0000-0000-0000F66E0000}"/>
    <cellStyle name="SAPBEXstdData 2 10" xfId="28400" xr:uid="{00000000-0005-0000-0000-0000F76E0000}"/>
    <cellStyle name="SAPBEXstdData 2 11" xfId="28401" xr:uid="{00000000-0005-0000-0000-0000F86E0000}"/>
    <cellStyle name="SAPBEXstdData 2 12" xfId="28402" xr:uid="{00000000-0005-0000-0000-0000F96E0000}"/>
    <cellStyle name="SAPBEXstdData 2 13" xfId="28403" xr:uid="{00000000-0005-0000-0000-0000FA6E0000}"/>
    <cellStyle name="SAPBEXstdData 2 14" xfId="28404" xr:uid="{00000000-0005-0000-0000-0000FB6E0000}"/>
    <cellStyle name="SAPBEXstdData 2 15" xfId="28405" xr:uid="{00000000-0005-0000-0000-0000FC6E0000}"/>
    <cellStyle name="SAPBEXstdData 2 16" xfId="28406" xr:uid="{00000000-0005-0000-0000-0000FD6E0000}"/>
    <cellStyle name="SAPBEXstdData 2 17" xfId="28407" xr:uid="{00000000-0005-0000-0000-0000FE6E0000}"/>
    <cellStyle name="SAPBEXstdData 2 18" xfId="28408" xr:uid="{00000000-0005-0000-0000-0000FF6E0000}"/>
    <cellStyle name="SAPBEXstdData 2 19" xfId="28409" xr:uid="{00000000-0005-0000-0000-0000006F0000}"/>
    <cellStyle name="SAPBEXstdData 2 2" xfId="28410" xr:uid="{00000000-0005-0000-0000-0000016F0000}"/>
    <cellStyle name="SAPBEXstdData 2 20" xfId="28411" xr:uid="{00000000-0005-0000-0000-0000026F0000}"/>
    <cellStyle name="SAPBEXstdData 2 21" xfId="28412" xr:uid="{00000000-0005-0000-0000-0000036F0000}"/>
    <cellStyle name="SAPBEXstdData 2 22" xfId="28413" xr:uid="{00000000-0005-0000-0000-0000046F0000}"/>
    <cellStyle name="SAPBEXstdData 2 23" xfId="28414" xr:uid="{00000000-0005-0000-0000-0000056F0000}"/>
    <cellStyle name="SAPBEXstdData 2 24" xfId="28415" xr:uid="{00000000-0005-0000-0000-0000066F0000}"/>
    <cellStyle name="SAPBEXstdData 2 25" xfId="28416" xr:uid="{00000000-0005-0000-0000-0000076F0000}"/>
    <cellStyle name="SAPBEXstdData 2 26" xfId="28417" xr:uid="{00000000-0005-0000-0000-0000086F0000}"/>
    <cellStyle name="SAPBEXstdData 2 27" xfId="28418" xr:uid="{00000000-0005-0000-0000-0000096F0000}"/>
    <cellStyle name="SAPBEXstdData 2 28" xfId="28419" xr:uid="{00000000-0005-0000-0000-00000A6F0000}"/>
    <cellStyle name="SAPBEXstdData 2 29" xfId="28420" xr:uid="{00000000-0005-0000-0000-00000B6F0000}"/>
    <cellStyle name="SAPBEXstdData 2 3" xfId="28421" xr:uid="{00000000-0005-0000-0000-00000C6F0000}"/>
    <cellStyle name="SAPBEXstdData 2 30" xfId="28422" xr:uid="{00000000-0005-0000-0000-00000D6F0000}"/>
    <cellStyle name="SAPBEXstdData 2 31" xfId="28423" xr:uid="{00000000-0005-0000-0000-00000E6F0000}"/>
    <cellStyle name="SAPBEXstdData 2 32" xfId="28424" xr:uid="{00000000-0005-0000-0000-00000F6F0000}"/>
    <cellStyle name="SAPBEXstdData 2 33" xfId="28425" xr:uid="{00000000-0005-0000-0000-0000106F0000}"/>
    <cellStyle name="SAPBEXstdData 2 34" xfId="28426" xr:uid="{00000000-0005-0000-0000-0000116F0000}"/>
    <cellStyle name="SAPBEXstdData 2 4" xfId="28427" xr:uid="{00000000-0005-0000-0000-0000126F0000}"/>
    <cellStyle name="SAPBEXstdData 2 5" xfId="28428" xr:uid="{00000000-0005-0000-0000-0000136F0000}"/>
    <cellStyle name="SAPBEXstdData 2 6" xfId="28429" xr:uid="{00000000-0005-0000-0000-0000146F0000}"/>
    <cellStyle name="SAPBEXstdData 2 7" xfId="28430" xr:uid="{00000000-0005-0000-0000-0000156F0000}"/>
    <cellStyle name="SAPBEXstdData 2 8" xfId="28431" xr:uid="{00000000-0005-0000-0000-0000166F0000}"/>
    <cellStyle name="SAPBEXstdData 2 9" xfId="28432" xr:uid="{00000000-0005-0000-0000-0000176F0000}"/>
    <cellStyle name="SAPBEXstdData 20" xfId="28433" xr:uid="{00000000-0005-0000-0000-0000186F0000}"/>
    <cellStyle name="SAPBEXstdData 3" xfId="28434" xr:uid="{00000000-0005-0000-0000-0000196F0000}"/>
    <cellStyle name="SAPBEXstdData 3 2" xfId="28435" xr:uid="{00000000-0005-0000-0000-00001A6F0000}"/>
    <cellStyle name="SAPBEXstdData 3 3" xfId="28436" xr:uid="{00000000-0005-0000-0000-00001B6F0000}"/>
    <cellStyle name="SAPBEXstdData 4" xfId="28437" xr:uid="{00000000-0005-0000-0000-00001C6F0000}"/>
    <cellStyle name="SAPBEXstdData 5" xfId="28438" xr:uid="{00000000-0005-0000-0000-00001D6F0000}"/>
    <cellStyle name="SAPBEXstdData 6" xfId="28439" xr:uid="{00000000-0005-0000-0000-00001E6F0000}"/>
    <cellStyle name="SAPBEXstdData 7" xfId="28440" xr:uid="{00000000-0005-0000-0000-00001F6F0000}"/>
    <cellStyle name="SAPBEXstdData 8" xfId="28441" xr:uid="{00000000-0005-0000-0000-0000206F0000}"/>
    <cellStyle name="SAPBEXstdData 9" xfId="28442" xr:uid="{00000000-0005-0000-0000-0000216F0000}"/>
    <cellStyle name="SAPBEXstdItem" xfId="28443" xr:uid="{00000000-0005-0000-0000-0000226F0000}"/>
    <cellStyle name="SAPBEXstdItem 10" xfId="28444" xr:uid="{00000000-0005-0000-0000-0000236F0000}"/>
    <cellStyle name="SAPBEXstdItem 11" xfId="28445" xr:uid="{00000000-0005-0000-0000-0000246F0000}"/>
    <cellStyle name="SAPBEXstdItem 12" xfId="28446" xr:uid="{00000000-0005-0000-0000-0000256F0000}"/>
    <cellStyle name="SAPBEXstdItem 13" xfId="28447" xr:uid="{00000000-0005-0000-0000-0000266F0000}"/>
    <cellStyle name="SAPBEXstdItem 14" xfId="28448" xr:uid="{00000000-0005-0000-0000-0000276F0000}"/>
    <cellStyle name="SAPBEXstdItem 15" xfId="28449" xr:uid="{00000000-0005-0000-0000-0000286F0000}"/>
    <cellStyle name="SAPBEXstdItem 16" xfId="28450" xr:uid="{00000000-0005-0000-0000-0000296F0000}"/>
    <cellStyle name="SAPBEXstdItem 17" xfId="28451" xr:uid="{00000000-0005-0000-0000-00002A6F0000}"/>
    <cellStyle name="SAPBEXstdItem 18" xfId="28452" xr:uid="{00000000-0005-0000-0000-00002B6F0000}"/>
    <cellStyle name="SAPBEXstdItem 19" xfId="28453" xr:uid="{00000000-0005-0000-0000-00002C6F0000}"/>
    <cellStyle name="SAPBEXstdItem 2" xfId="28454" xr:uid="{00000000-0005-0000-0000-00002D6F0000}"/>
    <cellStyle name="SAPBEXstdItem 2 10" xfId="28455" xr:uid="{00000000-0005-0000-0000-00002E6F0000}"/>
    <cellStyle name="SAPBEXstdItem 2 11" xfId="28456" xr:uid="{00000000-0005-0000-0000-00002F6F0000}"/>
    <cellStyle name="SAPBEXstdItem 2 12" xfId="28457" xr:uid="{00000000-0005-0000-0000-0000306F0000}"/>
    <cellStyle name="SAPBEXstdItem 2 13" xfId="28458" xr:uid="{00000000-0005-0000-0000-0000316F0000}"/>
    <cellStyle name="SAPBEXstdItem 2 14" xfId="28459" xr:uid="{00000000-0005-0000-0000-0000326F0000}"/>
    <cellStyle name="SAPBEXstdItem 2 15" xfId="28460" xr:uid="{00000000-0005-0000-0000-0000336F0000}"/>
    <cellStyle name="SAPBEXstdItem 2 16" xfId="28461" xr:uid="{00000000-0005-0000-0000-0000346F0000}"/>
    <cellStyle name="SAPBEXstdItem 2 17" xfId="28462" xr:uid="{00000000-0005-0000-0000-0000356F0000}"/>
    <cellStyle name="SAPBEXstdItem 2 18" xfId="28463" xr:uid="{00000000-0005-0000-0000-0000366F0000}"/>
    <cellStyle name="SAPBEXstdItem 2 19" xfId="28464" xr:uid="{00000000-0005-0000-0000-0000376F0000}"/>
    <cellStyle name="SAPBEXstdItem 2 2" xfId="28465" xr:uid="{00000000-0005-0000-0000-0000386F0000}"/>
    <cellStyle name="SAPBEXstdItem 2 20" xfId="28466" xr:uid="{00000000-0005-0000-0000-0000396F0000}"/>
    <cellStyle name="SAPBEXstdItem 2 21" xfId="28467" xr:uid="{00000000-0005-0000-0000-00003A6F0000}"/>
    <cellStyle name="SAPBEXstdItem 2 22" xfId="28468" xr:uid="{00000000-0005-0000-0000-00003B6F0000}"/>
    <cellStyle name="SAPBEXstdItem 2 23" xfId="28469" xr:uid="{00000000-0005-0000-0000-00003C6F0000}"/>
    <cellStyle name="SAPBEXstdItem 2 24" xfId="28470" xr:uid="{00000000-0005-0000-0000-00003D6F0000}"/>
    <cellStyle name="SAPBEXstdItem 2 25" xfId="28471" xr:uid="{00000000-0005-0000-0000-00003E6F0000}"/>
    <cellStyle name="SAPBEXstdItem 2 26" xfId="28472" xr:uid="{00000000-0005-0000-0000-00003F6F0000}"/>
    <cellStyle name="SAPBEXstdItem 2 27" xfId="28473" xr:uid="{00000000-0005-0000-0000-0000406F0000}"/>
    <cellStyle name="SAPBEXstdItem 2 28" xfId="28474" xr:uid="{00000000-0005-0000-0000-0000416F0000}"/>
    <cellStyle name="SAPBEXstdItem 2 29" xfId="28475" xr:uid="{00000000-0005-0000-0000-0000426F0000}"/>
    <cellStyle name="SAPBEXstdItem 2 3" xfId="28476" xr:uid="{00000000-0005-0000-0000-0000436F0000}"/>
    <cellStyle name="SAPBEXstdItem 2 30" xfId="28477" xr:uid="{00000000-0005-0000-0000-0000446F0000}"/>
    <cellStyle name="SAPBEXstdItem 2 31" xfId="28478" xr:uid="{00000000-0005-0000-0000-0000456F0000}"/>
    <cellStyle name="SAPBEXstdItem 2 32" xfId="28479" xr:uid="{00000000-0005-0000-0000-0000466F0000}"/>
    <cellStyle name="SAPBEXstdItem 2 33" xfId="28480" xr:uid="{00000000-0005-0000-0000-0000476F0000}"/>
    <cellStyle name="SAPBEXstdItem 2 34" xfId="28481" xr:uid="{00000000-0005-0000-0000-0000486F0000}"/>
    <cellStyle name="SAPBEXstdItem 2 4" xfId="28482" xr:uid="{00000000-0005-0000-0000-0000496F0000}"/>
    <cellStyle name="SAPBEXstdItem 2 5" xfId="28483" xr:uid="{00000000-0005-0000-0000-00004A6F0000}"/>
    <cellStyle name="SAPBEXstdItem 2 6" xfId="28484" xr:uid="{00000000-0005-0000-0000-00004B6F0000}"/>
    <cellStyle name="SAPBEXstdItem 2 7" xfId="28485" xr:uid="{00000000-0005-0000-0000-00004C6F0000}"/>
    <cellStyle name="SAPBEXstdItem 2 8" xfId="28486" xr:uid="{00000000-0005-0000-0000-00004D6F0000}"/>
    <cellStyle name="SAPBEXstdItem 2 9" xfId="28487" xr:uid="{00000000-0005-0000-0000-00004E6F0000}"/>
    <cellStyle name="SAPBEXstdItem 20" xfId="28488" xr:uid="{00000000-0005-0000-0000-00004F6F0000}"/>
    <cellStyle name="SAPBEXstdItem 3" xfId="28489" xr:uid="{00000000-0005-0000-0000-0000506F0000}"/>
    <cellStyle name="SAPBEXstdItem 3 2" xfId="28490" xr:uid="{00000000-0005-0000-0000-0000516F0000}"/>
    <cellStyle name="SAPBEXstdItem 3 3" xfId="28491" xr:uid="{00000000-0005-0000-0000-0000526F0000}"/>
    <cellStyle name="SAPBEXstdItem 4" xfId="28492" xr:uid="{00000000-0005-0000-0000-0000536F0000}"/>
    <cellStyle name="SAPBEXstdItem 5" xfId="28493" xr:uid="{00000000-0005-0000-0000-0000546F0000}"/>
    <cellStyle name="SAPBEXstdItem 6" xfId="28494" xr:uid="{00000000-0005-0000-0000-0000556F0000}"/>
    <cellStyle name="SAPBEXstdItem 7" xfId="28495" xr:uid="{00000000-0005-0000-0000-0000566F0000}"/>
    <cellStyle name="SAPBEXstdItem 8" xfId="28496" xr:uid="{00000000-0005-0000-0000-0000576F0000}"/>
    <cellStyle name="SAPBEXstdItem 9" xfId="28497" xr:uid="{00000000-0005-0000-0000-0000586F0000}"/>
    <cellStyle name="Satisfaisant" xfId="28498" xr:uid="{00000000-0005-0000-0000-0000596F0000}"/>
    <cellStyle name="Satisfaisant 2" xfId="28499" xr:uid="{00000000-0005-0000-0000-00005A6F0000}"/>
    <cellStyle name="Schedule" xfId="28500" xr:uid="{00000000-0005-0000-0000-00005B6F0000}"/>
    <cellStyle name="Section Title" xfId="28501" xr:uid="{00000000-0005-0000-0000-00005C6F0000}"/>
    <cellStyle name="Single Accounting" xfId="28502" xr:uid="{00000000-0005-0000-0000-00005D6F0000}"/>
    <cellStyle name="Single Cell Column Heading" xfId="28503" xr:uid="{00000000-0005-0000-0000-00005E6F0000}"/>
    <cellStyle name="Single Cell Column Heading 5" xfId="28504" xr:uid="{00000000-0005-0000-0000-00005F6F0000}"/>
    <cellStyle name="Single Cell Column Heading_Copy of Myanmar-MS-Addendum-Proposal-Summary-April3-2013" xfId="28505" xr:uid="{00000000-0005-0000-0000-0000606F0000}"/>
    <cellStyle name="Small" xfId="28506" xr:uid="{00000000-0005-0000-0000-0000616F0000}"/>
    <cellStyle name="Small 10" xfId="28507" xr:uid="{00000000-0005-0000-0000-0000626F0000}"/>
    <cellStyle name="Small 11" xfId="28508" xr:uid="{00000000-0005-0000-0000-0000636F0000}"/>
    <cellStyle name="Small 12" xfId="28509" xr:uid="{00000000-0005-0000-0000-0000646F0000}"/>
    <cellStyle name="Small 13" xfId="28510" xr:uid="{00000000-0005-0000-0000-0000656F0000}"/>
    <cellStyle name="Small 14" xfId="28511" xr:uid="{00000000-0005-0000-0000-0000666F0000}"/>
    <cellStyle name="Small 15" xfId="28512" xr:uid="{00000000-0005-0000-0000-0000676F0000}"/>
    <cellStyle name="Small 16" xfId="28513" xr:uid="{00000000-0005-0000-0000-0000686F0000}"/>
    <cellStyle name="Small 17" xfId="28514" xr:uid="{00000000-0005-0000-0000-0000696F0000}"/>
    <cellStyle name="Small 18" xfId="28515" xr:uid="{00000000-0005-0000-0000-00006A6F0000}"/>
    <cellStyle name="Small 19" xfId="28516" xr:uid="{00000000-0005-0000-0000-00006B6F0000}"/>
    <cellStyle name="Small 2" xfId="28517" xr:uid="{00000000-0005-0000-0000-00006C6F0000}"/>
    <cellStyle name="Small 2 10" xfId="28518" xr:uid="{00000000-0005-0000-0000-00006D6F0000}"/>
    <cellStyle name="Small 2 11" xfId="28519" xr:uid="{00000000-0005-0000-0000-00006E6F0000}"/>
    <cellStyle name="Small 2 12" xfId="28520" xr:uid="{00000000-0005-0000-0000-00006F6F0000}"/>
    <cellStyle name="Small 2 13" xfId="28521" xr:uid="{00000000-0005-0000-0000-0000706F0000}"/>
    <cellStyle name="Small 2 14" xfId="28522" xr:uid="{00000000-0005-0000-0000-0000716F0000}"/>
    <cellStyle name="Small 2 15" xfId="28523" xr:uid="{00000000-0005-0000-0000-0000726F0000}"/>
    <cellStyle name="Small 2 16" xfId="28524" xr:uid="{00000000-0005-0000-0000-0000736F0000}"/>
    <cellStyle name="Small 2 17" xfId="28525" xr:uid="{00000000-0005-0000-0000-0000746F0000}"/>
    <cellStyle name="Small 2 18" xfId="28526" xr:uid="{00000000-0005-0000-0000-0000756F0000}"/>
    <cellStyle name="Small 2 19" xfId="28527" xr:uid="{00000000-0005-0000-0000-0000766F0000}"/>
    <cellStyle name="Small 2 2" xfId="28528" xr:uid="{00000000-0005-0000-0000-0000776F0000}"/>
    <cellStyle name="Small 2 2 10" xfId="28529" xr:uid="{00000000-0005-0000-0000-0000786F0000}"/>
    <cellStyle name="Small 2 2 11" xfId="28530" xr:uid="{00000000-0005-0000-0000-0000796F0000}"/>
    <cellStyle name="Small 2 2 12" xfId="28531" xr:uid="{00000000-0005-0000-0000-00007A6F0000}"/>
    <cellStyle name="Small 2 2 13" xfId="28532" xr:uid="{00000000-0005-0000-0000-00007B6F0000}"/>
    <cellStyle name="Small 2 2 14" xfId="28533" xr:uid="{00000000-0005-0000-0000-00007C6F0000}"/>
    <cellStyle name="Small 2 2 15" xfId="28534" xr:uid="{00000000-0005-0000-0000-00007D6F0000}"/>
    <cellStyle name="Small 2 2 16" xfId="28535" xr:uid="{00000000-0005-0000-0000-00007E6F0000}"/>
    <cellStyle name="Small 2 2 17" xfId="28536" xr:uid="{00000000-0005-0000-0000-00007F6F0000}"/>
    <cellStyle name="Small 2 2 18" xfId="28537" xr:uid="{00000000-0005-0000-0000-0000806F0000}"/>
    <cellStyle name="Small 2 2 19" xfId="28538" xr:uid="{00000000-0005-0000-0000-0000816F0000}"/>
    <cellStyle name="Small 2 2 2" xfId="28539" xr:uid="{00000000-0005-0000-0000-0000826F0000}"/>
    <cellStyle name="Small 2 2 2 10" xfId="28540" xr:uid="{00000000-0005-0000-0000-0000836F0000}"/>
    <cellStyle name="Small 2 2 2 11" xfId="28541" xr:uid="{00000000-0005-0000-0000-0000846F0000}"/>
    <cellStyle name="Small 2 2 2 12" xfId="28542" xr:uid="{00000000-0005-0000-0000-0000856F0000}"/>
    <cellStyle name="Small 2 2 2 13" xfId="28543" xr:uid="{00000000-0005-0000-0000-0000866F0000}"/>
    <cellStyle name="Small 2 2 2 14" xfId="28544" xr:uid="{00000000-0005-0000-0000-0000876F0000}"/>
    <cellStyle name="Small 2 2 2 15" xfId="28545" xr:uid="{00000000-0005-0000-0000-0000886F0000}"/>
    <cellStyle name="Small 2 2 2 16" xfId="28546" xr:uid="{00000000-0005-0000-0000-0000896F0000}"/>
    <cellStyle name="Small 2 2 2 17" xfId="28547" xr:uid="{00000000-0005-0000-0000-00008A6F0000}"/>
    <cellStyle name="Small 2 2 2 18" xfId="28548" xr:uid="{00000000-0005-0000-0000-00008B6F0000}"/>
    <cellStyle name="Small 2 2 2 19" xfId="28549" xr:uid="{00000000-0005-0000-0000-00008C6F0000}"/>
    <cellStyle name="Small 2 2 2 2" xfId="28550" xr:uid="{00000000-0005-0000-0000-00008D6F0000}"/>
    <cellStyle name="Small 2 2 2 2 2" xfId="28551" xr:uid="{00000000-0005-0000-0000-00008E6F0000}"/>
    <cellStyle name="Small 2 2 2 2 3" xfId="28552" xr:uid="{00000000-0005-0000-0000-00008F6F0000}"/>
    <cellStyle name="Small 2 2 2 20" xfId="28553" xr:uid="{00000000-0005-0000-0000-0000906F0000}"/>
    <cellStyle name="Small 2 2 2 21" xfId="28554" xr:uid="{00000000-0005-0000-0000-0000916F0000}"/>
    <cellStyle name="Small 2 2 2 22" xfId="28555" xr:uid="{00000000-0005-0000-0000-0000926F0000}"/>
    <cellStyle name="Small 2 2 2 23" xfId="28556" xr:uid="{00000000-0005-0000-0000-0000936F0000}"/>
    <cellStyle name="Small 2 2 2 24" xfId="28557" xr:uid="{00000000-0005-0000-0000-0000946F0000}"/>
    <cellStyle name="Small 2 2 2 25" xfId="28558" xr:uid="{00000000-0005-0000-0000-0000956F0000}"/>
    <cellStyle name="Small 2 2 2 26" xfId="28559" xr:uid="{00000000-0005-0000-0000-0000966F0000}"/>
    <cellStyle name="Small 2 2 2 27" xfId="28560" xr:uid="{00000000-0005-0000-0000-0000976F0000}"/>
    <cellStyle name="Small 2 2 2 28" xfId="28561" xr:uid="{00000000-0005-0000-0000-0000986F0000}"/>
    <cellStyle name="Small 2 2 2 29" xfId="28562" xr:uid="{00000000-0005-0000-0000-0000996F0000}"/>
    <cellStyle name="Small 2 2 2 3" xfId="28563" xr:uid="{00000000-0005-0000-0000-00009A6F0000}"/>
    <cellStyle name="Small 2 2 2 30" xfId="28564" xr:uid="{00000000-0005-0000-0000-00009B6F0000}"/>
    <cellStyle name="Small 2 2 2 31" xfId="28565" xr:uid="{00000000-0005-0000-0000-00009C6F0000}"/>
    <cellStyle name="Small 2 2 2 32" xfId="28566" xr:uid="{00000000-0005-0000-0000-00009D6F0000}"/>
    <cellStyle name="Small 2 2 2 33" xfId="28567" xr:uid="{00000000-0005-0000-0000-00009E6F0000}"/>
    <cellStyle name="Small 2 2 2 34" xfId="28568" xr:uid="{00000000-0005-0000-0000-00009F6F0000}"/>
    <cellStyle name="Small 2 2 2 35" xfId="28569" xr:uid="{00000000-0005-0000-0000-0000A06F0000}"/>
    <cellStyle name="Small 2 2 2 36" xfId="28570" xr:uid="{00000000-0005-0000-0000-0000A16F0000}"/>
    <cellStyle name="Small 2 2 2 4" xfId="28571" xr:uid="{00000000-0005-0000-0000-0000A26F0000}"/>
    <cellStyle name="Small 2 2 2 5" xfId="28572" xr:uid="{00000000-0005-0000-0000-0000A36F0000}"/>
    <cellStyle name="Small 2 2 2 6" xfId="28573" xr:uid="{00000000-0005-0000-0000-0000A46F0000}"/>
    <cellStyle name="Small 2 2 2 7" xfId="28574" xr:uid="{00000000-0005-0000-0000-0000A56F0000}"/>
    <cellStyle name="Small 2 2 2 8" xfId="28575" xr:uid="{00000000-0005-0000-0000-0000A66F0000}"/>
    <cellStyle name="Small 2 2 2 9" xfId="28576" xr:uid="{00000000-0005-0000-0000-0000A76F0000}"/>
    <cellStyle name="Small 2 2 20" xfId="28577" xr:uid="{00000000-0005-0000-0000-0000A86F0000}"/>
    <cellStyle name="Small 2 2 21" xfId="28578" xr:uid="{00000000-0005-0000-0000-0000A96F0000}"/>
    <cellStyle name="Small 2 2 22" xfId="28579" xr:uid="{00000000-0005-0000-0000-0000AA6F0000}"/>
    <cellStyle name="Small 2 2 23" xfId="28580" xr:uid="{00000000-0005-0000-0000-0000AB6F0000}"/>
    <cellStyle name="Small 2 2 24" xfId="28581" xr:uid="{00000000-0005-0000-0000-0000AC6F0000}"/>
    <cellStyle name="Small 2 2 25" xfId="28582" xr:uid="{00000000-0005-0000-0000-0000AD6F0000}"/>
    <cellStyle name="Small 2 2 26" xfId="28583" xr:uid="{00000000-0005-0000-0000-0000AE6F0000}"/>
    <cellStyle name="Small 2 2 27" xfId="28584" xr:uid="{00000000-0005-0000-0000-0000AF6F0000}"/>
    <cellStyle name="Small 2 2 28" xfId="28585" xr:uid="{00000000-0005-0000-0000-0000B06F0000}"/>
    <cellStyle name="Small 2 2 29" xfId="28586" xr:uid="{00000000-0005-0000-0000-0000B16F0000}"/>
    <cellStyle name="Small 2 2 3" xfId="28587" xr:uid="{00000000-0005-0000-0000-0000B26F0000}"/>
    <cellStyle name="Small 2 2 3 2" xfId="28588" xr:uid="{00000000-0005-0000-0000-0000B36F0000}"/>
    <cellStyle name="Small 2 2 3 2 2" xfId="28589" xr:uid="{00000000-0005-0000-0000-0000B46F0000}"/>
    <cellStyle name="Small 2 2 3 2 3" xfId="28590" xr:uid="{00000000-0005-0000-0000-0000B56F0000}"/>
    <cellStyle name="Small 2 2 3 3" xfId="28591" xr:uid="{00000000-0005-0000-0000-0000B66F0000}"/>
    <cellStyle name="Small 2 2 3 3 2" xfId="28592" xr:uid="{00000000-0005-0000-0000-0000B76F0000}"/>
    <cellStyle name="Small 2 2 3 3 3" xfId="28593" xr:uid="{00000000-0005-0000-0000-0000B86F0000}"/>
    <cellStyle name="Small 2 2 3 4" xfId="28594" xr:uid="{00000000-0005-0000-0000-0000B96F0000}"/>
    <cellStyle name="Small 2 2 3 5" xfId="28595" xr:uid="{00000000-0005-0000-0000-0000BA6F0000}"/>
    <cellStyle name="Small 2 2 30" xfId="28596" xr:uid="{00000000-0005-0000-0000-0000BB6F0000}"/>
    <cellStyle name="Small 2 2 31" xfId="28597" xr:uid="{00000000-0005-0000-0000-0000BC6F0000}"/>
    <cellStyle name="Small 2 2 32" xfId="28598" xr:uid="{00000000-0005-0000-0000-0000BD6F0000}"/>
    <cellStyle name="Small 2 2 33" xfId="28599" xr:uid="{00000000-0005-0000-0000-0000BE6F0000}"/>
    <cellStyle name="Small 2 2 34" xfId="28600" xr:uid="{00000000-0005-0000-0000-0000BF6F0000}"/>
    <cellStyle name="Small 2 2 35" xfId="28601" xr:uid="{00000000-0005-0000-0000-0000C06F0000}"/>
    <cellStyle name="Small 2 2 36" xfId="28602" xr:uid="{00000000-0005-0000-0000-0000C16F0000}"/>
    <cellStyle name="Small 2 2 4" xfId="28603" xr:uid="{00000000-0005-0000-0000-0000C26F0000}"/>
    <cellStyle name="Small 2 2 4 2" xfId="28604" xr:uid="{00000000-0005-0000-0000-0000C36F0000}"/>
    <cellStyle name="Small 2 2 4 2 2" xfId="28605" xr:uid="{00000000-0005-0000-0000-0000C46F0000}"/>
    <cellStyle name="Small 2 2 4 2 3" xfId="28606" xr:uid="{00000000-0005-0000-0000-0000C56F0000}"/>
    <cellStyle name="Small 2 2 4 3" xfId="28607" xr:uid="{00000000-0005-0000-0000-0000C66F0000}"/>
    <cellStyle name="Small 2 2 4 3 2" xfId="28608" xr:uid="{00000000-0005-0000-0000-0000C76F0000}"/>
    <cellStyle name="Small 2 2 4 3 3" xfId="28609" xr:uid="{00000000-0005-0000-0000-0000C86F0000}"/>
    <cellStyle name="Small 2 2 4 4" xfId="28610" xr:uid="{00000000-0005-0000-0000-0000C96F0000}"/>
    <cellStyle name="Small 2 2 4 5" xfId="28611" xr:uid="{00000000-0005-0000-0000-0000CA6F0000}"/>
    <cellStyle name="Small 2 2 5" xfId="28612" xr:uid="{00000000-0005-0000-0000-0000CB6F0000}"/>
    <cellStyle name="Small 2 2 5 2" xfId="28613" xr:uid="{00000000-0005-0000-0000-0000CC6F0000}"/>
    <cellStyle name="Small 2 2 5 3" xfId="28614" xr:uid="{00000000-0005-0000-0000-0000CD6F0000}"/>
    <cellStyle name="Small 2 2 6" xfId="28615" xr:uid="{00000000-0005-0000-0000-0000CE6F0000}"/>
    <cellStyle name="Small 2 2 7" xfId="28616" xr:uid="{00000000-0005-0000-0000-0000CF6F0000}"/>
    <cellStyle name="Small 2 2 8" xfId="28617" xr:uid="{00000000-0005-0000-0000-0000D06F0000}"/>
    <cellStyle name="Small 2 2 9" xfId="28618" xr:uid="{00000000-0005-0000-0000-0000D16F0000}"/>
    <cellStyle name="Small 2 20" xfId="28619" xr:uid="{00000000-0005-0000-0000-0000D26F0000}"/>
    <cellStyle name="Small 2 21" xfId="28620" xr:uid="{00000000-0005-0000-0000-0000D36F0000}"/>
    <cellStyle name="Small 2 22" xfId="28621" xr:uid="{00000000-0005-0000-0000-0000D46F0000}"/>
    <cellStyle name="Small 2 23" xfId="28622" xr:uid="{00000000-0005-0000-0000-0000D56F0000}"/>
    <cellStyle name="Small 2 24" xfId="28623" xr:uid="{00000000-0005-0000-0000-0000D66F0000}"/>
    <cellStyle name="Small 2 25" xfId="28624" xr:uid="{00000000-0005-0000-0000-0000D76F0000}"/>
    <cellStyle name="Small 2 26" xfId="28625" xr:uid="{00000000-0005-0000-0000-0000D86F0000}"/>
    <cellStyle name="Small 2 27" xfId="28626" xr:uid="{00000000-0005-0000-0000-0000D96F0000}"/>
    <cellStyle name="Small 2 28" xfId="28627" xr:uid="{00000000-0005-0000-0000-0000DA6F0000}"/>
    <cellStyle name="Small 2 29" xfId="28628" xr:uid="{00000000-0005-0000-0000-0000DB6F0000}"/>
    <cellStyle name="Small 2 3" xfId="28629" xr:uid="{00000000-0005-0000-0000-0000DC6F0000}"/>
    <cellStyle name="Small 2 3 10" xfId="28630" xr:uid="{00000000-0005-0000-0000-0000DD6F0000}"/>
    <cellStyle name="Small 2 3 11" xfId="28631" xr:uid="{00000000-0005-0000-0000-0000DE6F0000}"/>
    <cellStyle name="Small 2 3 12" xfId="28632" xr:uid="{00000000-0005-0000-0000-0000DF6F0000}"/>
    <cellStyle name="Small 2 3 13" xfId="28633" xr:uid="{00000000-0005-0000-0000-0000E06F0000}"/>
    <cellStyle name="Small 2 3 14" xfId="28634" xr:uid="{00000000-0005-0000-0000-0000E16F0000}"/>
    <cellStyle name="Small 2 3 15" xfId="28635" xr:uid="{00000000-0005-0000-0000-0000E26F0000}"/>
    <cellStyle name="Small 2 3 16" xfId="28636" xr:uid="{00000000-0005-0000-0000-0000E36F0000}"/>
    <cellStyle name="Small 2 3 17" xfId="28637" xr:uid="{00000000-0005-0000-0000-0000E46F0000}"/>
    <cellStyle name="Small 2 3 18" xfId="28638" xr:uid="{00000000-0005-0000-0000-0000E56F0000}"/>
    <cellStyle name="Small 2 3 19" xfId="28639" xr:uid="{00000000-0005-0000-0000-0000E66F0000}"/>
    <cellStyle name="Small 2 3 2" xfId="28640" xr:uid="{00000000-0005-0000-0000-0000E76F0000}"/>
    <cellStyle name="Small 2 3 2 2" xfId="28641" xr:uid="{00000000-0005-0000-0000-0000E86F0000}"/>
    <cellStyle name="Small 2 3 2 3" xfId="28642" xr:uid="{00000000-0005-0000-0000-0000E96F0000}"/>
    <cellStyle name="Small 2 3 20" xfId="28643" xr:uid="{00000000-0005-0000-0000-0000EA6F0000}"/>
    <cellStyle name="Small 2 3 21" xfId="28644" xr:uid="{00000000-0005-0000-0000-0000EB6F0000}"/>
    <cellStyle name="Small 2 3 22" xfId="28645" xr:uid="{00000000-0005-0000-0000-0000EC6F0000}"/>
    <cellStyle name="Small 2 3 23" xfId="28646" xr:uid="{00000000-0005-0000-0000-0000ED6F0000}"/>
    <cellStyle name="Small 2 3 24" xfId="28647" xr:uid="{00000000-0005-0000-0000-0000EE6F0000}"/>
    <cellStyle name="Small 2 3 25" xfId="28648" xr:uid="{00000000-0005-0000-0000-0000EF6F0000}"/>
    <cellStyle name="Small 2 3 26" xfId="28649" xr:uid="{00000000-0005-0000-0000-0000F06F0000}"/>
    <cellStyle name="Small 2 3 27" xfId="28650" xr:uid="{00000000-0005-0000-0000-0000F16F0000}"/>
    <cellStyle name="Small 2 3 28" xfId="28651" xr:uid="{00000000-0005-0000-0000-0000F26F0000}"/>
    <cellStyle name="Small 2 3 29" xfId="28652" xr:uid="{00000000-0005-0000-0000-0000F36F0000}"/>
    <cellStyle name="Small 2 3 3" xfId="28653" xr:uid="{00000000-0005-0000-0000-0000F46F0000}"/>
    <cellStyle name="Small 2 3 30" xfId="28654" xr:uid="{00000000-0005-0000-0000-0000F56F0000}"/>
    <cellStyle name="Small 2 3 31" xfId="28655" xr:uid="{00000000-0005-0000-0000-0000F66F0000}"/>
    <cellStyle name="Small 2 3 32" xfId="28656" xr:uid="{00000000-0005-0000-0000-0000F76F0000}"/>
    <cellStyle name="Small 2 3 33" xfId="28657" xr:uid="{00000000-0005-0000-0000-0000F86F0000}"/>
    <cellStyle name="Small 2 3 34" xfId="28658" xr:uid="{00000000-0005-0000-0000-0000F96F0000}"/>
    <cellStyle name="Small 2 3 35" xfId="28659" xr:uid="{00000000-0005-0000-0000-0000FA6F0000}"/>
    <cellStyle name="Small 2 3 36" xfId="28660" xr:uid="{00000000-0005-0000-0000-0000FB6F0000}"/>
    <cellStyle name="Small 2 3 4" xfId="28661" xr:uid="{00000000-0005-0000-0000-0000FC6F0000}"/>
    <cellStyle name="Small 2 3 5" xfId="28662" xr:uid="{00000000-0005-0000-0000-0000FD6F0000}"/>
    <cellStyle name="Small 2 3 6" xfId="28663" xr:uid="{00000000-0005-0000-0000-0000FE6F0000}"/>
    <cellStyle name="Small 2 3 7" xfId="28664" xr:uid="{00000000-0005-0000-0000-0000FF6F0000}"/>
    <cellStyle name="Small 2 3 8" xfId="28665" xr:uid="{00000000-0005-0000-0000-000000700000}"/>
    <cellStyle name="Small 2 3 9" xfId="28666" xr:uid="{00000000-0005-0000-0000-000001700000}"/>
    <cellStyle name="Small 2 30" xfId="28667" xr:uid="{00000000-0005-0000-0000-000002700000}"/>
    <cellStyle name="Small 2 31" xfId="28668" xr:uid="{00000000-0005-0000-0000-000003700000}"/>
    <cellStyle name="Small 2 32" xfId="28669" xr:uid="{00000000-0005-0000-0000-000004700000}"/>
    <cellStyle name="Small 2 33" xfId="28670" xr:uid="{00000000-0005-0000-0000-000005700000}"/>
    <cellStyle name="Small 2 34" xfId="28671" xr:uid="{00000000-0005-0000-0000-000006700000}"/>
    <cellStyle name="Small 2 35" xfId="28672" xr:uid="{00000000-0005-0000-0000-000007700000}"/>
    <cellStyle name="Small 2 36" xfId="28673" xr:uid="{00000000-0005-0000-0000-000008700000}"/>
    <cellStyle name="Small 2 37" xfId="28674" xr:uid="{00000000-0005-0000-0000-000009700000}"/>
    <cellStyle name="Small 2 4" xfId="28675" xr:uid="{00000000-0005-0000-0000-00000A700000}"/>
    <cellStyle name="Small 2 4 2" xfId="28676" xr:uid="{00000000-0005-0000-0000-00000B700000}"/>
    <cellStyle name="Small 2 4 2 2" xfId="28677" xr:uid="{00000000-0005-0000-0000-00000C700000}"/>
    <cellStyle name="Small 2 4 2 3" xfId="28678" xr:uid="{00000000-0005-0000-0000-00000D700000}"/>
    <cellStyle name="Small 2 4 3" xfId="28679" xr:uid="{00000000-0005-0000-0000-00000E700000}"/>
    <cellStyle name="Small 2 4 3 2" xfId="28680" xr:uid="{00000000-0005-0000-0000-00000F700000}"/>
    <cellStyle name="Small 2 4 3 3" xfId="28681" xr:uid="{00000000-0005-0000-0000-000010700000}"/>
    <cellStyle name="Small 2 4 4" xfId="28682" xr:uid="{00000000-0005-0000-0000-000011700000}"/>
    <cellStyle name="Small 2 4 5" xfId="28683" xr:uid="{00000000-0005-0000-0000-000012700000}"/>
    <cellStyle name="Small 2 5" xfId="28684" xr:uid="{00000000-0005-0000-0000-000013700000}"/>
    <cellStyle name="Small 2 5 2" xfId="28685" xr:uid="{00000000-0005-0000-0000-000014700000}"/>
    <cellStyle name="Small 2 5 2 2" xfId="28686" xr:uid="{00000000-0005-0000-0000-000015700000}"/>
    <cellStyle name="Small 2 5 2 3" xfId="28687" xr:uid="{00000000-0005-0000-0000-000016700000}"/>
    <cellStyle name="Small 2 5 3" xfId="28688" xr:uid="{00000000-0005-0000-0000-000017700000}"/>
    <cellStyle name="Small 2 5 3 2" xfId="28689" xr:uid="{00000000-0005-0000-0000-000018700000}"/>
    <cellStyle name="Small 2 5 3 3" xfId="28690" xr:uid="{00000000-0005-0000-0000-000019700000}"/>
    <cellStyle name="Small 2 5 4" xfId="28691" xr:uid="{00000000-0005-0000-0000-00001A700000}"/>
    <cellStyle name="Small 2 5 5" xfId="28692" xr:uid="{00000000-0005-0000-0000-00001B700000}"/>
    <cellStyle name="Small 2 6" xfId="28693" xr:uid="{00000000-0005-0000-0000-00001C700000}"/>
    <cellStyle name="Small 2 6 2" xfId="28694" xr:uid="{00000000-0005-0000-0000-00001D700000}"/>
    <cellStyle name="Small 2 6 3" xfId="28695" xr:uid="{00000000-0005-0000-0000-00001E700000}"/>
    <cellStyle name="Small 2 7" xfId="28696" xr:uid="{00000000-0005-0000-0000-00001F700000}"/>
    <cellStyle name="Small 2 8" xfId="28697" xr:uid="{00000000-0005-0000-0000-000020700000}"/>
    <cellStyle name="Small 2 9" xfId="28698" xr:uid="{00000000-0005-0000-0000-000021700000}"/>
    <cellStyle name="Small 20" xfId="28699" xr:uid="{00000000-0005-0000-0000-000022700000}"/>
    <cellStyle name="Small 21" xfId="28700" xr:uid="{00000000-0005-0000-0000-000023700000}"/>
    <cellStyle name="Small 22" xfId="28701" xr:uid="{00000000-0005-0000-0000-000024700000}"/>
    <cellStyle name="Small 23" xfId="28702" xr:uid="{00000000-0005-0000-0000-000025700000}"/>
    <cellStyle name="Small 24" xfId="28703" xr:uid="{00000000-0005-0000-0000-000026700000}"/>
    <cellStyle name="Small 25" xfId="28704" xr:uid="{00000000-0005-0000-0000-000027700000}"/>
    <cellStyle name="Small 26" xfId="28705" xr:uid="{00000000-0005-0000-0000-000028700000}"/>
    <cellStyle name="Small 27" xfId="28706" xr:uid="{00000000-0005-0000-0000-000029700000}"/>
    <cellStyle name="Small 28" xfId="28707" xr:uid="{00000000-0005-0000-0000-00002A700000}"/>
    <cellStyle name="Small 29" xfId="28708" xr:uid="{00000000-0005-0000-0000-00002B700000}"/>
    <cellStyle name="Small 3" xfId="28709" xr:uid="{00000000-0005-0000-0000-00002C700000}"/>
    <cellStyle name="Small 3 10" xfId="28710" xr:uid="{00000000-0005-0000-0000-00002D700000}"/>
    <cellStyle name="Small 3 11" xfId="28711" xr:uid="{00000000-0005-0000-0000-00002E700000}"/>
    <cellStyle name="Small 3 12" xfId="28712" xr:uid="{00000000-0005-0000-0000-00002F700000}"/>
    <cellStyle name="Small 3 13" xfId="28713" xr:uid="{00000000-0005-0000-0000-000030700000}"/>
    <cellStyle name="Small 3 14" xfId="28714" xr:uid="{00000000-0005-0000-0000-000031700000}"/>
    <cellStyle name="Small 3 15" xfId="28715" xr:uid="{00000000-0005-0000-0000-000032700000}"/>
    <cellStyle name="Small 3 16" xfId="28716" xr:uid="{00000000-0005-0000-0000-000033700000}"/>
    <cellStyle name="Small 3 17" xfId="28717" xr:uid="{00000000-0005-0000-0000-000034700000}"/>
    <cellStyle name="Small 3 18" xfId="28718" xr:uid="{00000000-0005-0000-0000-000035700000}"/>
    <cellStyle name="Small 3 19" xfId="28719" xr:uid="{00000000-0005-0000-0000-000036700000}"/>
    <cellStyle name="Small 3 2" xfId="28720" xr:uid="{00000000-0005-0000-0000-000037700000}"/>
    <cellStyle name="Small 3 2 10" xfId="28721" xr:uid="{00000000-0005-0000-0000-000038700000}"/>
    <cellStyle name="Small 3 2 11" xfId="28722" xr:uid="{00000000-0005-0000-0000-000039700000}"/>
    <cellStyle name="Small 3 2 12" xfId="28723" xr:uid="{00000000-0005-0000-0000-00003A700000}"/>
    <cellStyle name="Small 3 2 13" xfId="28724" xr:uid="{00000000-0005-0000-0000-00003B700000}"/>
    <cellStyle name="Small 3 2 14" xfId="28725" xr:uid="{00000000-0005-0000-0000-00003C700000}"/>
    <cellStyle name="Small 3 2 15" xfId="28726" xr:uid="{00000000-0005-0000-0000-00003D700000}"/>
    <cellStyle name="Small 3 2 16" xfId="28727" xr:uid="{00000000-0005-0000-0000-00003E700000}"/>
    <cellStyle name="Small 3 2 17" xfId="28728" xr:uid="{00000000-0005-0000-0000-00003F700000}"/>
    <cellStyle name="Small 3 2 18" xfId="28729" xr:uid="{00000000-0005-0000-0000-000040700000}"/>
    <cellStyle name="Small 3 2 19" xfId="28730" xr:uid="{00000000-0005-0000-0000-000041700000}"/>
    <cellStyle name="Small 3 2 2" xfId="28731" xr:uid="{00000000-0005-0000-0000-000042700000}"/>
    <cellStyle name="Small 3 2 2 2" xfId="28732" xr:uid="{00000000-0005-0000-0000-000043700000}"/>
    <cellStyle name="Small 3 2 2 3" xfId="28733" xr:uid="{00000000-0005-0000-0000-000044700000}"/>
    <cellStyle name="Small 3 2 20" xfId="28734" xr:uid="{00000000-0005-0000-0000-000045700000}"/>
    <cellStyle name="Small 3 2 21" xfId="28735" xr:uid="{00000000-0005-0000-0000-000046700000}"/>
    <cellStyle name="Small 3 2 22" xfId="28736" xr:uid="{00000000-0005-0000-0000-000047700000}"/>
    <cellStyle name="Small 3 2 23" xfId="28737" xr:uid="{00000000-0005-0000-0000-000048700000}"/>
    <cellStyle name="Small 3 2 24" xfId="28738" xr:uid="{00000000-0005-0000-0000-000049700000}"/>
    <cellStyle name="Small 3 2 25" xfId="28739" xr:uid="{00000000-0005-0000-0000-00004A700000}"/>
    <cellStyle name="Small 3 2 26" xfId="28740" xr:uid="{00000000-0005-0000-0000-00004B700000}"/>
    <cellStyle name="Small 3 2 27" xfId="28741" xr:uid="{00000000-0005-0000-0000-00004C700000}"/>
    <cellStyle name="Small 3 2 28" xfId="28742" xr:uid="{00000000-0005-0000-0000-00004D700000}"/>
    <cellStyle name="Small 3 2 29" xfId="28743" xr:uid="{00000000-0005-0000-0000-00004E700000}"/>
    <cellStyle name="Small 3 2 3" xfId="28744" xr:uid="{00000000-0005-0000-0000-00004F700000}"/>
    <cellStyle name="Small 3 2 30" xfId="28745" xr:uid="{00000000-0005-0000-0000-000050700000}"/>
    <cellStyle name="Small 3 2 31" xfId="28746" xr:uid="{00000000-0005-0000-0000-000051700000}"/>
    <cellStyle name="Small 3 2 32" xfId="28747" xr:uid="{00000000-0005-0000-0000-000052700000}"/>
    <cellStyle name="Small 3 2 33" xfId="28748" xr:uid="{00000000-0005-0000-0000-000053700000}"/>
    <cellStyle name="Small 3 2 34" xfId="28749" xr:uid="{00000000-0005-0000-0000-000054700000}"/>
    <cellStyle name="Small 3 2 35" xfId="28750" xr:uid="{00000000-0005-0000-0000-000055700000}"/>
    <cellStyle name="Small 3 2 36" xfId="28751" xr:uid="{00000000-0005-0000-0000-000056700000}"/>
    <cellStyle name="Small 3 2 4" xfId="28752" xr:uid="{00000000-0005-0000-0000-000057700000}"/>
    <cellStyle name="Small 3 2 5" xfId="28753" xr:uid="{00000000-0005-0000-0000-000058700000}"/>
    <cellStyle name="Small 3 2 6" xfId="28754" xr:uid="{00000000-0005-0000-0000-000059700000}"/>
    <cellStyle name="Small 3 2 7" xfId="28755" xr:uid="{00000000-0005-0000-0000-00005A700000}"/>
    <cellStyle name="Small 3 2 8" xfId="28756" xr:uid="{00000000-0005-0000-0000-00005B700000}"/>
    <cellStyle name="Small 3 2 9" xfId="28757" xr:uid="{00000000-0005-0000-0000-00005C700000}"/>
    <cellStyle name="Small 3 20" xfId="28758" xr:uid="{00000000-0005-0000-0000-00005D700000}"/>
    <cellStyle name="Small 3 21" xfId="28759" xr:uid="{00000000-0005-0000-0000-00005E700000}"/>
    <cellStyle name="Small 3 22" xfId="28760" xr:uid="{00000000-0005-0000-0000-00005F700000}"/>
    <cellStyle name="Small 3 23" xfId="28761" xr:uid="{00000000-0005-0000-0000-000060700000}"/>
    <cellStyle name="Small 3 24" xfId="28762" xr:uid="{00000000-0005-0000-0000-000061700000}"/>
    <cellStyle name="Small 3 25" xfId="28763" xr:uid="{00000000-0005-0000-0000-000062700000}"/>
    <cellStyle name="Small 3 26" xfId="28764" xr:uid="{00000000-0005-0000-0000-000063700000}"/>
    <cellStyle name="Small 3 27" xfId="28765" xr:uid="{00000000-0005-0000-0000-000064700000}"/>
    <cellStyle name="Small 3 28" xfId="28766" xr:uid="{00000000-0005-0000-0000-000065700000}"/>
    <cellStyle name="Small 3 29" xfId="28767" xr:uid="{00000000-0005-0000-0000-000066700000}"/>
    <cellStyle name="Small 3 3" xfId="28768" xr:uid="{00000000-0005-0000-0000-000067700000}"/>
    <cellStyle name="Small 3 3 2" xfId="28769" xr:uid="{00000000-0005-0000-0000-000068700000}"/>
    <cellStyle name="Small 3 3 2 2" xfId="28770" xr:uid="{00000000-0005-0000-0000-000069700000}"/>
    <cellStyle name="Small 3 3 2 3" xfId="28771" xr:uid="{00000000-0005-0000-0000-00006A700000}"/>
    <cellStyle name="Small 3 3 3" xfId="28772" xr:uid="{00000000-0005-0000-0000-00006B700000}"/>
    <cellStyle name="Small 3 3 3 2" xfId="28773" xr:uid="{00000000-0005-0000-0000-00006C700000}"/>
    <cellStyle name="Small 3 3 3 3" xfId="28774" xr:uid="{00000000-0005-0000-0000-00006D700000}"/>
    <cellStyle name="Small 3 3 4" xfId="28775" xr:uid="{00000000-0005-0000-0000-00006E700000}"/>
    <cellStyle name="Small 3 3 5" xfId="28776" xr:uid="{00000000-0005-0000-0000-00006F700000}"/>
    <cellStyle name="Small 3 30" xfId="28777" xr:uid="{00000000-0005-0000-0000-000070700000}"/>
    <cellStyle name="Small 3 31" xfId="28778" xr:uid="{00000000-0005-0000-0000-000071700000}"/>
    <cellStyle name="Small 3 32" xfId="28779" xr:uid="{00000000-0005-0000-0000-000072700000}"/>
    <cellStyle name="Small 3 33" xfId="28780" xr:uid="{00000000-0005-0000-0000-000073700000}"/>
    <cellStyle name="Small 3 34" xfId="28781" xr:uid="{00000000-0005-0000-0000-000074700000}"/>
    <cellStyle name="Small 3 35" xfId="28782" xr:uid="{00000000-0005-0000-0000-000075700000}"/>
    <cellStyle name="Small 3 36" xfId="28783" xr:uid="{00000000-0005-0000-0000-000076700000}"/>
    <cellStyle name="Small 3 4" xfId="28784" xr:uid="{00000000-0005-0000-0000-000077700000}"/>
    <cellStyle name="Small 3 4 2" xfId="28785" xr:uid="{00000000-0005-0000-0000-000078700000}"/>
    <cellStyle name="Small 3 4 2 2" xfId="28786" xr:uid="{00000000-0005-0000-0000-000079700000}"/>
    <cellStyle name="Small 3 4 2 3" xfId="28787" xr:uid="{00000000-0005-0000-0000-00007A700000}"/>
    <cellStyle name="Small 3 4 3" xfId="28788" xr:uid="{00000000-0005-0000-0000-00007B700000}"/>
    <cellStyle name="Small 3 4 3 2" xfId="28789" xr:uid="{00000000-0005-0000-0000-00007C700000}"/>
    <cellStyle name="Small 3 4 3 3" xfId="28790" xr:uid="{00000000-0005-0000-0000-00007D700000}"/>
    <cellStyle name="Small 3 4 4" xfId="28791" xr:uid="{00000000-0005-0000-0000-00007E700000}"/>
    <cellStyle name="Small 3 4 5" xfId="28792" xr:uid="{00000000-0005-0000-0000-00007F700000}"/>
    <cellStyle name="Small 3 5" xfId="28793" xr:uid="{00000000-0005-0000-0000-000080700000}"/>
    <cellStyle name="Small 3 5 2" xfId="28794" xr:uid="{00000000-0005-0000-0000-000081700000}"/>
    <cellStyle name="Small 3 5 3" xfId="28795" xr:uid="{00000000-0005-0000-0000-000082700000}"/>
    <cellStyle name="Small 3 6" xfId="28796" xr:uid="{00000000-0005-0000-0000-000083700000}"/>
    <cellStyle name="Small 3 7" xfId="28797" xr:uid="{00000000-0005-0000-0000-000084700000}"/>
    <cellStyle name="Small 3 8" xfId="28798" xr:uid="{00000000-0005-0000-0000-000085700000}"/>
    <cellStyle name="Small 3 9" xfId="28799" xr:uid="{00000000-0005-0000-0000-000086700000}"/>
    <cellStyle name="Small 30" xfId="28800" xr:uid="{00000000-0005-0000-0000-000087700000}"/>
    <cellStyle name="Small 31" xfId="28801" xr:uid="{00000000-0005-0000-0000-000088700000}"/>
    <cellStyle name="Small 32" xfId="28802" xr:uid="{00000000-0005-0000-0000-000089700000}"/>
    <cellStyle name="Small 33" xfId="28803" xr:uid="{00000000-0005-0000-0000-00008A700000}"/>
    <cellStyle name="Small 34" xfId="28804" xr:uid="{00000000-0005-0000-0000-00008B700000}"/>
    <cellStyle name="Small 35" xfId="28805" xr:uid="{00000000-0005-0000-0000-00008C700000}"/>
    <cellStyle name="Small 36" xfId="28806" xr:uid="{00000000-0005-0000-0000-00008D700000}"/>
    <cellStyle name="Small 37" xfId="28807" xr:uid="{00000000-0005-0000-0000-00008E700000}"/>
    <cellStyle name="Small 38" xfId="28808" xr:uid="{00000000-0005-0000-0000-00008F700000}"/>
    <cellStyle name="Small 4" xfId="28809" xr:uid="{00000000-0005-0000-0000-000090700000}"/>
    <cellStyle name="Small 4 10" xfId="28810" xr:uid="{00000000-0005-0000-0000-000091700000}"/>
    <cellStyle name="Small 4 11" xfId="28811" xr:uid="{00000000-0005-0000-0000-000092700000}"/>
    <cellStyle name="Small 4 12" xfId="28812" xr:uid="{00000000-0005-0000-0000-000093700000}"/>
    <cellStyle name="Small 4 13" xfId="28813" xr:uid="{00000000-0005-0000-0000-000094700000}"/>
    <cellStyle name="Small 4 14" xfId="28814" xr:uid="{00000000-0005-0000-0000-000095700000}"/>
    <cellStyle name="Small 4 15" xfId="28815" xr:uid="{00000000-0005-0000-0000-000096700000}"/>
    <cellStyle name="Small 4 16" xfId="28816" xr:uid="{00000000-0005-0000-0000-000097700000}"/>
    <cellStyle name="Small 4 17" xfId="28817" xr:uid="{00000000-0005-0000-0000-000098700000}"/>
    <cellStyle name="Small 4 18" xfId="28818" xr:uid="{00000000-0005-0000-0000-000099700000}"/>
    <cellStyle name="Small 4 19" xfId="28819" xr:uid="{00000000-0005-0000-0000-00009A700000}"/>
    <cellStyle name="Small 4 2" xfId="28820" xr:uid="{00000000-0005-0000-0000-00009B700000}"/>
    <cellStyle name="Small 4 2 2" xfId="28821" xr:uid="{00000000-0005-0000-0000-00009C700000}"/>
    <cellStyle name="Small 4 2 3" xfId="28822" xr:uid="{00000000-0005-0000-0000-00009D700000}"/>
    <cellStyle name="Small 4 20" xfId="28823" xr:uid="{00000000-0005-0000-0000-00009E700000}"/>
    <cellStyle name="Small 4 21" xfId="28824" xr:uid="{00000000-0005-0000-0000-00009F700000}"/>
    <cellStyle name="Small 4 22" xfId="28825" xr:uid="{00000000-0005-0000-0000-0000A0700000}"/>
    <cellStyle name="Small 4 23" xfId="28826" xr:uid="{00000000-0005-0000-0000-0000A1700000}"/>
    <cellStyle name="Small 4 24" xfId="28827" xr:uid="{00000000-0005-0000-0000-0000A2700000}"/>
    <cellStyle name="Small 4 25" xfId="28828" xr:uid="{00000000-0005-0000-0000-0000A3700000}"/>
    <cellStyle name="Small 4 26" xfId="28829" xr:uid="{00000000-0005-0000-0000-0000A4700000}"/>
    <cellStyle name="Small 4 27" xfId="28830" xr:uid="{00000000-0005-0000-0000-0000A5700000}"/>
    <cellStyle name="Small 4 28" xfId="28831" xr:uid="{00000000-0005-0000-0000-0000A6700000}"/>
    <cellStyle name="Small 4 29" xfId="28832" xr:uid="{00000000-0005-0000-0000-0000A7700000}"/>
    <cellStyle name="Small 4 3" xfId="28833" xr:uid="{00000000-0005-0000-0000-0000A8700000}"/>
    <cellStyle name="Small 4 30" xfId="28834" xr:uid="{00000000-0005-0000-0000-0000A9700000}"/>
    <cellStyle name="Small 4 31" xfId="28835" xr:uid="{00000000-0005-0000-0000-0000AA700000}"/>
    <cellStyle name="Small 4 32" xfId="28836" xr:uid="{00000000-0005-0000-0000-0000AB700000}"/>
    <cellStyle name="Small 4 33" xfId="28837" xr:uid="{00000000-0005-0000-0000-0000AC700000}"/>
    <cellStyle name="Small 4 34" xfId="28838" xr:uid="{00000000-0005-0000-0000-0000AD700000}"/>
    <cellStyle name="Small 4 35" xfId="28839" xr:uid="{00000000-0005-0000-0000-0000AE700000}"/>
    <cellStyle name="Small 4 36" xfId="28840" xr:uid="{00000000-0005-0000-0000-0000AF700000}"/>
    <cellStyle name="Small 4 4" xfId="28841" xr:uid="{00000000-0005-0000-0000-0000B0700000}"/>
    <cellStyle name="Small 4 5" xfId="28842" xr:uid="{00000000-0005-0000-0000-0000B1700000}"/>
    <cellStyle name="Small 4 6" xfId="28843" xr:uid="{00000000-0005-0000-0000-0000B2700000}"/>
    <cellStyle name="Small 4 7" xfId="28844" xr:uid="{00000000-0005-0000-0000-0000B3700000}"/>
    <cellStyle name="Small 4 8" xfId="28845" xr:uid="{00000000-0005-0000-0000-0000B4700000}"/>
    <cellStyle name="Small 4 9" xfId="28846" xr:uid="{00000000-0005-0000-0000-0000B5700000}"/>
    <cellStyle name="Small 5" xfId="28847" xr:uid="{00000000-0005-0000-0000-0000B6700000}"/>
    <cellStyle name="Small 5 2" xfId="28848" xr:uid="{00000000-0005-0000-0000-0000B7700000}"/>
    <cellStyle name="Small 5 2 2" xfId="28849" xr:uid="{00000000-0005-0000-0000-0000B8700000}"/>
    <cellStyle name="Small 5 2 3" xfId="28850" xr:uid="{00000000-0005-0000-0000-0000B9700000}"/>
    <cellStyle name="Small 5 3" xfId="28851" xr:uid="{00000000-0005-0000-0000-0000BA700000}"/>
    <cellStyle name="Small 5 3 2" xfId="28852" xr:uid="{00000000-0005-0000-0000-0000BB700000}"/>
    <cellStyle name="Small 5 3 3" xfId="28853" xr:uid="{00000000-0005-0000-0000-0000BC700000}"/>
    <cellStyle name="Small 5 4" xfId="28854" xr:uid="{00000000-0005-0000-0000-0000BD700000}"/>
    <cellStyle name="Small 5 5" xfId="28855" xr:uid="{00000000-0005-0000-0000-0000BE700000}"/>
    <cellStyle name="Small 6" xfId="28856" xr:uid="{00000000-0005-0000-0000-0000BF700000}"/>
    <cellStyle name="Small 6 2" xfId="28857" xr:uid="{00000000-0005-0000-0000-0000C0700000}"/>
    <cellStyle name="Small 6 2 2" xfId="28858" xr:uid="{00000000-0005-0000-0000-0000C1700000}"/>
    <cellStyle name="Small 6 2 3" xfId="28859" xr:uid="{00000000-0005-0000-0000-0000C2700000}"/>
    <cellStyle name="Small 6 3" xfId="28860" xr:uid="{00000000-0005-0000-0000-0000C3700000}"/>
    <cellStyle name="Small 6 3 2" xfId="28861" xr:uid="{00000000-0005-0000-0000-0000C4700000}"/>
    <cellStyle name="Small 6 3 3" xfId="28862" xr:uid="{00000000-0005-0000-0000-0000C5700000}"/>
    <cellStyle name="Small 6 4" xfId="28863" xr:uid="{00000000-0005-0000-0000-0000C6700000}"/>
    <cellStyle name="Small 6 5" xfId="28864" xr:uid="{00000000-0005-0000-0000-0000C7700000}"/>
    <cellStyle name="Small 7" xfId="28865" xr:uid="{00000000-0005-0000-0000-0000C8700000}"/>
    <cellStyle name="Small 7 2" xfId="28866" xr:uid="{00000000-0005-0000-0000-0000C9700000}"/>
    <cellStyle name="Small 7 3" xfId="28867" xr:uid="{00000000-0005-0000-0000-0000CA700000}"/>
    <cellStyle name="Small 8" xfId="28868" xr:uid="{00000000-0005-0000-0000-0000CB700000}"/>
    <cellStyle name="Small 9" xfId="28869" xr:uid="{00000000-0005-0000-0000-0000CC700000}"/>
    <cellStyle name="Small Number" xfId="28870" xr:uid="{00000000-0005-0000-0000-0000CD700000}"/>
    <cellStyle name="Sortie" xfId="28871" xr:uid="{00000000-0005-0000-0000-0000CE700000}"/>
    <cellStyle name="Sortie 10" xfId="28872" xr:uid="{00000000-0005-0000-0000-0000CF700000}"/>
    <cellStyle name="Sortie 11" xfId="28873" xr:uid="{00000000-0005-0000-0000-0000D0700000}"/>
    <cellStyle name="Sortie 12" xfId="28874" xr:uid="{00000000-0005-0000-0000-0000D1700000}"/>
    <cellStyle name="Sortie 13" xfId="28875" xr:uid="{00000000-0005-0000-0000-0000D2700000}"/>
    <cellStyle name="Sortie 14" xfId="28876" xr:uid="{00000000-0005-0000-0000-0000D3700000}"/>
    <cellStyle name="Sortie 15" xfId="28877" xr:uid="{00000000-0005-0000-0000-0000D4700000}"/>
    <cellStyle name="Sortie 16" xfId="28878" xr:uid="{00000000-0005-0000-0000-0000D5700000}"/>
    <cellStyle name="Sortie 17" xfId="28879" xr:uid="{00000000-0005-0000-0000-0000D6700000}"/>
    <cellStyle name="Sortie 18" xfId="28880" xr:uid="{00000000-0005-0000-0000-0000D7700000}"/>
    <cellStyle name="Sortie 19" xfId="28881" xr:uid="{00000000-0005-0000-0000-0000D8700000}"/>
    <cellStyle name="Sortie 2" xfId="28882" xr:uid="{00000000-0005-0000-0000-0000D9700000}"/>
    <cellStyle name="Sortie 2 10" xfId="28883" xr:uid="{00000000-0005-0000-0000-0000DA700000}"/>
    <cellStyle name="Sortie 2 11" xfId="28884" xr:uid="{00000000-0005-0000-0000-0000DB700000}"/>
    <cellStyle name="Sortie 2 12" xfId="28885" xr:uid="{00000000-0005-0000-0000-0000DC700000}"/>
    <cellStyle name="Sortie 2 13" xfId="28886" xr:uid="{00000000-0005-0000-0000-0000DD700000}"/>
    <cellStyle name="Sortie 2 14" xfId="28887" xr:uid="{00000000-0005-0000-0000-0000DE700000}"/>
    <cellStyle name="Sortie 2 15" xfId="28888" xr:uid="{00000000-0005-0000-0000-0000DF700000}"/>
    <cellStyle name="Sortie 2 16" xfId="28889" xr:uid="{00000000-0005-0000-0000-0000E0700000}"/>
    <cellStyle name="Sortie 2 17" xfId="28890" xr:uid="{00000000-0005-0000-0000-0000E1700000}"/>
    <cellStyle name="Sortie 2 18" xfId="28891" xr:uid="{00000000-0005-0000-0000-0000E2700000}"/>
    <cellStyle name="Sortie 2 19" xfId="28892" xr:uid="{00000000-0005-0000-0000-0000E3700000}"/>
    <cellStyle name="Sortie 2 2" xfId="28893" xr:uid="{00000000-0005-0000-0000-0000E4700000}"/>
    <cellStyle name="Sortie 2 2 10" xfId="28894" xr:uid="{00000000-0005-0000-0000-0000E5700000}"/>
    <cellStyle name="Sortie 2 2 11" xfId="28895" xr:uid="{00000000-0005-0000-0000-0000E6700000}"/>
    <cellStyle name="Sortie 2 2 12" xfId="28896" xr:uid="{00000000-0005-0000-0000-0000E7700000}"/>
    <cellStyle name="Sortie 2 2 13" xfId="28897" xr:uid="{00000000-0005-0000-0000-0000E8700000}"/>
    <cellStyle name="Sortie 2 2 14" xfId="28898" xr:uid="{00000000-0005-0000-0000-0000E9700000}"/>
    <cellStyle name="Sortie 2 2 15" xfId="28899" xr:uid="{00000000-0005-0000-0000-0000EA700000}"/>
    <cellStyle name="Sortie 2 2 16" xfId="28900" xr:uid="{00000000-0005-0000-0000-0000EB700000}"/>
    <cellStyle name="Sortie 2 2 17" xfId="28901" xr:uid="{00000000-0005-0000-0000-0000EC700000}"/>
    <cellStyle name="Sortie 2 2 18" xfId="28902" xr:uid="{00000000-0005-0000-0000-0000ED700000}"/>
    <cellStyle name="Sortie 2 2 19" xfId="28903" xr:uid="{00000000-0005-0000-0000-0000EE700000}"/>
    <cellStyle name="Sortie 2 2 2" xfId="28904" xr:uid="{00000000-0005-0000-0000-0000EF700000}"/>
    <cellStyle name="Sortie 2 2 20" xfId="28905" xr:uid="{00000000-0005-0000-0000-0000F0700000}"/>
    <cellStyle name="Sortie 2 2 21" xfId="28906" xr:uid="{00000000-0005-0000-0000-0000F1700000}"/>
    <cellStyle name="Sortie 2 2 22" xfId="28907" xr:uid="{00000000-0005-0000-0000-0000F2700000}"/>
    <cellStyle name="Sortie 2 2 23" xfId="28908" xr:uid="{00000000-0005-0000-0000-0000F3700000}"/>
    <cellStyle name="Sortie 2 2 24" xfId="28909" xr:uid="{00000000-0005-0000-0000-0000F4700000}"/>
    <cellStyle name="Sortie 2 2 25" xfId="28910" xr:uid="{00000000-0005-0000-0000-0000F5700000}"/>
    <cellStyle name="Sortie 2 2 26" xfId="28911" xr:uid="{00000000-0005-0000-0000-0000F6700000}"/>
    <cellStyle name="Sortie 2 2 27" xfId="28912" xr:uid="{00000000-0005-0000-0000-0000F7700000}"/>
    <cellStyle name="Sortie 2 2 28" xfId="28913" xr:uid="{00000000-0005-0000-0000-0000F8700000}"/>
    <cellStyle name="Sortie 2 2 29" xfId="28914" xr:uid="{00000000-0005-0000-0000-0000F9700000}"/>
    <cellStyle name="Sortie 2 2 3" xfId="28915" xr:uid="{00000000-0005-0000-0000-0000FA700000}"/>
    <cellStyle name="Sortie 2 2 30" xfId="28916" xr:uid="{00000000-0005-0000-0000-0000FB700000}"/>
    <cellStyle name="Sortie 2 2 31" xfId="28917" xr:uid="{00000000-0005-0000-0000-0000FC700000}"/>
    <cellStyle name="Sortie 2 2 32" xfId="28918" xr:uid="{00000000-0005-0000-0000-0000FD700000}"/>
    <cellStyle name="Sortie 2 2 33" xfId="28919" xr:uid="{00000000-0005-0000-0000-0000FE700000}"/>
    <cellStyle name="Sortie 2 2 34" xfId="28920" xr:uid="{00000000-0005-0000-0000-0000FF700000}"/>
    <cellStyle name="Sortie 2 2 4" xfId="28921" xr:uid="{00000000-0005-0000-0000-000000710000}"/>
    <cellStyle name="Sortie 2 2 5" xfId="28922" xr:uid="{00000000-0005-0000-0000-000001710000}"/>
    <cellStyle name="Sortie 2 2 6" xfId="28923" xr:uid="{00000000-0005-0000-0000-000002710000}"/>
    <cellStyle name="Sortie 2 2 7" xfId="28924" xr:uid="{00000000-0005-0000-0000-000003710000}"/>
    <cellStyle name="Sortie 2 2 8" xfId="28925" xr:uid="{00000000-0005-0000-0000-000004710000}"/>
    <cellStyle name="Sortie 2 2 9" xfId="28926" xr:uid="{00000000-0005-0000-0000-000005710000}"/>
    <cellStyle name="Sortie 2 20" xfId="28927" xr:uid="{00000000-0005-0000-0000-000006710000}"/>
    <cellStyle name="Sortie 2 3" xfId="28928" xr:uid="{00000000-0005-0000-0000-000007710000}"/>
    <cellStyle name="Sortie 2 3 2" xfId="28929" xr:uid="{00000000-0005-0000-0000-000008710000}"/>
    <cellStyle name="Sortie 2 3 3" xfId="28930" xr:uid="{00000000-0005-0000-0000-000009710000}"/>
    <cellStyle name="Sortie 2 4" xfId="28931" xr:uid="{00000000-0005-0000-0000-00000A710000}"/>
    <cellStyle name="Sortie 2 5" xfId="28932" xr:uid="{00000000-0005-0000-0000-00000B710000}"/>
    <cellStyle name="Sortie 2 6" xfId="28933" xr:uid="{00000000-0005-0000-0000-00000C710000}"/>
    <cellStyle name="Sortie 2 7" xfId="28934" xr:uid="{00000000-0005-0000-0000-00000D710000}"/>
    <cellStyle name="Sortie 2 8" xfId="28935" xr:uid="{00000000-0005-0000-0000-00000E710000}"/>
    <cellStyle name="Sortie 2 9" xfId="28936" xr:uid="{00000000-0005-0000-0000-00000F710000}"/>
    <cellStyle name="Sortie 20" xfId="28937" xr:uid="{00000000-0005-0000-0000-000010710000}"/>
    <cellStyle name="Sortie 21" xfId="28938" xr:uid="{00000000-0005-0000-0000-000011710000}"/>
    <cellStyle name="Sortie 3" xfId="28939" xr:uid="{00000000-0005-0000-0000-000012710000}"/>
    <cellStyle name="Sortie 3 10" xfId="28940" xr:uid="{00000000-0005-0000-0000-000013710000}"/>
    <cellStyle name="Sortie 3 11" xfId="28941" xr:uid="{00000000-0005-0000-0000-000014710000}"/>
    <cellStyle name="Sortie 3 12" xfId="28942" xr:uid="{00000000-0005-0000-0000-000015710000}"/>
    <cellStyle name="Sortie 3 13" xfId="28943" xr:uid="{00000000-0005-0000-0000-000016710000}"/>
    <cellStyle name="Sortie 3 14" xfId="28944" xr:uid="{00000000-0005-0000-0000-000017710000}"/>
    <cellStyle name="Sortie 3 15" xfId="28945" xr:uid="{00000000-0005-0000-0000-000018710000}"/>
    <cellStyle name="Sortie 3 16" xfId="28946" xr:uid="{00000000-0005-0000-0000-000019710000}"/>
    <cellStyle name="Sortie 3 17" xfId="28947" xr:uid="{00000000-0005-0000-0000-00001A710000}"/>
    <cellStyle name="Sortie 3 18" xfId="28948" xr:uid="{00000000-0005-0000-0000-00001B710000}"/>
    <cellStyle name="Sortie 3 19" xfId="28949" xr:uid="{00000000-0005-0000-0000-00001C710000}"/>
    <cellStyle name="Sortie 3 2" xfId="28950" xr:uid="{00000000-0005-0000-0000-00001D710000}"/>
    <cellStyle name="Sortie 3 20" xfId="28951" xr:uid="{00000000-0005-0000-0000-00001E710000}"/>
    <cellStyle name="Sortie 3 21" xfId="28952" xr:uid="{00000000-0005-0000-0000-00001F710000}"/>
    <cellStyle name="Sortie 3 22" xfId="28953" xr:uid="{00000000-0005-0000-0000-000020710000}"/>
    <cellStyle name="Sortie 3 23" xfId="28954" xr:uid="{00000000-0005-0000-0000-000021710000}"/>
    <cellStyle name="Sortie 3 24" xfId="28955" xr:uid="{00000000-0005-0000-0000-000022710000}"/>
    <cellStyle name="Sortie 3 25" xfId="28956" xr:uid="{00000000-0005-0000-0000-000023710000}"/>
    <cellStyle name="Sortie 3 26" xfId="28957" xr:uid="{00000000-0005-0000-0000-000024710000}"/>
    <cellStyle name="Sortie 3 27" xfId="28958" xr:uid="{00000000-0005-0000-0000-000025710000}"/>
    <cellStyle name="Sortie 3 28" xfId="28959" xr:uid="{00000000-0005-0000-0000-000026710000}"/>
    <cellStyle name="Sortie 3 29" xfId="28960" xr:uid="{00000000-0005-0000-0000-000027710000}"/>
    <cellStyle name="Sortie 3 3" xfId="28961" xr:uid="{00000000-0005-0000-0000-000028710000}"/>
    <cellStyle name="Sortie 3 30" xfId="28962" xr:uid="{00000000-0005-0000-0000-000029710000}"/>
    <cellStyle name="Sortie 3 31" xfId="28963" xr:uid="{00000000-0005-0000-0000-00002A710000}"/>
    <cellStyle name="Sortie 3 32" xfId="28964" xr:uid="{00000000-0005-0000-0000-00002B710000}"/>
    <cellStyle name="Sortie 3 33" xfId="28965" xr:uid="{00000000-0005-0000-0000-00002C710000}"/>
    <cellStyle name="Sortie 3 34" xfId="28966" xr:uid="{00000000-0005-0000-0000-00002D710000}"/>
    <cellStyle name="Sortie 3 4" xfId="28967" xr:uid="{00000000-0005-0000-0000-00002E710000}"/>
    <cellStyle name="Sortie 3 5" xfId="28968" xr:uid="{00000000-0005-0000-0000-00002F710000}"/>
    <cellStyle name="Sortie 3 6" xfId="28969" xr:uid="{00000000-0005-0000-0000-000030710000}"/>
    <cellStyle name="Sortie 3 7" xfId="28970" xr:uid="{00000000-0005-0000-0000-000031710000}"/>
    <cellStyle name="Sortie 3 8" xfId="28971" xr:uid="{00000000-0005-0000-0000-000032710000}"/>
    <cellStyle name="Sortie 3 9" xfId="28972" xr:uid="{00000000-0005-0000-0000-000033710000}"/>
    <cellStyle name="Sortie 4" xfId="28973" xr:uid="{00000000-0005-0000-0000-000034710000}"/>
    <cellStyle name="Sortie 4 2" xfId="28974" xr:uid="{00000000-0005-0000-0000-000035710000}"/>
    <cellStyle name="Sortie 4 3" xfId="28975" xr:uid="{00000000-0005-0000-0000-000036710000}"/>
    <cellStyle name="Sortie 5" xfId="28976" xr:uid="{00000000-0005-0000-0000-000037710000}"/>
    <cellStyle name="Sortie 6" xfId="28977" xr:uid="{00000000-0005-0000-0000-000038710000}"/>
    <cellStyle name="Sortie 7" xfId="28978" xr:uid="{00000000-0005-0000-0000-000039710000}"/>
    <cellStyle name="Sortie 8" xfId="28979" xr:uid="{00000000-0005-0000-0000-00003A710000}"/>
    <cellStyle name="Sortie 9" xfId="28980" xr:uid="{00000000-0005-0000-0000-00003B710000}"/>
    <cellStyle name="ST_01" xfId="28981" xr:uid="{00000000-0005-0000-0000-00003C710000}"/>
    <cellStyle name="Standaard_Blad1" xfId="28982" xr:uid="{00000000-0005-0000-0000-00003D710000}"/>
    <cellStyle name="STANDARD" xfId="28983" xr:uid="{00000000-0005-0000-0000-00003E710000}"/>
    <cellStyle name="STANDARD 2" xfId="28984" xr:uid="{00000000-0005-0000-0000-00003F710000}"/>
    <cellStyle name="STANDARD 3" xfId="28985" xr:uid="{00000000-0005-0000-0000-000040710000}"/>
    <cellStyle name="Standard_2005-09-14 CDMA NewCo Business Model - Full Case (rel2)" xfId="28986" xr:uid="{00000000-0005-0000-0000-000041710000}"/>
    <cellStyle name="Std" xfId="28987" xr:uid="{00000000-0005-0000-0000-000042710000}"/>
    <cellStyle name="Strange" xfId="28988" xr:uid="{00000000-0005-0000-0000-000043710000}"/>
    <cellStyle name="Style 1" xfId="28989" xr:uid="{00000000-0005-0000-0000-000044710000}"/>
    <cellStyle name="Style 1 10" xfId="28990" xr:uid="{00000000-0005-0000-0000-000045710000}"/>
    <cellStyle name="Style 1 10 2" xfId="28991" xr:uid="{00000000-0005-0000-0000-000046710000}"/>
    <cellStyle name="Style 1 11" xfId="28992" xr:uid="{00000000-0005-0000-0000-000047710000}"/>
    <cellStyle name="Style 1 11 2" xfId="28993" xr:uid="{00000000-0005-0000-0000-000048710000}"/>
    <cellStyle name="Style 1 12" xfId="28994" xr:uid="{00000000-0005-0000-0000-000049710000}"/>
    <cellStyle name="Style 1 12 2" xfId="28995" xr:uid="{00000000-0005-0000-0000-00004A710000}"/>
    <cellStyle name="Style 1 13" xfId="28996" xr:uid="{00000000-0005-0000-0000-00004B710000}"/>
    <cellStyle name="Style 1 13 2" xfId="28997" xr:uid="{00000000-0005-0000-0000-00004C710000}"/>
    <cellStyle name="Style 1 14" xfId="28998" xr:uid="{00000000-0005-0000-0000-00004D710000}"/>
    <cellStyle name="Style 1 14 2" xfId="28999" xr:uid="{00000000-0005-0000-0000-00004E710000}"/>
    <cellStyle name="Style 1 15" xfId="29000" xr:uid="{00000000-0005-0000-0000-00004F710000}"/>
    <cellStyle name="Style 1 15 2" xfId="29001" xr:uid="{00000000-0005-0000-0000-000050710000}"/>
    <cellStyle name="Style 1 16" xfId="29002" xr:uid="{00000000-0005-0000-0000-000051710000}"/>
    <cellStyle name="Style 1 16 2" xfId="29003" xr:uid="{00000000-0005-0000-0000-000052710000}"/>
    <cellStyle name="Style 1 17" xfId="29004" xr:uid="{00000000-0005-0000-0000-000053710000}"/>
    <cellStyle name="Style 1 17 2" xfId="29005" xr:uid="{00000000-0005-0000-0000-000054710000}"/>
    <cellStyle name="Style 1 18" xfId="29006" xr:uid="{00000000-0005-0000-0000-000055710000}"/>
    <cellStyle name="Style 1 18 2" xfId="29007" xr:uid="{00000000-0005-0000-0000-000056710000}"/>
    <cellStyle name="Style 1 19" xfId="29008" xr:uid="{00000000-0005-0000-0000-000057710000}"/>
    <cellStyle name="Style 1 19 2" xfId="29009" xr:uid="{00000000-0005-0000-0000-000058710000}"/>
    <cellStyle name="Style 1 2" xfId="29010" xr:uid="{00000000-0005-0000-0000-000059710000}"/>
    <cellStyle name="Style 1 2 2" xfId="29011" xr:uid="{00000000-0005-0000-0000-00005A710000}"/>
    <cellStyle name="Style 1 2 2 2" xfId="29012" xr:uid="{00000000-0005-0000-0000-00005B710000}"/>
    <cellStyle name="Style 1 2 2 2 2" xfId="29013" xr:uid="{00000000-0005-0000-0000-00005C710000}"/>
    <cellStyle name="Style 1 2 2 3" xfId="29014" xr:uid="{00000000-0005-0000-0000-00005D710000}"/>
    <cellStyle name="Style 1 2 3" xfId="29015" xr:uid="{00000000-0005-0000-0000-00005E710000}"/>
    <cellStyle name="Style 1 20" xfId="29016" xr:uid="{00000000-0005-0000-0000-00005F710000}"/>
    <cellStyle name="Style 1 20 2" xfId="29017" xr:uid="{00000000-0005-0000-0000-000060710000}"/>
    <cellStyle name="Style 1 21" xfId="29018" xr:uid="{00000000-0005-0000-0000-000061710000}"/>
    <cellStyle name="Style 1 21 2" xfId="29019" xr:uid="{00000000-0005-0000-0000-000062710000}"/>
    <cellStyle name="Style 1 22" xfId="29020" xr:uid="{00000000-0005-0000-0000-000063710000}"/>
    <cellStyle name="Style 1 22 2" xfId="29021" xr:uid="{00000000-0005-0000-0000-000064710000}"/>
    <cellStyle name="Style 1 23" xfId="29022" xr:uid="{00000000-0005-0000-0000-000065710000}"/>
    <cellStyle name="Style 1 23 2" xfId="29023" xr:uid="{00000000-0005-0000-0000-000066710000}"/>
    <cellStyle name="Style 1 24" xfId="29024" xr:uid="{00000000-0005-0000-0000-000067710000}"/>
    <cellStyle name="Style 1 24 2" xfId="29025" xr:uid="{00000000-0005-0000-0000-000068710000}"/>
    <cellStyle name="Style 1 25" xfId="29026" xr:uid="{00000000-0005-0000-0000-000069710000}"/>
    <cellStyle name="Style 1 25 2" xfId="29027" xr:uid="{00000000-0005-0000-0000-00006A710000}"/>
    <cellStyle name="Style 1 26" xfId="29028" xr:uid="{00000000-0005-0000-0000-00006B710000}"/>
    <cellStyle name="Style 1 26 2" xfId="29029" xr:uid="{00000000-0005-0000-0000-00006C710000}"/>
    <cellStyle name="Style 1 27" xfId="29030" xr:uid="{00000000-0005-0000-0000-00006D710000}"/>
    <cellStyle name="Style 1 27 2" xfId="29031" xr:uid="{00000000-0005-0000-0000-00006E710000}"/>
    <cellStyle name="Style 1 28" xfId="29032" xr:uid="{00000000-0005-0000-0000-00006F710000}"/>
    <cellStyle name="Style 1 28 2" xfId="29033" xr:uid="{00000000-0005-0000-0000-000070710000}"/>
    <cellStyle name="Style 1 29" xfId="29034" xr:uid="{00000000-0005-0000-0000-000071710000}"/>
    <cellStyle name="Style 1 29 2" xfId="29035" xr:uid="{00000000-0005-0000-0000-000072710000}"/>
    <cellStyle name="Style 1 3" xfId="29036" xr:uid="{00000000-0005-0000-0000-000073710000}"/>
    <cellStyle name="Style 1 3 2" xfId="29037" xr:uid="{00000000-0005-0000-0000-000074710000}"/>
    <cellStyle name="Style 1 3 2 2" xfId="29038" xr:uid="{00000000-0005-0000-0000-000075710000}"/>
    <cellStyle name="Style 1 3 3" xfId="29039" xr:uid="{00000000-0005-0000-0000-000076710000}"/>
    <cellStyle name="Style 1 3 3 2" xfId="29040" xr:uid="{00000000-0005-0000-0000-000077710000}"/>
    <cellStyle name="Style 1 3 4" xfId="29041" xr:uid="{00000000-0005-0000-0000-000078710000}"/>
    <cellStyle name="Style 1 30" xfId="29042" xr:uid="{00000000-0005-0000-0000-000079710000}"/>
    <cellStyle name="Style 1 30 2" xfId="29043" xr:uid="{00000000-0005-0000-0000-00007A710000}"/>
    <cellStyle name="Style 1 31" xfId="29044" xr:uid="{00000000-0005-0000-0000-00007B710000}"/>
    <cellStyle name="Style 1 31 2" xfId="29045" xr:uid="{00000000-0005-0000-0000-00007C710000}"/>
    <cellStyle name="Style 1 32" xfId="29046" xr:uid="{00000000-0005-0000-0000-00007D710000}"/>
    <cellStyle name="Style 1 32 2" xfId="29047" xr:uid="{00000000-0005-0000-0000-00007E710000}"/>
    <cellStyle name="Style 1 33" xfId="29048" xr:uid="{00000000-0005-0000-0000-00007F710000}"/>
    <cellStyle name="Style 1 33 2" xfId="29049" xr:uid="{00000000-0005-0000-0000-000080710000}"/>
    <cellStyle name="Style 1 34" xfId="29050" xr:uid="{00000000-0005-0000-0000-000081710000}"/>
    <cellStyle name="Style 1 34 2" xfId="29051" xr:uid="{00000000-0005-0000-0000-000082710000}"/>
    <cellStyle name="Style 1 35" xfId="29052" xr:uid="{00000000-0005-0000-0000-000083710000}"/>
    <cellStyle name="Style 1 35 2" xfId="29053" xr:uid="{00000000-0005-0000-0000-000084710000}"/>
    <cellStyle name="Style 1 36" xfId="29054" xr:uid="{00000000-0005-0000-0000-000085710000}"/>
    <cellStyle name="Style 1 36 2" xfId="29055" xr:uid="{00000000-0005-0000-0000-000086710000}"/>
    <cellStyle name="Style 1 37" xfId="29056" xr:uid="{00000000-0005-0000-0000-000087710000}"/>
    <cellStyle name="Style 1 37 2" xfId="29057" xr:uid="{00000000-0005-0000-0000-000088710000}"/>
    <cellStyle name="Style 1 38" xfId="29058" xr:uid="{00000000-0005-0000-0000-000089710000}"/>
    <cellStyle name="Style 1 38 2" xfId="29059" xr:uid="{00000000-0005-0000-0000-00008A710000}"/>
    <cellStyle name="Style 1 39" xfId="29060" xr:uid="{00000000-0005-0000-0000-00008B710000}"/>
    <cellStyle name="Style 1 39 2" xfId="29061" xr:uid="{00000000-0005-0000-0000-00008C710000}"/>
    <cellStyle name="Style 1 4" xfId="29062" xr:uid="{00000000-0005-0000-0000-00008D710000}"/>
    <cellStyle name="Style 1 4 2" xfId="29063" xr:uid="{00000000-0005-0000-0000-00008E710000}"/>
    <cellStyle name="Style 1 40" xfId="29064" xr:uid="{00000000-0005-0000-0000-00008F710000}"/>
    <cellStyle name="Style 1 40 2" xfId="29065" xr:uid="{00000000-0005-0000-0000-000090710000}"/>
    <cellStyle name="Style 1 41" xfId="29066" xr:uid="{00000000-0005-0000-0000-000091710000}"/>
    <cellStyle name="Style 1 41 2" xfId="29067" xr:uid="{00000000-0005-0000-0000-000092710000}"/>
    <cellStyle name="Style 1 42" xfId="29068" xr:uid="{00000000-0005-0000-0000-000093710000}"/>
    <cellStyle name="Style 1 42 2" xfId="29069" xr:uid="{00000000-0005-0000-0000-000094710000}"/>
    <cellStyle name="Style 1 43" xfId="29070" xr:uid="{00000000-0005-0000-0000-000095710000}"/>
    <cellStyle name="Style 1 43 2" xfId="29071" xr:uid="{00000000-0005-0000-0000-000096710000}"/>
    <cellStyle name="Style 1 44" xfId="29072" xr:uid="{00000000-0005-0000-0000-000097710000}"/>
    <cellStyle name="Style 1 44 2" xfId="29073" xr:uid="{00000000-0005-0000-0000-000098710000}"/>
    <cellStyle name="Style 1 45" xfId="29074" xr:uid="{00000000-0005-0000-0000-000099710000}"/>
    <cellStyle name="Style 1 45 2" xfId="29075" xr:uid="{00000000-0005-0000-0000-00009A710000}"/>
    <cellStyle name="Style 1 46" xfId="29076" xr:uid="{00000000-0005-0000-0000-00009B710000}"/>
    <cellStyle name="Style 1 46 2" xfId="29077" xr:uid="{00000000-0005-0000-0000-00009C710000}"/>
    <cellStyle name="Style 1 47" xfId="29078" xr:uid="{00000000-0005-0000-0000-00009D710000}"/>
    <cellStyle name="Style 1 47 2" xfId="29079" xr:uid="{00000000-0005-0000-0000-00009E710000}"/>
    <cellStyle name="Style 1 48" xfId="29080" xr:uid="{00000000-0005-0000-0000-00009F710000}"/>
    <cellStyle name="Style 1 48 2" xfId="29081" xr:uid="{00000000-0005-0000-0000-0000A0710000}"/>
    <cellStyle name="Style 1 49" xfId="29082" xr:uid="{00000000-0005-0000-0000-0000A1710000}"/>
    <cellStyle name="Style 1 49 2" xfId="29083" xr:uid="{00000000-0005-0000-0000-0000A2710000}"/>
    <cellStyle name="Style 1 5" xfId="29084" xr:uid="{00000000-0005-0000-0000-0000A3710000}"/>
    <cellStyle name="Style 1 5 2" xfId="29085" xr:uid="{00000000-0005-0000-0000-0000A4710000}"/>
    <cellStyle name="Style 1 50" xfId="29086" xr:uid="{00000000-0005-0000-0000-0000A5710000}"/>
    <cellStyle name="Style 1 50 2" xfId="29087" xr:uid="{00000000-0005-0000-0000-0000A6710000}"/>
    <cellStyle name="Style 1 51" xfId="29088" xr:uid="{00000000-0005-0000-0000-0000A7710000}"/>
    <cellStyle name="Style 1 51 2" xfId="29089" xr:uid="{00000000-0005-0000-0000-0000A8710000}"/>
    <cellStyle name="Style 1 52" xfId="29090" xr:uid="{00000000-0005-0000-0000-0000A9710000}"/>
    <cellStyle name="Style 1 52 2" xfId="29091" xr:uid="{00000000-0005-0000-0000-0000AA710000}"/>
    <cellStyle name="Style 1 53" xfId="29092" xr:uid="{00000000-0005-0000-0000-0000AB710000}"/>
    <cellStyle name="Style 1 53 2" xfId="29093" xr:uid="{00000000-0005-0000-0000-0000AC710000}"/>
    <cellStyle name="Style 1 54" xfId="29094" xr:uid="{00000000-0005-0000-0000-0000AD710000}"/>
    <cellStyle name="Style 1 54 2" xfId="29095" xr:uid="{00000000-0005-0000-0000-0000AE710000}"/>
    <cellStyle name="Style 1 55" xfId="29096" xr:uid="{00000000-0005-0000-0000-0000AF710000}"/>
    <cellStyle name="Style 1 55 2" xfId="29097" xr:uid="{00000000-0005-0000-0000-0000B0710000}"/>
    <cellStyle name="Style 1 56" xfId="29098" xr:uid="{00000000-0005-0000-0000-0000B1710000}"/>
    <cellStyle name="Style 1 56 2" xfId="29099" xr:uid="{00000000-0005-0000-0000-0000B2710000}"/>
    <cellStyle name="Style 1 57" xfId="29100" xr:uid="{00000000-0005-0000-0000-0000B3710000}"/>
    <cellStyle name="Style 1 57 2" xfId="29101" xr:uid="{00000000-0005-0000-0000-0000B4710000}"/>
    <cellStyle name="Style 1 58" xfId="29102" xr:uid="{00000000-0005-0000-0000-0000B5710000}"/>
    <cellStyle name="Style 1 58 2" xfId="29103" xr:uid="{00000000-0005-0000-0000-0000B6710000}"/>
    <cellStyle name="Style 1 59" xfId="29104" xr:uid="{00000000-0005-0000-0000-0000B7710000}"/>
    <cellStyle name="Style 1 59 2" xfId="29105" xr:uid="{00000000-0005-0000-0000-0000B8710000}"/>
    <cellStyle name="Style 1 6" xfId="29106" xr:uid="{00000000-0005-0000-0000-0000B9710000}"/>
    <cellStyle name="Style 1 6 2" xfId="29107" xr:uid="{00000000-0005-0000-0000-0000BA710000}"/>
    <cellStyle name="Style 1 60" xfId="29108" xr:uid="{00000000-0005-0000-0000-0000BB710000}"/>
    <cellStyle name="Style 1 60 2" xfId="29109" xr:uid="{00000000-0005-0000-0000-0000BC710000}"/>
    <cellStyle name="Style 1 61" xfId="29110" xr:uid="{00000000-0005-0000-0000-0000BD710000}"/>
    <cellStyle name="Style 1 61 2" xfId="29111" xr:uid="{00000000-0005-0000-0000-0000BE710000}"/>
    <cellStyle name="Style 1 62" xfId="29112" xr:uid="{00000000-0005-0000-0000-0000BF710000}"/>
    <cellStyle name="Style 1 62 2" xfId="29113" xr:uid="{00000000-0005-0000-0000-0000C0710000}"/>
    <cellStyle name="Style 1 63" xfId="29114" xr:uid="{00000000-0005-0000-0000-0000C1710000}"/>
    <cellStyle name="Style 1 63 2" xfId="29115" xr:uid="{00000000-0005-0000-0000-0000C2710000}"/>
    <cellStyle name="Style 1 64" xfId="29116" xr:uid="{00000000-0005-0000-0000-0000C3710000}"/>
    <cellStyle name="Style 1 64 2" xfId="29117" xr:uid="{00000000-0005-0000-0000-0000C4710000}"/>
    <cellStyle name="Style 1 65" xfId="29118" xr:uid="{00000000-0005-0000-0000-0000C5710000}"/>
    <cellStyle name="Style 1 65 2" xfId="29119" xr:uid="{00000000-0005-0000-0000-0000C6710000}"/>
    <cellStyle name="Style 1 66" xfId="29120" xr:uid="{00000000-0005-0000-0000-0000C7710000}"/>
    <cellStyle name="Style 1 66 2" xfId="29121" xr:uid="{00000000-0005-0000-0000-0000C8710000}"/>
    <cellStyle name="Style 1 67" xfId="29122" xr:uid="{00000000-0005-0000-0000-0000C9710000}"/>
    <cellStyle name="Style 1 67 2" xfId="29123" xr:uid="{00000000-0005-0000-0000-0000CA710000}"/>
    <cellStyle name="Style 1 68" xfId="29124" xr:uid="{00000000-0005-0000-0000-0000CB710000}"/>
    <cellStyle name="Style 1 68 2" xfId="29125" xr:uid="{00000000-0005-0000-0000-0000CC710000}"/>
    <cellStyle name="Style 1 69" xfId="29126" xr:uid="{00000000-0005-0000-0000-0000CD710000}"/>
    <cellStyle name="Style 1 69 2" xfId="29127" xr:uid="{00000000-0005-0000-0000-0000CE710000}"/>
    <cellStyle name="Style 1 7" xfId="29128" xr:uid="{00000000-0005-0000-0000-0000CF710000}"/>
    <cellStyle name="Style 1 7 2" xfId="29129" xr:uid="{00000000-0005-0000-0000-0000D0710000}"/>
    <cellStyle name="Style 1 70" xfId="29130" xr:uid="{00000000-0005-0000-0000-0000D1710000}"/>
    <cellStyle name="Style 1 70 2" xfId="29131" xr:uid="{00000000-0005-0000-0000-0000D2710000}"/>
    <cellStyle name="Style 1 8" xfId="29132" xr:uid="{00000000-0005-0000-0000-0000D3710000}"/>
    <cellStyle name="Style 1 8 2" xfId="29133" xr:uid="{00000000-0005-0000-0000-0000D4710000}"/>
    <cellStyle name="Style 1 9" xfId="29134" xr:uid="{00000000-0005-0000-0000-0000D5710000}"/>
    <cellStyle name="Style 1 9 2" xfId="29135" xr:uid="{00000000-0005-0000-0000-0000D6710000}"/>
    <cellStyle name="Style 1_20100303 Annex 27 Part 2.1b Prices Serbia and Hungary, Core  20100410 V2.0" xfId="29136" xr:uid="{00000000-0005-0000-0000-0000D7710000}"/>
    <cellStyle name="Style 2" xfId="29137" xr:uid="{00000000-0005-0000-0000-0000D8710000}"/>
    <cellStyle name="Style 2 2" xfId="29138" xr:uid="{00000000-0005-0000-0000-0000D9710000}"/>
    <cellStyle name="Style 2 2 2" xfId="29139" xr:uid="{00000000-0005-0000-0000-0000DA710000}"/>
    <cellStyle name="Style 2 3" xfId="29140" xr:uid="{00000000-0005-0000-0000-0000DB710000}"/>
    <cellStyle name="Style 3" xfId="29141" xr:uid="{00000000-0005-0000-0000-0000DC710000}"/>
    <cellStyle name="Style 3 2" xfId="29142" xr:uid="{00000000-0005-0000-0000-0000DD710000}"/>
    <cellStyle name="Style 3 2 2" xfId="29143" xr:uid="{00000000-0005-0000-0000-0000DE710000}"/>
    <cellStyle name="Style 3 3" xfId="29144" xr:uid="{00000000-0005-0000-0000-0000DF710000}"/>
    <cellStyle name="Style 3 3 2" xfId="29145" xr:uid="{00000000-0005-0000-0000-0000E0710000}"/>
    <cellStyle name="Style 3 4" xfId="29146" xr:uid="{00000000-0005-0000-0000-0000E1710000}"/>
    <cellStyle name="subhead" xfId="29233" xr:uid="{00000000-0005-0000-0000-0000E2710000}"/>
    <cellStyle name="subhead 2" xfId="29234" xr:uid="{00000000-0005-0000-0000-0000E3710000}"/>
    <cellStyle name="subhead 2 2" xfId="29235" xr:uid="{00000000-0005-0000-0000-0000E4710000}"/>
    <cellStyle name="subhead 3" xfId="29236" xr:uid="{00000000-0005-0000-0000-0000E5710000}"/>
    <cellStyle name="Sub-heading" xfId="29147" xr:uid="{00000000-0005-0000-0000-0000E6710000}"/>
    <cellStyle name="Sub-heading 2" xfId="29148" xr:uid="{00000000-0005-0000-0000-0000E7710000}"/>
    <cellStyle name="Sub-heading 2 2" xfId="29149" xr:uid="{00000000-0005-0000-0000-0000E8710000}"/>
    <cellStyle name="Sub-heading 3" xfId="29150" xr:uid="{00000000-0005-0000-0000-0000E9710000}"/>
    <cellStyle name="SUBSC98" xfId="29237" xr:uid="{00000000-0005-0000-0000-0000EA710000}"/>
    <cellStyle name="Sub-total row" xfId="29151" xr:uid="{00000000-0005-0000-0000-0000EB710000}"/>
    <cellStyle name="Sub-total row 10" xfId="29152" xr:uid="{00000000-0005-0000-0000-0000EC710000}"/>
    <cellStyle name="Sub-total row 10 2" xfId="29153" xr:uid="{00000000-0005-0000-0000-0000ED710000}"/>
    <cellStyle name="Sub-total row 11" xfId="29154" xr:uid="{00000000-0005-0000-0000-0000EE710000}"/>
    <cellStyle name="Sub-total row 2" xfId="29155" xr:uid="{00000000-0005-0000-0000-0000EF710000}"/>
    <cellStyle name="Sub-total row 2 10" xfId="29156" xr:uid="{00000000-0005-0000-0000-0000F0710000}"/>
    <cellStyle name="Sub-total row 2 11" xfId="29157" xr:uid="{00000000-0005-0000-0000-0000F1710000}"/>
    <cellStyle name="Sub-total row 2 12" xfId="29158" xr:uid="{00000000-0005-0000-0000-0000F2710000}"/>
    <cellStyle name="Sub-total row 2 13" xfId="29159" xr:uid="{00000000-0005-0000-0000-0000F3710000}"/>
    <cellStyle name="Sub-total row 2 14" xfId="29160" xr:uid="{00000000-0005-0000-0000-0000F4710000}"/>
    <cellStyle name="Sub-total row 2 15" xfId="29161" xr:uid="{00000000-0005-0000-0000-0000F5710000}"/>
    <cellStyle name="Sub-total row 2 16" xfId="29162" xr:uid="{00000000-0005-0000-0000-0000F6710000}"/>
    <cellStyle name="Sub-total row 2 17" xfId="29163" xr:uid="{00000000-0005-0000-0000-0000F7710000}"/>
    <cellStyle name="Sub-total row 2 18" xfId="29164" xr:uid="{00000000-0005-0000-0000-0000F8710000}"/>
    <cellStyle name="Sub-total row 2 19" xfId="29165" xr:uid="{00000000-0005-0000-0000-0000F9710000}"/>
    <cellStyle name="Sub-total row 2 2" xfId="29166" xr:uid="{00000000-0005-0000-0000-0000FA710000}"/>
    <cellStyle name="Sub-total row 2 2 2" xfId="29167" xr:uid="{00000000-0005-0000-0000-0000FB710000}"/>
    <cellStyle name="Sub-total row 2 2 2 2" xfId="29168" xr:uid="{00000000-0005-0000-0000-0000FC710000}"/>
    <cellStyle name="Sub-total row 2 2 2 3" xfId="29169" xr:uid="{00000000-0005-0000-0000-0000FD710000}"/>
    <cellStyle name="Sub-total row 2 2 2 4" xfId="29170" xr:uid="{00000000-0005-0000-0000-0000FE710000}"/>
    <cellStyle name="Sub-total row 2 2 3" xfId="29171" xr:uid="{00000000-0005-0000-0000-0000FF710000}"/>
    <cellStyle name="Sub-total row 2 2 3 2" xfId="29172" xr:uid="{00000000-0005-0000-0000-000000720000}"/>
    <cellStyle name="Sub-total row 2 2 3 3" xfId="29173" xr:uid="{00000000-0005-0000-0000-000001720000}"/>
    <cellStyle name="Sub-total row 2 2 3 4" xfId="29174" xr:uid="{00000000-0005-0000-0000-000002720000}"/>
    <cellStyle name="Sub-total row 2 2 4" xfId="29175" xr:uid="{00000000-0005-0000-0000-000003720000}"/>
    <cellStyle name="Sub-total row 2 2 5" xfId="29176" xr:uid="{00000000-0005-0000-0000-000004720000}"/>
    <cellStyle name="Sub-total row 2 2 6" xfId="29177" xr:uid="{00000000-0005-0000-0000-000005720000}"/>
    <cellStyle name="Sub-total row 2 3" xfId="29178" xr:uid="{00000000-0005-0000-0000-000006720000}"/>
    <cellStyle name="Sub-total row 2 3 2" xfId="29179" xr:uid="{00000000-0005-0000-0000-000007720000}"/>
    <cellStyle name="Sub-total row 2 3 2 2" xfId="29180" xr:uid="{00000000-0005-0000-0000-000008720000}"/>
    <cellStyle name="Sub-total row 2 3 2 3" xfId="29181" xr:uid="{00000000-0005-0000-0000-000009720000}"/>
    <cellStyle name="Sub-total row 2 3 2 4" xfId="29182" xr:uid="{00000000-0005-0000-0000-00000A720000}"/>
    <cellStyle name="Sub-total row 2 3 3" xfId="29183" xr:uid="{00000000-0005-0000-0000-00000B720000}"/>
    <cellStyle name="Sub-total row 2 3 3 2" xfId="29184" xr:uid="{00000000-0005-0000-0000-00000C720000}"/>
    <cellStyle name="Sub-total row 2 3 3 3" xfId="29185" xr:uid="{00000000-0005-0000-0000-00000D720000}"/>
    <cellStyle name="Sub-total row 2 3 3 4" xfId="29186" xr:uid="{00000000-0005-0000-0000-00000E720000}"/>
    <cellStyle name="Sub-total row 2 3 4" xfId="29187" xr:uid="{00000000-0005-0000-0000-00000F720000}"/>
    <cellStyle name="Sub-total row 2 3 5" xfId="29188" xr:uid="{00000000-0005-0000-0000-000010720000}"/>
    <cellStyle name="Sub-total row 2 3 6" xfId="29189" xr:uid="{00000000-0005-0000-0000-000011720000}"/>
    <cellStyle name="Sub-total row 2 4" xfId="29190" xr:uid="{00000000-0005-0000-0000-000012720000}"/>
    <cellStyle name="Sub-total row 2 4 2" xfId="29191" xr:uid="{00000000-0005-0000-0000-000013720000}"/>
    <cellStyle name="Sub-total row 2 4 3" xfId="29192" xr:uid="{00000000-0005-0000-0000-000014720000}"/>
    <cellStyle name="Sub-total row 2 4 4" xfId="29193" xr:uid="{00000000-0005-0000-0000-000015720000}"/>
    <cellStyle name="Sub-total row 2 5" xfId="29194" xr:uid="{00000000-0005-0000-0000-000016720000}"/>
    <cellStyle name="Sub-total row 2 6" xfId="29195" xr:uid="{00000000-0005-0000-0000-000017720000}"/>
    <cellStyle name="Sub-total row 2 7" xfId="29196" xr:uid="{00000000-0005-0000-0000-000018720000}"/>
    <cellStyle name="Sub-total row 2 8" xfId="29197" xr:uid="{00000000-0005-0000-0000-000019720000}"/>
    <cellStyle name="Sub-total row 2 9" xfId="29198" xr:uid="{00000000-0005-0000-0000-00001A720000}"/>
    <cellStyle name="Sub-total row 3" xfId="29199" xr:uid="{00000000-0005-0000-0000-00001B720000}"/>
    <cellStyle name="Sub-total row 3 2" xfId="29200" xr:uid="{00000000-0005-0000-0000-00001C720000}"/>
    <cellStyle name="Sub-total row 3 2 2" xfId="29201" xr:uid="{00000000-0005-0000-0000-00001D720000}"/>
    <cellStyle name="Sub-total row 3 2 3" xfId="29202" xr:uid="{00000000-0005-0000-0000-00001E720000}"/>
    <cellStyle name="Sub-total row 3 2 4" xfId="29203" xr:uid="{00000000-0005-0000-0000-00001F720000}"/>
    <cellStyle name="Sub-total row 3 3" xfId="29204" xr:uid="{00000000-0005-0000-0000-000020720000}"/>
    <cellStyle name="Sub-total row 3 3 2" xfId="29205" xr:uid="{00000000-0005-0000-0000-000021720000}"/>
    <cellStyle name="Sub-total row 3 3 3" xfId="29206" xr:uid="{00000000-0005-0000-0000-000022720000}"/>
    <cellStyle name="Sub-total row 3 3 4" xfId="29207" xr:uid="{00000000-0005-0000-0000-000023720000}"/>
    <cellStyle name="Sub-total row 3 4" xfId="29208" xr:uid="{00000000-0005-0000-0000-000024720000}"/>
    <cellStyle name="Sub-total row 3 5" xfId="29209" xr:uid="{00000000-0005-0000-0000-000025720000}"/>
    <cellStyle name="Sub-total row 3 6" xfId="29210" xr:uid="{00000000-0005-0000-0000-000026720000}"/>
    <cellStyle name="Sub-total row 4" xfId="29211" xr:uid="{00000000-0005-0000-0000-000027720000}"/>
    <cellStyle name="Sub-total row 4 2" xfId="29212" xr:uid="{00000000-0005-0000-0000-000028720000}"/>
    <cellStyle name="Sub-total row 4 2 2" xfId="29213" xr:uid="{00000000-0005-0000-0000-000029720000}"/>
    <cellStyle name="Sub-total row 4 2 3" xfId="29214" xr:uid="{00000000-0005-0000-0000-00002A720000}"/>
    <cellStyle name="Sub-total row 4 2 4" xfId="29215" xr:uid="{00000000-0005-0000-0000-00002B720000}"/>
    <cellStyle name="Sub-total row 4 3" xfId="29216" xr:uid="{00000000-0005-0000-0000-00002C720000}"/>
    <cellStyle name="Sub-total row 4 3 2" xfId="29217" xr:uid="{00000000-0005-0000-0000-00002D720000}"/>
    <cellStyle name="Sub-total row 4 3 3" xfId="29218" xr:uid="{00000000-0005-0000-0000-00002E720000}"/>
    <cellStyle name="Sub-total row 4 3 4" xfId="29219" xr:uid="{00000000-0005-0000-0000-00002F720000}"/>
    <cellStyle name="Sub-total row 4 4" xfId="29220" xr:uid="{00000000-0005-0000-0000-000030720000}"/>
    <cellStyle name="Sub-total row 4 5" xfId="29221" xr:uid="{00000000-0005-0000-0000-000031720000}"/>
    <cellStyle name="Sub-total row 4 6" xfId="29222" xr:uid="{00000000-0005-0000-0000-000032720000}"/>
    <cellStyle name="Sub-total row 5" xfId="29223" xr:uid="{00000000-0005-0000-0000-000033720000}"/>
    <cellStyle name="Sub-total row 5 2" xfId="29224" xr:uid="{00000000-0005-0000-0000-000034720000}"/>
    <cellStyle name="Sub-total row 6" xfId="29225" xr:uid="{00000000-0005-0000-0000-000035720000}"/>
    <cellStyle name="Sub-total row 6 2" xfId="29226" xr:uid="{00000000-0005-0000-0000-000036720000}"/>
    <cellStyle name="Sub-total row 7" xfId="29227" xr:uid="{00000000-0005-0000-0000-000037720000}"/>
    <cellStyle name="Sub-total row 7 2" xfId="29228" xr:uid="{00000000-0005-0000-0000-000038720000}"/>
    <cellStyle name="Sub-total row 8" xfId="29229" xr:uid="{00000000-0005-0000-0000-000039720000}"/>
    <cellStyle name="Sub-total row 8 2" xfId="29230" xr:uid="{00000000-0005-0000-0000-00003A720000}"/>
    <cellStyle name="Sub-total row 9" xfId="29231" xr:uid="{00000000-0005-0000-0000-00003B720000}"/>
    <cellStyle name="Sub-total row 9 2" xfId="29232" xr:uid="{00000000-0005-0000-0000-00003C720000}"/>
    <cellStyle name="Sum" xfId="29238" xr:uid="{00000000-0005-0000-0000-00003D720000}"/>
    <cellStyle name="Sum 2" xfId="29239" xr:uid="{00000000-0005-0000-0000-00003E720000}"/>
    <cellStyle name="Sum 2 2" xfId="29240" xr:uid="{00000000-0005-0000-0000-00003F720000}"/>
    <cellStyle name="Sum 2 2 2" xfId="29241" xr:uid="{00000000-0005-0000-0000-000040720000}"/>
    <cellStyle name="Sum 2 3" xfId="29242" xr:uid="{00000000-0005-0000-0000-000041720000}"/>
    <cellStyle name="Sum 3" xfId="29243" xr:uid="{00000000-0005-0000-0000-000042720000}"/>
    <cellStyle name="Sum 3 2" xfId="29244" xr:uid="{00000000-0005-0000-0000-000043720000}"/>
    <cellStyle name="Sum 4" xfId="29245" xr:uid="{00000000-0005-0000-0000-000044720000}"/>
    <cellStyle name="Sum 4 2" xfId="29246" xr:uid="{00000000-0005-0000-0000-000045720000}"/>
    <cellStyle name="Sum 5" xfId="29247" xr:uid="{00000000-0005-0000-0000-000046720000}"/>
    <cellStyle name="Sum 5 2" xfId="29248" xr:uid="{00000000-0005-0000-0000-000047720000}"/>
    <cellStyle name="Sum 6" xfId="29249" xr:uid="{00000000-0005-0000-0000-000048720000}"/>
    <cellStyle name="Sum 6 2" xfId="29250" xr:uid="{00000000-0005-0000-0000-000049720000}"/>
    <cellStyle name="Sum 7" xfId="29251" xr:uid="{00000000-0005-0000-0000-00004A720000}"/>
    <cellStyle name="Sum 7 2" xfId="29252" xr:uid="{00000000-0005-0000-0000-00004B720000}"/>
    <cellStyle name="Sum 8" xfId="29253" xr:uid="{00000000-0005-0000-0000-00004C720000}"/>
    <cellStyle name="Table" xfId="29254" xr:uid="{00000000-0005-0000-0000-00004D720000}"/>
    <cellStyle name="Table 10" xfId="29255" xr:uid="{00000000-0005-0000-0000-00004E720000}"/>
    <cellStyle name="Table 11" xfId="29256" xr:uid="{00000000-0005-0000-0000-00004F720000}"/>
    <cellStyle name="Table 12" xfId="29257" xr:uid="{00000000-0005-0000-0000-000050720000}"/>
    <cellStyle name="Table 13" xfId="29258" xr:uid="{00000000-0005-0000-0000-000051720000}"/>
    <cellStyle name="Table 14" xfId="29259" xr:uid="{00000000-0005-0000-0000-000052720000}"/>
    <cellStyle name="Table 15" xfId="29260" xr:uid="{00000000-0005-0000-0000-000053720000}"/>
    <cellStyle name="Table 16" xfId="29261" xr:uid="{00000000-0005-0000-0000-000054720000}"/>
    <cellStyle name="Table 17" xfId="29262" xr:uid="{00000000-0005-0000-0000-000055720000}"/>
    <cellStyle name="Table 18" xfId="29263" xr:uid="{00000000-0005-0000-0000-000056720000}"/>
    <cellStyle name="Table 19" xfId="29264" xr:uid="{00000000-0005-0000-0000-000057720000}"/>
    <cellStyle name="Table 2" xfId="29265" xr:uid="{00000000-0005-0000-0000-000058720000}"/>
    <cellStyle name="Table 2 10" xfId="29266" xr:uid="{00000000-0005-0000-0000-000059720000}"/>
    <cellStyle name="Table 2 11" xfId="29267" xr:uid="{00000000-0005-0000-0000-00005A720000}"/>
    <cellStyle name="Table 2 12" xfId="29268" xr:uid="{00000000-0005-0000-0000-00005B720000}"/>
    <cellStyle name="Table 2 13" xfId="29269" xr:uid="{00000000-0005-0000-0000-00005C720000}"/>
    <cellStyle name="Table 2 14" xfId="29270" xr:uid="{00000000-0005-0000-0000-00005D720000}"/>
    <cellStyle name="Table 2 15" xfId="29271" xr:uid="{00000000-0005-0000-0000-00005E720000}"/>
    <cellStyle name="Table 2 16" xfId="29272" xr:uid="{00000000-0005-0000-0000-00005F720000}"/>
    <cellStyle name="Table 2 17" xfId="29273" xr:uid="{00000000-0005-0000-0000-000060720000}"/>
    <cellStyle name="Table 2 18" xfId="29274" xr:uid="{00000000-0005-0000-0000-000061720000}"/>
    <cellStyle name="Table 2 19" xfId="29275" xr:uid="{00000000-0005-0000-0000-000062720000}"/>
    <cellStyle name="Table 2 2" xfId="29276" xr:uid="{00000000-0005-0000-0000-000063720000}"/>
    <cellStyle name="Table 2 2 2" xfId="29277" xr:uid="{00000000-0005-0000-0000-000064720000}"/>
    <cellStyle name="Table 2 2 3" xfId="29278" xr:uid="{00000000-0005-0000-0000-000065720000}"/>
    <cellStyle name="Table 2 20" xfId="29279" xr:uid="{00000000-0005-0000-0000-000066720000}"/>
    <cellStyle name="Table 2 21" xfId="29280" xr:uid="{00000000-0005-0000-0000-000067720000}"/>
    <cellStyle name="Table 2 22" xfId="29281" xr:uid="{00000000-0005-0000-0000-000068720000}"/>
    <cellStyle name="Table 2 23" xfId="29282" xr:uid="{00000000-0005-0000-0000-000069720000}"/>
    <cellStyle name="Table 2 24" xfId="29283" xr:uid="{00000000-0005-0000-0000-00006A720000}"/>
    <cellStyle name="Table 2 25" xfId="29284" xr:uid="{00000000-0005-0000-0000-00006B720000}"/>
    <cellStyle name="Table 2 26" xfId="29285" xr:uid="{00000000-0005-0000-0000-00006C720000}"/>
    <cellStyle name="Table 2 27" xfId="29286" xr:uid="{00000000-0005-0000-0000-00006D720000}"/>
    <cellStyle name="Table 2 28" xfId="29287" xr:uid="{00000000-0005-0000-0000-00006E720000}"/>
    <cellStyle name="Table 2 29" xfId="29288" xr:uid="{00000000-0005-0000-0000-00006F720000}"/>
    <cellStyle name="Table 2 3" xfId="29289" xr:uid="{00000000-0005-0000-0000-000070720000}"/>
    <cellStyle name="Table 2 30" xfId="29290" xr:uid="{00000000-0005-0000-0000-000071720000}"/>
    <cellStyle name="Table 2 31" xfId="29291" xr:uid="{00000000-0005-0000-0000-000072720000}"/>
    <cellStyle name="Table 2 32" xfId="29292" xr:uid="{00000000-0005-0000-0000-000073720000}"/>
    <cellStyle name="Table 2 33" xfId="29293" xr:uid="{00000000-0005-0000-0000-000074720000}"/>
    <cellStyle name="Table 2 34" xfId="29294" xr:uid="{00000000-0005-0000-0000-000075720000}"/>
    <cellStyle name="Table 2 35" xfId="29295" xr:uid="{00000000-0005-0000-0000-000076720000}"/>
    <cellStyle name="Table 2 36" xfId="29296" xr:uid="{00000000-0005-0000-0000-000077720000}"/>
    <cellStyle name="Table 2 4" xfId="29297" xr:uid="{00000000-0005-0000-0000-000078720000}"/>
    <cellStyle name="Table 2 5" xfId="29298" xr:uid="{00000000-0005-0000-0000-000079720000}"/>
    <cellStyle name="Table 2 6" xfId="29299" xr:uid="{00000000-0005-0000-0000-00007A720000}"/>
    <cellStyle name="Table 2 7" xfId="29300" xr:uid="{00000000-0005-0000-0000-00007B720000}"/>
    <cellStyle name="Table 2 8" xfId="29301" xr:uid="{00000000-0005-0000-0000-00007C720000}"/>
    <cellStyle name="Table 2 9" xfId="29302" xr:uid="{00000000-0005-0000-0000-00007D720000}"/>
    <cellStyle name="Table 20" xfId="29303" xr:uid="{00000000-0005-0000-0000-00007E720000}"/>
    <cellStyle name="Table 21" xfId="29304" xr:uid="{00000000-0005-0000-0000-00007F720000}"/>
    <cellStyle name="Table 22" xfId="29305" xr:uid="{00000000-0005-0000-0000-000080720000}"/>
    <cellStyle name="Table 23" xfId="29306" xr:uid="{00000000-0005-0000-0000-000081720000}"/>
    <cellStyle name="Table 24" xfId="29307" xr:uid="{00000000-0005-0000-0000-000082720000}"/>
    <cellStyle name="Table 25" xfId="29308" xr:uid="{00000000-0005-0000-0000-000083720000}"/>
    <cellStyle name="Table 26" xfId="29309" xr:uid="{00000000-0005-0000-0000-000084720000}"/>
    <cellStyle name="Table 27" xfId="29310" xr:uid="{00000000-0005-0000-0000-000085720000}"/>
    <cellStyle name="Table 28" xfId="29311" xr:uid="{00000000-0005-0000-0000-000086720000}"/>
    <cellStyle name="Table 29" xfId="29312" xr:uid="{00000000-0005-0000-0000-000087720000}"/>
    <cellStyle name="Table 3" xfId="29313" xr:uid="{00000000-0005-0000-0000-000088720000}"/>
    <cellStyle name="Table 3 2" xfId="29314" xr:uid="{00000000-0005-0000-0000-000089720000}"/>
    <cellStyle name="Table 3 2 2" xfId="29315" xr:uid="{00000000-0005-0000-0000-00008A720000}"/>
    <cellStyle name="Table 3 2 3" xfId="29316" xr:uid="{00000000-0005-0000-0000-00008B720000}"/>
    <cellStyle name="Table 3 3" xfId="29317" xr:uid="{00000000-0005-0000-0000-00008C720000}"/>
    <cellStyle name="Table 3 3 2" xfId="29318" xr:uid="{00000000-0005-0000-0000-00008D720000}"/>
    <cellStyle name="Table 3 3 3" xfId="29319" xr:uid="{00000000-0005-0000-0000-00008E720000}"/>
    <cellStyle name="Table 3 4" xfId="29320" xr:uid="{00000000-0005-0000-0000-00008F720000}"/>
    <cellStyle name="Table 3 5" xfId="29321" xr:uid="{00000000-0005-0000-0000-000090720000}"/>
    <cellStyle name="Table 30" xfId="29322" xr:uid="{00000000-0005-0000-0000-000091720000}"/>
    <cellStyle name="Table 31" xfId="29323" xr:uid="{00000000-0005-0000-0000-000092720000}"/>
    <cellStyle name="Table 32" xfId="29324" xr:uid="{00000000-0005-0000-0000-000093720000}"/>
    <cellStyle name="Table 33" xfId="29325" xr:uid="{00000000-0005-0000-0000-000094720000}"/>
    <cellStyle name="Table 34" xfId="29326" xr:uid="{00000000-0005-0000-0000-000095720000}"/>
    <cellStyle name="Table 35" xfId="29327" xr:uid="{00000000-0005-0000-0000-000096720000}"/>
    <cellStyle name="Table 36" xfId="29328" xr:uid="{00000000-0005-0000-0000-000097720000}"/>
    <cellStyle name="Table 4" xfId="29329" xr:uid="{00000000-0005-0000-0000-000098720000}"/>
    <cellStyle name="Table 4 2" xfId="29330" xr:uid="{00000000-0005-0000-0000-000099720000}"/>
    <cellStyle name="Table 4 2 2" xfId="29331" xr:uid="{00000000-0005-0000-0000-00009A720000}"/>
    <cellStyle name="Table 4 2 3" xfId="29332" xr:uid="{00000000-0005-0000-0000-00009B720000}"/>
    <cellStyle name="Table 4 3" xfId="29333" xr:uid="{00000000-0005-0000-0000-00009C720000}"/>
    <cellStyle name="Table 4 3 2" xfId="29334" xr:uid="{00000000-0005-0000-0000-00009D720000}"/>
    <cellStyle name="Table 4 3 3" xfId="29335" xr:uid="{00000000-0005-0000-0000-00009E720000}"/>
    <cellStyle name="Table 4 4" xfId="29336" xr:uid="{00000000-0005-0000-0000-00009F720000}"/>
    <cellStyle name="Table 4 5" xfId="29337" xr:uid="{00000000-0005-0000-0000-0000A0720000}"/>
    <cellStyle name="Table 5" xfId="29338" xr:uid="{00000000-0005-0000-0000-0000A1720000}"/>
    <cellStyle name="Table 5 2" xfId="29339" xr:uid="{00000000-0005-0000-0000-0000A2720000}"/>
    <cellStyle name="Table 5 3" xfId="29340" xr:uid="{00000000-0005-0000-0000-0000A3720000}"/>
    <cellStyle name="Table 6" xfId="29341" xr:uid="{00000000-0005-0000-0000-0000A4720000}"/>
    <cellStyle name="Table 7" xfId="29342" xr:uid="{00000000-0005-0000-0000-0000A5720000}"/>
    <cellStyle name="Table 8" xfId="29343" xr:uid="{00000000-0005-0000-0000-0000A6720000}"/>
    <cellStyle name="Table 9" xfId="29344" xr:uid="{00000000-0005-0000-0000-0000A7720000}"/>
    <cellStyle name="Table finish row" xfId="29345" xr:uid="{00000000-0005-0000-0000-0000A8720000}"/>
    <cellStyle name="Table finish row 10" xfId="29346" xr:uid="{00000000-0005-0000-0000-0000A9720000}"/>
    <cellStyle name="Table finish row 10 2" xfId="29347" xr:uid="{00000000-0005-0000-0000-0000AA720000}"/>
    <cellStyle name="Table finish row 11" xfId="29348" xr:uid="{00000000-0005-0000-0000-0000AB720000}"/>
    <cellStyle name="Table finish row 2" xfId="29349" xr:uid="{00000000-0005-0000-0000-0000AC720000}"/>
    <cellStyle name="Table finish row 2 10" xfId="29350" xr:uid="{00000000-0005-0000-0000-0000AD720000}"/>
    <cellStyle name="Table finish row 2 11" xfId="29351" xr:uid="{00000000-0005-0000-0000-0000AE720000}"/>
    <cellStyle name="Table finish row 2 12" xfId="29352" xr:uid="{00000000-0005-0000-0000-0000AF720000}"/>
    <cellStyle name="Table finish row 2 13" xfId="29353" xr:uid="{00000000-0005-0000-0000-0000B0720000}"/>
    <cellStyle name="Table finish row 2 14" xfId="29354" xr:uid="{00000000-0005-0000-0000-0000B1720000}"/>
    <cellStyle name="Table finish row 2 15" xfId="29355" xr:uid="{00000000-0005-0000-0000-0000B2720000}"/>
    <cellStyle name="Table finish row 2 16" xfId="29356" xr:uid="{00000000-0005-0000-0000-0000B3720000}"/>
    <cellStyle name="Table finish row 2 17" xfId="29357" xr:uid="{00000000-0005-0000-0000-0000B4720000}"/>
    <cellStyle name="Table finish row 2 18" xfId="29358" xr:uid="{00000000-0005-0000-0000-0000B5720000}"/>
    <cellStyle name="Table finish row 2 19" xfId="29359" xr:uid="{00000000-0005-0000-0000-0000B6720000}"/>
    <cellStyle name="Table finish row 2 2" xfId="29360" xr:uid="{00000000-0005-0000-0000-0000B7720000}"/>
    <cellStyle name="Table finish row 2 2 2" xfId="29361" xr:uid="{00000000-0005-0000-0000-0000B8720000}"/>
    <cellStyle name="Table finish row 2 2 2 2" xfId="29362" xr:uid="{00000000-0005-0000-0000-0000B9720000}"/>
    <cellStyle name="Table finish row 2 2 2 3" xfId="29363" xr:uid="{00000000-0005-0000-0000-0000BA720000}"/>
    <cellStyle name="Table finish row 2 2 2 4" xfId="29364" xr:uid="{00000000-0005-0000-0000-0000BB720000}"/>
    <cellStyle name="Table finish row 2 2 3" xfId="29365" xr:uid="{00000000-0005-0000-0000-0000BC720000}"/>
    <cellStyle name="Table finish row 2 2 3 2" xfId="29366" xr:uid="{00000000-0005-0000-0000-0000BD720000}"/>
    <cellStyle name="Table finish row 2 2 3 3" xfId="29367" xr:uid="{00000000-0005-0000-0000-0000BE720000}"/>
    <cellStyle name="Table finish row 2 2 3 4" xfId="29368" xr:uid="{00000000-0005-0000-0000-0000BF720000}"/>
    <cellStyle name="Table finish row 2 2 4" xfId="29369" xr:uid="{00000000-0005-0000-0000-0000C0720000}"/>
    <cellStyle name="Table finish row 2 2 5" xfId="29370" xr:uid="{00000000-0005-0000-0000-0000C1720000}"/>
    <cellStyle name="Table finish row 2 2 6" xfId="29371" xr:uid="{00000000-0005-0000-0000-0000C2720000}"/>
    <cellStyle name="Table finish row 2 3" xfId="29372" xr:uid="{00000000-0005-0000-0000-0000C3720000}"/>
    <cellStyle name="Table finish row 2 3 2" xfId="29373" xr:uid="{00000000-0005-0000-0000-0000C4720000}"/>
    <cellStyle name="Table finish row 2 3 2 2" xfId="29374" xr:uid="{00000000-0005-0000-0000-0000C5720000}"/>
    <cellStyle name="Table finish row 2 3 2 3" xfId="29375" xr:uid="{00000000-0005-0000-0000-0000C6720000}"/>
    <cellStyle name="Table finish row 2 3 2 4" xfId="29376" xr:uid="{00000000-0005-0000-0000-0000C7720000}"/>
    <cellStyle name="Table finish row 2 3 3" xfId="29377" xr:uid="{00000000-0005-0000-0000-0000C8720000}"/>
    <cellStyle name="Table finish row 2 3 3 2" xfId="29378" xr:uid="{00000000-0005-0000-0000-0000C9720000}"/>
    <cellStyle name="Table finish row 2 3 3 3" xfId="29379" xr:uid="{00000000-0005-0000-0000-0000CA720000}"/>
    <cellStyle name="Table finish row 2 3 3 4" xfId="29380" xr:uid="{00000000-0005-0000-0000-0000CB720000}"/>
    <cellStyle name="Table finish row 2 3 4" xfId="29381" xr:uid="{00000000-0005-0000-0000-0000CC720000}"/>
    <cellStyle name="Table finish row 2 3 5" xfId="29382" xr:uid="{00000000-0005-0000-0000-0000CD720000}"/>
    <cellStyle name="Table finish row 2 3 6" xfId="29383" xr:uid="{00000000-0005-0000-0000-0000CE720000}"/>
    <cellStyle name="Table finish row 2 4" xfId="29384" xr:uid="{00000000-0005-0000-0000-0000CF720000}"/>
    <cellStyle name="Table finish row 2 4 2" xfId="29385" xr:uid="{00000000-0005-0000-0000-0000D0720000}"/>
    <cellStyle name="Table finish row 2 4 3" xfId="29386" xr:uid="{00000000-0005-0000-0000-0000D1720000}"/>
    <cellStyle name="Table finish row 2 4 4" xfId="29387" xr:uid="{00000000-0005-0000-0000-0000D2720000}"/>
    <cellStyle name="Table finish row 2 5" xfId="29388" xr:uid="{00000000-0005-0000-0000-0000D3720000}"/>
    <cellStyle name="Table finish row 2 6" xfId="29389" xr:uid="{00000000-0005-0000-0000-0000D4720000}"/>
    <cellStyle name="Table finish row 2 7" xfId="29390" xr:uid="{00000000-0005-0000-0000-0000D5720000}"/>
    <cellStyle name="Table finish row 2 8" xfId="29391" xr:uid="{00000000-0005-0000-0000-0000D6720000}"/>
    <cellStyle name="Table finish row 2 9" xfId="29392" xr:uid="{00000000-0005-0000-0000-0000D7720000}"/>
    <cellStyle name="Table finish row 3" xfId="29393" xr:uid="{00000000-0005-0000-0000-0000D8720000}"/>
    <cellStyle name="Table finish row 3 2" xfId="29394" xr:uid="{00000000-0005-0000-0000-0000D9720000}"/>
    <cellStyle name="Table finish row 3 2 2" xfId="29395" xr:uid="{00000000-0005-0000-0000-0000DA720000}"/>
    <cellStyle name="Table finish row 3 2 3" xfId="29396" xr:uid="{00000000-0005-0000-0000-0000DB720000}"/>
    <cellStyle name="Table finish row 3 2 4" xfId="29397" xr:uid="{00000000-0005-0000-0000-0000DC720000}"/>
    <cellStyle name="Table finish row 3 3" xfId="29398" xr:uid="{00000000-0005-0000-0000-0000DD720000}"/>
    <cellStyle name="Table finish row 3 3 2" xfId="29399" xr:uid="{00000000-0005-0000-0000-0000DE720000}"/>
    <cellStyle name="Table finish row 3 3 3" xfId="29400" xr:uid="{00000000-0005-0000-0000-0000DF720000}"/>
    <cellStyle name="Table finish row 3 3 4" xfId="29401" xr:uid="{00000000-0005-0000-0000-0000E0720000}"/>
    <cellStyle name="Table finish row 3 4" xfId="29402" xr:uid="{00000000-0005-0000-0000-0000E1720000}"/>
    <cellStyle name="Table finish row 3 5" xfId="29403" xr:uid="{00000000-0005-0000-0000-0000E2720000}"/>
    <cellStyle name="Table finish row 3 6" xfId="29404" xr:uid="{00000000-0005-0000-0000-0000E3720000}"/>
    <cellStyle name="Table finish row 4" xfId="29405" xr:uid="{00000000-0005-0000-0000-0000E4720000}"/>
    <cellStyle name="Table finish row 4 2" xfId="29406" xr:uid="{00000000-0005-0000-0000-0000E5720000}"/>
    <cellStyle name="Table finish row 4 2 2" xfId="29407" xr:uid="{00000000-0005-0000-0000-0000E6720000}"/>
    <cellStyle name="Table finish row 4 2 3" xfId="29408" xr:uid="{00000000-0005-0000-0000-0000E7720000}"/>
    <cellStyle name="Table finish row 4 2 4" xfId="29409" xr:uid="{00000000-0005-0000-0000-0000E8720000}"/>
    <cellStyle name="Table finish row 4 3" xfId="29410" xr:uid="{00000000-0005-0000-0000-0000E9720000}"/>
    <cellStyle name="Table finish row 4 3 2" xfId="29411" xr:uid="{00000000-0005-0000-0000-0000EA720000}"/>
    <cellStyle name="Table finish row 4 3 3" xfId="29412" xr:uid="{00000000-0005-0000-0000-0000EB720000}"/>
    <cellStyle name="Table finish row 4 3 4" xfId="29413" xr:uid="{00000000-0005-0000-0000-0000EC720000}"/>
    <cellStyle name="Table finish row 4 4" xfId="29414" xr:uid="{00000000-0005-0000-0000-0000ED720000}"/>
    <cellStyle name="Table finish row 4 5" xfId="29415" xr:uid="{00000000-0005-0000-0000-0000EE720000}"/>
    <cellStyle name="Table finish row 4 6" xfId="29416" xr:uid="{00000000-0005-0000-0000-0000EF720000}"/>
    <cellStyle name="Table finish row 5" xfId="29417" xr:uid="{00000000-0005-0000-0000-0000F0720000}"/>
    <cellStyle name="Table finish row 5 2" xfId="29418" xr:uid="{00000000-0005-0000-0000-0000F1720000}"/>
    <cellStyle name="Table finish row 6" xfId="29419" xr:uid="{00000000-0005-0000-0000-0000F2720000}"/>
    <cellStyle name="Table finish row 6 2" xfId="29420" xr:uid="{00000000-0005-0000-0000-0000F3720000}"/>
    <cellStyle name="Table finish row 7" xfId="29421" xr:uid="{00000000-0005-0000-0000-0000F4720000}"/>
    <cellStyle name="Table finish row 7 2" xfId="29422" xr:uid="{00000000-0005-0000-0000-0000F5720000}"/>
    <cellStyle name="Table finish row 8" xfId="29423" xr:uid="{00000000-0005-0000-0000-0000F6720000}"/>
    <cellStyle name="Table finish row 8 2" xfId="29424" xr:uid="{00000000-0005-0000-0000-0000F7720000}"/>
    <cellStyle name="Table finish row 9" xfId="29425" xr:uid="{00000000-0005-0000-0000-0000F8720000}"/>
    <cellStyle name="Table finish row 9 2" xfId="29426" xr:uid="{00000000-0005-0000-0000-0000F9720000}"/>
    <cellStyle name="Table shading" xfId="29427" xr:uid="{00000000-0005-0000-0000-0000FA720000}"/>
    <cellStyle name="Table unfinish row" xfId="29428" xr:uid="{00000000-0005-0000-0000-0000FB720000}"/>
    <cellStyle name="Table unshading" xfId="29429" xr:uid="{00000000-0005-0000-0000-0000FC720000}"/>
    <cellStyle name="Tausender" xfId="29430" xr:uid="{00000000-0005-0000-0000-0000FD720000}"/>
    <cellStyle name="Tausender 2" xfId="29431" xr:uid="{00000000-0005-0000-0000-0000FE720000}"/>
    <cellStyle name="Tausender 2 2" xfId="29432" xr:uid="{00000000-0005-0000-0000-0000FF720000}"/>
    <cellStyle name="Tausender 3" xfId="29433" xr:uid="{00000000-0005-0000-0000-000000730000}"/>
    <cellStyle name="Tausender 3 2" xfId="29434" xr:uid="{00000000-0005-0000-0000-000001730000}"/>
    <cellStyle name="Test [green]" xfId="29435" xr:uid="{00000000-0005-0000-0000-000002730000}"/>
    <cellStyle name="Text" xfId="29436" xr:uid="{00000000-0005-0000-0000-000003730000}"/>
    <cellStyle name="Text Indent A" xfId="29437" xr:uid="{00000000-0005-0000-0000-000004730000}"/>
    <cellStyle name="Text Indent B" xfId="29438" xr:uid="{00000000-0005-0000-0000-000005730000}"/>
    <cellStyle name="Text Indent B 2" xfId="29439" xr:uid="{00000000-0005-0000-0000-000006730000}"/>
    <cellStyle name="Text Indent B 3" xfId="29440" xr:uid="{00000000-0005-0000-0000-000007730000}"/>
    <cellStyle name="Text Indent C" xfId="29441" xr:uid="{00000000-0005-0000-0000-000008730000}"/>
    <cellStyle name="Text Indent C 2" xfId="29442" xr:uid="{00000000-0005-0000-0000-000009730000}"/>
    <cellStyle name="Text Indent C 3" xfId="29443" xr:uid="{00000000-0005-0000-0000-00000A730000}"/>
    <cellStyle name="Text Level 1" xfId="29444" xr:uid="{00000000-0005-0000-0000-00000B730000}"/>
    <cellStyle name="Text Level 1 4" xfId="29445" xr:uid="{00000000-0005-0000-0000-00000C730000}"/>
    <cellStyle name="Text Level 2" xfId="29446" xr:uid="{00000000-0005-0000-0000-00000D730000}"/>
    <cellStyle name="Text Level 2 5" xfId="29447" xr:uid="{00000000-0005-0000-0000-00000E730000}"/>
    <cellStyle name="Text Level 2_Copy of Myanmar-MS-Addendum-Proposal-Summary-April3-2013" xfId="29448" xr:uid="{00000000-0005-0000-0000-00000F730000}"/>
    <cellStyle name="Text Level 3" xfId="29449" xr:uid="{00000000-0005-0000-0000-000010730000}"/>
    <cellStyle name="Text Level 3 4" xfId="29450" xr:uid="{00000000-0005-0000-0000-000011730000}"/>
    <cellStyle name="Texte explicatif" xfId="29451" xr:uid="{00000000-0005-0000-0000-000012730000}"/>
    <cellStyle name="Texte explicatif 2" xfId="29452" xr:uid="{00000000-0005-0000-0000-000013730000}"/>
    <cellStyle name="Texto de Aviso" xfId="29453" xr:uid="{00000000-0005-0000-0000-000014730000}"/>
    <cellStyle name="Texto Explicativo" xfId="29454" xr:uid="{00000000-0005-0000-0000-000015730000}"/>
    <cellStyle name="TFCF" xfId="29455" xr:uid="{00000000-0005-0000-0000-000016730000}"/>
    <cellStyle name="Times 10" xfId="29456" xr:uid="{00000000-0005-0000-0000-000017730000}"/>
    <cellStyle name="Times 12" xfId="29457" xr:uid="{00000000-0005-0000-0000-000018730000}"/>
    <cellStyle name="Times New Roman" xfId="29458" xr:uid="{00000000-0005-0000-0000-000019730000}"/>
    <cellStyle name="Title 10" xfId="29459" xr:uid="{00000000-0005-0000-0000-00001A730000}"/>
    <cellStyle name="Title 10 2" xfId="29460" xr:uid="{00000000-0005-0000-0000-00001B730000}"/>
    <cellStyle name="Title 11" xfId="29461" xr:uid="{00000000-0005-0000-0000-00001C730000}"/>
    <cellStyle name="Title 11 2" xfId="29462" xr:uid="{00000000-0005-0000-0000-00001D730000}"/>
    <cellStyle name="Title 12" xfId="29463" xr:uid="{00000000-0005-0000-0000-00001E730000}"/>
    <cellStyle name="Title 12 2" xfId="29464" xr:uid="{00000000-0005-0000-0000-00001F730000}"/>
    <cellStyle name="Title 13" xfId="29465" xr:uid="{00000000-0005-0000-0000-000020730000}"/>
    <cellStyle name="Title 13 2" xfId="29466" xr:uid="{00000000-0005-0000-0000-000021730000}"/>
    <cellStyle name="Title 14" xfId="29467" xr:uid="{00000000-0005-0000-0000-000022730000}"/>
    <cellStyle name="Title 14 2" xfId="29468" xr:uid="{00000000-0005-0000-0000-000023730000}"/>
    <cellStyle name="Title 15" xfId="29469" xr:uid="{00000000-0005-0000-0000-000024730000}"/>
    <cellStyle name="Title 15 2" xfId="29470" xr:uid="{00000000-0005-0000-0000-000025730000}"/>
    <cellStyle name="Title 16" xfId="29471" xr:uid="{00000000-0005-0000-0000-000026730000}"/>
    <cellStyle name="Title 16 2" xfId="29472" xr:uid="{00000000-0005-0000-0000-000027730000}"/>
    <cellStyle name="Title 17" xfId="29473" xr:uid="{00000000-0005-0000-0000-000028730000}"/>
    <cellStyle name="Title 17 2" xfId="29474" xr:uid="{00000000-0005-0000-0000-000029730000}"/>
    <cellStyle name="Title 18" xfId="29475" xr:uid="{00000000-0005-0000-0000-00002A730000}"/>
    <cellStyle name="Title 18 2" xfId="29476" xr:uid="{00000000-0005-0000-0000-00002B730000}"/>
    <cellStyle name="Title 19" xfId="29477" xr:uid="{00000000-0005-0000-0000-00002C730000}"/>
    <cellStyle name="Title 19 2" xfId="29478" xr:uid="{00000000-0005-0000-0000-00002D730000}"/>
    <cellStyle name="Title 2" xfId="29479" xr:uid="{00000000-0005-0000-0000-00002E730000}"/>
    <cellStyle name="Title 2 10" xfId="29480" xr:uid="{00000000-0005-0000-0000-00002F730000}"/>
    <cellStyle name="Title 2 10 2" xfId="29481" xr:uid="{00000000-0005-0000-0000-000030730000}"/>
    <cellStyle name="Title 2 11" xfId="29482" xr:uid="{00000000-0005-0000-0000-000031730000}"/>
    <cellStyle name="Title 2 11 2" xfId="29483" xr:uid="{00000000-0005-0000-0000-000032730000}"/>
    <cellStyle name="Title 2 12" xfId="29484" xr:uid="{00000000-0005-0000-0000-000033730000}"/>
    <cellStyle name="Title 2 12 2" xfId="29485" xr:uid="{00000000-0005-0000-0000-000034730000}"/>
    <cellStyle name="Title 2 13" xfId="29486" xr:uid="{00000000-0005-0000-0000-000035730000}"/>
    <cellStyle name="Title 2 13 2" xfId="29487" xr:uid="{00000000-0005-0000-0000-000036730000}"/>
    <cellStyle name="Title 2 14" xfId="29488" xr:uid="{00000000-0005-0000-0000-000037730000}"/>
    <cellStyle name="Title 2 14 2" xfId="29489" xr:uid="{00000000-0005-0000-0000-000038730000}"/>
    <cellStyle name="Title 2 15" xfId="29490" xr:uid="{00000000-0005-0000-0000-000039730000}"/>
    <cellStyle name="Title 2 15 2" xfId="29491" xr:uid="{00000000-0005-0000-0000-00003A730000}"/>
    <cellStyle name="Title 2 16" xfId="29492" xr:uid="{00000000-0005-0000-0000-00003B730000}"/>
    <cellStyle name="Title 2 16 2" xfId="29493" xr:uid="{00000000-0005-0000-0000-00003C730000}"/>
    <cellStyle name="Title 2 17" xfId="29494" xr:uid="{00000000-0005-0000-0000-00003D730000}"/>
    <cellStyle name="Title 2 17 2" xfId="29495" xr:uid="{00000000-0005-0000-0000-00003E730000}"/>
    <cellStyle name="Title 2 18" xfId="29496" xr:uid="{00000000-0005-0000-0000-00003F730000}"/>
    <cellStyle name="Title 2 18 2" xfId="29497" xr:uid="{00000000-0005-0000-0000-000040730000}"/>
    <cellStyle name="Title 2 19" xfId="29498" xr:uid="{00000000-0005-0000-0000-000041730000}"/>
    <cellStyle name="Title 2 19 2" xfId="29499" xr:uid="{00000000-0005-0000-0000-000042730000}"/>
    <cellStyle name="Title 2 2" xfId="29500" xr:uid="{00000000-0005-0000-0000-000043730000}"/>
    <cellStyle name="Title 2 2 2" xfId="29501" xr:uid="{00000000-0005-0000-0000-000044730000}"/>
    <cellStyle name="Title 2 20" xfId="29502" xr:uid="{00000000-0005-0000-0000-000045730000}"/>
    <cellStyle name="Title 2 3" xfId="29503" xr:uid="{00000000-0005-0000-0000-000046730000}"/>
    <cellStyle name="Title 2 3 2" xfId="29504" xr:uid="{00000000-0005-0000-0000-000047730000}"/>
    <cellStyle name="Title 2 4" xfId="29505" xr:uid="{00000000-0005-0000-0000-000048730000}"/>
    <cellStyle name="Title 2 4 2" xfId="29506" xr:uid="{00000000-0005-0000-0000-000049730000}"/>
    <cellStyle name="Title 2 5" xfId="29507" xr:uid="{00000000-0005-0000-0000-00004A730000}"/>
    <cellStyle name="Title 2 5 2" xfId="29508" xr:uid="{00000000-0005-0000-0000-00004B730000}"/>
    <cellStyle name="Title 2 6" xfId="29509" xr:uid="{00000000-0005-0000-0000-00004C730000}"/>
    <cellStyle name="Title 2 6 2" xfId="29510" xr:uid="{00000000-0005-0000-0000-00004D730000}"/>
    <cellStyle name="Title 2 7" xfId="29511" xr:uid="{00000000-0005-0000-0000-00004E730000}"/>
    <cellStyle name="Title 2 7 2" xfId="29512" xr:uid="{00000000-0005-0000-0000-00004F730000}"/>
    <cellStyle name="Title 2 8" xfId="29513" xr:uid="{00000000-0005-0000-0000-000050730000}"/>
    <cellStyle name="Title 2 8 2" xfId="29514" xr:uid="{00000000-0005-0000-0000-000051730000}"/>
    <cellStyle name="Title 2 9" xfId="29515" xr:uid="{00000000-0005-0000-0000-000052730000}"/>
    <cellStyle name="Title 2 9 2" xfId="29516" xr:uid="{00000000-0005-0000-0000-000053730000}"/>
    <cellStyle name="Title 20" xfId="29517" xr:uid="{00000000-0005-0000-0000-000054730000}"/>
    <cellStyle name="Title 20 2" xfId="29518" xr:uid="{00000000-0005-0000-0000-000055730000}"/>
    <cellStyle name="Title 21" xfId="29519" xr:uid="{00000000-0005-0000-0000-000056730000}"/>
    <cellStyle name="Title 21 2" xfId="29520" xr:uid="{00000000-0005-0000-0000-000057730000}"/>
    <cellStyle name="Title 22" xfId="29521" xr:uid="{00000000-0005-0000-0000-000058730000}"/>
    <cellStyle name="Title 22 2" xfId="29522" xr:uid="{00000000-0005-0000-0000-000059730000}"/>
    <cellStyle name="Title 23" xfId="29523" xr:uid="{00000000-0005-0000-0000-00005A730000}"/>
    <cellStyle name="Title 23 2" xfId="29524" xr:uid="{00000000-0005-0000-0000-00005B730000}"/>
    <cellStyle name="Title 24" xfId="29525" xr:uid="{00000000-0005-0000-0000-00005C730000}"/>
    <cellStyle name="Title 24 2" xfId="29526" xr:uid="{00000000-0005-0000-0000-00005D730000}"/>
    <cellStyle name="Title 25" xfId="29527" xr:uid="{00000000-0005-0000-0000-00005E730000}"/>
    <cellStyle name="Title 25 2" xfId="29528" xr:uid="{00000000-0005-0000-0000-00005F730000}"/>
    <cellStyle name="Title 26" xfId="29529" xr:uid="{00000000-0005-0000-0000-000060730000}"/>
    <cellStyle name="Title 26 2" xfId="29530" xr:uid="{00000000-0005-0000-0000-000061730000}"/>
    <cellStyle name="Title 27" xfId="29531" xr:uid="{00000000-0005-0000-0000-000062730000}"/>
    <cellStyle name="Title 27 2" xfId="29532" xr:uid="{00000000-0005-0000-0000-000063730000}"/>
    <cellStyle name="Title 3" xfId="29533" xr:uid="{00000000-0005-0000-0000-000064730000}"/>
    <cellStyle name="Title 3 2" xfId="29534" xr:uid="{00000000-0005-0000-0000-000065730000}"/>
    <cellStyle name="Title 3 2 2" xfId="29535" xr:uid="{00000000-0005-0000-0000-000066730000}"/>
    <cellStyle name="Title 3 3" xfId="29536" xr:uid="{00000000-0005-0000-0000-000067730000}"/>
    <cellStyle name="Title 4" xfId="29537" xr:uid="{00000000-0005-0000-0000-000068730000}"/>
    <cellStyle name="Title 4 2" xfId="29538" xr:uid="{00000000-0005-0000-0000-000069730000}"/>
    <cellStyle name="Title 4 2 2" xfId="29539" xr:uid="{00000000-0005-0000-0000-00006A730000}"/>
    <cellStyle name="Title 4 3" xfId="29540" xr:uid="{00000000-0005-0000-0000-00006B730000}"/>
    <cellStyle name="Title 5" xfId="29541" xr:uid="{00000000-0005-0000-0000-00006C730000}"/>
    <cellStyle name="Title 5 2" xfId="29542" xr:uid="{00000000-0005-0000-0000-00006D730000}"/>
    <cellStyle name="Title 6" xfId="29543" xr:uid="{00000000-0005-0000-0000-00006E730000}"/>
    <cellStyle name="Title 6 2" xfId="29544" xr:uid="{00000000-0005-0000-0000-00006F730000}"/>
    <cellStyle name="Title 7" xfId="29545" xr:uid="{00000000-0005-0000-0000-000070730000}"/>
    <cellStyle name="Title 7 2" xfId="29546" xr:uid="{00000000-0005-0000-0000-000071730000}"/>
    <cellStyle name="Title 8" xfId="29547" xr:uid="{00000000-0005-0000-0000-000072730000}"/>
    <cellStyle name="Title 8 2" xfId="29548" xr:uid="{00000000-0005-0000-0000-000073730000}"/>
    <cellStyle name="Title 9" xfId="29549" xr:uid="{00000000-0005-0000-0000-000074730000}"/>
    <cellStyle name="Title 9 2" xfId="29550" xr:uid="{00000000-0005-0000-0000-000075730000}"/>
    <cellStyle name="Titre" xfId="29551" xr:uid="{00000000-0005-0000-0000-000076730000}"/>
    <cellStyle name="Titre 2" xfId="29554" xr:uid="{00000000-0005-0000-0000-000077730000}"/>
    <cellStyle name="Titre 1" xfId="29552" xr:uid="{00000000-0005-0000-0000-000078730000}"/>
    <cellStyle name="Titre 1 2" xfId="29553" xr:uid="{00000000-0005-0000-0000-000079730000}"/>
    <cellStyle name="Titre 2 2" xfId="29555" xr:uid="{00000000-0005-0000-0000-00007A730000}"/>
    <cellStyle name="Titre 3" xfId="29556" xr:uid="{00000000-0005-0000-0000-00007B730000}"/>
    <cellStyle name="Titre 3 2" xfId="29557" xr:uid="{00000000-0005-0000-0000-00007C730000}"/>
    <cellStyle name="Titre 4" xfId="29558" xr:uid="{00000000-0005-0000-0000-00007D730000}"/>
    <cellStyle name="Titre 4 2" xfId="29559" xr:uid="{00000000-0005-0000-0000-00007E730000}"/>
    <cellStyle name="Titre1" xfId="29560" xr:uid="{00000000-0005-0000-0000-00007F730000}"/>
    <cellStyle name="Titre1 2" xfId="29561" xr:uid="{00000000-0005-0000-0000-000080730000}"/>
    <cellStyle name="Titre1 2 2" xfId="29562" xr:uid="{00000000-0005-0000-0000-000081730000}"/>
    <cellStyle name="Titre1 2 2 2" xfId="29563" xr:uid="{00000000-0005-0000-0000-000082730000}"/>
    <cellStyle name="Titre1 2 2 2 2" xfId="29564" xr:uid="{00000000-0005-0000-0000-000083730000}"/>
    <cellStyle name="Titre1 2 2 2 3" xfId="29565" xr:uid="{00000000-0005-0000-0000-000084730000}"/>
    <cellStyle name="Titre1 2 2 2 4" xfId="29566" xr:uid="{00000000-0005-0000-0000-000085730000}"/>
    <cellStyle name="Titre1 2 2 3" xfId="29567" xr:uid="{00000000-0005-0000-0000-000086730000}"/>
    <cellStyle name="Titre1 2 2 3 2" xfId="29568" xr:uid="{00000000-0005-0000-0000-000087730000}"/>
    <cellStyle name="Titre1 2 2 3 3" xfId="29569" xr:uid="{00000000-0005-0000-0000-000088730000}"/>
    <cellStyle name="Titre1 2 2 3 4" xfId="29570" xr:uid="{00000000-0005-0000-0000-000089730000}"/>
    <cellStyle name="Titre1 2 2 4" xfId="29571" xr:uid="{00000000-0005-0000-0000-00008A730000}"/>
    <cellStyle name="Titre1 2 2 5" xfId="29572" xr:uid="{00000000-0005-0000-0000-00008B730000}"/>
    <cellStyle name="Titre1 2 2 6" xfId="29573" xr:uid="{00000000-0005-0000-0000-00008C730000}"/>
    <cellStyle name="Titre1 2 3" xfId="29574" xr:uid="{00000000-0005-0000-0000-00008D730000}"/>
    <cellStyle name="Titre1 2 3 2" xfId="29575" xr:uid="{00000000-0005-0000-0000-00008E730000}"/>
    <cellStyle name="Titre1 2 3 2 2" xfId="29576" xr:uid="{00000000-0005-0000-0000-00008F730000}"/>
    <cellStyle name="Titre1 2 3 2 3" xfId="29577" xr:uid="{00000000-0005-0000-0000-000090730000}"/>
    <cellStyle name="Titre1 2 3 2 4" xfId="29578" xr:uid="{00000000-0005-0000-0000-000091730000}"/>
    <cellStyle name="Titre1 2 3 3" xfId="29579" xr:uid="{00000000-0005-0000-0000-000092730000}"/>
    <cellStyle name="Titre1 2 3 3 2" xfId="29580" xr:uid="{00000000-0005-0000-0000-000093730000}"/>
    <cellStyle name="Titre1 2 3 3 3" xfId="29581" xr:uid="{00000000-0005-0000-0000-000094730000}"/>
    <cellStyle name="Titre1 2 3 3 4" xfId="29582" xr:uid="{00000000-0005-0000-0000-000095730000}"/>
    <cellStyle name="Titre1 2 3 4" xfId="29583" xr:uid="{00000000-0005-0000-0000-000096730000}"/>
    <cellStyle name="Titre1 2 3 5" xfId="29584" xr:uid="{00000000-0005-0000-0000-000097730000}"/>
    <cellStyle name="Titre1 2 3 6" xfId="29585" xr:uid="{00000000-0005-0000-0000-000098730000}"/>
    <cellStyle name="Titre1 2 4" xfId="29586" xr:uid="{00000000-0005-0000-0000-000099730000}"/>
    <cellStyle name="Titre1 2 4 2" xfId="29587" xr:uid="{00000000-0005-0000-0000-00009A730000}"/>
    <cellStyle name="Titre1 2 4 3" xfId="29588" xr:uid="{00000000-0005-0000-0000-00009B730000}"/>
    <cellStyle name="Titre1 2 4 4" xfId="29589" xr:uid="{00000000-0005-0000-0000-00009C730000}"/>
    <cellStyle name="Titre1 2 5" xfId="29590" xr:uid="{00000000-0005-0000-0000-00009D730000}"/>
    <cellStyle name="Titre1 2 5 2" xfId="29591" xr:uid="{00000000-0005-0000-0000-00009E730000}"/>
    <cellStyle name="Titre1 2 5 3" xfId="29592" xr:uid="{00000000-0005-0000-0000-00009F730000}"/>
    <cellStyle name="Titre1 2 5 4" xfId="29593" xr:uid="{00000000-0005-0000-0000-0000A0730000}"/>
    <cellStyle name="Titre1 2 6" xfId="29594" xr:uid="{00000000-0005-0000-0000-0000A1730000}"/>
    <cellStyle name="Titre1 2 7" xfId="29595" xr:uid="{00000000-0005-0000-0000-0000A2730000}"/>
    <cellStyle name="Titre1 2 8" xfId="29596" xr:uid="{00000000-0005-0000-0000-0000A3730000}"/>
    <cellStyle name="Titre1 3" xfId="29597" xr:uid="{00000000-0005-0000-0000-0000A4730000}"/>
    <cellStyle name="Titre1 3 2" xfId="29598" xr:uid="{00000000-0005-0000-0000-0000A5730000}"/>
    <cellStyle name="Titre1 3 2 2" xfId="29599" xr:uid="{00000000-0005-0000-0000-0000A6730000}"/>
    <cellStyle name="Titre1 3 2 3" xfId="29600" xr:uid="{00000000-0005-0000-0000-0000A7730000}"/>
    <cellStyle name="Titre1 3 2 4" xfId="29601" xr:uid="{00000000-0005-0000-0000-0000A8730000}"/>
    <cellStyle name="Titre1 3 3" xfId="29602" xr:uid="{00000000-0005-0000-0000-0000A9730000}"/>
    <cellStyle name="Titre1 3 3 2" xfId="29603" xr:uid="{00000000-0005-0000-0000-0000AA730000}"/>
    <cellStyle name="Titre1 3 3 3" xfId="29604" xr:uid="{00000000-0005-0000-0000-0000AB730000}"/>
    <cellStyle name="Titre1 3 3 4" xfId="29605" xr:uid="{00000000-0005-0000-0000-0000AC730000}"/>
    <cellStyle name="Titre1 3 4" xfId="29606" xr:uid="{00000000-0005-0000-0000-0000AD730000}"/>
    <cellStyle name="Titre1 3 5" xfId="29607" xr:uid="{00000000-0005-0000-0000-0000AE730000}"/>
    <cellStyle name="Titre1 3 6" xfId="29608" xr:uid="{00000000-0005-0000-0000-0000AF730000}"/>
    <cellStyle name="Titre1 4" xfId="29609" xr:uid="{00000000-0005-0000-0000-0000B0730000}"/>
    <cellStyle name="Titre1 4 2" xfId="29610" xr:uid="{00000000-0005-0000-0000-0000B1730000}"/>
    <cellStyle name="Titre1 4 3" xfId="29611" xr:uid="{00000000-0005-0000-0000-0000B2730000}"/>
    <cellStyle name="Titre1 4 4" xfId="29612" xr:uid="{00000000-0005-0000-0000-0000B3730000}"/>
    <cellStyle name="Titre1 5" xfId="29613" xr:uid="{00000000-0005-0000-0000-0000B4730000}"/>
    <cellStyle name="Titre1 5 2" xfId="29614" xr:uid="{00000000-0005-0000-0000-0000B5730000}"/>
    <cellStyle name="Titre1 5 3" xfId="29615" xr:uid="{00000000-0005-0000-0000-0000B6730000}"/>
    <cellStyle name="Titre1 5 4" xfId="29616" xr:uid="{00000000-0005-0000-0000-0000B7730000}"/>
    <cellStyle name="Titre1 6" xfId="29617" xr:uid="{00000000-0005-0000-0000-0000B8730000}"/>
    <cellStyle name="Titre1 7" xfId="29618" xr:uid="{00000000-0005-0000-0000-0000B9730000}"/>
    <cellStyle name="Titre1 8" xfId="29619" xr:uid="{00000000-0005-0000-0000-0000BA730000}"/>
    <cellStyle name="Titre2" xfId="29620" xr:uid="{00000000-0005-0000-0000-0000BB730000}"/>
    <cellStyle name="Titre2 2" xfId="29621" xr:uid="{00000000-0005-0000-0000-0000BC730000}"/>
    <cellStyle name="Titre2 2 2" xfId="29622" xr:uid="{00000000-0005-0000-0000-0000BD730000}"/>
    <cellStyle name="Titre2 2 3" xfId="29623" xr:uid="{00000000-0005-0000-0000-0000BE730000}"/>
    <cellStyle name="Titre2 3" xfId="29624" xr:uid="{00000000-0005-0000-0000-0000BF730000}"/>
    <cellStyle name="Título" xfId="29625" xr:uid="{00000000-0005-0000-0000-0000C0730000}"/>
    <cellStyle name="Título 1" xfId="29626" xr:uid="{00000000-0005-0000-0000-0000C1730000}"/>
    <cellStyle name="Título 2" xfId="29627" xr:uid="{00000000-0005-0000-0000-0000C2730000}"/>
    <cellStyle name="Título 3" xfId="29628" xr:uid="{00000000-0005-0000-0000-0000C3730000}"/>
    <cellStyle name="Título 4" xfId="29629" xr:uid="{00000000-0005-0000-0000-0000C4730000}"/>
    <cellStyle name="Tms Rmn 10" xfId="29630" xr:uid="{00000000-0005-0000-0000-0000C5730000}"/>
    <cellStyle name="Total 10" xfId="29631" xr:uid="{00000000-0005-0000-0000-0000C6730000}"/>
    <cellStyle name="Total 10 2" xfId="29632" xr:uid="{00000000-0005-0000-0000-0000C7730000}"/>
    <cellStyle name="Total 11" xfId="29633" xr:uid="{00000000-0005-0000-0000-0000C8730000}"/>
    <cellStyle name="Total 11 2" xfId="29634" xr:uid="{00000000-0005-0000-0000-0000C9730000}"/>
    <cellStyle name="Total 12" xfId="29635" xr:uid="{00000000-0005-0000-0000-0000CA730000}"/>
    <cellStyle name="Total 12 2" xfId="29636" xr:uid="{00000000-0005-0000-0000-0000CB730000}"/>
    <cellStyle name="Total 13" xfId="29637" xr:uid="{00000000-0005-0000-0000-0000CC730000}"/>
    <cellStyle name="Total 13 2" xfId="29638" xr:uid="{00000000-0005-0000-0000-0000CD730000}"/>
    <cellStyle name="Total 14" xfId="29639" xr:uid="{00000000-0005-0000-0000-0000CE730000}"/>
    <cellStyle name="Total 14 2" xfId="29640" xr:uid="{00000000-0005-0000-0000-0000CF730000}"/>
    <cellStyle name="Total 15" xfId="29641" xr:uid="{00000000-0005-0000-0000-0000D0730000}"/>
    <cellStyle name="Total 15 2" xfId="29642" xr:uid="{00000000-0005-0000-0000-0000D1730000}"/>
    <cellStyle name="Total 16" xfId="29643" xr:uid="{00000000-0005-0000-0000-0000D2730000}"/>
    <cellStyle name="Total 16 2" xfId="29644" xr:uid="{00000000-0005-0000-0000-0000D3730000}"/>
    <cellStyle name="Total 17" xfId="29645" xr:uid="{00000000-0005-0000-0000-0000D4730000}"/>
    <cellStyle name="Total 17 2" xfId="29646" xr:uid="{00000000-0005-0000-0000-0000D5730000}"/>
    <cellStyle name="Total 18" xfId="29647" xr:uid="{00000000-0005-0000-0000-0000D6730000}"/>
    <cellStyle name="Total 18 2" xfId="29648" xr:uid="{00000000-0005-0000-0000-0000D7730000}"/>
    <cellStyle name="Total 19" xfId="29649" xr:uid="{00000000-0005-0000-0000-0000D8730000}"/>
    <cellStyle name="Total 19 2" xfId="29650" xr:uid="{00000000-0005-0000-0000-0000D9730000}"/>
    <cellStyle name="Total 2" xfId="29651" xr:uid="{00000000-0005-0000-0000-0000DA730000}"/>
    <cellStyle name="Total 2 10" xfId="29652" xr:uid="{00000000-0005-0000-0000-0000DB730000}"/>
    <cellStyle name="Total 2 10 2" xfId="29653" xr:uid="{00000000-0005-0000-0000-0000DC730000}"/>
    <cellStyle name="Total 2 11" xfId="29654" xr:uid="{00000000-0005-0000-0000-0000DD730000}"/>
    <cellStyle name="Total 2 11 2" xfId="29655" xr:uid="{00000000-0005-0000-0000-0000DE730000}"/>
    <cellStyle name="Total 2 12" xfId="29656" xr:uid="{00000000-0005-0000-0000-0000DF730000}"/>
    <cellStyle name="Total 2 12 2" xfId="29657" xr:uid="{00000000-0005-0000-0000-0000E0730000}"/>
    <cellStyle name="Total 2 13" xfId="29658" xr:uid="{00000000-0005-0000-0000-0000E1730000}"/>
    <cellStyle name="Total 2 13 2" xfId="29659" xr:uid="{00000000-0005-0000-0000-0000E2730000}"/>
    <cellStyle name="Total 2 14" xfId="29660" xr:uid="{00000000-0005-0000-0000-0000E3730000}"/>
    <cellStyle name="Total 2 14 2" xfId="29661" xr:uid="{00000000-0005-0000-0000-0000E4730000}"/>
    <cellStyle name="Total 2 15" xfId="29662" xr:uid="{00000000-0005-0000-0000-0000E5730000}"/>
    <cellStyle name="Total 2 15 2" xfId="29663" xr:uid="{00000000-0005-0000-0000-0000E6730000}"/>
    <cellStyle name="Total 2 16" xfId="29664" xr:uid="{00000000-0005-0000-0000-0000E7730000}"/>
    <cellStyle name="Total 2 16 2" xfId="29665" xr:uid="{00000000-0005-0000-0000-0000E8730000}"/>
    <cellStyle name="Total 2 17" xfId="29666" xr:uid="{00000000-0005-0000-0000-0000E9730000}"/>
    <cellStyle name="Total 2 17 2" xfId="29667" xr:uid="{00000000-0005-0000-0000-0000EA730000}"/>
    <cellStyle name="Total 2 18" xfId="29668" xr:uid="{00000000-0005-0000-0000-0000EB730000}"/>
    <cellStyle name="Total 2 18 2" xfId="29669" xr:uid="{00000000-0005-0000-0000-0000EC730000}"/>
    <cellStyle name="Total 2 19" xfId="29670" xr:uid="{00000000-0005-0000-0000-0000ED730000}"/>
    <cellStyle name="Total 2 19 2" xfId="29671" xr:uid="{00000000-0005-0000-0000-0000EE730000}"/>
    <cellStyle name="Total 2 2" xfId="29672" xr:uid="{00000000-0005-0000-0000-0000EF730000}"/>
    <cellStyle name="Total 2 2 10" xfId="29673" xr:uid="{00000000-0005-0000-0000-0000F0730000}"/>
    <cellStyle name="Total 2 2 11" xfId="29674" xr:uid="{00000000-0005-0000-0000-0000F1730000}"/>
    <cellStyle name="Total 2 2 12" xfId="29675" xr:uid="{00000000-0005-0000-0000-0000F2730000}"/>
    <cellStyle name="Total 2 2 13" xfId="29676" xr:uid="{00000000-0005-0000-0000-0000F3730000}"/>
    <cellStyle name="Total 2 2 14" xfId="29677" xr:uid="{00000000-0005-0000-0000-0000F4730000}"/>
    <cellStyle name="Total 2 2 15" xfId="29678" xr:uid="{00000000-0005-0000-0000-0000F5730000}"/>
    <cellStyle name="Total 2 2 16" xfId="29679" xr:uid="{00000000-0005-0000-0000-0000F6730000}"/>
    <cellStyle name="Total 2 2 17" xfId="29680" xr:uid="{00000000-0005-0000-0000-0000F7730000}"/>
    <cellStyle name="Total 2 2 18" xfId="29681" xr:uid="{00000000-0005-0000-0000-0000F8730000}"/>
    <cellStyle name="Total 2 2 19" xfId="29682" xr:uid="{00000000-0005-0000-0000-0000F9730000}"/>
    <cellStyle name="Total 2 2 2" xfId="29683" xr:uid="{00000000-0005-0000-0000-0000FA730000}"/>
    <cellStyle name="Total 2 2 2 2" xfId="29684" xr:uid="{00000000-0005-0000-0000-0000FB730000}"/>
    <cellStyle name="Total 2 2 20" xfId="29685" xr:uid="{00000000-0005-0000-0000-0000FC730000}"/>
    <cellStyle name="Total 2 2 21" xfId="29686" xr:uid="{00000000-0005-0000-0000-0000FD730000}"/>
    <cellStyle name="Total 2 2 22" xfId="29687" xr:uid="{00000000-0005-0000-0000-0000FE730000}"/>
    <cellStyle name="Total 2 2 3" xfId="29688" xr:uid="{00000000-0005-0000-0000-0000FF730000}"/>
    <cellStyle name="Total 2 2 3 10" xfId="29689" xr:uid="{00000000-0005-0000-0000-000000740000}"/>
    <cellStyle name="Total 2 2 3 11" xfId="29690" xr:uid="{00000000-0005-0000-0000-000001740000}"/>
    <cellStyle name="Total 2 2 3 12" xfId="29691" xr:uid="{00000000-0005-0000-0000-000002740000}"/>
    <cellStyle name="Total 2 2 3 13" xfId="29692" xr:uid="{00000000-0005-0000-0000-000003740000}"/>
    <cellStyle name="Total 2 2 3 14" xfId="29693" xr:uid="{00000000-0005-0000-0000-000004740000}"/>
    <cellStyle name="Total 2 2 3 15" xfId="29694" xr:uid="{00000000-0005-0000-0000-000005740000}"/>
    <cellStyle name="Total 2 2 3 16" xfId="29695" xr:uid="{00000000-0005-0000-0000-000006740000}"/>
    <cellStyle name="Total 2 2 3 17" xfId="29696" xr:uid="{00000000-0005-0000-0000-000007740000}"/>
    <cellStyle name="Total 2 2 3 18" xfId="29697" xr:uid="{00000000-0005-0000-0000-000008740000}"/>
    <cellStyle name="Total 2 2 3 19" xfId="29698" xr:uid="{00000000-0005-0000-0000-000009740000}"/>
    <cellStyle name="Total 2 2 3 2" xfId="29699" xr:uid="{00000000-0005-0000-0000-00000A740000}"/>
    <cellStyle name="Total 2 2 3 2 10" xfId="29700" xr:uid="{00000000-0005-0000-0000-00000B740000}"/>
    <cellStyle name="Total 2 2 3 2 11" xfId="29701" xr:uid="{00000000-0005-0000-0000-00000C740000}"/>
    <cellStyle name="Total 2 2 3 2 12" xfId="29702" xr:uid="{00000000-0005-0000-0000-00000D740000}"/>
    <cellStyle name="Total 2 2 3 2 13" xfId="29703" xr:uid="{00000000-0005-0000-0000-00000E740000}"/>
    <cellStyle name="Total 2 2 3 2 14" xfId="29704" xr:uid="{00000000-0005-0000-0000-00000F740000}"/>
    <cellStyle name="Total 2 2 3 2 15" xfId="29705" xr:uid="{00000000-0005-0000-0000-000010740000}"/>
    <cellStyle name="Total 2 2 3 2 16" xfId="29706" xr:uid="{00000000-0005-0000-0000-000011740000}"/>
    <cellStyle name="Total 2 2 3 2 17" xfId="29707" xr:uid="{00000000-0005-0000-0000-000012740000}"/>
    <cellStyle name="Total 2 2 3 2 18" xfId="29708" xr:uid="{00000000-0005-0000-0000-000013740000}"/>
    <cellStyle name="Total 2 2 3 2 19" xfId="29709" xr:uid="{00000000-0005-0000-0000-000014740000}"/>
    <cellStyle name="Total 2 2 3 2 2" xfId="29710" xr:uid="{00000000-0005-0000-0000-000015740000}"/>
    <cellStyle name="Total 2 2 3 2 20" xfId="29711" xr:uid="{00000000-0005-0000-0000-000016740000}"/>
    <cellStyle name="Total 2 2 3 2 21" xfId="29712" xr:uid="{00000000-0005-0000-0000-000017740000}"/>
    <cellStyle name="Total 2 2 3 2 22" xfId="29713" xr:uid="{00000000-0005-0000-0000-000018740000}"/>
    <cellStyle name="Total 2 2 3 2 23" xfId="29714" xr:uid="{00000000-0005-0000-0000-000019740000}"/>
    <cellStyle name="Total 2 2 3 2 24" xfId="29715" xr:uid="{00000000-0005-0000-0000-00001A740000}"/>
    <cellStyle name="Total 2 2 3 2 25" xfId="29716" xr:uid="{00000000-0005-0000-0000-00001B740000}"/>
    <cellStyle name="Total 2 2 3 2 26" xfId="29717" xr:uid="{00000000-0005-0000-0000-00001C740000}"/>
    <cellStyle name="Total 2 2 3 2 27" xfId="29718" xr:uid="{00000000-0005-0000-0000-00001D740000}"/>
    <cellStyle name="Total 2 2 3 2 28" xfId="29719" xr:uid="{00000000-0005-0000-0000-00001E740000}"/>
    <cellStyle name="Total 2 2 3 2 29" xfId="29720" xr:uid="{00000000-0005-0000-0000-00001F740000}"/>
    <cellStyle name="Total 2 2 3 2 3" xfId="29721" xr:uid="{00000000-0005-0000-0000-000020740000}"/>
    <cellStyle name="Total 2 2 3 2 30" xfId="29722" xr:uid="{00000000-0005-0000-0000-000021740000}"/>
    <cellStyle name="Total 2 2 3 2 31" xfId="29723" xr:uid="{00000000-0005-0000-0000-000022740000}"/>
    <cellStyle name="Total 2 2 3 2 32" xfId="29724" xr:uid="{00000000-0005-0000-0000-000023740000}"/>
    <cellStyle name="Total 2 2 3 2 33" xfId="29725" xr:uid="{00000000-0005-0000-0000-000024740000}"/>
    <cellStyle name="Total 2 2 3 2 34" xfId="29726" xr:uid="{00000000-0005-0000-0000-000025740000}"/>
    <cellStyle name="Total 2 2 3 2 4" xfId="29727" xr:uid="{00000000-0005-0000-0000-000026740000}"/>
    <cellStyle name="Total 2 2 3 2 5" xfId="29728" xr:uid="{00000000-0005-0000-0000-000027740000}"/>
    <cellStyle name="Total 2 2 3 2 6" xfId="29729" xr:uid="{00000000-0005-0000-0000-000028740000}"/>
    <cellStyle name="Total 2 2 3 2 7" xfId="29730" xr:uid="{00000000-0005-0000-0000-000029740000}"/>
    <cellStyle name="Total 2 2 3 2 8" xfId="29731" xr:uid="{00000000-0005-0000-0000-00002A740000}"/>
    <cellStyle name="Total 2 2 3 2 9" xfId="29732" xr:uid="{00000000-0005-0000-0000-00002B740000}"/>
    <cellStyle name="Total 2 2 3 20" xfId="29733" xr:uid="{00000000-0005-0000-0000-00002C740000}"/>
    <cellStyle name="Total 2 2 3 3" xfId="29734" xr:uid="{00000000-0005-0000-0000-00002D740000}"/>
    <cellStyle name="Total 2 2 3 3 2" xfId="29735" xr:uid="{00000000-0005-0000-0000-00002E740000}"/>
    <cellStyle name="Total 2 2 3 3 3" xfId="29736" xr:uid="{00000000-0005-0000-0000-00002F740000}"/>
    <cellStyle name="Total 2 2 3 4" xfId="29737" xr:uid="{00000000-0005-0000-0000-000030740000}"/>
    <cellStyle name="Total 2 2 3 5" xfId="29738" xr:uid="{00000000-0005-0000-0000-000031740000}"/>
    <cellStyle name="Total 2 2 3 6" xfId="29739" xr:uid="{00000000-0005-0000-0000-000032740000}"/>
    <cellStyle name="Total 2 2 3 7" xfId="29740" xr:uid="{00000000-0005-0000-0000-000033740000}"/>
    <cellStyle name="Total 2 2 3 8" xfId="29741" xr:uid="{00000000-0005-0000-0000-000034740000}"/>
    <cellStyle name="Total 2 2 3 9" xfId="29742" xr:uid="{00000000-0005-0000-0000-000035740000}"/>
    <cellStyle name="Total 2 2 4" xfId="29743" xr:uid="{00000000-0005-0000-0000-000036740000}"/>
    <cellStyle name="Total 2 2 4 10" xfId="29744" xr:uid="{00000000-0005-0000-0000-000037740000}"/>
    <cellStyle name="Total 2 2 4 11" xfId="29745" xr:uid="{00000000-0005-0000-0000-000038740000}"/>
    <cellStyle name="Total 2 2 4 12" xfId="29746" xr:uid="{00000000-0005-0000-0000-000039740000}"/>
    <cellStyle name="Total 2 2 4 13" xfId="29747" xr:uid="{00000000-0005-0000-0000-00003A740000}"/>
    <cellStyle name="Total 2 2 4 14" xfId="29748" xr:uid="{00000000-0005-0000-0000-00003B740000}"/>
    <cellStyle name="Total 2 2 4 15" xfId="29749" xr:uid="{00000000-0005-0000-0000-00003C740000}"/>
    <cellStyle name="Total 2 2 4 16" xfId="29750" xr:uid="{00000000-0005-0000-0000-00003D740000}"/>
    <cellStyle name="Total 2 2 4 17" xfId="29751" xr:uid="{00000000-0005-0000-0000-00003E740000}"/>
    <cellStyle name="Total 2 2 4 18" xfId="29752" xr:uid="{00000000-0005-0000-0000-00003F740000}"/>
    <cellStyle name="Total 2 2 4 19" xfId="29753" xr:uid="{00000000-0005-0000-0000-000040740000}"/>
    <cellStyle name="Total 2 2 4 2" xfId="29754" xr:uid="{00000000-0005-0000-0000-000041740000}"/>
    <cellStyle name="Total 2 2 4 20" xfId="29755" xr:uid="{00000000-0005-0000-0000-000042740000}"/>
    <cellStyle name="Total 2 2 4 21" xfId="29756" xr:uid="{00000000-0005-0000-0000-000043740000}"/>
    <cellStyle name="Total 2 2 4 22" xfId="29757" xr:uid="{00000000-0005-0000-0000-000044740000}"/>
    <cellStyle name="Total 2 2 4 23" xfId="29758" xr:uid="{00000000-0005-0000-0000-000045740000}"/>
    <cellStyle name="Total 2 2 4 24" xfId="29759" xr:uid="{00000000-0005-0000-0000-000046740000}"/>
    <cellStyle name="Total 2 2 4 25" xfId="29760" xr:uid="{00000000-0005-0000-0000-000047740000}"/>
    <cellStyle name="Total 2 2 4 26" xfId="29761" xr:uid="{00000000-0005-0000-0000-000048740000}"/>
    <cellStyle name="Total 2 2 4 27" xfId="29762" xr:uid="{00000000-0005-0000-0000-000049740000}"/>
    <cellStyle name="Total 2 2 4 28" xfId="29763" xr:uid="{00000000-0005-0000-0000-00004A740000}"/>
    <cellStyle name="Total 2 2 4 29" xfId="29764" xr:uid="{00000000-0005-0000-0000-00004B740000}"/>
    <cellStyle name="Total 2 2 4 3" xfId="29765" xr:uid="{00000000-0005-0000-0000-00004C740000}"/>
    <cellStyle name="Total 2 2 4 30" xfId="29766" xr:uid="{00000000-0005-0000-0000-00004D740000}"/>
    <cellStyle name="Total 2 2 4 31" xfId="29767" xr:uid="{00000000-0005-0000-0000-00004E740000}"/>
    <cellStyle name="Total 2 2 4 32" xfId="29768" xr:uid="{00000000-0005-0000-0000-00004F740000}"/>
    <cellStyle name="Total 2 2 4 33" xfId="29769" xr:uid="{00000000-0005-0000-0000-000050740000}"/>
    <cellStyle name="Total 2 2 4 34" xfId="29770" xr:uid="{00000000-0005-0000-0000-000051740000}"/>
    <cellStyle name="Total 2 2 4 4" xfId="29771" xr:uid="{00000000-0005-0000-0000-000052740000}"/>
    <cellStyle name="Total 2 2 4 5" xfId="29772" xr:uid="{00000000-0005-0000-0000-000053740000}"/>
    <cellStyle name="Total 2 2 4 6" xfId="29773" xr:uid="{00000000-0005-0000-0000-000054740000}"/>
    <cellStyle name="Total 2 2 4 7" xfId="29774" xr:uid="{00000000-0005-0000-0000-000055740000}"/>
    <cellStyle name="Total 2 2 4 8" xfId="29775" xr:uid="{00000000-0005-0000-0000-000056740000}"/>
    <cellStyle name="Total 2 2 4 9" xfId="29776" xr:uid="{00000000-0005-0000-0000-000057740000}"/>
    <cellStyle name="Total 2 2 5" xfId="29777" xr:uid="{00000000-0005-0000-0000-000058740000}"/>
    <cellStyle name="Total 2 2 5 2" xfId="29778" xr:uid="{00000000-0005-0000-0000-000059740000}"/>
    <cellStyle name="Total 2 2 5 3" xfId="29779" xr:uid="{00000000-0005-0000-0000-00005A740000}"/>
    <cellStyle name="Total 2 2 6" xfId="29780" xr:uid="{00000000-0005-0000-0000-00005B740000}"/>
    <cellStyle name="Total 2 2 7" xfId="29781" xr:uid="{00000000-0005-0000-0000-00005C740000}"/>
    <cellStyle name="Total 2 2 8" xfId="29782" xr:uid="{00000000-0005-0000-0000-00005D740000}"/>
    <cellStyle name="Total 2 2 9" xfId="29783" xr:uid="{00000000-0005-0000-0000-00005E740000}"/>
    <cellStyle name="Total 2 20" xfId="29784" xr:uid="{00000000-0005-0000-0000-00005F740000}"/>
    <cellStyle name="Total 2 20 10" xfId="29785" xr:uid="{00000000-0005-0000-0000-000060740000}"/>
    <cellStyle name="Total 2 20 11" xfId="29786" xr:uid="{00000000-0005-0000-0000-000061740000}"/>
    <cellStyle name="Total 2 20 12" xfId="29787" xr:uid="{00000000-0005-0000-0000-000062740000}"/>
    <cellStyle name="Total 2 20 13" xfId="29788" xr:uid="{00000000-0005-0000-0000-000063740000}"/>
    <cellStyle name="Total 2 20 14" xfId="29789" xr:uid="{00000000-0005-0000-0000-000064740000}"/>
    <cellStyle name="Total 2 20 15" xfId="29790" xr:uid="{00000000-0005-0000-0000-000065740000}"/>
    <cellStyle name="Total 2 20 16" xfId="29791" xr:uid="{00000000-0005-0000-0000-000066740000}"/>
    <cellStyle name="Total 2 20 17" xfId="29792" xr:uid="{00000000-0005-0000-0000-000067740000}"/>
    <cellStyle name="Total 2 20 18" xfId="29793" xr:uid="{00000000-0005-0000-0000-000068740000}"/>
    <cellStyle name="Total 2 20 19" xfId="29794" xr:uid="{00000000-0005-0000-0000-000069740000}"/>
    <cellStyle name="Total 2 20 2" xfId="29795" xr:uid="{00000000-0005-0000-0000-00006A740000}"/>
    <cellStyle name="Total 2 20 2 10" xfId="29796" xr:uid="{00000000-0005-0000-0000-00006B740000}"/>
    <cellStyle name="Total 2 20 2 11" xfId="29797" xr:uid="{00000000-0005-0000-0000-00006C740000}"/>
    <cellStyle name="Total 2 20 2 12" xfId="29798" xr:uid="{00000000-0005-0000-0000-00006D740000}"/>
    <cellStyle name="Total 2 20 2 13" xfId="29799" xr:uid="{00000000-0005-0000-0000-00006E740000}"/>
    <cellStyle name="Total 2 20 2 14" xfId="29800" xr:uid="{00000000-0005-0000-0000-00006F740000}"/>
    <cellStyle name="Total 2 20 2 15" xfId="29801" xr:uid="{00000000-0005-0000-0000-000070740000}"/>
    <cellStyle name="Total 2 20 2 16" xfId="29802" xr:uid="{00000000-0005-0000-0000-000071740000}"/>
    <cellStyle name="Total 2 20 2 17" xfId="29803" xr:uid="{00000000-0005-0000-0000-000072740000}"/>
    <cellStyle name="Total 2 20 2 18" xfId="29804" xr:uid="{00000000-0005-0000-0000-000073740000}"/>
    <cellStyle name="Total 2 20 2 19" xfId="29805" xr:uid="{00000000-0005-0000-0000-000074740000}"/>
    <cellStyle name="Total 2 20 2 2" xfId="29806" xr:uid="{00000000-0005-0000-0000-000075740000}"/>
    <cellStyle name="Total 2 20 2 20" xfId="29807" xr:uid="{00000000-0005-0000-0000-000076740000}"/>
    <cellStyle name="Total 2 20 2 21" xfId="29808" xr:uid="{00000000-0005-0000-0000-000077740000}"/>
    <cellStyle name="Total 2 20 2 22" xfId="29809" xr:uid="{00000000-0005-0000-0000-000078740000}"/>
    <cellStyle name="Total 2 20 2 23" xfId="29810" xr:uid="{00000000-0005-0000-0000-000079740000}"/>
    <cellStyle name="Total 2 20 2 24" xfId="29811" xr:uid="{00000000-0005-0000-0000-00007A740000}"/>
    <cellStyle name="Total 2 20 2 25" xfId="29812" xr:uid="{00000000-0005-0000-0000-00007B740000}"/>
    <cellStyle name="Total 2 20 2 26" xfId="29813" xr:uid="{00000000-0005-0000-0000-00007C740000}"/>
    <cellStyle name="Total 2 20 2 27" xfId="29814" xr:uid="{00000000-0005-0000-0000-00007D740000}"/>
    <cellStyle name="Total 2 20 2 28" xfId="29815" xr:uid="{00000000-0005-0000-0000-00007E740000}"/>
    <cellStyle name="Total 2 20 2 29" xfId="29816" xr:uid="{00000000-0005-0000-0000-00007F740000}"/>
    <cellStyle name="Total 2 20 2 3" xfId="29817" xr:uid="{00000000-0005-0000-0000-000080740000}"/>
    <cellStyle name="Total 2 20 2 30" xfId="29818" xr:uid="{00000000-0005-0000-0000-000081740000}"/>
    <cellStyle name="Total 2 20 2 31" xfId="29819" xr:uid="{00000000-0005-0000-0000-000082740000}"/>
    <cellStyle name="Total 2 20 2 32" xfId="29820" xr:uid="{00000000-0005-0000-0000-000083740000}"/>
    <cellStyle name="Total 2 20 2 33" xfId="29821" xr:uid="{00000000-0005-0000-0000-000084740000}"/>
    <cellStyle name="Total 2 20 2 34" xfId="29822" xr:uid="{00000000-0005-0000-0000-000085740000}"/>
    <cellStyle name="Total 2 20 2 4" xfId="29823" xr:uid="{00000000-0005-0000-0000-000086740000}"/>
    <cellStyle name="Total 2 20 2 5" xfId="29824" xr:uid="{00000000-0005-0000-0000-000087740000}"/>
    <cellStyle name="Total 2 20 2 6" xfId="29825" xr:uid="{00000000-0005-0000-0000-000088740000}"/>
    <cellStyle name="Total 2 20 2 7" xfId="29826" xr:uid="{00000000-0005-0000-0000-000089740000}"/>
    <cellStyle name="Total 2 20 2 8" xfId="29827" xr:uid="{00000000-0005-0000-0000-00008A740000}"/>
    <cellStyle name="Total 2 20 2 9" xfId="29828" xr:uid="{00000000-0005-0000-0000-00008B740000}"/>
    <cellStyle name="Total 2 20 20" xfId="29829" xr:uid="{00000000-0005-0000-0000-00008C740000}"/>
    <cellStyle name="Total 2 20 3" xfId="29830" xr:uid="{00000000-0005-0000-0000-00008D740000}"/>
    <cellStyle name="Total 2 20 3 2" xfId="29831" xr:uid="{00000000-0005-0000-0000-00008E740000}"/>
    <cellStyle name="Total 2 20 3 3" xfId="29832" xr:uid="{00000000-0005-0000-0000-00008F740000}"/>
    <cellStyle name="Total 2 20 4" xfId="29833" xr:uid="{00000000-0005-0000-0000-000090740000}"/>
    <cellStyle name="Total 2 20 5" xfId="29834" xr:uid="{00000000-0005-0000-0000-000091740000}"/>
    <cellStyle name="Total 2 20 6" xfId="29835" xr:uid="{00000000-0005-0000-0000-000092740000}"/>
    <cellStyle name="Total 2 20 7" xfId="29836" xr:uid="{00000000-0005-0000-0000-000093740000}"/>
    <cellStyle name="Total 2 20 8" xfId="29837" xr:uid="{00000000-0005-0000-0000-000094740000}"/>
    <cellStyle name="Total 2 20 9" xfId="29838" xr:uid="{00000000-0005-0000-0000-000095740000}"/>
    <cellStyle name="Total 2 21" xfId="29839" xr:uid="{00000000-0005-0000-0000-000096740000}"/>
    <cellStyle name="Total 2 21 10" xfId="29840" xr:uid="{00000000-0005-0000-0000-000097740000}"/>
    <cellStyle name="Total 2 21 11" xfId="29841" xr:uid="{00000000-0005-0000-0000-000098740000}"/>
    <cellStyle name="Total 2 21 12" xfId="29842" xr:uid="{00000000-0005-0000-0000-000099740000}"/>
    <cellStyle name="Total 2 21 13" xfId="29843" xr:uid="{00000000-0005-0000-0000-00009A740000}"/>
    <cellStyle name="Total 2 21 14" xfId="29844" xr:uid="{00000000-0005-0000-0000-00009B740000}"/>
    <cellStyle name="Total 2 21 15" xfId="29845" xr:uid="{00000000-0005-0000-0000-00009C740000}"/>
    <cellStyle name="Total 2 21 16" xfId="29846" xr:uid="{00000000-0005-0000-0000-00009D740000}"/>
    <cellStyle name="Total 2 21 17" xfId="29847" xr:uid="{00000000-0005-0000-0000-00009E740000}"/>
    <cellStyle name="Total 2 21 18" xfId="29848" xr:uid="{00000000-0005-0000-0000-00009F740000}"/>
    <cellStyle name="Total 2 21 19" xfId="29849" xr:uid="{00000000-0005-0000-0000-0000A0740000}"/>
    <cellStyle name="Total 2 21 2" xfId="29850" xr:uid="{00000000-0005-0000-0000-0000A1740000}"/>
    <cellStyle name="Total 2 21 20" xfId="29851" xr:uid="{00000000-0005-0000-0000-0000A2740000}"/>
    <cellStyle name="Total 2 21 21" xfId="29852" xr:uid="{00000000-0005-0000-0000-0000A3740000}"/>
    <cellStyle name="Total 2 21 22" xfId="29853" xr:uid="{00000000-0005-0000-0000-0000A4740000}"/>
    <cellStyle name="Total 2 21 23" xfId="29854" xr:uid="{00000000-0005-0000-0000-0000A5740000}"/>
    <cellStyle name="Total 2 21 24" xfId="29855" xr:uid="{00000000-0005-0000-0000-0000A6740000}"/>
    <cellStyle name="Total 2 21 25" xfId="29856" xr:uid="{00000000-0005-0000-0000-0000A7740000}"/>
    <cellStyle name="Total 2 21 26" xfId="29857" xr:uid="{00000000-0005-0000-0000-0000A8740000}"/>
    <cellStyle name="Total 2 21 27" xfId="29858" xr:uid="{00000000-0005-0000-0000-0000A9740000}"/>
    <cellStyle name="Total 2 21 28" xfId="29859" xr:uid="{00000000-0005-0000-0000-0000AA740000}"/>
    <cellStyle name="Total 2 21 29" xfId="29860" xr:uid="{00000000-0005-0000-0000-0000AB740000}"/>
    <cellStyle name="Total 2 21 3" xfId="29861" xr:uid="{00000000-0005-0000-0000-0000AC740000}"/>
    <cellStyle name="Total 2 21 30" xfId="29862" xr:uid="{00000000-0005-0000-0000-0000AD740000}"/>
    <cellStyle name="Total 2 21 31" xfId="29863" xr:uid="{00000000-0005-0000-0000-0000AE740000}"/>
    <cellStyle name="Total 2 21 32" xfId="29864" xr:uid="{00000000-0005-0000-0000-0000AF740000}"/>
    <cellStyle name="Total 2 21 33" xfId="29865" xr:uid="{00000000-0005-0000-0000-0000B0740000}"/>
    <cellStyle name="Total 2 21 34" xfId="29866" xr:uid="{00000000-0005-0000-0000-0000B1740000}"/>
    <cellStyle name="Total 2 21 4" xfId="29867" xr:uid="{00000000-0005-0000-0000-0000B2740000}"/>
    <cellStyle name="Total 2 21 5" xfId="29868" xr:uid="{00000000-0005-0000-0000-0000B3740000}"/>
    <cellStyle name="Total 2 21 6" xfId="29869" xr:uid="{00000000-0005-0000-0000-0000B4740000}"/>
    <cellStyle name="Total 2 21 7" xfId="29870" xr:uid="{00000000-0005-0000-0000-0000B5740000}"/>
    <cellStyle name="Total 2 21 8" xfId="29871" xr:uid="{00000000-0005-0000-0000-0000B6740000}"/>
    <cellStyle name="Total 2 21 9" xfId="29872" xr:uid="{00000000-0005-0000-0000-0000B7740000}"/>
    <cellStyle name="Total 2 22" xfId="29873" xr:uid="{00000000-0005-0000-0000-0000B8740000}"/>
    <cellStyle name="Total 2 22 2" xfId="29874" xr:uid="{00000000-0005-0000-0000-0000B9740000}"/>
    <cellStyle name="Total 2 22 3" xfId="29875" xr:uid="{00000000-0005-0000-0000-0000BA740000}"/>
    <cellStyle name="Total 2 23" xfId="29876" xr:uid="{00000000-0005-0000-0000-0000BB740000}"/>
    <cellStyle name="Total 2 24" xfId="29877" xr:uid="{00000000-0005-0000-0000-0000BC740000}"/>
    <cellStyle name="Total 2 25" xfId="29878" xr:uid="{00000000-0005-0000-0000-0000BD740000}"/>
    <cellStyle name="Total 2 26" xfId="29879" xr:uid="{00000000-0005-0000-0000-0000BE740000}"/>
    <cellStyle name="Total 2 27" xfId="29880" xr:uid="{00000000-0005-0000-0000-0000BF740000}"/>
    <cellStyle name="Total 2 28" xfId="29881" xr:uid="{00000000-0005-0000-0000-0000C0740000}"/>
    <cellStyle name="Total 2 29" xfId="29882" xr:uid="{00000000-0005-0000-0000-0000C1740000}"/>
    <cellStyle name="Total 2 3" xfId="29883" xr:uid="{00000000-0005-0000-0000-0000C2740000}"/>
    <cellStyle name="Total 2 3 10" xfId="29884" xr:uid="{00000000-0005-0000-0000-0000C3740000}"/>
    <cellStyle name="Total 2 3 11" xfId="29885" xr:uid="{00000000-0005-0000-0000-0000C4740000}"/>
    <cellStyle name="Total 2 3 12" xfId="29886" xr:uid="{00000000-0005-0000-0000-0000C5740000}"/>
    <cellStyle name="Total 2 3 13" xfId="29887" xr:uid="{00000000-0005-0000-0000-0000C6740000}"/>
    <cellStyle name="Total 2 3 14" xfId="29888" xr:uid="{00000000-0005-0000-0000-0000C7740000}"/>
    <cellStyle name="Total 2 3 15" xfId="29889" xr:uid="{00000000-0005-0000-0000-0000C8740000}"/>
    <cellStyle name="Total 2 3 16" xfId="29890" xr:uid="{00000000-0005-0000-0000-0000C9740000}"/>
    <cellStyle name="Total 2 3 17" xfId="29891" xr:uid="{00000000-0005-0000-0000-0000CA740000}"/>
    <cellStyle name="Total 2 3 18" xfId="29892" xr:uid="{00000000-0005-0000-0000-0000CB740000}"/>
    <cellStyle name="Total 2 3 19" xfId="29893" xr:uid="{00000000-0005-0000-0000-0000CC740000}"/>
    <cellStyle name="Total 2 3 2" xfId="29894" xr:uid="{00000000-0005-0000-0000-0000CD740000}"/>
    <cellStyle name="Total 2 3 2 10" xfId="29895" xr:uid="{00000000-0005-0000-0000-0000CE740000}"/>
    <cellStyle name="Total 2 3 2 11" xfId="29896" xr:uid="{00000000-0005-0000-0000-0000CF740000}"/>
    <cellStyle name="Total 2 3 2 12" xfId="29897" xr:uid="{00000000-0005-0000-0000-0000D0740000}"/>
    <cellStyle name="Total 2 3 2 13" xfId="29898" xr:uid="{00000000-0005-0000-0000-0000D1740000}"/>
    <cellStyle name="Total 2 3 2 14" xfId="29899" xr:uid="{00000000-0005-0000-0000-0000D2740000}"/>
    <cellStyle name="Total 2 3 2 15" xfId="29900" xr:uid="{00000000-0005-0000-0000-0000D3740000}"/>
    <cellStyle name="Total 2 3 2 16" xfId="29901" xr:uid="{00000000-0005-0000-0000-0000D4740000}"/>
    <cellStyle name="Total 2 3 2 17" xfId="29902" xr:uid="{00000000-0005-0000-0000-0000D5740000}"/>
    <cellStyle name="Total 2 3 2 18" xfId="29903" xr:uid="{00000000-0005-0000-0000-0000D6740000}"/>
    <cellStyle name="Total 2 3 2 19" xfId="29904" xr:uid="{00000000-0005-0000-0000-0000D7740000}"/>
    <cellStyle name="Total 2 3 2 2" xfId="29905" xr:uid="{00000000-0005-0000-0000-0000D8740000}"/>
    <cellStyle name="Total 2 3 2 2 10" xfId="29906" xr:uid="{00000000-0005-0000-0000-0000D9740000}"/>
    <cellStyle name="Total 2 3 2 2 11" xfId="29907" xr:uid="{00000000-0005-0000-0000-0000DA740000}"/>
    <cellStyle name="Total 2 3 2 2 12" xfId="29908" xr:uid="{00000000-0005-0000-0000-0000DB740000}"/>
    <cellStyle name="Total 2 3 2 2 13" xfId="29909" xr:uid="{00000000-0005-0000-0000-0000DC740000}"/>
    <cellStyle name="Total 2 3 2 2 14" xfId="29910" xr:uid="{00000000-0005-0000-0000-0000DD740000}"/>
    <cellStyle name="Total 2 3 2 2 15" xfId="29911" xr:uid="{00000000-0005-0000-0000-0000DE740000}"/>
    <cellStyle name="Total 2 3 2 2 16" xfId="29912" xr:uid="{00000000-0005-0000-0000-0000DF740000}"/>
    <cellStyle name="Total 2 3 2 2 17" xfId="29913" xr:uid="{00000000-0005-0000-0000-0000E0740000}"/>
    <cellStyle name="Total 2 3 2 2 18" xfId="29914" xr:uid="{00000000-0005-0000-0000-0000E1740000}"/>
    <cellStyle name="Total 2 3 2 2 19" xfId="29915" xr:uid="{00000000-0005-0000-0000-0000E2740000}"/>
    <cellStyle name="Total 2 3 2 2 2" xfId="29916" xr:uid="{00000000-0005-0000-0000-0000E3740000}"/>
    <cellStyle name="Total 2 3 2 2 20" xfId="29917" xr:uid="{00000000-0005-0000-0000-0000E4740000}"/>
    <cellStyle name="Total 2 3 2 2 21" xfId="29918" xr:uid="{00000000-0005-0000-0000-0000E5740000}"/>
    <cellStyle name="Total 2 3 2 2 22" xfId="29919" xr:uid="{00000000-0005-0000-0000-0000E6740000}"/>
    <cellStyle name="Total 2 3 2 2 23" xfId="29920" xr:uid="{00000000-0005-0000-0000-0000E7740000}"/>
    <cellStyle name="Total 2 3 2 2 24" xfId="29921" xr:uid="{00000000-0005-0000-0000-0000E8740000}"/>
    <cellStyle name="Total 2 3 2 2 25" xfId="29922" xr:uid="{00000000-0005-0000-0000-0000E9740000}"/>
    <cellStyle name="Total 2 3 2 2 26" xfId="29923" xr:uid="{00000000-0005-0000-0000-0000EA740000}"/>
    <cellStyle name="Total 2 3 2 2 27" xfId="29924" xr:uid="{00000000-0005-0000-0000-0000EB740000}"/>
    <cellStyle name="Total 2 3 2 2 28" xfId="29925" xr:uid="{00000000-0005-0000-0000-0000EC740000}"/>
    <cellStyle name="Total 2 3 2 2 29" xfId="29926" xr:uid="{00000000-0005-0000-0000-0000ED740000}"/>
    <cellStyle name="Total 2 3 2 2 3" xfId="29927" xr:uid="{00000000-0005-0000-0000-0000EE740000}"/>
    <cellStyle name="Total 2 3 2 2 30" xfId="29928" xr:uid="{00000000-0005-0000-0000-0000EF740000}"/>
    <cellStyle name="Total 2 3 2 2 31" xfId="29929" xr:uid="{00000000-0005-0000-0000-0000F0740000}"/>
    <cellStyle name="Total 2 3 2 2 32" xfId="29930" xr:uid="{00000000-0005-0000-0000-0000F1740000}"/>
    <cellStyle name="Total 2 3 2 2 33" xfId="29931" xr:uid="{00000000-0005-0000-0000-0000F2740000}"/>
    <cellStyle name="Total 2 3 2 2 34" xfId="29932" xr:uid="{00000000-0005-0000-0000-0000F3740000}"/>
    <cellStyle name="Total 2 3 2 2 4" xfId="29933" xr:uid="{00000000-0005-0000-0000-0000F4740000}"/>
    <cellStyle name="Total 2 3 2 2 5" xfId="29934" xr:uid="{00000000-0005-0000-0000-0000F5740000}"/>
    <cellStyle name="Total 2 3 2 2 6" xfId="29935" xr:uid="{00000000-0005-0000-0000-0000F6740000}"/>
    <cellStyle name="Total 2 3 2 2 7" xfId="29936" xr:uid="{00000000-0005-0000-0000-0000F7740000}"/>
    <cellStyle name="Total 2 3 2 2 8" xfId="29937" xr:uid="{00000000-0005-0000-0000-0000F8740000}"/>
    <cellStyle name="Total 2 3 2 2 9" xfId="29938" xr:uid="{00000000-0005-0000-0000-0000F9740000}"/>
    <cellStyle name="Total 2 3 2 20" xfId="29939" xr:uid="{00000000-0005-0000-0000-0000FA740000}"/>
    <cellStyle name="Total 2 3 2 3" xfId="29940" xr:uid="{00000000-0005-0000-0000-0000FB740000}"/>
    <cellStyle name="Total 2 3 2 3 2" xfId="29941" xr:uid="{00000000-0005-0000-0000-0000FC740000}"/>
    <cellStyle name="Total 2 3 2 3 3" xfId="29942" xr:uid="{00000000-0005-0000-0000-0000FD740000}"/>
    <cellStyle name="Total 2 3 2 4" xfId="29943" xr:uid="{00000000-0005-0000-0000-0000FE740000}"/>
    <cellStyle name="Total 2 3 2 5" xfId="29944" xr:uid="{00000000-0005-0000-0000-0000FF740000}"/>
    <cellStyle name="Total 2 3 2 6" xfId="29945" xr:uid="{00000000-0005-0000-0000-000000750000}"/>
    <cellStyle name="Total 2 3 2 7" xfId="29946" xr:uid="{00000000-0005-0000-0000-000001750000}"/>
    <cellStyle name="Total 2 3 2 8" xfId="29947" xr:uid="{00000000-0005-0000-0000-000002750000}"/>
    <cellStyle name="Total 2 3 2 9" xfId="29948" xr:uid="{00000000-0005-0000-0000-000003750000}"/>
    <cellStyle name="Total 2 3 20" xfId="29949" xr:uid="{00000000-0005-0000-0000-000004750000}"/>
    <cellStyle name="Total 2 3 21" xfId="29950" xr:uid="{00000000-0005-0000-0000-000005750000}"/>
    <cellStyle name="Total 2 3 3" xfId="29951" xr:uid="{00000000-0005-0000-0000-000006750000}"/>
    <cellStyle name="Total 2 3 3 10" xfId="29952" xr:uid="{00000000-0005-0000-0000-000007750000}"/>
    <cellStyle name="Total 2 3 3 11" xfId="29953" xr:uid="{00000000-0005-0000-0000-000008750000}"/>
    <cellStyle name="Total 2 3 3 12" xfId="29954" xr:uid="{00000000-0005-0000-0000-000009750000}"/>
    <cellStyle name="Total 2 3 3 13" xfId="29955" xr:uid="{00000000-0005-0000-0000-00000A750000}"/>
    <cellStyle name="Total 2 3 3 14" xfId="29956" xr:uid="{00000000-0005-0000-0000-00000B750000}"/>
    <cellStyle name="Total 2 3 3 15" xfId="29957" xr:uid="{00000000-0005-0000-0000-00000C750000}"/>
    <cellStyle name="Total 2 3 3 16" xfId="29958" xr:uid="{00000000-0005-0000-0000-00000D750000}"/>
    <cellStyle name="Total 2 3 3 17" xfId="29959" xr:uid="{00000000-0005-0000-0000-00000E750000}"/>
    <cellStyle name="Total 2 3 3 18" xfId="29960" xr:uid="{00000000-0005-0000-0000-00000F750000}"/>
    <cellStyle name="Total 2 3 3 19" xfId="29961" xr:uid="{00000000-0005-0000-0000-000010750000}"/>
    <cellStyle name="Total 2 3 3 2" xfId="29962" xr:uid="{00000000-0005-0000-0000-000011750000}"/>
    <cellStyle name="Total 2 3 3 20" xfId="29963" xr:uid="{00000000-0005-0000-0000-000012750000}"/>
    <cellStyle name="Total 2 3 3 21" xfId="29964" xr:uid="{00000000-0005-0000-0000-000013750000}"/>
    <cellStyle name="Total 2 3 3 22" xfId="29965" xr:uid="{00000000-0005-0000-0000-000014750000}"/>
    <cellStyle name="Total 2 3 3 23" xfId="29966" xr:uid="{00000000-0005-0000-0000-000015750000}"/>
    <cellStyle name="Total 2 3 3 24" xfId="29967" xr:uid="{00000000-0005-0000-0000-000016750000}"/>
    <cellStyle name="Total 2 3 3 25" xfId="29968" xr:uid="{00000000-0005-0000-0000-000017750000}"/>
    <cellStyle name="Total 2 3 3 26" xfId="29969" xr:uid="{00000000-0005-0000-0000-000018750000}"/>
    <cellStyle name="Total 2 3 3 27" xfId="29970" xr:uid="{00000000-0005-0000-0000-000019750000}"/>
    <cellStyle name="Total 2 3 3 28" xfId="29971" xr:uid="{00000000-0005-0000-0000-00001A750000}"/>
    <cellStyle name="Total 2 3 3 29" xfId="29972" xr:uid="{00000000-0005-0000-0000-00001B750000}"/>
    <cellStyle name="Total 2 3 3 3" xfId="29973" xr:uid="{00000000-0005-0000-0000-00001C750000}"/>
    <cellStyle name="Total 2 3 3 30" xfId="29974" xr:uid="{00000000-0005-0000-0000-00001D750000}"/>
    <cellStyle name="Total 2 3 3 31" xfId="29975" xr:uid="{00000000-0005-0000-0000-00001E750000}"/>
    <cellStyle name="Total 2 3 3 32" xfId="29976" xr:uid="{00000000-0005-0000-0000-00001F750000}"/>
    <cellStyle name="Total 2 3 3 33" xfId="29977" xr:uid="{00000000-0005-0000-0000-000020750000}"/>
    <cellStyle name="Total 2 3 3 34" xfId="29978" xr:uid="{00000000-0005-0000-0000-000021750000}"/>
    <cellStyle name="Total 2 3 3 4" xfId="29979" xr:uid="{00000000-0005-0000-0000-000022750000}"/>
    <cellStyle name="Total 2 3 3 5" xfId="29980" xr:uid="{00000000-0005-0000-0000-000023750000}"/>
    <cellStyle name="Total 2 3 3 6" xfId="29981" xr:uid="{00000000-0005-0000-0000-000024750000}"/>
    <cellStyle name="Total 2 3 3 7" xfId="29982" xr:uid="{00000000-0005-0000-0000-000025750000}"/>
    <cellStyle name="Total 2 3 3 8" xfId="29983" xr:uid="{00000000-0005-0000-0000-000026750000}"/>
    <cellStyle name="Total 2 3 3 9" xfId="29984" xr:uid="{00000000-0005-0000-0000-000027750000}"/>
    <cellStyle name="Total 2 3 4" xfId="29985" xr:uid="{00000000-0005-0000-0000-000028750000}"/>
    <cellStyle name="Total 2 3 4 2" xfId="29986" xr:uid="{00000000-0005-0000-0000-000029750000}"/>
    <cellStyle name="Total 2 3 4 3" xfId="29987" xr:uid="{00000000-0005-0000-0000-00002A750000}"/>
    <cellStyle name="Total 2 3 5" xfId="29988" xr:uid="{00000000-0005-0000-0000-00002B750000}"/>
    <cellStyle name="Total 2 3 6" xfId="29989" xr:uid="{00000000-0005-0000-0000-00002C750000}"/>
    <cellStyle name="Total 2 3 7" xfId="29990" xr:uid="{00000000-0005-0000-0000-00002D750000}"/>
    <cellStyle name="Total 2 3 8" xfId="29991" xr:uid="{00000000-0005-0000-0000-00002E750000}"/>
    <cellStyle name="Total 2 3 9" xfId="29992" xr:uid="{00000000-0005-0000-0000-00002F750000}"/>
    <cellStyle name="Total 2 30" xfId="29993" xr:uid="{00000000-0005-0000-0000-000030750000}"/>
    <cellStyle name="Total 2 31" xfId="29994" xr:uid="{00000000-0005-0000-0000-000031750000}"/>
    <cellStyle name="Total 2 32" xfId="29995" xr:uid="{00000000-0005-0000-0000-000032750000}"/>
    <cellStyle name="Total 2 33" xfId="29996" xr:uid="{00000000-0005-0000-0000-000033750000}"/>
    <cellStyle name="Total 2 34" xfId="29997" xr:uid="{00000000-0005-0000-0000-000034750000}"/>
    <cellStyle name="Total 2 35" xfId="29998" xr:uid="{00000000-0005-0000-0000-000035750000}"/>
    <cellStyle name="Total 2 36" xfId="29999" xr:uid="{00000000-0005-0000-0000-000036750000}"/>
    <cellStyle name="Total 2 37" xfId="30000" xr:uid="{00000000-0005-0000-0000-000037750000}"/>
    <cellStyle name="Total 2 38" xfId="30001" xr:uid="{00000000-0005-0000-0000-000038750000}"/>
    <cellStyle name="Total 2 39" xfId="30002" xr:uid="{00000000-0005-0000-0000-000039750000}"/>
    <cellStyle name="Total 2 4" xfId="30003" xr:uid="{00000000-0005-0000-0000-00003A750000}"/>
    <cellStyle name="Total 2 4 10" xfId="30004" xr:uid="{00000000-0005-0000-0000-00003B750000}"/>
    <cellStyle name="Total 2 4 11" xfId="30005" xr:uid="{00000000-0005-0000-0000-00003C750000}"/>
    <cellStyle name="Total 2 4 12" xfId="30006" xr:uid="{00000000-0005-0000-0000-00003D750000}"/>
    <cellStyle name="Total 2 4 13" xfId="30007" xr:uid="{00000000-0005-0000-0000-00003E750000}"/>
    <cellStyle name="Total 2 4 14" xfId="30008" xr:uid="{00000000-0005-0000-0000-00003F750000}"/>
    <cellStyle name="Total 2 4 15" xfId="30009" xr:uid="{00000000-0005-0000-0000-000040750000}"/>
    <cellStyle name="Total 2 4 16" xfId="30010" xr:uid="{00000000-0005-0000-0000-000041750000}"/>
    <cellStyle name="Total 2 4 17" xfId="30011" xr:uid="{00000000-0005-0000-0000-000042750000}"/>
    <cellStyle name="Total 2 4 18" xfId="30012" xr:uid="{00000000-0005-0000-0000-000043750000}"/>
    <cellStyle name="Total 2 4 19" xfId="30013" xr:uid="{00000000-0005-0000-0000-000044750000}"/>
    <cellStyle name="Total 2 4 2" xfId="30014" xr:uid="{00000000-0005-0000-0000-000045750000}"/>
    <cellStyle name="Total 2 4 2 10" xfId="30015" xr:uid="{00000000-0005-0000-0000-000046750000}"/>
    <cellStyle name="Total 2 4 2 11" xfId="30016" xr:uid="{00000000-0005-0000-0000-000047750000}"/>
    <cellStyle name="Total 2 4 2 12" xfId="30017" xr:uid="{00000000-0005-0000-0000-000048750000}"/>
    <cellStyle name="Total 2 4 2 13" xfId="30018" xr:uid="{00000000-0005-0000-0000-000049750000}"/>
    <cellStyle name="Total 2 4 2 14" xfId="30019" xr:uid="{00000000-0005-0000-0000-00004A750000}"/>
    <cellStyle name="Total 2 4 2 15" xfId="30020" xr:uid="{00000000-0005-0000-0000-00004B750000}"/>
    <cellStyle name="Total 2 4 2 16" xfId="30021" xr:uid="{00000000-0005-0000-0000-00004C750000}"/>
    <cellStyle name="Total 2 4 2 17" xfId="30022" xr:uid="{00000000-0005-0000-0000-00004D750000}"/>
    <cellStyle name="Total 2 4 2 18" xfId="30023" xr:uid="{00000000-0005-0000-0000-00004E750000}"/>
    <cellStyle name="Total 2 4 2 19" xfId="30024" xr:uid="{00000000-0005-0000-0000-00004F750000}"/>
    <cellStyle name="Total 2 4 2 2" xfId="30025" xr:uid="{00000000-0005-0000-0000-000050750000}"/>
    <cellStyle name="Total 2 4 2 2 10" xfId="30026" xr:uid="{00000000-0005-0000-0000-000051750000}"/>
    <cellStyle name="Total 2 4 2 2 11" xfId="30027" xr:uid="{00000000-0005-0000-0000-000052750000}"/>
    <cellStyle name="Total 2 4 2 2 12" xfId="30028" xr:uid="{00000000-0005-0000-0000-000053750000}"/>
    <cellStyle name="Total 2 4 2 2 13" xfId="30029" xr:uid="{00000000-0005-0000-0000-000054750000}"/>
    <cellStyle name="Total 2 4 2 2 14" xfId="30030" xr:uid="{00000000-0005-0000-0000-000055750000}"/>
    <cellStyle name="Total 2 4 2 2 15" xfId="30031" xr:uid="{00000000-0005-0000-0000-000056750000}"/>
    <cellStyle name="Total 2 4 2 2 16" xfId="30032" xr:uid="{00000000-0005-0000-0000-000057750000}"/>
    <cellStyle name="Total 2 4 2 2 17" xfId="30033" xr:uid="{00000000-0005-0000-0000-000058750000}"/>
    <cellStyle name="Total 2 4 2 2 18" xfId="30034" xr:uid="{00000000-0005-0000-0000-000059750000}"/>
    <cellStyle name="Total 2 4 2 2 19" xfId="30035" xr:uid="{00000000-0005-0000-0000-00005A750000}"/>
    <cellStyle name="Total 2 4 2 2 2" xfId="30036" xr:uid="{00000000-0005-0000-0000-00005B750000}"/>
    <cellStyle name="Total 2 4 2 2 20" xfId="30037" xr:uid="{00000000-0005-0000-0000-00005C750000}"/>
    <cellStyle name="Total 2 4 2 2 21" xfId="30038" xr:uid="{00000000-0005-0000-0000-00005D750000}"/>
    <cellStyle name="Total 2 4 2 2 22" xfId="30039" xr:uid="{00000000-0005-0000-0000-00005E750000}"/>
    <cellStyle name="Total 2 4 2 2 23" xfId="30040" xr:uid="{00000000-0005-0000-0000-00005F750000}"/>
    <cellStyle name="Total 2 4 2 2 24" xfId="30041" xr:uid="{00000000-0005-0000-0000-000060750000}"/>
    <cellStyle name="Total 2 4 2 2 25" xfId="30042" xr:uid="{00000000-0005-0000-0000-000061750000}"/>
    <cellStyle name="Total 2 4 2 2 26" xfId="30043" xr:uid="{00000000-0005-0000-0000-000062750000}"/>
    <cellStyle name="Total 2 4 2 2 27" xfId="30044" xr:uid="{00000000-0005-0000-0000-000063750000}"/>
    <cellStyle name="Total 2 4 2 2 28" xfId="30045" xr:uid="{00000000-0005-0000-0000-000064750000}"/>
    <cellStyle name="Total 2 4 2 2 29" xfId="30046" xr:uid="{00000000-0005-0000-0000-000065750000}"/>
    <cellStyle name="Total 2 4 2 2 3" xfId="30047" xr:uid="{00000000-0005-0000-0000-000066750000}"/>
    <cellStyle name="Total 2 4 2 2 30" xfId="30048" xr:uid="{00000000-0005-0000-0000-000067750000}"/>
    <cellStyle name="Total 2 4 2 2 31" xfId="30049" xr:uid="{00000000-0005-0000-0000-000068750000}"/>
    <cellStyle name="Total 2 4 2 2 32" xfId="30050" xr:uid="{00000000-0005-0000-0000-000069750000}"/>
    <cellStyle name="Total 2 4 2 2 33" xfId="30051" xr:uid="{00000000-0005-0000-0000-00006A750000}"/>
    <cellStyle name="Total 2 4 2 2 34" xfId="30052" xr:uid="{00000000-0005-0000-0000-00006B750000}"/>
    <cellStyle name="Total 2 4 2 2 4" xfId="30053" xr:uid="{00000000-0005-0000-0000-00006C750000}"/>
    <cellStyle name="Total 2 4 2 2 5" xfId="30054" xr:uid="{00000000-0005-0000-0000-00006D750000}"/>
    <cellStyle name="Total 2 4 2 2 6" xfId="30055" xr:uid="{00000000-0005-0000-0000-00006E750000}"/>
    <cellStyle name="Total 2 4 2 2 7" xfId="30056" xr:uid="{00000000-0005-0000-0000-00006F750000}"/>
    <cellStyle name="Total 2 4 2 2 8" xfId="30057" xr:uid="{00000000-0005-0000-0000-000070750000}"/>
    <cellStyle name="Total 2 4 2 2 9" xfId="30058" xr:uid="{00000000-0005-0000-0000-000071750000}"/>
    <cellStyle name="Total 2 4 2 20" xfId="30059" xr:uid="{00000000-0005-0000-0000-000072750000}"/>
    <cellStyle name="Total 2 4 2 3" xfId="30060" xr:uid="{00000000-0005-0000-0000-000073750000}"/>
    <cellStyle name="Total 2 4 2 3 2" xfId="30061" xr:uid="{00000000-0005-0000-0000-000074750000}"/>
    <cellStyle name="Total 2 4 2 3 3" xfId="30062" xr:uid="{00000000-0005-0000-0000-000075750000}"/>
    <cellStyle name="Total 2 4 2 4" xfId="30063" xr:uid="{00000000-0005-0000-0000-000076750000}"/>
    <cellStyle name="Total 2 4 2 5" xfId="30064" xr:uid="{00000000-0005-0000-0000-000077750000}"/>
    <cellStyle name="Total 2 4 2 6" xfId="30065" xr:uid="{00000000-0005-0000-0000-000078750000}"/>
    <cellStyle name="Total 2 4 2 7" xfId="30066" xr:uid="{00000000-0005-0000-0000-000079750000}"/>
    <cellStyle name="Total 2 4 2 8" xfId="30067" xr:uid="{00000000-0005-0000-0000-00007A750000}"/>
    <cellStyle name="Total 2 4 2 9" xfId="30068" xr:uid="{00000000-0005-0000-0000-00007B750000}"/>
    <cellStyle name="Total 2 4 20" xfId="30069" xr:uid="{00000000-0005-0000-0000-00007C750000}"/>
    <cellStyle name="Total 2 4 21" xfId="30070" xr:uid="{00000000-0005-0000-0000-00007D750000}"/>
    <cellStyle name="Total 2 4 3" xfId="30071" xr:uid="{00000000-0005-0000-0000-00007E750000}"/>
    <cellStyle name="Total 2 4 3 10" xfId="30072" xr:uid="{00000000-0005-0000-0000-00007F750000}"/>
    <cellStyle name="Total 2 4 3 11" xfId="30073" xr:uid="{00000000-0005-0000-0000-000080750000}"/>
    <cellStyle name="Total 2 4 3 12" xfId="30074" xr:uid="{00000000-0005-0000-0000-000081750000}"/>
    <cellStyle name="Total 2 4 3 13" xfId="30075" xr:uid="{00000000-0005-0000-0000-000082750000}"/>
    <cellStyle name="Total 2 4 3 14" xfId="30076" xr:uid="{00000000-0005-0000-0000-000083750000}"/>
    <cellStyle name="Total 2 4 3 15" xfId="30077" xr:uid="{00000000-0005-0000-0000-000084750000}"/>
    <cellStyle name="Total 2 4 3 16" xfId="30078" xr:uid="{00000000-0005-0000-0000-000085750000}"/>
    <cellStyle name="Total 2 4 3 17" xfId="30079" xr:uid="{00000000-0005-0000-0000-000086750000}"/>
    <cellStyle name="Total 2 4 3 18" xfId="30080" xr:uid="{00000000-0005-0000-0000-000087750000}"/>
    <cellStyle name="Total 2 4 3 19" xfId="30081" xr:uid="{00000000-0005-0000-0000-000088750000}"/>
    <cellStyle name="Total 2 4 3 2" xfId="30082" xr:uid="{00000000-0005-0000-0000-000089750000}"/>
    <cellStyle name="Total 2 4 3 20" xfId="30083" xr:uid="{00000000-0005-0000-0000-00008A750000}"/>
    <cellStyle name="Total 2 4 3 21" xfId="30084" xr:uid="{00000000-0005-0000-0000-00008B750000}"/>
    <cellStyle name="Total 2 4 3 22" xfId="30085" xr:uid="{00000000-0005-0000-0000-00008C750000}"/>
    <cellStyle name="Total 2 4 3 23" xfId="30086" xr:uid="{00000000-0005-0000-0000-00008D750000}"/>
    <cellStyle name="Total 2 4 3 24" xfId="30087" xr:uid="{00000000-0005-0000-0000-00008E750000}"/>
    <cellStyle name="Total 2 4 3 25" xfId="30088" xr:uid="{00000000-0005-0000-0000-00008F750000}"/>
    <cellStyle name="Total 2 4 3 26" xfId="30089" xr:uid="{00000000-0005-0000-0000-000090750000}"/>
    <cellStyle name="Total 2 4 3 27" xfId="30090" xr:uid="{00000000-0005-0000-0000-000091750000}"/>
    <cellStyle name="Total 2 4 3 28" xfId="30091" xr:uid="{00000000-0005-0000-0000-000092750000}"/>
    <cellStyle name="Total 2 4 3 29" xfId="30092" xr:uid="{00000000-0005-0000-0000-000093750000}"/>
    <cellStyle name="Total 2 4 3 3" xfId="30093" xr:uid="{00000000-0005-0000-0000-000094750000}"/>
    <cellStyle name="Total 2 4 3 30" xfId="30094" xr:uid="{00000000-0005-0000-0000-000095750000}"/>
    <cellStyle name="Total 2 4 3 31" xfId="30095" xr:uid="{00000000-0005-0000-0000-000096750000}"/>
    <cellStyle name="Total 2 4 3 32" xfId="30096" xr:uid="{00000000-0005-0000-0000-000097750000}"/>
    <cellStyle name="Total 2 4 3 33" xfId="30097" xr:uid="{00000000-0005-0000-0000-000098750000}"/>
    <cellStyle name="Total 2 4 3 34" xfId="30098" xr:uid="{00000000-0005-0000-0000-000099750000}"/>
    <cellStyle name="Total 2 4 3 4" xfId="30099" xr:uid="{00000000-0005-0000-0000-00009A750000}"/>
    <cellStyle name="Total 2 4 3 5" xfId="30100" xr:uid="{00000000-0005-0000-0000-00009B750000}"/>
    <cellStyle name="Total 2 4 3 6" xfId="30101" xr:uid="{00000000-0005-0000-0000-00009C750000}"/>
    <cellStyle name="Total 2 4 3 7" xfId="30102" xr:uid="{00000000-0005-0000-0000-00009D750000}"/>
    <cellStyle name="Total 2 4 3 8" xfId="30103" xr:uid="{00000000-0005-0000-0000-00009E750000}"/>
    <cellStyle name="Total 2 4 3 9" xfId="30104" xr:uid="{00000000-0005-0000-0000-00009F750000}"/>
    <cellStyle name="Total 2 4 4" xfId="30105" xr:uid="{00000000-0005-0000-0000-0000A0750000}"/>
    <cellStyle name="Total 2 4 4 2" xfId="30106" xr:uid="{00000000-0005-0000-0000-0000A1750000}"/>
    <cellStyle name="Total 2 4 4 3" xfId="30107" xr:uid="{00000000-0005-0000-0000-0000A2750000}"/>
    <cellStyle name="Total 2 4 5" xfId="30108" xr:uid="{00000000-0005-0000-0000-0000A3750000}"/>
    <cellStyle name="Total 2 4 6" xfId="30109" xr:uid="{00000000-0005-0000-0000-0000A4750000}"/>
    <cellStyle name="Total 2 4 7" xfId="30110" xr:uid="{00000000-0005-0000-0000-0000A5750000}"/>
    <cellStyle name="Total 2 4 8" xfId="30111" xr:uid="{00000000-0005-0000-0000-0000A6750000}"/>
    <cellStyle name="Total 2 4 9" xfId="30112" xr:uid="{00000000-0005-0000-0000-0000A7750000}"/>
    <cellStyle name="Total 2 5" xfId="30113" xr:uid="{00000000-0005-0000-0000-0000A8750000}"/>
    <cellStyle name="Total 2 5 2" xfId="30114" xr:uid="{00000000-0005-0000-0000-0000A9750000}"/>
    <cellStyle name="Total 2 6" xfId="30115" xr:uid="{00000000-0005-0000-0000-0000AA750000}"/>
    <cellStyle name="Total 2 6 2" xfId="30116" xr:uid="{00000000-0005-0000-0000-0000AB750000}"/>
    <cellStyle name="Total 2 7" xfId="30117" xr:uid="{00000000-0005-0000-0000-0000AC750000}"/>
    <cellStyle name="Total 2 7 2" xfId="30118" xr:uid="{00000000-0005-0000-0000-0000AD750000}"/>
    <cellStyle name="Total 2 8" xfId="30119" xr:uid="{00000000-0005-0000-0000-0000AE750000}"/>
    <cellStyle name="Total 2 8 2" xfId="30120" xr:uid="{00000000-0005-0000-0000-0000AF750000}"/>
    <cellStyle name="Total 2 9" xfId="30121" xr:uid="{00000000-0005-0000-0000-0000B0750000}"/>
    <cellStyle name="Total 2 9 2" xfId="30122" xr:uid="{00000000-0005-0000-0000-0000B1750000}"/>
    <cellStyle name="Total 20" xfId="30123" xr:uid="{00000000-0005-0000-0000-0000B2750000}"/>
    <cellStyle name="Total 20 2" xfId="30124" xr:uid="{00000000-0005-0000-0000-0000B3750000}"/>
    <cellStyle name="Total 21" xfId="30125" xr:uid="{00000000-0005-0000-0000-0000B4750000}"/>
    <cellStyle name="Total 21 2" xfId="30126" xr:uid="{00000000-0005-0000-0000-0000B5750000}"/>
    <cellStyle name="Total 22" xfId="30127" xr:uid="{00000000-0005-0000-0000-0000B6750000}"/>
    <cellStyle name="Total 22 2" xfId="30128" xr:uid="{00000000-0005-0000-0000-0000B7750000}"/>
    <cellStyle name="Total 23" xfId="30129" xr:uid="{00000000-0005-0000-0000-0000B8750000}"/>
    <cellStyle name="Total 23 2" xfId="30130" xr:uid="{00000000-0005-0000-0000-0000B9750000}"/>
    <cellStyle name="Total 24" xfId="30131" xr:uid="{00000000-0005-0000-0000-0000BA750000}"/>
    <cellStyle name="Total 24 2" xfId="30132" xr:uid="{00000000-0005-0000-0000-0000BB750000}"/>
    <cellStyle name="Total 25" xfId="30133" xr:uid="{00000000-0005-0000-0000-0000BC750000}"/>
    <cellStyle name="Total 25 2" xfId="30134" xr:uid="{00000000-0005-0000-0000-0000BD750000}"/>
    <cellStyle name="Total 26" xfId="30135" xr:uid="{00000000-0005-0000-0000-0000BE750000}"/>
    <cellStyle name="Total 26 2" xfId="30136" xr:uid="{00000000-0005-0000-0000-0000BF750000}"/>
    <cellStyle name="Total 27" xfId="30137" xr:uid="{00000000-0005-0000-0000-0000C0750000}"/>
    <cellStyle name="Total 27 2" xfId="30138" xr:uid="{00000000-0005-0000-0000-0000C1750000}"/>
    <cellStyle name="Total 3" xfId="30139" xr:uid="{00000000-0005-0000-0000-0000C2750000}"/>
    <cellStyle name="Total 3 10" xfId="30140" xr:uid="{00000000-0005-0000-0000-0000C3750000}"/>
    <cellStyle name="Total 3 11" xfId="30141" xr:uid="{00000000-0005-0000-0000-0000C4750000}"/>
    <cellStyle name="Total 3 12" xfId="30142" xr:uid="{00000000-0005-0000-0000-0000C5750000}"/>
    <cellStyle name="Total 3 13" xfId="30143" xr:uid="{00000000-0005-0000-0000-0000C6750000}"/>
    <cellStyle name="Total 3 14" xfId="30144" xr:uid="{00000000-0005-0000-0000-0000C7750000}"/>
    <cellStyle name="Total 3 15" xfId="30145" xr:uid="{00000000-0005-0000-0000-0000C8750000}"/>
    <cellStyle name="Total 3 16" xfId="30146" xr:uid="{00000000-0005-0000-0000-0000C9750000}"/>
    <cellStyle name="Total 3 17" xfId="30147" xr:uid="{00000000-0005-0000-0000-0000CA750000}"/>
    <cellStyle name="Total 3 18" xfId="30148" xr:uid="{00000000-0005-0000-0000-0000CB750000}"/>
    <cellStyle name="Total 3 19" xfId="30149" xr:uid="{00000000-0005-0000-0000-0000CC750000}"/>
    <cellStyle name="Total 3 2" xfId="30150" xr:uid="{00000000-0005-0000-0000-0000CD750000}"/>
    <cellStyle name="Total 3 2 10" xfId="30151" xr:uid="{00000000-0005-0000-0000-0000CE750000}"/>
    <cellStyle name="Total 3 2 11" xfId="30152" xr:uid="{00000000-0005-0000-0000-0000CF750000}"/>
    <cellStyle name="Total 3 2 12" xfId="30153" xr:uid="{00000000-0005-0000-0000-0000D0750000}"/>
    <cellStyle name="Total 3 2 13" xfId="30154" xr:uid="{00000000-0005-0000-0000-0000D1750000}"/>
    <cellStyle name="Total 3 2 14" xfId="30155" xr:uid="{00000000-0005-0000-0000-0000D2750000}"/>
    <cellStyle name="Total 3 2 15" xfId="30156" xr:uid="{00000000-0005-0000-0000-0000D3750000}"/>
    <cellStyle name="Total 3 2 16" xfId="30157" xr:uid="{00000000-0005-0000-0000-0000D4750000}"/>
    <cellStyle name="Total 3 2 17" xfId="30158" xr:uid="{00000000-0005-0000-0000-0000D5750000}"/>
    <cellStyle name="Total 3 2 18" xfId="30159" xr:uid="{00000000-0005-0000-0000-0000D6750000}"/>
    <cellStyle name="Total 3 2 19" xfId="30160" xr:uid="{00000000-0005-0000-0000-0000D7750000}"/>
    <cellStyle name="Total 3 2 2" xfId="30161" xr:uid="{00000000-0005-0000-0000-0000D8750000}"/>
    <cellStyle name="Total 3 2 2 10" xfId="30162" xr:uid="{00000000-0005-0000-0000-0000D9750000}"/>
    <cellStyle name="Total 3 2 2 11" xfId="30163" xr:uid="{00000000-0005-0000-0000-0000DA750000}"/>
    <cellStyle name="Total 3 2 2 12" xfId="30164" xr:uid="{00000000-0005-0000-0000-0000DB750000}"/>
    <cellStyle name="Total 3 2 2 13" xfId="30165" xr:uid="{00000000-0005-0000-0000-0000DC750000}"/>
    <cellStyle name="Total 3 2 2 14" xfId="30166" xr:uid="{00000000-0005-0000-0000-0000DD750000}"/>
    <cellStyle name="Total 3 2 2 15" xfId="30167" xr:uid="{00000000-0005-0000-0000-0000DE750000}"/>
    <cellStyle name="Total 3 2 2 16" xfId="30168" xr:uid="{00000000-0005-0000-0000-0000DF750000}"/>
    <cellStyle name="Total 3 2 2 17" xfId="30169" xr:uid="{00000000-0005-0000-0000-0000E0750000}"/>
    <cellStyle name="Total 3 2 2 18" xfId="30170" xr:uid="{00000000-0005-0000-0000-0000E1750000}"/>
    <cellStyle name="Total 3 2 2 19" xfId="30171" xr:uid="{00000000-0005-0000-0000-0000E2750000}"/>
    <cellStyle name="Total 3 2 2 2" xfId="30172" xr:uid="{00000000-0005-0000-0000-0000E3750000}"/>
    <cellStyle name="Total 3 2 2 2 10" xfId="30173" xr:uid="{00000000-0005-0000-0000-0000E4750000}"/>
    <cellStyle name="Total 3 2 2 2 11" xfId="30174" xr:uid="{00000000-0005-0000-0000-0000E5750000}"/>
    <cellStyle name="Total 3 2 2 2 12" xfId="30175" xr:uid="{00000000-0005-0000-0000-0000E6750000}"/>
    <cellStyle name="Total 3 2 2 2 13" xfId="30176" xr:uid="{00000000-0005-0000-0000-0000E7750000}"/>
    <cellStyle name="Total 3 2 2 2 14" xfId="30177" xr:uid="{00000000-0005-0000-0000-0000E8750000}"/>
    <cellStyle name="Total 3 2 2 2 15" xfId="30178" xr:uid="{00000000-0005-0000-0000-0000E9750000}"/>
    <cellStyle name="Total 3 2 2 2 16" xfId="30179" xr:uid="{00000000-0005-0000-0000-0000EA750000}"/>
    <cellStyle name="Total 3 2 2 2 17" xfId="30180" xr:uid="{00000000-0005-0000-0000-0000EB750000}"/>
    <cellStyle name="Total 3 2 2 2 18" xfId="30181" xr:uid="{00000000-0005-0000-0000-0000EC750000}"/>
    <cellStyle name="Total 3 2 2 2 19" xfId="30182" xr:uid="{00000000-0005-0000-0000-0000ED750000}"/>
    <cellStyle name="Total 3 2 2 2 2" xfId="30183" xr:uid="{00000000-0005-0000-0000-0000EE750000}"/>
    <cellStyle name="Total 3 2 2 2 20" xfId="30184" xr:uid="{00000000-0005-0000-0000-0000EF750000}"/>
    <cellStyle name="Total 3 2 2 2 21" xfId="30185" xr:uid="{00000000-0005-0000-0000-0000F0750000}"/>
    <cellStyle name="Total 3 2 2 2 22" xfId="30186" xr:uid="{00000000-0005-0000-0000-0000F1750000}"/>
    <cellStyle name="Total 3 2 2 2 23" xfId="30187" xr:uid="{00000000-0005-0000-0000-0000F2750000}"/>
    <cellStyle name="Total 3 2 2 2 24" xfId="30188" xr:uid="{00000000-0005-0000-0000-0000F3750000}"/>
    <cellStyle name="Total 3 2 2 2 25" xfId="30189" xr:uid="{00000000-0005-0000-0000-0000F4750000}"/>
    <cellStyle name="Total 3 2 2 2 26" xfId="30190" xr:uid="{00000000-0005-0000-0000-0000F5750000}"/>
    <cellStyle name="Total 3 2 2 2 27" xfId="30191" xr:uid="{00000000-0005-0000-0000-0000F6750000}"/>
    <cellStyle name="Total 3 2 2 2 28" xfId="30192" xr:uid="{00000000-0005-0000-0000-0000F7750000}"/>
    <cellStyle name="Total 3 2 2 2 29" xfId="30193" xr:uid="{00000000-0005-0000-0000-0000F8750000}"/>
    <cellStyle name="Total 3 2 2 2 3" xfId="30194" xr:uid="{00000000-0005-0000-0000-0000F9750000}"/>
    <cellStyle name="Total 3 2 2 2 30" xfId="30195" xr:uid="{00000000-0005-0000-0000-0000FA750000}"/>
    <cellStyle name="Total 3 2 2 2 31" xfId="30196" xr:uid="{00000000-0005-0000-0000-0000FB750000}"/>
    <cellStyle name="Total 3 2 2 2 32" xfId="30197" xr:uid="{00000000-0005-0000-0000-0000FC750000}"/>
    <cellStyle name="Total 3 2 2 2 33" xfId="30198" xr:uid="{00000000-0005-0000-0000-0000FD750000}"/>
    <cellStyle name="Total 3 2 2 2 34" xfId="30199" xr:uid="{00000000-0005-0000-0000-0000FE750000}"/>
    <cellStyle name="Total 3 2 2 2 4" xfId="30200" xr:uid="{00000000-0005-0000-0000-0000FF750000}"/>
    <cellStyle name="Total 3 2 2 2 5" xfId="30201" xr:uid="{00000000-0005-0000-0000-000000760000}"/>
    <cellStyle name="Total 3 2 2 2 6" xfId="30202" xr:uid="{00000000-0005-0000-0000-000001760000}"/>
    <cellStyle name="Total 3 2 2 2 7" xfId="30203" xr:uid="{00000000-0005-0000-0000-000002760000}"/>
    <cellStyle name="Total 3 2 2 2 8" xfId="30204" xr:uid="{00000000-0005-0000-0000-000003760000}"/>
    <cellStyle name="Total 3 2 2 2 9" xfId="30205" xr:uid="{00000000-0005-0000-0000-000004760000}"/>
    <cellStyle name="Total 3 2 2 20" xfId="30206" xr:uid="{00000000-0005-0000-0000-000005760000}"/>
    <cellStyle name="Total 3 2 2 3" xfId="30207" xr:uid="{00000000-0005-0000-0000-000006760000}"/>
    <cellStyle name="Total 3 2 2 3 2" xfId="30208" xr:uid="{00000000-0005-0000-0000-000007760000}"/>
    <cellStyle name="Total 3 2 2 3 3" xfId="30209" xr:uid="{00000000-0005-0000-0000-000008760000}"/>
    <cellStyle name="Total 3 2 2 4" xfId="30210" xr:uid="{00000000-0005-0000-0000-000009760000}"/>
    <cellStyle name="Total 3 2 2 5" xfId="30211" xr:uid="{00000000-0005-0000-0000-00000A760000}"/>
    <cellStyle name="Total 3 2 2 6" xfId="30212" xr:uid="{00000000-0005-0000-0000-00000B760000}"/>
    <cellStyle name="Total 3 2 2 7" xfId="30213" xr:uid="{00000000-0005-0000-0000-00000C760000}"/>
    <cellStyle name="Total 3 2 2 8" xfId="30214" xr:uid="{00000000-0005-0000-0000-00000D760000}"/>
    <cellStyle name="Total 3 2 2 9" xfId="30215" xr:uid="{00000000-0005-0000-0000-00000E760000}"/>
    <cellStyle name="Total 3 2 20" xfId="30216" xr:uid="{00000000-0005-0000-0000-00000F760000}"/>
    <cellStyle name="Total 3 2 21" xfId="30217" xr:uid="{00000000-0005-0000-0000-000010760000}"/>
    <cellStyle name="Total 3 2 3" xfId="30218" xr:uid="{00000000-0005-0000-0000-000011760000}"/>
    <cellStyle name="Total 3 2 3 10" xfId="30219" xr:uid="{00000000-0005-0000-0000-000012760000}"/>
    <cellStyle name="Total 3 2 3 11" xfId="30220" xr:uid="{00000000-0005-0000-0000-000013760000}"/>
    <cellStyle name="Total 3 2 3 12" xfId="30221" xr:uid="{00000000-0005-0000-0000-000014760000}"/>
    <cellStyle name="Total 3 2 3 13" xfId="30222" xr:uid="{00000000-0005-0000-0000-000015760000}"/>
    <cellStyle name="Total 3 2 3 14" xfId="30223" xr:uid="{00000000-0005-0000-0000-000016760000}"/>
    <cellStyle name="Total 3 2 3 15" xfId="30224" xr:uid="{00000000-0005-0000-0000-000017760000}"/>
    <cellStyle name="Total 3 2 3 16" xfId="30225" xr:uid="{00000000-0005-0000-0000-000018760000}"/>
    <cellStyle name="Total 3 2 3 17" xfId="30226" xr:uid="{00000000-0005-0000-0000-000019760000}"/>
    <cellStyle name="Total 3 2 3 18" xfId="30227" xr:uid="{00000000-0005-0000-0000-00001A760000}"/>
    <cellStyle name="Total 3 2 3 19" xfId="30228" xr:uid="{00000000-0005-0000-0000-00001B760000}"/>
    <cellStyle name="Total 3 2 3 2" xfId="30229" xr:uid="{00000000-0005-0000-0000-00001C760000}"/>
    <cellStyle name="Total 3 2 3 20" xfId="30230" xr:uid="{00000000-0005-0000-0000-00001D760000}"/>
    <cellStyle name="Total 3 2 3 21" xfId="30231" xr:uid="{00000000-0005-0000-0000-00001E760000}"/>
    <cellStyle name="Total 3 2 3 22" xfId="30232" xr:uid="{00000000-0005-0000-0000-00001F760000}"/>
    <cellStyle name="Total 3 2 3 23" xfId="30233" xr:uid="{00000000-0005-0000-0000-000020760000}"/>
    <cellStyle name="Total 3 2 3 24" xfId="30234" xr:uid="{00000000-0005-0000-0000-000021760000}"/>
    <cellStyle name="Total 3 2 3 25" xfId="30235" xr:uid="{00000000-0005-0000-0000-000022760000}"/>
    <cellStyle name="Total 3 2 3 26" xfId="30236" xr:uid="{00000000-0005-0000-0000-000023760000}"/>
    <cellStyle name="Total 3 2 3 27" xfId="30237" xr:uid="{00000000-0005-0000-0000-000024760000}"/>
    <cellStyle name="Total 3 2 3 28" xfId="30238" xr:uid="{00000000-0005-0000-0000-000025760000}"/>
    <cellStyle name="Total 3 2 3 29" xfId="30239" xr:uid="{00000000-0005-0000-0000-000026760000}"/>
    <cellStyle name="Total 3 2 3 3" xfId="30240" xr:uid="{00000000-0005-0000-0000-000027760000}"/>
    <cellStyle name="Total 3 2 3 30" xfId="30241" xr:uid="{00000000-0005-0000-0000-000028760000}"/>
    <cellStyle name="Total 3 2 3 31" xfId="30242" xr:uid="{00000000-0005-0000-0000-000029760000}"/>
    <cellStyle name="Total 3 2 3 32" xfId="30243" xr:uid="{00000000-0005-0000-0000-00002A760000}"/>
    <cellStyle name="Total 3 2 3 33" xfId="30244" xr:uid="{00000000-0005-0000-0000-00002B760000}"/>
    <cellStyle name="Total 3 2 3 34" xfId="30245" xr:uid="{00000000-0005-0000-0000-00002C760000}"/>
    <cellStyle name="Total 3 2 3 4" xfId="30246" xr:uid="{00000000-0005-0000-0000-00002D760000}"/>
    <cellStyle name="Total 3 2 3 5" xfId="30247" xr:uid="{00000000-0005-0000-0000-00002E760000}"/>
    <cellStyle name="Total 3 2 3 6" xfId="30248" xr:uid="{00000000-0005-0000-0000-00002F760000}"/>
    <cellStyle name="Total 3 2 3 7" xfId="30249" xr:uid="{00000000-0005-0000-0000-000030760000}"/>
    <cellStyle name="Total 3 2 3 8" xfId="30250" xr:uid="{00000000-0005-0000-0000-000031760000}"/>
    <cellStyle name="Total 3 2 3 9" xfId="30251" xr:uid="{00000000-0005-0000-0000-000032760000}"/>
    <cellStyle name="Total 3 2 4" xfId="30252" xr:uid="{00000000-0005-0000-0000-000033760000}"/>
    <cellStyle name="Total 3 2 4 2" xfId="30253" xr:uid="{00000000-0005-0000-0000-000034760000}"/>
    <cellStyle name="Total 3 2 4 3" xfId="30254" xr:uid="{00000000-0005-0000-0000-000035760000}"/>
    <cellStyle name="Total 3 2 5" xfId="30255" xr:uid="{00000000-0005-0000-0000-000036760000}"/>
    <cellStyle name="Total 3 2 6" xfId="30256" xr:uid="{00000000-0005-0000-0000-000037760000}"/>
    <cellStyle name="Total 3 2 7" xfId="30257" xr:uid="{00000000-0005-0000-0000-000038760000}"/>
    <cellStyle name="Total 3 2 8" xfId="30258" xr:uid="{00000000-0005-0000-0000-000039760000}"/>
    <cellStyle name="Total 3 2 9" xfId="30259" xr:uid="{00000000-0005-0000-0000-00003A760000}"/>
    <cellStyle name="Total 3 20" xfId="30260" xr:uid="{00000000-0005-0000-0000-00003B760000}"/>
    <cellStyle name="Total 3 21" xfId="30261" xr:uid="{00000000-0005-0000-0000-00003C760000}"/>
    <cellStyle name="Total 3 22" xfId="30262" xr:uid="{00000000-0005-0000-0000-00003D760000}"/>
    <cellStyle name="Total 3 3" xfId="30263" xr:uid="{00000000-0005-0000-0000-00003E760000}"/>
    <cellStyle name="Total 3 3 10" xfId="30264" xr:uid="{00000000-0005-0000-0000-00003F760000}"/>
    <cellStyle name="Total 3 3 11" xfId="30265" xr:uid="{00000000-0005-0000-0000-000040760000}"/>
    <cellStyle name="Total 3 3 12" xfId="30266" xr:uid="{00000000-0005-0000-0000-000041760000}"/>
    <cellStyle name="Total 3 3 13" xfId="30267" xr:uid="{00000000-0005-0000-0000-000042760000}"/>
    <cellStyle name="Total 3 3 14" xfId="30268" xr:uid="{00000000-0005-0000-0000-000043760000}"/>
    <cellStyle name="Total 3 3 15" xfId="30269" xr:uid="{00000000-0005-0000-0000-000044760000}"/>
    <cellStyle name="Total 3 3 16" xfId="30270" xr:uid="{00000000-0005-0000-0000-000045760000}"/>
    <cellStyle name="Total 3 3 17" xfId="30271" xr:uid="{00000000-0005-0000-0000-000046760000}"/>
    <cellStyle name="Total 3 3 18" xfId="30272" xr:uid="{00000000-0005-0000-0000-000047760000}"/>
    <cellStyle name="Total 3 3 19" xfId="30273" xr:uid="{00000000-0005-0000-0000-000048760000}"/>
    <cellStyle name="Total 3 3 2" xfId="30274" xr:uid="{00000000-0005-0000-0000-000049760000}"/>
    <cellStyle name="Total 3 3 2 10" xfId="30275" xr:uid="{00000000-0005-0000-0000-00004A760000}"/>
    <cellStyle name="Total 3 3 2 11" xfId="30276" xr:uid="{00000000-0005-0000-0000-00004B760000}"/>
    <cellStyle name="Total 3 3 2 12" xfId="30277" xr:uid="{00000000-0005-0000-0000-00004C760000}"/>
    <cellStyle name="Total 3 3 2 13" xfId="30278" xr:uid="{00000000-0005-0000-0000-00004D760000}"/>
    <cellStyle name="Total 3 3 2 14" xfId="30279" xr:uid="{00000000-0005-0000-0000-00004E760000}"/>
    <cellStyle name="Total 3 3 2 15" xfId="30280" xr:uid="{00000000-0005-0000-0000-00004F760000}"/>
    <cellStyle name="Total 3 3 2 16" xfId="30281" xr:uid="{00000000-0005-0000-0000-000050760000}"/>
    <cellStyle name="Total 3 3 2 17" xfId="30282" xr:uid="{00000000-0005-0000-0000-000051760000}"/>
    <cellStyle name="Total 3 3 2 18" xfId="30283" xr:uid="{00000000-0005-0000-0000-000052760000}"/>
    <cellStyle name="Total 3 3 2 19" xfId="30284" xr:uid="{00000000-0005-0000-0000-000053760000}"/>
    <cellStyle name="Total 3 3 2 2" xfId="30285" xr:uid="{00000000-0005-0000-0000-000054760000}"/>
    <cellStyle name="Total 3 3 2 20" xfId="30286" xr:uid="{00000000-0005-0000-0000-000055760000}"/>
    <cellStyle name="Total 3 3 2 21" xfId="30287" xr:uid="{00000000-0005-0000-0000-000056760000}"/>
    <cellStyle name="Total 3 3 2 22" xfId="30288" xr:uid="{00000000-0005-0000-0000-000057760000}"/>
    <cellStyle name="Total 3 3 2 23" xfId="30289" xr:uid="{00000000-0005-0000-0000-000058760000}"/>
    <cellStyle name="Total 3 3 2 24" xfId="30290" xr:uid="{00000000-0005-0000-0000-000059760000}"/>
    <cellStyle name="Total 3 3 2 25" xfId="30291" xr:uid="{00000000-0005-0000-0000-00005A760000}"/>
    <cellStyle name="Total 3 3 2 26" xfId="30292" xr:uid="{00000000-0005-0000-0000-00005B760000}"/>
    <cellStyle name="Total 3 3 2 27" xfId="30293" xr:uid="{00000000-0005-0000-0000-00005C760000}"/>
    <cellStyle name="Total 3 3 2 28" xfId="30294" xr:uid="{00000000-0005-0000-0000-00005D760000}"/>
    <cellStyle name="Total 3 3 2 29" xfId="30295" xr:uid="{00000000-0005-0000-0000-00005E760000}"/>
    <cellStyle name="Total 3 3 2 3" xfId="30296" xr:uid="{00000000-0005-0000-0000-00005F760000}"/>
    <cellStyle name="Total 3 3 2 30" xfId="30297" xr:uid="{00000000-0005-0000-0000-000060760000}"/>
    <cellStyle name="Total 3 3 2 31" xfId="30298" xr:uid="{00000000-0005-0000-0000-000061760000}"/>
    <cellStyle name="Total 3 3 2 32" xfId="30299" xr:uid="{00000000-0005-0000-0000-000062760000}"/>
    <cellStyle name="Total 3 3 2 33" xfId="30300" xr:uid="{00000000-0005-0000-0000-000063760000}"/>
    <cellStyle name="Total 3 3 2 34" xfId="30301" xr:uid="{00000000-0005-0000-0000-000064760000}"/>
    <cellStyle name="Total 3 3 2 4" xfId="30302" xr:uid="{00000000-0005-0000-0000-000065760000}"/>
    <cellStyle name="Total 3 3 2 5" xfId="30303" xr:uid="{00000000-0005-0000-0000-000066760000}"/>
    <cellStyle name="Total 3 3 2 6" xfId="30304" xr:uid="{00000000-0005-0000-0000-000067760000}"/>
    <cellStyle name="Total 3 3 2 7" xfId="30305" xr:uid="{00000000-0005-0000-0000-000068760000}"/>
    <cellStyle name="Total 3 3 2 8" xfId="30306" xr:uid="{00000000-0005-0000-0000-000069760000}"/>
    <cellStyle name="Total 3 3 2 9" xfId="30307" xr:uid="{00000000-0005-0000-0000-00006A760000}"/>
    <cellStyle name="Total 3 3 20" xfId="30308" xr:uid="{00000000-0005-0000-0000-00006B760000}"/>
    <cellStyle name="Total 3 3 3" xfId="30309" xr:uid="{00000000-0005-0000-0000-00006C760000}"/>
    <cellStyle name="Total 3 3 3 2" xfId="30310" xr:uid="{00000000-0005-0000-0000-00006D760000}"/>
    <cellStyle name="Total 3 3 3 3" xfId="30311" xr:uid="{00000000-0005-0000-0000-00006E760000}"/>
    <cellStyle name="Total 3 3 4" xfId="30312" xr:uid="{00000000-0005-0000-0000-00006F760000}"/>
    <cellStyle name="Total 3 3 5" xfId="30313" xr:uid="{00000000-0005-0000-0000-000070760000}"/>
    <cellStyle name="Total 3 3 6" xfId="30314" xr:uid="{00000000-0005-0000-0000-000071760000}"/>
    <cellStyle name="Total 3 3 7" xfId="30315" xr:uid="{00000000-0005-0000-0000-000072760000}"/>
    <cellStyle name="Total 3 3 8" xfId="30316" xr:uid="{00000000-0005-0000-0000-000073760000}"/>
    <cellStyle name="Total 3 3 9" xfId="30317" xr:uid="{00000000-0005-0000-0000-000074760000}"/>
    <cellStyle name="Total 3 4" xfId="30318" xr:uid="{00000000-0005-0000-0000-000075760000}"/>
    <cellStyle name="Total 3 4 10" xfId="30319" xr:uid="{00000000-0005-0000-0000-000076760000}"/>
    <cellStyle name="Total 3 4 11" xfId="30320" xr:uid="{00000000-0005-0000-0000-000077760000}"/>
    <cellStyle name="Total 3 4 12" xfId="30321" xr:uid="{00000000-0005-0000-0000-000078760000}"/>
    <cellStyle name="Total 3 4 13" xfId="30322" xr:uid="{00000000-0005-0000-0000-000079760000}"/>
    <cellStyle name="Total 3 4 14" xfId="30323" xr:uid="{00000000-0005-0000-0000-00007A760000}"/>
    <cellStyle name="Total 3 4 15" xfId="30324" xr:uid="{00000000-0005-0000-0000-00007B760000}"/>
    <cellStyle name="Total 3 4 16" xfId="30325" xr:uid="{00000000-0005-0000-0000-00007C760000}"/>
    <cellStyle name="Total 3 4 17" xfId="30326" xr:uid="{00000000-0005-0000-0000-00007D760000}"/>
    <cellStyle name="Total 3 4 18" xfId="30327" xr:uid="{00000000-0005-0000-0000-00007E760000}"/>
    <cellStyle name="Total 3 4 19" xfId="30328" xr:uid="{00000000-0005-0000-0000-00007F760000}"/>
    <cellStyle name="Total 3 4 2" xfId="30329" xr:uid="{00000000-0005-0000-0000-000080760000}"/>
    <cellStyle name="Total 3 4 20" xfId="30330" xr:uid="{00000000-0005-0000-0000-000081760000}"/>
    <cellStyle name="Total 3 4 21" xfId="30331" xr:uid="{00000000-0005-0000-0000-000082760000}"/>
    <cellStyle name="Total 3 4 22" xfId="30332" xr:uid="{00000000-0005-0000-0000-000083760000}"/>
    <cellStyle name="Total 3 4 23" xfId="30333" xr:uid="{00000000-0005-0000-0000-000084760000}"/>
    <cellStyle name="Total 3 4 24" xfId="30334" xr:uid="{00000000-0005-0000-0000-000085760000}"/>
    <cellStyle name="Total 3 4 25" xfId="30335" xr:uid="{00000000-0005-0000-0000-000086760000}"/>
    <cellStyle name="Total 3 4 26" xfId="30336" xr:uid="{00000000-0005-0000-0000-000087760000}"/>
    <cellStyle name="Total 3 4 27" xfId="30337" xr:uid="{00000000-0005-0000-0000-000088760000}"/>
    <cellStyle name="Total 3 4 28" xfId="30338" xr:uid="{00000000-0005-0000-0000-000089760000}"/>
    <cellStyle name="Total 3 4 29" xfId="30339" xr:uid="{00000000-0005-0000-0000-00008A760000}"/>
    <cellStyle name="Total 3 4 3" xfId="30340" xr:uid="{00000000-0005-0000-0000-00008B760000}"/>
    <cellStyle name="Total 3 4 30" xfId="30341" xr:uid="{00000000-0005-0000-0000-00008C760000}"/>
    <cellStyle name="Total 3 4 31" xfId="30342" xr:uid="{00000000-0005-0000-0000-00008D760000}"/>
    <cellStyle name="Total 3 4 32" xfId="30343" xr:uid="{00000000-0005-0000-0000-00008E760000}"/>
    <cellStyle name="Total 3 4 33" xfId="30344" xr:uid="{00000000-0005-0000-0000-00008F760000}"/>
    <cellStyle name="Total 3 4 34" xfId="30345" xr:uid="{00000000-0005-0000-0000-000090760000}"/>
    <cellStyle name="Total 3 4 4" xfId="30346" xr:uid="{00000000-0005-0000-0000-000091760000}"/>
    <cellStyle name="Total 3 4 5" xfId="30347" xr:uid="{00000000-0005-0000-0000-000092760000}"/>
    <cellStyle name="Total 3 4 6" xfId="30348" xr:uid="{00000000-0005-0000-0000-000093760000}"/>
    <cellStyle name="Total 3 4 7" xfId="30349" xr:uid="{00000000-0005-0000-0000-000094760000}"/>
    <cellStyle name="Total 3 4 8" xfId="30350" xr:uid="{00000000-0005-0000-0000-000095760000}"/>
    <cellStyle name="Total 3 4 9" xfId="30351" xr:uid="{00000000-0005-0000-0000-000096760000}"/>
    <cellStyle name="Total 3 5" xfId="30352" xr:uid="{00000000-0005-0000-0000-000097760000}"/>
    <cellStyle name="Total 3 5 2" xfId="30353" xr:uid="{00000000-0005-0000-0000-000098760000}"/>
    <cellStyle name="Total 3 5 3" xfId="30354" xr:uid="{00000000-0005-0000-0000-000099760000}"/>
    <cellStyle name="Total 3 6" xfId="30355" xr:uid="{00000000-0005-0000-0000-00009A760000}"/>
    <cellStyle name="Total 3 7" xfId="30356" xr:uid="{00000000-0005-0000-0000-00009B760000}"/>
    <cellStyle name="Total 3 8" xfId="30357" xr:uid="{00000000-0005-0000-0000-00009C760000}"/>
    <cellStyle name="Total 3 9" xfId="30358" xr:uid="{00000000-0005-0000-0000-00009D760000}"/>
    <cellStyle name="Total 4" xfId="30359" xr:uid="{00000000-0005-0000-0000-00009E760000}"/>
    <cellStyle name="Total 4 2" xfId="30360" xr:uid="{00000000-0005-0000-0000-00009F760000}"/>
    <cellStyle name="Total 4 2 2" xfId="30361" xr:uid="{00000000-0005-0000-0000-0000A0760000}"/>
    <cellStyle name="Total 4 3" xfId="30362" xr:uid="{00000000-0005-0000-0000-0000A1760000}"/>
    <cellStyle name="Total 4 3 10" xfId="30363" xr:uid="{00000000-0005-0000-0000-0000A2760000}"/>
    <cellStyle name="Total 4 3 11" xfId="30364" xr:uid="{00000000-0005-0000-0000-0000A3760000}"/>
    <cellStyle name="Total 4 3 12" xfId="30365" xr:uid="{00000000-0005-0000-0000-0000A4760000}"/>
    <cellStyle name="Total 4 3 13" xfId="30366" xr:uid="{00000000-0005-0000-0000-0000A5760000}"/>
    <cellStyle name="Total 4 3 14" xfId="30367" xr:uid="{00000000-0005-0000-0000-0000A6760000}"/>
    <cellStyle name="Total 4 3 15" xfId="30368" xr:uid="{00000000-0005-0000-0000-0000A7760000}"/>
    <cellStyle name="Total 4 3 16" xfId="30369" xr:uid="{00000000-0005-0000-0000-0000A8760000}"/>
    <cellStyle name="Total 4 3 17" xfId="30370" xr:uid="{00000000-0005-0000-0000-0000A9760000}"/>
    <cellStyle name="Total 4 3 18" xfId="30371" xr:uid="{00000000-0005-0000-0000-0000AA760000}"/>
    <cellStyle name="Total 4 3 19" xfId="30372" xr:uid="{00000000-0005-0000-0000-0000AB760000}"/>
    <cellStyle name="Total 4 3 2" xfId="30373" xr:uid="{00000000-0005-0000-0000-0000AC760000}"/>
    <cellStyle name="Total 4 3 2 10" xfId="30374" xr:uid="{00000000-0005-0000-0000-0000AD760000}"/>
    <cellStyle name="Total 4 3 2 11" xfId="30375" xr:uid="{00000000-0005-0000-0000-0000AE760000}"/>
    <cellStyle name="Total 4 3 2 12" xfId="30376" xr:uid="{00000000-0005-0000-0000-0000AF760000}"/>
    <cellStyle name="Total 4 3 2 13" xfId="30377" xr:uid="{00000000-0005-0000-0000-0000B0760000}"/>
    <cellStyle name="Total 4 3 2 14" xfId="30378" xr:uid="{00000000-0005-0000-0000-0000B1760000}"/>
    <cellStyle name="Total 4 3 2 15" xfId="30379" xr:uid="{00000000-0005-0000-0000-0000B2760000}"/>
    <cellStyle name="Total 4 3 2 16" xfId="30380" xr:uid="{00000000-0005-0000-0000-0000B3760000}"/>
    <cellStyle name="Total 4 3 2 17" xfId="30381" xr:uid="{00000000-0005-0000-0000-0000B4760000}"/>
    <cellStyle name="Total 4 3 2 18" xfId="30382" xr:uid="{00000000-0005-0000-0000-0000B5760000}"/>
    <cellStyle name="Total 4 3 2 19" xfId="30383" xr:uid="{00000000-0005-0000-0000-0000B6760000}"/>
    <cellStyle name="Total 4 3 2 2" xfId="30384" xr:uid="{00000000-0005-0000-0000-0000B7760000}"/>
    <cellStyle name="Total 4 3 2 20" xfId="30385" xr:uid="{00000000-0005-0000-0000-0000B8760000}"/>
    <cellStyle name="Total 4 3 2 21" xfId="30386" xr:uid="{00000000-0005-0000-0000-0000B9760000}"/>
    <cellStyle name="Total 4 3 2 22" xfId="30387" xr:uid="{00000000-0005-0000-0000-0000BA760000}"/>
    <cellStyle name="Total 4 3 2 23" xfId="30388" xr:uid="{00000000-0005-0000-0000-0000BB760000}"/>
    <cellStyle name="Total 4 3 2 24" xfId="30389" xr:uid="{00000000-0005-0000-0000-0000BC760000}"/>
    <cellStyle name="Total 4 3 2 25" xfId="30390" xr:uid="{00000000-0005-0000-0000-0000BD760000}"/>
    <cellStyle name="Total 4 3 2 26" xfId="30391" xr:uid="{00000000-0005-0000-0000-0000BE760000}"/>
    <cellStyle name="Total 4 3 2 27" xfId="30392" xr:uid="{00000000-0005-0000-0000-0000BF760000}"/>
    <cellStyle name="Total 4 3 2 28" xfId="30393" xr:uid="{00000000-0005-0000-0000-0000C0760000}"/>
    <cellStyle name="Total 4 3 2 29" xfId="30394" xr:uid="{00000000-0005-0000-0000-0000C1760000}"/>
    <cellStyle name="Total 4 3 2 3" xfId="30395" xr:uid="{00000000-0005-0000-0000-0000C2760000}"/>
    <cellStyle name="Total 4 3 2 30" xfId="30396" xr:uid="{00000000-0005-0000-0000-0000C3760000}"/>
    <cellStyle name="Total 4 3 2 31" xfId="30397" xr:uid="{00000000-0005-0000-0000-0000C4760000}"/>
    <cellStyle name="Total 4 3 2 32" xfId="30398" xr:uid="{00000000-0005-0000-0000-0000C5760000}"/>
    <cellStyle name="Total 4 3 2 33" xfId="30399" xr:uid="{00000000-0005-0000-0000-0000C6760000}"/>
    <cellStyle name="Total 4 3 2 34" xfId="30400" xr:uid="{00000000-0005-0000-0000-0000C7760000}"/>
    <cellStyle name="Total 4 3 2 4" xfId="30401" xr:uid="{00000000-0005-0000-0000-0000C8760000}"/>
    <cellStyle name="Total 4 3 2 5" xfId="30402" xr:uid="{00000000-0005-0000-0000-0000C9760000}"/>
    <cellStyle name="Total 4 3 2 6" xfId="30403" xr:uid="{00000000-0005-0000-0000-0000CA760000}"/>
    <cellStyle name="Total 4 3 2 7" xfId="30404" xr:uid="{00000000-0005-0000-0000-0000CB760000}"/>
    <cellStyle name="Total 4 3 2 8" xfId="30405" xr:uid="{00000000-0005-0000-0000-0000CC760000}"/>
    <cellStyle name="Total 4 3 2 9" xfId="30406" xr:uid="{00000000-0005-0000-0000-0000CD760000}"/>
    <cellStyle name="Total 4 3 20" xfId="30407" xr:uid="{00000000-0005-0000-0000-0000CE760000}"/>
    <cellStyle name="Total 4 3 3" xfId="30408" xr:uid="{00000000-0005-0000-0000-0000CF760000}"/>
    <cellStyle name="Total 4 3 3 2" xfId="30409" xr:uid="{00000000-0005-0000-0000-0000D0760000}"/>
    <cellStyle name="Total 4 3 3 3" xfId="30410" xr:uid="{00000000-0005-0000-0000-0000D1760000}"/>
    <cellStyle name="Total 4 3 4" xfId="30411" xr:uid="{00000000-0005-0000-0000-0000D2760000}"/>
    <cellStyle name="Total 4 3 5" xfId="30412" xr:uid="{00000000-0005-0000-0000-0000D3760000}"/>
    <cellStyle name="Total 4 3 6" xfId="30413" xr:uid="{00000000-0005-0000-0000-0000D4760000}"/>
    <cellStyle name="Total 4 3 7" xfId="30414" xr:uid="{00000000-0005-0000-0000-0000D5760000}"/>
    <cellStyle name="Total 4 3 8" xfId="30415" xr:uid="{00000000-0005-0000-0000-0000D6760000}"/>
    <cellStyle name="Total 4 3 9" xfId="30416" xr:uid="{00000000-0005-0000-0000-0000D7760000}"/>
    <cellStyle name="Total 5" xfId="30417" xr:uid="{00000000-0005-0000-0000-0000D8760000}"/>
    <cellStyle name="Total 5 10" xfId="30418" xr:uid="{00000000-0005-0000-0000-0000D9760000}"/>
    <cellStyle name="Total 5 11" xfId="30419" xr:uid="{00000000-0005-0000-0000-0000DA760000}"/>
    <cellStyle name="Total 5 12" xfId="30420" xr:uid="{00000000-0005-0000-0000-0000DB760000}"/>
    <cellStyle name="Total 5 13" xfId="30421" xr:uid="{00000000-0005-0000-0000-0000DC760000}"/>
    <cellStyle name="Total 5 14" xfId="30422" xr:uid="{00000000-0005-0000-0000-0000DD760000}"/>
    <cellStyle name="Total 5 15" xfId="30423" xr:uid="{00000000-0005-0000-0000-0000DE760000}"/>
    <cellStyle name="Total 5 16" xfId="30424" xr:uid="{00000000-0005-0000-0000-0000DF760000}"/>
    <cellStyle name="Total 5 17" xfId="30425" xr:uid="{00000000-0005-0000-0000-0000E0760000}"/>
    <cellStyle name="Total 5 18" xfId="30426" xr:uid="{00000000-0005-0000-0000-0000E1760000}"/>
    <cellStyle name="Total 5 19" xfId="30427" xr:uid="{00000000-0005-0000-0000-0000E2760000}"/>
    <cellStyle name="Total 5 2" xfId="30428" xr:uid="{00000000-0005-0000-0000-0000E3760000}"/>
    <cellStyle name="Total 5 2 10" xfId="30429" xr:uid="{00000000-0005-0000-0000-0000E4760000}"/>
    <cellStyle name="Total 5 2 11" xfId="30430" xr:uid="{00000000-0005-0000-0000-0000E5760000}"/>
    <cellStyle name="Total 5 2 12" xfId="30431" xr:uid="{00000000-0005-0000-0000-0000E6760000}"/>
    <cellStyle name="Total 5 2 13" xfId="30432" xr:uid="{00000000-0005-0000-0000-0000E7760000}"/>
    <cellStyle name="Total 5 2 14" xfId="30433" xr:uid="{00000000-0005-0000-0000-0000E8760000}"/>
    <cellStyle name="Total 5 2 15" xfId="30434" xr:uid="{00000000-0005-0000-0000-0000E9760000}"/>
    <cellStyle name="Total 5 2 16" xfId="30435" xr:uid="{00000000-0005-0000-0000-0000EA760000}"/>
    <cellStyle name="Total 5 2 17" xfId="30436" xr:uid="{00000000-0005-0000-0000-0000EB760000}"/>
    <cellStyle name="Total 5 2 18" xfId="30437" xr:uid="{00000000-0005-0000-0000-0000EC760000}"/>
    <cellStyle name="Total 5 2 19" xfId="30438" xr:uid="{00000000-0005-0000-0000-0000ED760000}"/>
    <cellStyle name="Total 5 2 2" xfId="30439" xr:uid="{00000000-0005-0000-0000-0000EE760000}"/>
    <cellStyle name="Total 5 2 2 10" xfId="30440" xr:uid="{00000000-0005-0000-0000-0000EF760000}"/>
    <cellStyle name="Total 5 2 2 11" xfId="30441" xr:uid="{00000000-0005-0000-0000-0000F0760000}"/>
    <cellStyle name="Total 5 2 2 12" xfId="30442" xr:uid="{00000000-0005-0000-0000-0000F1760000}"/>
    <cellStyle name="Total 5 2 2 13" xfId="30443" xr:uid="{00000000-0005-0000-0000-0000F2760000}"/>
    <cellStyle name="Total 5 2 2 14" xfId="30444" xr:uid="{00000000-0005-0000-0000-0000F3760000}"/>
    <cellStyle name="Total 5 2 2 15" xfId="30445" xr:uid="{00000000-0005-0000-0000-0000F4760000}"/>
    <cellStyle name="Total 5 2 2 16" xfId="30446" xr:uid="{00000000-0005-0000-0000-0000F5760000}"/>
    <cellStyle name="Total 5 2 2 17" xfId="30447" xr:uid="{00000000-0005-0000-0000-0000F6760000}"/>
    <cellStyle name="Total 5 2 2 18" xfId="30448" xr:uid="{00000000-0005-0000-0000-0000F7760000}"/>
    <cellStyle name="Total 5 2 2 19" xfId="30449" xr:uid="{00000000-0005-0000-0000-0000F8760000}"/>
    <cellStyle name="Total 5 2 2 2" xfId="30450" xr:uid="{00000000-0005-0000-0000-0000F9760000}"/>
    <cellStyle name="Total 5 2 2 20" xfId="30451" xr:uid="{00000000-0005-0000-0000-0000FA760000}"/>
    <cellStyle name="Total 5 2 2 21" xfId="30452" xr:uid="{00000000-0005-0000-0000-0000FB760000}"/>
    <cellStyle name="Total 5 2 2 22" xfId="30453" xr:uid="{00000000-0005-0000-0000-0000FC760000}"/>
    <cellStyle name="Total 5 2 2 23" xfId="30454" xr:uid="{00000000-0005-0000-0000-0000FD760000}"/>
    <cellStyle name="Total 5 2 2 24" xfId="30455" xr:uid="{00000000-0005-0000-0000-0000FE760000}"/>
    <cellStyle name="Total 5 2 2 25" xfId="30456" xr:uid="{00000000-0005-0000-0000-0000FF760000}"/>
    <cellStyle name="Total 5 2 2 26" xfId="30457" xr:uid="{00000000-0005-0000-0000-000000770000}"/>
    <cellStyle name="Total 5 2 2 27" xfId="30458" xr:uid="{00000000-0005-0000-0000-000001770000}"/>
    <cellStyle name="Total 5 2 2 28" xfId="30459" xr:uid="{00000000-0005-0000-0000-000002770000}"/>
    <cellStyle name="Total 5 2 2 29" xfId="30460" xr:uid="{00000000-0005-0000-0000-000003770000}"/>
    <cellStyle name="Total 5 2 2 3" xfId="30461" xr:uid="{00000000-0005-0000-0000-000004770000}"/>
    <cellStyle name="Total 5 2 2 30" xfId="30462" xr:uid="{00000000-0005-0000-0000-000005770000}"/>
    <cellStyle name="Total 5 2 2 31" xfId="30463" xr:uid="{00000000-0005-0000-0000-000006770000}"/>
    <cellStyle name="Total 5 2 2 32" xfId="30464" xr:uid="{00000000-0005-0000-0000-000007770000}"/>
    <cellStyle name="Total 5 2 2 33" xfId="30465" xr:uid="{00000000-0005-0000-0000-000008770000}"/>
    <cellStyle name="Total 5 2 2 34" xfId="30466" xr:uid="{00000000-0005-0000-0000-000009770000}"/>
    <cellStyle name="Total 5 2 2 4" xfId="30467" xr:uid="{00000000-0005-0000-0000-00000A770000}"/>
    <cellStyle name="Total 5 2 2 5" xfId="30468" xr:uid="{00000000-0005-0000-0000-00000B770000}"/>
    <cellStyle name="Total 5 2 2 6" xfId="30469" xr:uid="{00000000-0005-0000-0000-00000C770000}"/>
    <cellStyle name="Total 5 2 2 7" xfId="30470" xr:uid="{00000000-0005-0000-0000-00000D770000}"/>
    <cellStyle name="Total 5 2 2 8" xfId="30471" xr:uid="{00000000-0005-0000-0000-00000E770000}"/>
    <cellStyle name="Total 5 2 2 9" xfId="30472" xr:uid="{00000000-0005-0000-0000-00000F770000}"/>
    <cellStyle name="Total 5 2 20" xfId="30473" xr:uid="{00000000-0005-0000-0000-000010770000}"/>
    <cellStyle name="Total 5 2 3" xfId="30474" xr:uid="{00000000-0005-0000-0000-000011770000}"/>
    <cellStyle name="Total 5 2 3 2" xfId="30475" xr:uid="{00000000-0005-0000-0000-000012770000}"/>
    <cellStyle name="Total 5 2 3 3" xfId="30476" xr:uid="{00000000-0005-0000-0000-000013770000}"/>
    <cellStyle name="Total 5 2 4" xfId="30477" xr:uid="{00000000-0005-0000-0000-000014770000}"/>
    <cellStyle name="Total 5 2 5" xfId="30478" xr:uid="{00000000-0005-0000-0000-000015770000}"/>
    <cellStyle name="Total 5 2 6" xfId="30479" xr:uid="{00000000-0005-0000-0000-000016770000}"/>
    <cellStyle name="Total 5 2 7" xfId="30480" xr:uid="{00000000-0005-0000-0000-000017770000}"/>
    <cellStyle name="Total 5 2 8" xfId="30481" xr:uid="{00000000-0005-0000-0000-000018770000}"/>
    <cellStyle name="Total 5 2 9" xfId="30482" xr:uid="{00000000-0005-0000-0000-000019770000}"/>
    <cellStyle name="Total 5 20" xfId="30483" xr:uid="{00000000-0005-0000-0000-00001A770000}"/>
    <cellStyle name="Total 5 21" xfId="30484" xr:uid="{00000000-0005-0000-0000-00001B770000}"/>
    <cellStyle name="Total 5 3" xfId="30485" xr:uid="{00000000-0005-0000-0000-00001C770000}"/>
    <cellStyle name="Total 5 3 10" xfId="30486" xr:uid="{00000000-0005-0000-0000-00001D770000}"/>
    <cellStyle name="Total 5 3 11" xfId="30487" xr:uid="{00000000-0005-0000-0000-00001E770000}"/>
    <cellStyle name="Total 5 3 12" xfId="30488" xr:uid="{00000000-0005-0000-0000-00001F770000}"/>
    <cellStyle name="Total 5 3 13" xfId="30489" xr:uid="{00000000-0005-0000-0000-000020770000}"/>
    <cellStyle name="Total 5 3 14" xfId="30490" xr:uid="{00000000-0005-0000-0000-000021770000}"/>
    <cellStyle name="Total 5 3 15" xfId="30491" xr:uid="{00000000-0005-0000-0000-000022770000}"/>
    <cellStyle name="Total 5 3 16" xfId="30492" xr:uid="{00000000-0005-0000-0000-000023770000}"/>
    <cellStyle name="Total 5 3 17" xfId="30493" xr:uid="{00000000-0005-0000-0000-000024770000}"/>
    <cellStyle name="Total 5 3 18" xfId="30494" xr:uid="{00000000-0005-0000-0000-000025770000}"/>
    <cellStyle name="Total 5 3 19" xfId="30495" xr:uid="{00000000-0005-0000-0000-000026770000}"/>
    <cellStyle name="Total 5 3 2" xfId="30496" xr:uid="{00000000-0005-0000-0000-000027770000}"/>
    <cellStyle name="Total 5 3 20" xfId="30497" xr:uid="{00000000-0005-0000-0000-000028770000}"/>
    <cellStyle name="Total 5 3 21" xfId="30498" xr:uid="{00000000-0005-0000-0000-000029770000}"/>
    <cellStyle name="Total 5 3 22" xfId="30499" xr:uid="{00000000-0005-0000-0000-00002A770000}"/>
    <cellStyle name="Total 5 3 23" xfId="30500" xr:uid="{00000000-0005-0000-0000-00002B770000}"/>
    <cellStyle name="Total 5 3 24" xfId="30501" xr:uid="{00000000-0005-0000-0000-00002C770000}"/>
    <cellStyle name="Total 5 3 25" xfId="30502" xr:uid="{00000000-0005-0000-0000-00002D770000}"/>
    <cellStyle name="Total 5 3 26" xfId="30503" xr:uid="{00000000-0005-0000-0000-00002E770000}"/>
    <cellStyle name="Total 5 3 27" xfId="30504" xr:uid="{00000000-0005-0000-0000-00002F770000}"/>
    <cellStyle name="Total 5 3 28" xfId="30505" xr:uid="{00000000-0005-0000-0000-000030770000}"/>
    <cellStyle name="Total 5 3 29" xfId="30506" xr:uid="{00000000-0005-0000-0000-000031770000}"/>
    <cellStyle name="Total 5 3 3" xfId="30507" xr:uid="{00000000-0005-0000-0000-000032770000}"/>
    <cellStyle name="Total 5 3 30" xfId="30508" xr:uid="{00000000-0005-0000-0000-000033770000}"/>
    <cellStyle name="Total 5 3 31" xfId="30509" xr:uid="{00000000-0005-0000-0000-000034770000}"/>
    <cellStyle name="Total 5 3 32" xfId="30510" xr:uid="{00000000-0005-0000-0000-000035770000}"/>
    <cellStyle name="Total 5 3 33" xfId="30511" xr:uid="{00000000-0005-0000-0000-000036770000}"/>
    <cellStyle name="Total 5 3 34" xfId="30512" xr:uid="{00000000-0005-0000-0000-000037770000}"/>
    <cellStyle name="Total 5 3 4" xfId="30513" xr:uid="{00000000-0005-0000-0000-000038770000}"/>
    <cellStyle name="Total 5 3 5" xfId="30514" xr:uid="{00000000-0005-0000-0000-000039770000}"/>
    <cellStyle name="Total 5 3 6" xfId="30515" xr:uid="{00000000-0005-0000-0000-00003A770000}"/>
    <cellStyle name="Total 5 3 7" xfId="30516" xr:uid="{00000000-0005-0000-0000-00003B770000}"/>
    <cellStyle name="Total 5 3 8" xfId="30517" xr:uid="{00000000-0005-0000-0000-00003C770000}"/>
    <cellStyle name="Total 5 3 9" xfId="30518" xr:uid="{00000000-0005-0000-0000-00003D770000}"/>
    <cellStyle name="Total 5 4" xfId="30519" xr:uid="{00000000-0005-0000-0000-00003E770000}"/>
    <cellStyle name="Total 5 4 2" xfId="30520" xr:uid="{00000000-0005-0000-0000-00003F770000}"/>
    <cellStyle name="Total 5 4 3" xfId="30521" xr:uid="{00000000-0005-0000-0000-000040770000}"/>
    <cellStyle name="Total 5 5" xfId="30522" xr:uid="{00000000-0005-0000-0000-000041770000}"/>
    <cellStyle name="Total 5 6" xfId="30523" xr:uid="{00000000-0005-0000-0000-000042770000}"/>
    <cellStyle name="Total 5 7" xfId="30524" xr:uid="{00000000-0005-0000-0000-000043770000}"/>
    <cellStyle name="Total 5 8" xfId="30525" xr:uid="{00000000-0005-0000-0000-000044770000}"/>
    <cellStyle name="Total 5 9" xfId="30526" xr:uid="{00000000-0005-0000-0000-000045770000}"/>
    <cellStyle name="Total 6" xfId="30527" xr:uid="{00000000-0005-0000-0000-000046770000}"/>
    <cellStyle name="Total 6 10" xfId="30528" xr:uid="{00000000-0005-0000-0000-000047770000}"/>
    <cellStyle name="Total 6 11" xfId="30529" xr:uid="{00000000-0005-0000-0000-000048770000}"/>
    <cellStyle name="Total 6 12" xfId="30530" xr:uid="{00000000-0005-0000-0000-000049770000}"/>
    <cellStyle name="Total 6 13" xfId="30531" xr:uid="{00000000-0005-0000-0000-00004A770000}"/>
    <cellStyle name="Total 6 14" xfId="30532" xr:uid="{00000000-0005-0000-0000-00004B770000}"/>
    <cellStyle name="Total 6 15" xfId="30533" xr:uid="{00000000-0005-0000-0000-00004C770000}"/>
    <cellStyle name="Total 6 16" xfId="30534" xr:uid="{00000000-0005-0000-0000-00004D770000}"/>
    <cellStyle name="Total 6 17" xfId="30535" xr:uid="{00000000-0005-0000-0000-00004E770000}"/>
    <cellStyle name="Total 6 18" xfId="30536" xr:uid="{00000000-0005-0000-0000-00004F770000}"/>
    <cellStyle name="Total 6 19" xfId="30537" xr:uid="{00000000-0005-0000-0000-000050770000}"/>
    <cellStyle name="Total 6 2" xfId="30538" xr:uid="{00000000-0005-0000-0000-000051770000}"/>
    <cellStyle name="Total 6 2 10" xfId="30539" xr:uid="{00000000-0005-0000-0000-000052770000}"/>
    <cellStyle name="Total 6 2 11" xfId="30540" xr:uid="{00000000-0005-0000-0000-000053770000}"/>
    <cellStyle name="Total 6 2 12" xfId="30541" xr:uid="{00000000-0005-0000-0000-000054770000}"/>
    <cellStyle name="Total 6 2 13" xfId="30542" xr:uid="{00000000-0005-0000-0000-000055770000}"/>
    <cellStyle name="Total 6 2 14" xfId="30543" xr:uid="{00000000-0005-0000-0000-000056770000}"/>
    <cellStyle name="Total 6 2 15" xfId="30544" xr:uid="{00000000-0005-0000-0000-000057770000}"/>
    <cellStyle name="Total 6 2 16" xfId="30545" xr:uid="{00000000-0005-0000-0000-000058770000}"/>
    <cellStyle name="Total 6 2 17" xfId="30546" xr:uid="{00000000-0005-0000-0000-000059770000}"/>
    <cellStyle name="Total 6 2 18" xfId="30547" xr:uid="{00000000-0005-0000-0000-00005A770000}"/>
    <cellStyle name="Total 6 2 19" xfId="30548" xr:uid="{00000000-0005-0000-0000-00005B770000}"/>
    <cellStyle name="Total 6 2 2" xfId="30549" xr:uid="{00000000-0005-0000-0000-00005C770000}"/>
    <cellStyle name="Total 6 2 2 10" xfId="30550" xr:uid="{00000000-0005-0000-0000-00005D770000}"/>
    <cellStyle name="Total 6 2 2 11" xfId="30551" xr:uid="{00000000-0005-0000-0000-00005E770000}"/>
    <cellStyle name="Total 6 2 2 12" xfId="30552" xr:uid="{00000000-0005-0000-0000-00005F770000}"/>
    <cellStyle name="Total 6 2 2 13" xfId="30553" xr:uid="{00000000-0005-0000-0000-000060770000}"/>
    <cellStyle name="Total 6 2 2 14" xfId="30554" xr:uid="{00000000-0005-0000-0000-000061770000}"/>
    <cellStyle name="Total 6 2 2 15" xfId="30555" xr:uid="{00000000-0005-0000-0000-000062770000}"/>
    <cellStyle name="Total 6 2 2 16" xfId="30556" xr:uid="{00000000-0005-0000-0000-000063770000}"/>
    <cellStyle name="Total 6 2 2 17" xfId="30557" xr:uid="{00000000-0005-0000-0000-000064770000}"/>
    <cellStyle name="Total 6 2 2 18" xfId="30558" xr:uid="{00000000-0005-0000-0000-000065770000}"/>
    <cellStyle name="Total 6 2 2 19" xfId="30559" xr:uid="{00000000-0005-0000-0000-000066770000}"/>
    <cellStyle name="Total 6 2 2 2" xfId="30560" xr:uid="{00000000-0005-0000-0000-000067770000}"/>
    <cellStyle name="Total 6 2 2 20" xfId="30561" xr:uid="{00000000-0005-0000-0000-000068770000}"/>
    <cellStyle name="Total 6 2 2 21" xfId="30562" xr:uid="{00000000-0005-0000-0000-000069770000}"/>
    <cellStyle name="Total 6 2 2 22" xfId="30563" xr:uid="{00000000-0005-0000-0000-00006A770000}"/>
    <cellStyle name="Total 6 2 2 23" xfId="30564" xr:uid="{00000000-0005-0000-0000-00006B770000}"/>
    <cellStyle name="Total 6 2 2 24" xfId="30565" xr:uid="{00000000-0005-0000-0000-00006C770000}"/>
    <cellStyle name="Total 6 2 2 25" xfId="30566" xr:uid="{00000000-0005-0000-0000-00006D770000}"/>
    <cellStyle name="Total 6 2 2 26" xfId="30567" xr:uid="{00000000-0005-0000-0000-00006E770000}"/>
    <cellStyle name="Total 6 2 2 27" xfId="30568" xr:uid="{00000000-0005-0000-0000-00006F770000}"/>
    <cellStyle name="Total 6 2 2 28" xfId="30569" xr:uid="{00000000-0005-0000-0000-000070770000}"/>
    <cellStyle name="Total 6 2 2 29" xfId="30570" xr:uid="{00000000-0005-0000-0000-000071770000}"/>
    <cellStyle name="Total 6 2 2 3" xfId="30571" xr:uid="{00000000-0005-0000-0000-000072770000}"/>
    <cellStyle name="Total 6 2 2 30" xfId="30572" xr:uid="{00000000-0005-0000-0000-000073770000}"/>
    <cellStyle name="Total 6 2 2 31" xfId="30573" xr:uid="{00000000-0005-0000-0000-000074770000}"/>
    <cellStyle name="Total 6 2 2 32" xfId="30574" xr:uid="{00000000-0005-0000-0000-000075770000}"/>
    <cellStyle name="Total 6 2 2 33" xfId="30575" xr:uid="{00000000-0005-0000-0000-000076770000}"/>
    <cellStyle name="Total 6 2 2 34" xfId="30576" xr:uid="{00000000-0005-0000-0000-000077770000}"/>
    <cellStyle name="Total 6 2 2 4" xfId="30577" xr:uid="{00000000-0005-0000-0000-000078770000}"/>
    <cellStyle name="Total 6 2 2 5" xfId="30578" xr:uid="{00000000-0005-0000-0000-000079770000}"/>
    <cellStyle name="Total 6 2 2 6" xfId="30579" xr:uid="{00000000-0005-0000-0000-00007A770000}"/>
    <cellStyle name="Total 6 2 2 7" xfId="30580" xr:uid="{00000000-0005-0000-0000-00007B770000}"/>
    <cellStyle name="Total 6 2 2 8" xfId="30581" xr:uid="{00000000-0005-0000-0000-00007C770000}"/>
    <cellStyle name="Total 6 2 2 9" xfId="30582" xr:uid="{00000000-0005-0000-0000-00007D770000}"/>
    <cellStyle name="Total 6 2 20" xfId="30583" xr:uid="{00000000-0005-0000-0000-00007E770000}"/>
    <cellStyle name="Total 6 2 3" xfId="30584" xr:uid="{00000000-0005-0000-0000-00007F770000}"/>
    <cellStyle name="Total 6 2 3 2" xfId="30585" xr:uid="{00000000-0005-0000-0000-000080770000}"/>
    <cellStyle name="Total 6 2 3 3" xfId="30586" xr:uid="{00000000-0005-0000-0000-000081770000}"/>
    <cellStyle name="Total 6 2 4" xfId="30587" xr:uid="{00000000-0005-0000-0000-000082770000}"/>
    <cellStyle name="Total 6 2 5" xfId="30588" xr:uid="{00000000-0005-0000-0000-000083770000}"/>
    <cellStyle name="Total 6 2 6" xfId="30589" xr:uid="{00000000-0005-0000-0000-000084770000}"/>
    <cellStyle name="Total 6 2 7" xfId="30590" xr:uid="{00000000-0005-0000-0000-000085770000}"/>
    <cellStyle name="Total 6 2 8" xfId="30591" xr:uid="{00000000-0005-0000-0000-000086770000}"/>
    <cellStyle name="Total 6 2 9" xfId="30592" xr:uid="{00000000-0005-0000-0000-000087770000}"/>
    <cellStyle name="Total 6 20" xfId="30593" xr:uid="{00000000-0005-0000-0000-000088770000}"/>
    <cellStyle name="Total 6 21" xfId="30594" xr:uid="{00000000-0005-0000-0000-000089770000}"/>
    <cellStyle name="Total 6 3" xfId="30595" xr:uid="{00000000-0005-0000-0000-00008A770000}"/>
    <cellStyle name="Total 6 3 10" xfId="30596" xr:uid="{00000000-0005-0000-0000-00008B770000}"/>
    <cellStyle name="Total 6 3 11" xfId="30597" xr:uid="{00000000-0005-0000-0000-00008C770000}"/>
    <cellStyle name="Total 6 3 12" xfId="30598" xr:uid="{00000000-0005-0000-0000-00008D770000}"/>
    <cellStyle name="Total 6 3 13" xfId="30599" xr:uid="{00000000-0005-0000-0000-00008E770000}"/>
    <cellStyle name="Total 6 3 14" xfId="30600" xr:uid="{00000000-0005-0000-0000-00008F770000}"/>
    <cellStyle name="Total 6 3 15" xfId="30601" xr:uid="{00000000-0005-0000-0000-000090770000}"/>
    <cellStyle name="Total 6 3 16" xfId="30602" xr:uid="{00000000-0005-0000-0000-000091770000}"/>
    <cellStyle name="Total 6 3 17" xfId="30603" xr:uid="{00000000-0005-0000-0000-000092770000}"/>
    <cellStyle name="Total 6 3 18" xfId="30604" xr:uid="{00000000-0005-0000-0000-000093770000}"/>
    <cellStyle name="Total 6 3 19" xfId="30605" xr:uid="{00000000-0005-0000-0000-000094770000}"/>
    <cellStyle name="Total 6 3 2" xfId="30606" xr:uid="{00000000-0005-0000-0000-000095770000}"/>
    <cellStyle name="Total 6 3 20" xfId="30607" xr:uid="{00000000-0005-0000-0000-000096770000}"/>
    <cellStyle name="Total 6 3 21" xfId="30608" xr:uid="{00000000-0005-0000-0000-000097770000}"/>
    <cellStyle name="Total 6 3 22" xfId="30609" xr:uid="{00000000-0005-0000-0000-000098770000}"/>
    <cellStyle name="Total 6 3 23" xfId="30610" xr:uid="{00000000-0005-0000-0000-000099770000}"/>
    <cellStyle name="Total 6 3 24" xfId="30611" xr:uid="{00000000-0005-0000-0000-00009A770000}"/>
    <cellStyle name="Total 6 3 25" xfId="30612" xr:uid="{00000000-0005-0000-0000-00009B770000}"/>
    <cellStyle name="Total 6 3 26" xfId="30613" xr:uid="{00000000-0005-0000-0000-00009C770000}"/>
    <cellStyle name="Total 6 3 27" xfId="30614" xr:uid="{00000000-0005-0000-0000-00009D770000}"/>
    <cellStyle name="Total 6 3 28" xfId="30615" xr:uid="{00000000-0005-0000-0000-00009E770000}"/>
    <cellStyle name="Total 6 3 29" xfId="30616" xr:uid="{00000000-0005-0000-0000-00009F770000}"/>
    <cellStyle name="Total 6 3 3" xfId="30617" xr:uid="{00000000-0005-0000-0000-0000A0770000}"/>
    <cellStyle name="Total 6 3 30" xfId="30618" xr:uid="{00000000-0005-0000-0000-0000A1770000}"/>
    <cellStyle name="Total 6 3 31" xfId="30619" xr:uid="{00000000-0005-0000-0000-0000A2770000}"/>
    <cellStyle name="Total 6 3 32" xfId="30620" xr:uid="{00000000-0005-0000-0000-0000A3770000}"/>
    <cellStyle name="Total 6 3 33" xfId="30621" xr:uid="{00000000-0005-0000-0000-0000A4770000}"/>
    <cellStyle name="Total 6 3 34" xfId="30622" xr:uid="{00000000-0005-0000-0000-0000A5770000}"/>
    <cellStyle name="Total 6 3 4" xfId="30623" xr:uid="{00000000-0005-0000-0000-0000A6770000}"/>
    <cellStyle name="Total 6 3 5" xfId="30624" xr:uid="{00000000-0005-0000-0000-0000A7770000}"/>
    <cellStyle name="Total 6 3 6" xfId="30625" xr:uid="{00000000-0005-0000-0000-0000A8770000}"/>
    <cellStyle name="Total 6 3 7" xfId="30626" xr:uid="{00000000-0005-0000-0000-0000A9770000}"/>
    <cellStyle name="Total 6 3 8" xfId="30627" xr:uid="{00000000-0005-0000-0000-0000AA770000}"/>
    <cellStyle name="Total 6 3 9" xfId="30628" xr:uid="{00000000-0005-0000-0000-0000AB770000}"/>
    <cellStyle name="Total 6 4" xfId="30629" xr:uid="{00000000-0005-0000-0000-0000AC770000}"/>
    <cellStyle name="Total 6 4 2" xfId="30630" xr:uid="{00000000-0005-0000-0000-0000AD770000}"/>
    <cellStyle name="Total 6 4 3" xfId="30631" xr:uid="{00000000-0005-0000-0000-0000AE770000}"/>
    <cellStyle name="Total 6 5" xfId="30632" xr:uid="{00000000-0005-0000-0000-0000AF770000}"/>
    <cellStyle name="Total 6 6" xfId="30633" xr:uid="{00000000-0005-0000-0000-0000B0770000}"/>
    <cellStyle name="Total 6 7" xfId="30634" xr:uid="{00000000-0005-0000-0000-0000B1770000}"/>
    <cellStyle name="Total 6 8" xfId="30635" xr:uid="{00000000-0005-0000-0000-0000B2770000}"/>
    <cellStyle name="Total 6 9" xfId="30636" xr:uid="{00000000-0005-0000-0000-0000B3770000}"/>
    <cellStyle name="Total 7" xfId="30637" xr:uid="{00000000-0005-0000-0000-0000B4770000}"/>
    <cellStyle name="Total 7 2" xfId="30638" xr:uid="{00000000-0005-0000-0000-0000B5770000}"/>
    <cellStyle name="Total 8" xfId="30639" xr:uid="{00000000-0005-0000-0000-0000B6770000}"/>
    <cellStyle name="Total 8 2" xfId="30640" xr:uid="{00000000-0005-0000-0000-0000B7770000}"/>
    <cellStyle name="Total 9" xfId="30641" xr:uid="{00000000-0005-0000-0000-0000B8770000}"/>
    <cellStyle name="Total 9 2" xfId="30642" xr:uid="{00000000-0005-0000-0000-0000B9770000}"/>
    <cellStyle name="Total row" xfId="30643" xr:uid="{00000000-0005-0000-0000-0000BA770000}"/>
    <cellStyle name="Transfer_same_sheet" xfId="30644" xr:uid="{00000000-0005-0000-0000-0000BB770000}"/>
    <cellStyle name="Tusenskille_Ark1" xfId="30645" xr:uid="{00000000-0005-0000-0000-0000BC770000}"/>
    <cellStyle name="Tusental (0)_Technical Sheet" xfId="30646" xr:uid="{00000000-0005-0000-0000-0000BD770000}"/>
    <cellStyle name="Tusental_A-listan (fixad)" xfId="30647" xr:uid="{00000000-0005-0000-0000-0000BE770000}"/>
    <cellStyle name="Überschrift 1" xfId="30648" xr:uid="{00000000-0005-0000-0000-0000BF770000}"/>
    <cellStyle name="Überschrift 1 2" xfId="30649" xr:uid="{00000000-0005-0000-0000-0000C0770000}"/>
    <cellStyle name="Überschrift 1 2 2" xfId="30650" xr:uid="{00000000-0005-0000-0000-0000C1770000}"/>
    <cellStyle name="Überschrift 1 2 2 2" xfId="30651" xr:uid="{00000000-0005-0000-0000-0000C2770000}"/>
    <cellStyle name="Überschrift 1 2 3" xfId="30652" xr:uid="{00000000-0005-0000-0000-0000C3770000}"/>
    <cellStyle name="Überschrift 1 3" xfId="30653" xr:uid="{00000000-0005-0000-0000-0000C4770000}"/>
    <cellStyle name="Überschrift 1 3 2" xfId="30654" xr:uid="{00000000-0005-0000-0000-0000C5770000}"/>
    <cellStyle name="Überschrift 1 4" xfId="30655" xr:uid="{00000000-0005-0000-0000-0000C6770000}"/>
    <cellStyle name="Überschrift 1 4 2" xfId="30656" xr:uid="{00000000-0005-0000-0000-0000C7770000}"/>
    <cellStyle name="Überschrift 1 5" xfId="30657" xr:uid="{00000000-0005-0000-0000-0000C8770000}"/>
    <cellStyle name="Überschrift 1 5 2" xfId="30658" xr:uid="{00000000-0005-0000-0000-0000C9770000}"/>
    <cellStyle name="Überschrift 1 6" xfId="30659" xr:uid="{00000000-0005-0000-0000-0000CA770000}"/>
    <cellStyle name="Überschrift 1 6 2" xfId="30660" xr:uid="{00000000-0005-0000-0000-0000CB770000}"/>
    <cellStyle name="Überschrift 1 7" xfId="30661" xr:uid="{00000000-0005-0000-0000-0000CC770000}"/>
    <cellStyle name="Überschrift 1 7 2" xfId="30662" xr:uid="{00000000-0005-0000-0000-0000CD770000}"/>
    <cellStyle name="Überschrift 1 8" xfId="30663" xr:uid="{00000000-0005-0000-0000-0000CE770000}"/>
    <cellStyle name="Überschrift 2" xfId="30664" xr:uid="{00000000-0005-0000-0000-0000CF770000}"/>
    <cellStyle name="Überschrift 2 10" xfId="30665" xr:uid="{00000000-0005-0000-0000-0000D0770000}"/>
    <cellStyle name="Überschrift 2 10 2" xfId="30666" xr:uid="{00000000-0005-0000-0000-0000D1770000}"/>
    <cellStyle name="Überschrift 2 11" xfId="30667" xr:uid="{00000000-0005-0000-0000-0000D2770000}"/>
    <cellStyle name="Überschrift 2 2" xfId="30668" xr:uid="{00000000-0005-0000-0000-0000D3770000}"/>
    <cellStyle name="Überschrift 2 2 2" xfId="30669" xr:uid="{00000000-0005-0000-0000-0000D4770000}"/>
    <cellStyle name="Überschrift 2 3" xfId="30670" xr:uid="{00000000-0005-0000-0000-0000D5770000}"/>
    <cellStyle name="Überschrift 2 3 2" xfId="30671" xr:uid="{00000000-0005-0000-0000-0000D6770000}"/>
    <cellStyle name="Überschrift 2 4" xfId="30672" xr:uid="{00000000-0005-0000-0000-0000D7770000}"/>
    <cellStyle name="Überschrift 2 4 2" xfId="30673" xr:uid="{00000000-0005-0000-0000-0000D8770000}"/>
    <cellStyle name="Überschrift 2 5" xfId="30674" xr:uid="{00000000-0005-0000-0000-0000D9770000}"/>
    <cellStyle name="Überschrift 2 5 2" xfId="30675" xr:uid="{00000000-0005-0000-0000-0000DA770000}"/>
    <cellStyle name="Überschrift 2 5 2 2" xfId="30676" xr:uid="{00000000-0005-0000-0000-0000DB770000}"/>
    <cellStyle name="Überschrift 2 5 3" xfId="30677" xr:uid="{00000000-0005-0000-0000-0000DC770000}"/>
    <cellStyle name="Überschrift 2 6" xfId="30678" xr:uid="{00000000-0005-0000-0000-0000DD770000}"/>
    <cellStyle name="Überschrift 2 6 2" xfId="30679" xr:uid="{00000000-0005-0000-0000-0000DE770000}"/>
    <cellStyle name="Überschrift 2 7" xfId="30680" xr:uid="{00000000-0005-0000-0000-0000DF770000}"/>
    <cellStyle name="Überschrift 2 7 2" xfId="30681" xr:uid="{00000000-0005-0000-0000-0000E0770000}"/>
    <cellStyle name="Überschrift 2 8" xfId="30682" xr:uid="{00000000-0005-0000-0000-0000E1770000}"/>
    <cellStyle name="Überschrift 2 8 2" xfId="30683" xr:uid="{00000000-0005-0000-0000-0000E2770000}"/>
    <cellStyle name="Überschrift 2 9" xfId="30684" xr:uid="{00000000-0005-0000-0000-0000E3770000}"/>
    <cellStyle name="Überschrift 2 9 2" xfId="30685" xr:uid="{00000000-0005-0000-0000-0000E4770000}"/>
    <cellStyle name="Überschrift 3" xfId="30686" xr:uid="{00000000-0005-0000-0000-0000E5770000}"/>
    <cellStyle name="Überschrift 3 2" xfId="30687" xr:uid="{00000000-0005-0000-0000-0000E6770000}"/>
    <cellStyle name="Überschrift 3 2 2" xfId="30688" xr:uid="{00000000-0005-0000-0000-0000E7770000}"/>
    <cellStyle name="Überschrift 3 2 2 2" xfId="30689" xr:uid="{00000000-0005-0000-0000-0000E8770000}"/>
    <cellStyle name="Überschrift 3 2 3" xfId="30690" xr:uid="{00000000-0005-0000-0000-0000E9770000}"/>
    <cellStyle name="Überschrift 3 3" xfId="30691" xr:uid="{00000000-0005-0000-0000-0000EA770000}"/>
    <cellStyle name="Überschrift 3 3 2" xfId="30692" xr:uid="{00000000-0005-0000-0000-0000EB770000}"/>
    <cellStyle name="Überschrift 3 4" xfId="30693" xr:uid="{00000000-0005-0000-0000-0000EC770000}"/>
    <cellStyle name="Überschrift 3 4 2" xfId="30694" xr:uid="{00000000-0005-0000-0000-0000ED770000}"/>
    <cellStyle name="Überschrift 3 5" xfId="30695" xr:uid="{00000000-0005-0000-0000-0000EE770000}"/>
    <cellStyle name="Überschrift 3 5 2" xfId="30696" xr:uid="{00000000-0005-0000-0000-0000EF770000}"/>
    <cellStyle name="Überschrift 3 6" xfId="30697" xr:uid="{00000000-0005-0000-0000-0000F0770000}"/>
    <cellStyle name="Überschrift 3 6 2" xfId="30698" xr:uid="{00000000-0005-0000-0000-0000F1770000}"/>
    <cellStyle name="Überschrift 3 7" xfId="30699" xr:uid="{00000000-0005-0000-0000-0000F2770000}"/>
    <cellStyle name="Überschrift 3 7 2" xfId="30700" xr:uid="{00000000-0005-0000-0000-0000F3770000}"/>
    <cellStyle name="Überschrift 3 8" xfId="30701" xr:uid="{00000000-0005-0000-0000-0000F4770000}"/>
    <cellStyle name="Unhighlight" xfId="30702" xr:uid="{00000000-0005-0000-0000-0000F5770000}"/>
    <cellStyle name="Unit" xfId="30703" xr:uid="{00000000-0005-0000-0000-0000F6770000}"/>
    <cellStyle name="Unit 2" xfId="30704" xr:uid="{00000000-0005-0000-0000-0000F7770000}"/>
    <cellStyle name="Unit 2 2" xfId="30705" xr:uid="{00000000-0005-0000-0000-0000F8770000}"/>
    <cellStyle name="Unit 2 2 2" xfId="30706" xr:uid="{00000000-0005-0000-0000-0000F9770000}"/>
    <cellStyle name="Unit 2 3" xfId="30707" xr:uid="{00000000-0005-0000-0000-0000FA770000}"/>
    <cellStyle name="Unit 3" xfId="30708" xr:uid="{00000000-0005-0000-0000-0000FB770000}"/>
    <cellStyle name="Unit 3 2" xfId="30709" xr:uid="{00000000-0005-0000-0000-0000FC770000}"/>
    <cellStyle name="Unit 4" xfId="30710" xr:uid="{00000000-0005-0000-0000-0000FD770000}"/>
    <cellStyle name="Unit 4 2" xfId="30711" xr:uid="{00000000-0005-0000-0000-0000FE770000}"/>
    <cellStyle name="Unit 5" xfId="30712" xr:uid="{00000000-0005-0000-0000-0000FF770000}"/>
    <cellStyle name="Unit 5 2" xfId="30713" xr:uid="{00000000-0005-0000-0000-000000780000}"/>
    <cellStyle name="Unit 6" xfId="30714" xr:uid="{00000000-0005-0000-0000-000001780000}"/>
    <cellStyle name="Unit 6 2" xfId="30715" xr:uid="{00000000-0005-0000-0000-000002780000}"/>
    <cellStyle name="Unit 7" xfId="30716" xr:uid="{00000000-0005-0000-0000-000003780000}"/>
    <cellStyle name="Unit 7 2" xfId="30717" xr:uid="{00000000-0005-0000-0000-000004780000}"/>
    <cellStyle name="Unit 8" xfId="30718" xr:uid="{00000000-0005-0000-0000-000005780000}"/>
    <cellStyle name="Untotal row" xfId="30719" xr:uid="{00000000-0005-0000-0000-000006780000}"/>
    <cellStyle name="UserInputedText" xfId="30720" xr:uid="{00000000-0005-0000-0000-000007780000}"/>
    <cellStyle name="Valuta (0)_Budget 2003 vers L" xfId="30721" xr:uid="{00000000-0005-0000-0000-000008780000}"/>
    <cellStyle name="Valuta [0]_NEGS" xfId="30722" xr:uid="{00000000-0005-0000-0000-000009780000}"/>
    <cellStyle name="Valuta_Ark1" xfId="30723" xr:uid="{00000000-0005-0000-0000-00000A780000}"/>
    <cellStyle name="Var" xfId="30724" xr:uid="{00000000-0005-0000-0000-00000B780000}"/>
    <cellStyle name="Verdi_Normal" xfId="30725" xr:uid="{00000000-0005-0000-0000-00000C780000}"/>
    <cellStyle name="VerdiAreaName" xfId="30726" xr:uid="{00000000-0005-0000-0000-00000D780000}"/>
    <cellStyle name="VerdiColumnHeader" xfId="30727" xr:uid="{00000000-0005-0000-0000-00000E780000}"/>
    <cellStyle name="VerdiColumnHeaders" xfId="30728" xr:uid="{00000000-0005-0000-0000-00000F780000}"/>
    <cellStyle name="VerdiCost" xfId="30729" xr:uid="{00000000-0005-0000-0000-000010780000}"/>
    <cellStyle name="VerdiDescription" xfId="30730" xr:uid="{00000000-0005-0000-0000-000011780000}"/>
    <cellStyle name="VerdiDescription 2" xfId="30731" xr:uid="{00000000-0005-0000-0000-000012780000}"/>
    <cellStyle name="VerdiDescription 2 2" xfId="30732" xr:uid="{00000000-0005-0000-0000-000013780000}"/>
    <cellStyle name="VerdiDescription 3" xfId="30733" xr:uid="{00000000-0005-0000-0000-000014780000}"/>
    <cellStyle name="VerdiDiscount" xfId="30734" xr:uid="{00000000-0005-0000-0000-000015780000}"/>
    <cellStyle name="VerdiEricssonName" xfId="30735" xr:uid="{00000000-0005-0000-0000-000016780000}"/>
    <cellStyle name="VerdiEricssonName 2" xfId="30736" xr:uid="{00000000-0005-0000-0000-000017780000}"/>
    <cellStyle name="VerdiEricssonName 2 2" xfId="30737" xr:uid="{00000000-0005-0000-0000-000018780000}"/>
    <cellStyle name="VerdiEricssonName 3" xfId="30738" xr:uid="{00000000-0005-0000-0000-000019780000}"/>
    <cellStyle name="VerdiFireCode" xfId="30739" xr:uid="{00000000-0005-0000-0000-00001A780000}"/>
    <cellStyle name="VerdiFireCode 2" xfId="30740" xr:uid="{00000000-0005-0000-0000-00001B780000}"/>
    <cellStyle name="VerdiFireCode 2 2" xfId="30741" xr:uid="{00000000-0005-0000-0000-00001C780000}"/>
    <cellStyle name="VerdiFireCode 3" xfId="30742" xr:uid="{00000000-0005-0000-0000-00001D780000}"/>
    <cellStyle name="VerdiFireCodeDescription" xfId="30743" xr:uid="{00000000-0005-0000-0000-00001E780000}"/>
    <cellStyle name="VerdiFireCodeDescription 2" xfId="30744" xr:uid="{00000000-0005-0000-0000-00001F780000}"/>
    <cellStyle name="VerdiFireCodeDescription 2 2" xfId="30745" xr:uid="{00000000-0005-0000-0000-000020780000}"/>
    <cellStyle name="VerdiFireCodeDescription 3" xfId="30746" xr:uid="{00000000-0005-0000-0000-000021780000}"/>
    <cellStyle name="VerdiGAQuantity" xfId="30747" xr:uid="{00000000-0005-0000-0000-000022780000}"/>
    <cellStyle name="VerdiGAQuantity 2" xfId="30748" xr:uid="{00000000-0005-0000-0000-000023780000}"/>
    <cellStyle name="VerdiGAValue" xfId="30749" xr:uid="{00000000-0005-0000-0000-000024780000}"/>
    <cellStyle name="VerdiGrandTotal" xfId="30750" xr:uid="{00000000-0005-0000-0000-000025780000}"/>
    <cellStyle name="VerdiGrossMargin%" xfId="30751" xr:uid="{00000000-0005-0000-0000-000026780000}"/>
    <cellStyle name="VerdiItemNo" xfId="30752" xr:uid="{00000000-0005-0000-0000-000027780000}"/>
    <cellStyle name="VerdiLocalProduct" xfId="30753" xr:uid="{00000000-0005-0000-0000-000028780000}"/>
    <cellStyle name="VerdiLocalProduct 2" xfId="30754" xr:uid="{00000000-0005-0000-0000-000029780000}"/>
    <cellStyle name="VerdiLocalProduct 2 2" xfId="30755" xr:uid="{00000000-0005-0000-0000-00002A780000}"/>
    <cellStyle name="VerdiLocalProduct 3" xfId="30756" xr:uid="{00000000-0005-0000-0000-00002B780000}"/>
    <cellStyle name="VerdiNETRPF" xfId="30757" xr:uid="{00000000-0005-0000-0000-00002C780000}"/>
    <cellStyle name="VerdiNodeDescription" xfId="30758" xr:uid="{00000000-0005-0000-0000-00002D780000}"/>
    <cellStyle name="VerdiPriceErosion" xfId="30759" xr:uid="{00000000-0005-0000-0000-00002E780000}"/>
    <cellStyle name="VerdiPriceObjects" xfId="30760" xr:uid="{00000000-0005-0000-0000-00002F780000}"/>
    <cellStyle name="VerdiPriceObjects 2" xfId="30761" xr:uid="{00000000-0005-0000-0000-000030780000}"/>
    <cellStyle name="VerdiPriceObjects 2 2" xfId="30762" xr:uid="{00000000-0005-0000-0000-000031780000}"/>
    <cellStyle name="VerdiPriceObjects 3" xfId="30763" xr:uid="{00000000-0005-0000-0000-000032780000}"/>
    <cellStyle name="VerdiProductNo" xfId="30764" xr:uid="{00000000-0005-0000-0000-000033780000}"/>
    <cellStyle name="VerdiProductNo 2" xfId="30765" xr:uid="{00000000-0005-0000-0000-000034780000}"/>
    <cellStyle name="VerdiProductNo 2 2" xfId="30766" xr:uid="{00000000-0005-0000-0000-000035780000}"/>
    <cellStyle name="VerdiProductNo 3" xfId="30767" xr:uid="{00000000-0005-0000-0000-000036780000}"/>
    <cellStyle name="VerdiProductType" xfId="30768" xr:uid="{00000000-0005-0000-0000-000037780000}"/>
    <cellStyle name="VerdiProductUnit" xfId="30769" xr:uid="{00000000-0005-0000-0000-000038780000}"/>
    <cellStyle name="VerdiProductUnit 2" xfId="30770" xr:uid="{00000000-0005-0000-0000-000039780000}"/>
    <cellStyle name="VerdiProductUnit 2 2" xfId="30771" xr:uid="{00000000-0005-0000-0000-00003A780000}"/>
    <cellStyle name="VerdiProductUnit 3" xfId="30772" xr:uid="{00000000-0005-0000-0000-00003B780000}"/>
    <cellStyle name="VerdiQuantity" xfId="30773" xr:uid="{00000000-0005-0000-0000-00003C780000}"/>
    <cellStyle name="VerdiQuantity 2" xfId="30774" xr:uid="{00000000-0005-0000-0000-00003D780000}"/>
    <cellStyle name="VerdiQuantity 2 2" xfId="30775" xr:uid="{00000000-0005-0000-0000-00003E780000}"/>
    <cellStyle name="VerdiQuantity 3" xfId="30776" xr:uid="{00000000-0005-0000-0000-00003F780000}"/>
    <cellStyle name="VerdiReleaseCode" xfId="30777" xr:uid="{00000000-0005-0000-0000-000040780000}"/>
    <cellStyle name="VerdiReleaseCode 2" xfId="30778" xr:uid="{00000000-0005-0000-0000-000041780000}"/>
    <cellStyle name="VerdiReleaseCode 2 2" xfId="30779" xr:uid="{00000000-0005-0000-0000-000042780000}"/>
    <cellStyle name="VerdiReleaseCode 3" xfId="30780" xr:uid="{00000000-0005-0000-0000-000043780000}"/>
    <cellStyle name="VerdiReportCaption" xfId="30781" xr:uid="{00000000-0005-0000-0000-000044780000}"/>
    <cellStyle name="VerdiRestrictedCode" xfId="30782" xr:uid="{00000000-0005-0000-0000-000045780000}"/>
    <cellStyle name="VerdiRestrictedCode 2" xfId="30783" xr:uid="{00000000-0005-0000-0000-000046780000}"/>
    <cellStyle name="VerdiRestrictedCode 2 2" xfId="30784" xr:uid="{00000000-0005-0000-0000-000047780000}"/>
    <cellStyle name="VerdiRestrictedCode 3" xfId="30785" xr:uid="{00000000-0005-0000-0000-000048780000}"/>
    <cellStyle name="VerdiRPF" xfId="30786" xr:uid="{00000000-0005-0000-0000-000049780000}"/>
    <cellStyle name="VerdiRPF 2" xfId="30787" xr:uid="{00000000-0005-0000-0000-00004A780000}"/>
    <cellStyle name="VerdiSBS" xfId="30788" xr:uid="{00000000-0005-0000-0000-00004B780000}"/>
    <cellStyle name="VerdiScenarioDiscount" xfId="30789" xr:uid="{00000000-0005-0000-0000-00004C780000}"/>
    <cellStyle name="VerdiShortName" xfId="30790" xr:uid="{00000000-0005-0000-0000-00004D780000}"/>
    <cellStyle name="VerdiShortName 2" xfId="30791" xr:uid="{00000000-0005-0000-0000-00004E780000}"/>
    <cellStyle name="VerdiShortName 2 2" xfId="30792" xr:uid="{00000000-0005-0000-0000-00004F780000}"/>
    <cellStyle name="VerdiShortName 3" xfId="30793" xr:uid="{00000000-0005-0000-0000-000050780000}"/>
    <cellStyle name="VerdiSubTotals" xfId="30794" xr:uid="{00000000-0005-0000-0000-000051780000}"/>
    <cellStyle name="VerdiTotal" xfId="30795" xr:uid="{00000000-0005-0000-0000-000052780000}"/>
    <cellStyle name="VerdiTotalCost" xfId="30796" xr:uid="{00000000-0005-0000-0000-000053780000}"/>
    <cellStyle name="VerdiTotalGross" xfId="30797" xr:uid="{00000000-0005-0000-0000-000054780000}"/>
    <cellStyle name="VerdiTotalGrossMargin" xfId="30798" xr:uid="{00000000-0005-0000-0000-000055780000}"/>
    <cellStyle name="VerdiTotalNetPrice" xfId="30799" xr:uid="{00000000-0005-0000-0000-000056780000}"/>
    <cellStyle name="VerdiTotalPAPE" xfId="30800" xr:uid="{00000000-0005-0000-0000-000057780000}"/>
    <cellStyle name="VerdiTotalReference" xfId="30801" xr:uid="{00000000-0005-0000-0000-000058780000}"/>
    <cellStyle name="VerdiTotGA" xfId="30802" xr:uid="{00000000-0005-0000-0000-000059780000}"/>
    <cellStyle name="VerdiTotGrossPrice" xfId="30803" xr:uid="{00000000-0005-0000-0000-00005A780000}"/>
    <cellStyle name="VerdiTotNetPrice" xfId="30804" xr:uid="{00000000-0005-0000-0000-00005B780000}"/>
    <cellStyle name="VerdiTotPAPE" xfId="30805" xr:uid="{00000000-0005-0000-0000-00005C780000}"/>
    <cellStyle name="VerdiTotRefPrice" xfId="30806" xr:uid="{00000000-0005-0000-0000-00005D780000}"/>
    <cellStyle name="VerdiTypeSiteName" xfId="30807" xr:uid="{00000000-0005-0000-0000-00005E780000}"/>
    <cellStyle name="VerdiUnit" xfId="30808" xr:uid="{00000000-0005-0000-0000-00005F780000}"/>
    <cellStyle name="VerdiUnit 2" xfId="30809" xr:uid="{00000000-0005-0000-0000-000060780000}"/>
    <cellStyle name="VerdiUnit 2 2" xfId="30810" xr:uid="{00000000-0005-0000-0000-000061780000}"/>
    <cellStyle name="VerdiUnit 3" xfId="30811" xr:uid="{00000000-0005-0000-0000-000062780000}"/>
    <cellStyle name="VerdiUnitGrossPrice" xfId="30812" xr:uid="{00000000-0005-0000-0000-000063780000}"/>
    <cellStyle name="VerdiUnitNetPrice" xfId="30813" xr:uid="{00000000-0005-0000-0000-000064780000}"/>
    <cellStyle name="VerdiUnitPAPE" xfId="30814" xr:uid="{00000000-0005-0000-0000-000065780000}"/>
    <cellStyle name="VerdiUnitReference" xfId="30815" xr:uid="{00000000-0005-0000-0000-000066780000}"/>
    <cellStyle name="VerdiUnitRefPrice" xfId="30816" xr:uid="{00000000-0005-0000-0000-000067780000}"/>
    <cellStyle name="Vérification" xfId="30817" xr:uid="{00000000-0005-0000-0000-000068780000}"/>
    <cellStyle name="Vérification 2" xfId="30818" xr:uid="{00000000-0005-0000-0000-000069780000}"/>
    <cellStyle name="Vérification 2 2" xfId="30819" xr:uid="{00000000-0005-0000-0000-00006A780000}"/>
    <cellStyle name="Vérification 2 2 2" xfId="30820" xr:uid="{00000000-0005-0000-0000-00006B780000}"/>
    <cellStyle name="Vérification 2 3" xfId="30821" xr:uid="{00000000-0005-0000-0000-00006C780000}"/>
    <cellStyle name="Vérification 2 4" xfId="30822" xr:uid="{00000000-0005-0000-0000-00006D780000}"/>
    <cellStyle name="Vérification 3" xfId="30823" xr:uid="{00000000-0005-0000-0000-00006E780000}"/>
    <cellStyle name="Vérification 3 2" xfId="30824" xr:uid="{00000000-0005-0000-0000-00006F780000}"/>
    <cellStyle name="Vérification 4" xfId="30825" xr:uid="{00000000-0005-0000-0000-000070780000}"/>
    <cellStyle name="Vérification 5" xfId="30826" xr:uid="{00000000-0005-0000-0000-000071780000}"/>
    <cellStyle name="VERTICAL" xfId="30827" xr:uid="{00000000-0005-0000-0000-000072780000}"/>
    <cellStyle name="VERTICAL 2" xfId="30828" xr:uid="{00000000-0005-0000-0000-000073780000}"/>
    <cellStyle name="VERTICAL 2 2" xfId="30829" xr:uid="{00000000-0005-0000-0000-000074780000}"/>
    <cellStyle name="VERTICAL 2 2 2" xfId="30830" xr:uid="{00000000-0005-0000-0000-000075780000}"/>
    <cellStyle name="VERTICAL 2 2 2 2" xfId="30831" xr:uid="{00000000-0005-0000-0000-000076780000}"/>
    <cellStyle name="VERTICAL 2 2 2 3" xfId="30832" xr:uid="{00000000-0005-0000-0000-000077780000}"/>
    <cellStyle name="VERTICAL 2 2 2 4" xfId="30833" xr:uid="{00000000-0005-0000-0000-000078780000}"/>
    <cellStyle name="VERTICAL 2 2 3" xfId="30834" xr:uid="{00000000-0005-0000-0000-000079780000}"/>
    <cellStyle name="VERTICAL 2 2 3 2" xfId="30835" xr:uid="{00000000-0005-0000-0000-00007A780000}"/>
    <cellStyle name="VERTICAL 2 2 3 3" xfId="30836" xr:uid="{00000000-0005-0000-0000-00007B780000}"/>
    <cellStyle name="VERTICAL 2 2 3 4" xfId="30837" xr:uid="{00000000-0005-0000-0000-00007C780000}"/>
    <cellStyle name="VERTICAL 2 2 4" xfId="30838" xr:uid="{00000000-0005-0000-0000-00007D780000}"/>
    <cellStyle name="VERTICAL 2 2 5" xfId="30839" xr:uid="{00000000-0005-0000-0000-00007E780000}"/>
    <cellStyle name="VERTICAL 2 2 6" xfId="30840" xr:uid="{00000000-0005-0000-0000-00007F780000}"/>
    <cellStyle name="VERTICAL 2 3" xfId="30841" xr:uid="{00000000-0005-0000-0000-000080780000}"/>
    <cellStyle name="VERTICAL 2 3 2" xfId="30842" xr:uid="{00000000-0005-0000-0000-000081780000}"/>
    <cellStyle name="VERTICAL 2 3 2 2" xfId="30843" xr:uid="{00000000-0005-0000-0000-000082780000}"/>
    <cellStyle name="VERTICAL 2 3 2 3" xfId="30844" xr:uid="{00000000-0005-0000-0000-000083780000}"/>
    <cellStyle name="VERTICAL 2 3 2 4" xfId="30845" xr:uid="{00000000-0005-0000-0000-000084780000}"/>
    <cellStyle name="VERTICAL 2 3 3" xfId="30846" xr:uid="{00000000-0005-0000-0000-000085780000}"/>
    <cellStyle name="VERTICAL 2 3 3 2" xfId="30847" xr:uid="{00000000-0005-0000-0000-000086780000}"/>
    <cellStyle name="VERTICAL 2 3 3 3" xfId="30848" xr:uid="{00000000-0005-0000-0000-000087780000}"/>
    <cellStyle name="VERTICAL 2 3 3 4" xfId="30849" xr:uid="{00000000-0005-0000-0000-000088780000}"/>
    <cellStyle name="VERTICAL 2 3 4" xfId="30850" xr:uid="{00000000-0005-0000-0000-000089780000}"/>
    <cellStyle name="VERTICAL 2 3 5" xfId="30851" xr:uid="{00000000-0005-0000-0000-00008A780000}"/>
    <cellStyle name="VERTICAL 2 3 6" xfId="30852" xr:uid="{00000000-0005-0000-0000-00008B780000}"/>
    <cellStyle name="VERTICAL 2 4" xfId="30853" xr:uid="{00000000-0005-0000-0000-00008C780000}"/>
    <cellStyle name="VERTICAL 2 4 2" xfId="30854" xr:uid="{00000000-0005-0000-0000-00008D780000}"/>
    <cellStyle name="VERTICAL 2 4 3" xfId="30855" xr:uid="{00000000-0005-0000-0000-00008E780000}"/>
    <cellStyle name="VERTICAL 2 4 4" xfId="30856" xr:uid="{00000000-0005-0000-0000-00008F780000}"/>
    <cellStyle name="VERTICAL 2 5" xfId="30857" xr:uid="{00000000-0005-0000-0000-000090780000}"/>
    <cellStyle name="VERTICAL 2 5 2" xfId="30858" xr:uid="{00000000-0005-0000-0000-000091780000}"/>
    <cellStyle name="VERTICAL 2 5 3" xfId="30859" xr:uid="{00000000-0005-0000-0000-000092780000}"/>
    <cellStyle name="VERTICAL 2 5 4" xfId="30860" xr:uid="{00000000-0005-0000-0000-000093780000}"/>
    <cellStyle name="VERTICAL 2 6" xfId="30861" xr:uid="{00000000-0005-0000-0000-000094780000}"/>
    <cellStyle name="VERTICAL 2 7" xfId="30862" xr:uid="{00000000-0005-0000-0000-000095780000}"/>
    <cellStyle name="VERTICAL 2 8" xfId="30863" xr:uid="{00000000-0005-0000-0000-000096780000}"/>
    <cellStyle name="VERTICAL 3" xfId="30864" xr:uid="{00000000-0005-0000-0000-000097780000}"/>
    <cellStyle name="VERTICAL 3 2" xfId="30865" xr:uid="{00000000-0005-0000-0000-000098780000}"/>
    <cellStyle name="VERTICAL 3 2 2" xfId="30866" xr:uid="{00000000-0005-0000-0000-000099780000}"/>
    <cellStyle name="VERTICAL 3 2 3" xfId="30867" xr:uid="{00000000-0005-0000-0000-00009A780000}"/>
    <cellStyle name="VERTICAL 3 2 4" xfId="30868" xr:uid="{00000000-0005-0000-0000-00009B780000}"/>
    <cellStyle name="VERTICAL 3 3" xfId="30869" xr:uid="{00000000-0005-0000-0000-00009C780000}"/>
    <cellStyle name="VERTICAL 3 3 2" xfId="30870" xr:uid="{00000000-0005-0000-0000-00009D780000}"/>
    <cellStyle name="VERTICAL 3 3 3" xfId="30871" xr:uid="{00000000-0005-0000-0000-00009E780000}"/>
    <cellStyle name="VERTICAL 3 3 4" xfId="30872" xr:uid="{00000000-0005-0000-0000-00009F780000}"/>
    <cellStyle name="VERTICAL 3 4" xfId="30873" xr:uid="{00000000-0005-0000-0000-0000A0780000}"/>
    <cellStyle name="VERTICAL 3 5" xfId="30874" xr:uid="{00000000-0005-0000-0000-0000A1780000}"/>
    <cellStyle name="VERTICAL 3 6" xfId="30875" xr:uid="{00000000-0005-0000-0000-0000A2780000}"/>
    <cellStyle name="VERTICAL 4" xfId="30876" xr:uid="{00000000-0005-0000-0000-0000A3780000}"/>
    <cellStyle name="VERTICAL 4 2" xfId="30877" xr:uid="{00000000-0005-0000-0000-0000A4780000}"/>
    <cellStyle name="VERTICAL 4 3" xfId="30878" xr:uid="{00000000-0005-0000-0000-0000A5780000}"/>
    <cellStyle name="VERTICAL 4 4" xfId="30879" xr:uid="{00000000-0005-0000-0000-0000A6780000}"/>
    <cellStyle name="VERTICAL 5" xfId="30880" xr:uid="{00000000-0005-0000-0000-0000A7780000}"/>
    <cellStyle name="VERTICAL 5 2" xfId="30881" xr:uid="{00000000-0005-0000-0000-0000A8780000}"/>
    <cellStyle name="VERTICAL 5 3" xfId="30882" xr:uid="{00000000-0005-0000-0000-0000A9780000}"/>
    <cellStyle name="VERTICAL 5 4" xfId="30883" xr:uid="{00000000-0005-0000-0000-0000AA780000}"/>
    <cellStyle name="VERTICAL 6" xfId="30884" xr:uid="{00000000-0005-0000-0000-0000AB780000}"/>
    <cellStyle name="VERTICAL 7" xfId="30885" xr:uid="{00000000-0005-0000-0000-0000AC780000}"/>
    <cellStyle name="VERTICAL 8" xfId="30886" xr:uid="{00000000-0005-0000-0000-0000AD780000}"/>
    <cellStyle name="Vide" xfId="30887" xr:uid="{00000000-0005-0000-0000-0000AE780000}"/>
    <cellStyle name="Vide 2" xfId="30888" xr:uid="{00000000-0005-0000-0000-0000AF780000}"/>
    <cellStyle name="Vide 2 2" xfId="30889" xr:uid="{00000000-0005-0000-0000-0000B0780000}"/>
    <cellStyle name="Vide 2 3" xfId="30890" xr:uid="{00000000-0005-0000-0000-0000B1780000}"/>
    <cellStyle name="Vide 3" xfId="30891" xr:uid="{00000000-0005-0000-0000-0000B2780000}"/>
    <cellStyle name="Virgule fixe" xfId="30892" xr:uid="{00000000-0005-0000-0000-0000B3780000}"/>
    <cellStyle name="Volume" xfId="30893" xr:uid="{00000000-0005-0000-0000-0000B4780000}"/>
    <cellStyle name="Währung [0]_050317_MDRS-Config_10" xfId="30895" xr:uid="{00000000-0005-0000-0000-0000B5780000}"/>
    <cellStyle name="Währung_050317_MDRS-Config_10" xfId="30896" xr:uid="{00000000-0005-0000-0000-0000B6780000}"/>
    <cellStyle name="Walutowy [0]_12" xfId="30897" xr:uid="{00000000-0005-0000-0000-0000B7780000}"/>
    <cellStyle name="Walutowy_12" xfId="30898" xr:uid="{00000000-0005-0000-0000-0000B8780000}"/>
    <cellStyle name="Warning Text 10" xfId="30899" xr:uid="{00000000-0005-0000-0000-0000B9780000}"/>
    <cellStyle name="Warning Text 10 2" xfId="30900" xr:uid="{00000000-0005-0000-0000-0000BA780000}"/>
    <cellStyle name="Warning Text 11" xfId="30901" xr:uid="{00000000-0005-0000-0000-0000BB780000}"/>
    <cellStyle name="Warning Text 11 2" xfId="30902" xr:uid="{00000000-0005-0000-0000-0000BC780000}"/>
    <cellStyle name="Warning Text 12" xfId="30903" xr:uid="{00000000-0005-0000-0000-0000BD780000}"/>
    <cellStyle name="Warning Text 12 2" xfId="30904" xr:uid="{00000000-0005-0000-0000-0000BE780000}"/>
    <cellStyle name="Warning Text 13" xfId="30905" xr:uid="{00000000-0005-0000-0000-0000BF780000}"/>
    <cellStyle name="Warning Text 13 2" xfId="30906" xr:uid="{00000000-0005-0000-0000-0000C0780000}"/>
    <cellStyle name="Warning Text 14" xfId="30907" xr:uid="{00000000-0005-0000-0000-0000C1780000}"/>
    <cellStyle name="Warning Text 14 2" xfId="30908" xr:uid="{00000000-0005-0000-0000-0000C2780000}"/>
    <cellStyle name="Warning Text 15" xfId="30909" xr:uid="{00000000-0005-0000-0000-0000C3780000}"/>
    <cellStyle name="Warning Text 15 2" xfId="30910" xr:uid="{00000000-0005-0000-0000-0000C4780000}"/>
    <cellStyle name="Warning Text 16" xfId="30911" xr:uid="{00000000-0005-0000-0000-0000C5780000}"/>
    <cellStyle name="Warning Text 16 2" xfId="30912" xr:uid="{00000000-0005-0000-0000-0000C6780000}"/>
    <cellStyle name="Warning Text 17" xfId="30913" xr:uid="{00000000-0005-0000-0000-0000C7780000}"/>
    <cellStyle name="Warning Text 17 2" xfId="30914" xr:uid="{00000000-0005-0000-0000-0000C8780000}"/>
    <cellStyle name="Warning Text 18" xfId="30915" xr:uid="{00000000-0005-0000-0000-0000C9780000}"/>
    <cellStyle name="Warning Text 18 2" xfId="30916" xr:uid="{00000000-0005-0000-0000-0000CA780000}"/>
    <cellStyle name="Warning Text 19" xfId="30917" xr:uid="{00000000-0005-0000-0000-0000CB780000}"/>
    <cellStyle name="Warning Text 19 2" xfId="30918" xr:uid="{00000000-0005-0000-0000-0000CC780000}"/>
    <cellStyle name="Warning Text 2" xfId="30919" xr:uid="{00000000-0005-0000-0000-0000CD780000}"/>
    <cellStyle name="Warning Text 2 10" xfId="30920" xr:uid="{00000000-0005-0000-0000-0000CE780000}"/>
    <cellStyle name="Warning Text 2 10 2" xfId="30921" xr:uid="{00000000-0005-0000-0000-0000CF780000}"/>
    <cellStyle name="Warning Text 2 11" xfId="30922" xr:uid="{00000000-0005-0000-0000-0000D0780000}"/>
    <cellStyle name="Warning Text 2 11 2" xfId="30923" xr:uid="{00000000-0005-0000-0000-0000D1780000}"/>
    <cellStyle name="Warning Text 2 12" xfId="30924" xr:uid="{00000000-0005-0000-0000-0000D2780000}"/>
    <cellStyle name="Warning Text 2 12 2" xfId="30925" xr:uid="{00000000-0005-0000-0000-0000D3780000}"/>
    <cellStyle name="Warning Text 2 13" xfId="30926" xr:uid="{00000000-0005-0000-0000-0000D4780000}"/>
    <cellStyle name="Warning Text 2 13 2" xfId="30927" xr:uid="{00000000-0005-0000-0000-0000D5780000}"/>
    <cellStyle name="Warning Text 2 14" xfId="30928" xr:uid="{00000000-0005-0000-0000-0000D6780000}"/>
    <cellStyle name="Warning Text 2 14 2" xfId="30929" xr:uid="{00000000-0005-0000-0000-0000D7780000}"/>
    <cellStyle name="Warning Text 2 15" xfId="30930" xr:uid="{00000000-0005-0000-0000-0000D8780000}"/>
    <cellStyle name="Warning Text 2 15 2" xfId="30931" xr:uid="{00000000-0005-0000-0000-0000D9780000}"/>
    <cellStyle name="Warning Text 2 16" xfId="30932" xr:uid="{00000000-0005-0000-0000-0000DA780000}"/>
    <cellStyle name="Warning Text 2 16 2" xfId="30933" xr:uid="{00000000-0005-0000-0000-0000DB780000}"/>
    <cellStyle name="Warning Text 2 17" xfId="30934" xr:uid="{00000000-0005-0000-0000-0000DC780000}"/>
    <cellStyle name="Warning Text 2 17 2" xfId="30935" xr:uid="{00000000-0005-0000-0000-0000DD780000}"/>
    <cellStyle name="Warning Text 2 18" xfId="30936" xr:uid="{00000000-0005-0000-0000-0000DE780000}"/>
    <cellStyle name="Warning Text 2 18 2" xfId="30937" xr:uid="{00000000-0005-0000-0000-0000DF780000}"/>
    <cellStyle name="Warning Text 2 19" xfId="30938" xr:uid="{00000000-0005-0000-0000-0000E0780000}"/>
    <cellStyle name="Warning Text 2 19 2" xfId="30939" xr:uid="{00000000-0005-0000-0000-0000E1780000}"/>
    <cellStyle name="Warning Text 2 2" xfId="30940" xr:uid="{00000000-0005-0000-0000-0000E2780000}"/>
    <cellStyle name="Warning Text 2 2 2" xfId="30941" xr:uid="{00000000-0005-0000-0000-0000E3780000}"/>
    <cellStyle name="Warning Text 2 2 2 2" xfId="30942" xr:uid="{00000000-0005-0000-0000-0000E4780000}"/>
    <cellStyle name="Warning Text 2 2 3" xfId="30943" xr:uid="{00000000-0005-0000-0000-0000E5780000}"/>
    <cellStyle name="Warning Text 2 20" xfId="30944" xr:uid="{00000000-0005-0000-0000-0000E6780000}"/>
    <cellStyle name="Warning Text 2 3" xfId="30945" xr:uid="{00000000-0005-0000-0000-0000E7780000}"/>
    <cellStyle name="Warning Text 2 3 2" xfId="30946" xr:uid="{00000000-0005-0000-0000-0000E8780000}"/>
    <cellStyle name="Warning Text 2 4" xfId="30947" xr:uid="{00000000-0005-0000-0000-0000E9780000}"/>
    <cellStyle name="Warning Text 2 4 2" xfId="30948" xr:uid="{00000000-0005-0000-0000-0000EA780000}"/>
    <cellStyle name="Warning Text 2 5" xfId="30949" xr:uid="{00000000-0005-0000-0000-0000EB780000}"/>
    <cellStyle name="Warning Text 2 5 2" xfId="30950" xr:uid="{00000000-0005-0000-0000-0000EC780000}"/>
    <cellStyle name="Warning Text 2 6" xfId="30951" xr:uid="{00000000-0005-0000-0000-0000ED780000}"/>
    <cellStyle name="Warning Text 2 6 2" xfId="30952" xr:uid="{00000000-0005-0000-0000-0000EE780000}"/>
    <cellStyle name="Warning Text 2 7" xfId="30953" xr:uid="{00000000-0005-0000-0000-0000EF780000}"/>
    <cellStyle name="Warning Text 2 7 2" xfId="30954" xr:uid="{00000000-0005-0000-0000-0000F0780000}"/>
    <cellStyle name="Warning Text 2 8" xfId="30955" xr:uid="{00000000-0005-0000-0000-0000F1780000}"/>
    <cellStyle name="Warning Text 2 8 2" xfId="30956" xr:uid="{00000000-0005-0000-0000-0000F2780000}"/>
    <cellStyle name="Warning Text 2 9" xfId="30957" xr:uid="{00000000-0005-0000-0000-0000F3780000}"/>
    <cellStyle name="Warning Text 2 9 2" xfId="30958" xr:uid="{00000000-0005-0000-0000-0000F4780000}"/>
    <cellStyle name="Warning Text 20" xfId="30959" xr:uid="{00000000-0005-0000-0000-0000F5780000}"/>
    <cellStyle name="Warning Text 20 2" xfId="30960" xr:uid="{00000000-0005-0000-0000-0000F6780000}"/>
    <cellStyle name="Warning Text 21" xfId="30961" xr:uid="{00000000-0005-0000-0000-0000F7780000}"/>
    <cellStyle name="Warning Text 21 2" xfId="30962" xr:uid="{00000000-0005-0000-0000-0000F8780000}"/>
    <cellStyle name="Warning Text 22" xfId="30963" xr:uid="{00000000-0005-0000-0000-0000F9780000}"/>
    <cellStyle name="Warning Text 22 2" xfId="30964" xr:uid="{00000000-0005-0000-0000-0000FA780000}"/>
    <cellStyle name="Warning Text 23" xfId="30965" xr:uid="{00000000-0005-0000-0000-0000FB780000}"/>
    <cellStyle name="Warning Text 23 2" xfId="30966" xr:uid="{00000000-0005-0000-0000-0000FC780000}"/>
    <cellStyle name="Warning Text 24" xfId="30967" xr:uid="{00000000-0005-0000-0000-0000FD780000}"/>
    <cellStyle name="Warning Text 24 2" xfId="30968" xr:uid="{00000000-0005-0000-0000-0000FE780000}"/>
    <cellStyle name="Warning Text 25" xfId="30969" xr:uid="{00000000-0005-0000-0000-0000FF780000}"/>
    <cellStyle name="Warning Text 25 2" xfId="30970" xr:uid="{00000000-0005-0000-0000-000000790000}"/>
    <cellStyle name="Warning Text 26" xfId="30971" xr:uid="{00000000-0005-0000-0000-000001790000}"/>
    <cellStyle name="Warning Text 26 2" xfId="30972" xr:uid="{00000000-0005-0000-0000-000002790000}"/>
    <cellStyle name="Warning Text 27" xfId="30973" xr:uid="{00000000-0005-0000-0000-000003790000}"/>
    <cellStyle name="Warning Text 27 2" xfId="30974" xr:uid="{00000000-0005-0000-0000-000004790000}"/>
    <cellStyle name="Warning Text 3" xfId="30975" xr:uid="{00000000-0005-0000-0000-000005790000}"/>
    <cellStyle name="Warning Text 3 2" xfId="30976" xr:uid="{00000000-0005-0000-0000-000006790000}"/>
    <cellStyle name="Warning Text 3 2 2" xfId="30977" xr:uid="{00000000-0005-0000-0000-000007790000}"/>
    <cellStyle name="Warning Text 3 3" xfId="30978" xr:uid="{00000000-0005-0000-0000-000008790000}"/>
    <cellStyle name="Warning Text 4" xfId="30979" xr:uid="{00000000-0005-0000-0000-000009790000}"/>
    <cellStyle name="Warning Text 4 2" xfId="30980" xr:uid="{00000000-0005-0000-0000-00000A790000}"/>
    <cellStyle name="Warning Text 4 2 2" xfId="30981" xr:uid="{00000000-0005-0000-0000-00000B790000}"/>
    <cellStyle name="Warning Text 4 3" xfId="30982" xr:uid="{00000000-0005-0000-0000-00000C790000}"/>
    <cellStyle name="Warning Text 5" xfId="30983" xr:uid="{00000000-0005-0000-0000-00000D790000}"/>
    <cellStyle name="Warning Text 5 2" xfId="30984" xr:uid="{00000000-0005-0000-0000-00000E790000}"/>
    <cellStyle name="Warning Text 6" xfId="30985" xr:uid="{00000000-0005-0000-0000-00000F790000}"/>
    <cellStyle name="Warning Text 6 2" xfId="30986" xr:uid="{00000000-0005-0000-0000-000010790000}"/>
    <cellStyle name="Warning Text 7" xfId="30987" xr:uid="{00000000-0005-0000-0000-000011790000}"/>
    <cellStyle name="Warning Text 7 2" xfId="30988" xr:uid="{00000000-0005-0000-0000-000012790000}"/>
    <cellStyle name="Warning Text 8" xfId="30989" xr:uid="{00000000-0005-0000-0000-000013790000}"/>
    <cellStyle name="Warning Text 8 2" xfId="30990" xr:uid="{00000000-0005-0000-0000-000014790000}"/>
    <cellStyle name="Warning Text 9" xfId="30991" xr:uid="{00000000-0005-0000-0000-000015790000}"/>
    <cellStyle name="Warning Text 9 2" xfId="30992" xr:uid="{00000000-0005-0000-0000-000016790000}"/>
    <cellStyle name="WHead - Style2" xfId="30993" xr:uid="{00000000-0005-0000-0000-000017790000}"/>
    <cellStyle name="WHead - Style2 2" xfId="30994" xr:uid="{00000000-0005-0000-0000-000018790000}"/>
    <cellStyle name="White" xfId="30995" xr:uid="{00000000-0005-0000-0000-000019790000}"/>
    <cellStyle name="Yen" xfId="30996" xr:uid="{00000000-0005-0000-0000-00001A790000}"/>
    <cellStyle name="Обычный_Caucas_0" xfId="31001" xr:uid="{00000000-0005-0000-0000-00001B790000}"/>
    <cellStyle name="アクセント 1" xfId="31025" xr:uid="{00000000-0005-0000-0000-00001C790000}"/>
    <cellStyle name="アクセント 2" xfId="31026" xr:uid="{00000000-0005-0000-0000-00001D790000}"/>
    <cellStyle name="アクセント 3" xfId="31027" xr:uid="{00000000-0005-0000-0000-00001E790000}"/>
    <cellStyle name="アクセント 4" xfId="31028" xr:uid="{00000000-0005-0000-0000-00001F790000}"/>
    <cellStyle name="アクセント 5" xfId="31029" xr:uid="{00000000-0005-0000-0000-000020790000}"/>
    <cellStyle name="アクセント 6" xfId="31030" xr:uid="{00000000-0005-0000-0000-000021790000}"/>
    <cellStyle name="タイトル" xfId="31031" xr:uid="{00000000-0005-0000-0000-000022790000}"/>
    <cellStyle name="チェック セル" xfId="31032" xr:uid="{00000000-0005-0000-0000-000023790000}"/>
    <cellStyle name="チェック セル 2" xfId="31033" xr:uid="{00000000-0005-0000-0000-000024790000}"/>
    <cellStyle name="チェック セル 2 2" xfId="31034" xr:uid="{00000000-0005-0000-0000-000025790000}"/>
    <cellStyle name="チェック セル 3" xfId="31035" xr:uid="{00000000-0005-0000-0000-000026790000}"/>
    <cellStyle name="チェック セル 4" xfId="31036" xr:uid="{00000000-0005-0000-0000-000027790000}"/>
    <cellStyle name="どちらでもない" xfId="31037" xr:uid="{00000000-0005-0000-0000-000028790000}"/>
    <cellStyle name="パーセント 15" xfId="31038" xr:uid="{00000000-0005-0000-0000-000029790000}"/>
    <cellStyle name="メモ" xfId="31039" xr:uid="{00000000-0005-0000-0000-00002A790000}"/>
    <cellStyle name="メモ 10" xfId="31040" xr:uid="{00000000-0005-0000-0000-00002B790000}"/>
    <cellStyle name="メモ 11" xfId="31041" xr:uid="{00000000-0005-0000-0000-00002C790000}"/>
    <cellStyle name="メモ 12" xfId="31042" xr:uid="{00000000-0005-0000-0000-00002D790000}"/>
    <cellStyle name="メモ 13" xfId="31043" xr:uid="{00000000-0005-0000-0000-00002E790000}"/>
    <cellStyle name="メモ 14" xfId="31044" xr:uid="{00000000-0005-0000-0000-00002F790000}"/>
    <cellStyle name="メモ 15" xfId="31045" xr:uid="{00000000-0005-0000-0000-000030790000}"/>
    <cellStyle name="メモ 16" xfId="31046" xr:uid="{00000000-0005-0000-0000-000031790000}"/>
    <cellStyle name="メモ 17" xfId="31047" xr:uid="{00000000-0005-0000-0000-000032790000}"/>
    <cellStyle name="メモ 18" xfId="31048" xr:uid="{00000000-0005-0000-0000-000033790000}"/>
    <cellStyle name="メモ 19" xfId="31049" xr:uid="{00000000-0005-0000-0000-000034790000}"/>
    <cellStyle name="メモ 2" xfId="31050" xr:uid="{00000000-0005-0000-0000-000035790000}"/>
    <cellStyle name="メモ 2 10" xfId="31051" xr:uid="{00000000-0005-0000-0000-000036790000}"/>
    <cellStyle name="メモ 2 11" xfId="31052" xr:uid="{00000000-0005-0000-0000-000037790000}"/>
    <cellStyle name="メモ 2 12" xfId="31053" xr:uid="{00000000-0005-0000-0000-000038790000}"/>
    <cellStyle name="メモ 2 13" xfId="31054" xr:uid="{00000000-0005-0000-0000-000039790000}"/>
    <cellStyle name="メモ 2 14" xfId="31055" xr:uid="{00000000-0005-0000-0000-00003A790000}"/>
    <cellStyle name="メモ 2 15" xfId="31056" xr:uid="{00000000-0005-0000-0000-00003B790000}"/>
    <cellStyle name="メモ 2 16" xfId="31057" xr:uid="{00000000-0005-0000-0000-00003C790000}"/>
    <cellStyle name="メモ 2 17" xfId="31058" xr:uid="{00000000-0005-0000-0000-00003D790000}"/>
    <cellStyle name="メモ 2 18" xfId="31059" xr:uid="{00000000-0005-0000-0000-00003E790000}"/>
    <cellStyle name="メモ 2 19" xfId="31060" xr:uid="{00000000-0005-0000-0000-00003F790000}"/>
    <cellStyle name="メモ 2 2" xfId="31061" xr:uid="{00000000-0005-0000-0000-000040790000}"/>
    <cellStyle name="メモ 2 2 2" xfId="31062" xr:uid="{00000000-0005-0000-0000-000041790000}"/>
    <cellStyle name="メモ 2 2 2 2" xfId="31063" xr:uid="{00000000-0005-0000-0000-000042790000}"/>
    <cellStyle name="メモ 2 2 2 3" xfId="31064" xr:uid="{00000000-0005-0000-0000-000043790000}"/>
    <cellStyle name="メモ 2 2 3" xfId="31065" xr:uid="{00000000-0005-0000-0000-000044790000}"/>
    <cellStyle name="メモ 2 2 3 2" xfId="31066" xr:uid="{00000000-0005-0000-0000-000045790000}"/>
    <cellStyle name="メモ 2 2 3 3" xfId="31067" xr:uid="{00000000-0005-0000-0000-000046790000}"/>
    <cellStyle name="メモ 2 2 4" xfId="31068" xr:uid="{00000000-0005-0000-0000-000047790000}"/>
    <cellStyle name="メモ 2 2 5" xfId="31069" xr:uid="{00000000-0005-0000-0000-000048790000}"/>
    <cellStyle name="メモ 2 20" xfId="31070" xr:uid="{00000000-0005-0000-0000-000049790000}"/>
    <cellStyle name="メモ 2 21" xfId="31071" xr:uid="{00000000-0005-0000-0000-00004A790000}"/>
    <cellStyle name="メモ 2 22" xfId="31072" xr:uid="{00000000-0005-0000-0000-00004B790000}"/>
    <cellStyle name="メモ 2 23" xfId="31073" xr:uid="{00000000-0005-0000-0000-00004C790000}"/>
    <cellStyle name="メモ 2 24" xfId="31074" xr:uid="{00000000-0005-0000-0000-00004D790000}"/>
    <cellStyle name="メモ 2 25" xfId="31075" xr:uid="{00000000-0005-0000-0000-00004E790000}"/>
    <cellStyle name="メモ 2 26" xfId="31076" xr:uid="{00000000-0005-0000-0000-00004F790000}"/>
    <cellStyle name="メモ 2 27" xfId="31077" xr:uid="{00000000-0005-0000-0000-000050790000}"/>
    <cellStyle name="メモ 2 28" xfId="31078" xr:uid="{00000000-0005-0000-0000-000051790000}"/>
    <cellStyle name="メモ 2 29" xfId="31079" xr:uid="{00000000-0005-0000-0000-000052790000}"/>
    <cellStyle name="メモ 2 3" xfId="31080" xr:uid="{00000000-0005-0000-0000-000053790000}"/>
    <cellStyle name="メモ 2 3 2" xfId="31081" xr:uid="{00000000-0005-0000-0000-000054790000}"/>
    <cellStyle name="メモ 2 3 2 2" xfId="31082" xr:uid="{00000000-0005-0000-0000-000055790000}"/>
    <cellStyle name="メモ 2 3 2 3" xfId="31083" xr:uid="{00000000-0005-0000-0000-000056790000}"/>
    <cellStyle name="メモ 2 3 3" xfId="31084" xr:uid="{00000000-0005-0000-0000-000057790000}"/>
    <cellStyle name="メモ 2 3 3 2" xfId="31085" xr:uid="{00000000-0005-0000-0000-000058790000}"/>
    <cellStyle name="メモ 2 3 3 3" xfId="31086" xr:uid="{00000000-0005-0000-0000-000059790000}"/>
    <cellStyle name="メモ 2 3 4" xfId="31087" xr:uid="{00000000-0005-0000-0000-00005A790000}"/>
    <cellStyle name="メモ 2 3 5" xfId="31088" xr:uid="{00000000-0005-0000-0000-00005B790000}"/>
    <cellStyle name="メモ 2 30" xfId="31089" xr:uid="{00000000-0005-0000-0000-00005C790000}"/>
    <cellStyle name="メモ 2 31" xfId="31090" xr:uid="{00000000-0005-0000-0000-00005D790000}"/>
    <cellStyle name="メモ 2 32" xfId="31091" xr:uid="{00000000-0005-0000-0000-00005E790000}"/>
    <cellStyle name="メモ 2 33" xfId="31092" xr:uid="{00000000-0005-0000-0000-00005F790000}"/>
    <cellStyle name="メモ 2 34" xfId="31093" xr:uid="{00000000-0005-0000-0000-000060790000}"/>
    <cellStyle name="メモ 2 35" xfId="31094" xr:uid="{00000000-0005-0000-0000-000061790000}"/>
    <cellStyle name="メモ 2 4" xfId="31095" xr:uid="{00000000-0005-0000-0000-000062790000}"/>
    <cellStyle name="メモ 2 4 2" xfId="31096" xr:uid="{00000000-0005-0000-0000-000063790000}"/>
    <cellStyle name="メモ 2 4 3" xfId="31097" xr:uid="{00000000-0005-0000-0000-000064790000}"/>
    <cellStyle name="メモ 2 5" xfId="31098" xr:uid="{00000000-0005-0000-0000-000065790000}"/>
    <cellStyle name="メモ 2 5 2" xfId="31099" xr:uid="{00000000-0005-0000-0000-000066790000}"/>
    <cellStyle name="メモ 2 5 3" xfId="31100" xr:uid="{00000000-0005-0000-0000-000067790000}"/>
    <cellStyle name="メモ 2 6" xfId="31101" xr:uid="{00000000-0005-0000-0000-000068790000}"/>
    <cellStyle name="メモ 2 7" xfId="31102" xr:uid="{00000000-0005-0000-0000-000069790000}"/>
    <cellStyle name="メモ 2 8" xfId="31103" xr:uid="{00000000-0005-0000-0000-00006A790000}"/>
    <cellStyle name="メモ 2 9" xfId="31104" xr:uid="{00000000-0005-0000-0000-00006B790000}"/>
    <cellStyle name="メモ 20" xfId="31105" xr:uid="{00000000-0005-0000-0000-00006C790000}"/>
    <cellStyle name="メモ 21" xfId="31106" xr:uid="{00000000-0005-0000-0000-00006D790000}"/>
    <cellStyle name="メモ 22" xfId="31107" xr:uid="{00000000-0005-0000-0000-00006E790000}"/>
    <cellStyle name="メモ 23" xfId="31108" xr:uid="{00000000-0005-0000-0000-00006F790000}"/>
    <cellStyle name="メモ 24" xfId="31109" xr:uid="{00000000-0005-0000-0000-000070790000}"/>
    <cellStyle name="メモ 25" xfId="31110" xr:uid="{00000000-0005-0000-0000-000071790000}"/>
    <cellStyle name="メモ 26" xfId="31111" xr:uid="{00000000-0005-0000-0000-000072790000}"/>
    <cellStyle name="メモ 27" xfId="31112" xr:uid="{00000000-0005-0000-0000-000073790000}"/>
    <cellStyle name="メモ 28" xfId="31113" xr:uid="{00000000-0005-0000-0000-000074790000}"/>
    <cellStyle name="メモ 29" xfId="31114" xr:uid="{00000000-0005-0000-0000-000075790000}"/>
    <cellStyle name="メモ 3" xfId="31115" xr:uid="{00000000-0005-0000-0000-000076790000}"/>
    <cellStyle name="メモ 3 2" xfId="31116" xr:uid="{00000000-0005-0000-0000-000077790000}"/>
    <cellStyle name="メモ 3 3" xfId="31117" xr:uid="{00000000-0005-0000-0000-000078790000}"/>
    <cellStyle name="メモ 30" xfId="31118" xr:uid="{00000000-0005-0000-0000-000079790000}"/>
    <cellStyle name="メモ 31" xfId="31119" xr:uid="{00000000-0005-0000-0000-00007A790000}"/>
    <cellStyle name="メモ 32" xfId="31120" xr:uid="{00000000-0005-0000-0000-00007B790000}"/>
    <cellStyle name="メモ 33" xfId="31121" xr:uid="{00000000-0005-0000-0000-00007C790000}"/>
    <cellStyle name="メモ 34" xfId="31122" xr:uid="{00000000-0005-0000-0000-00007D790000}"/>
    <cellStyle name="メモ 4" xfId="31123" xr:uid="{00000000-0005-0000-0000-00007E790000}"/>
    <cellStyle name="メモ 4 2" xfId="31124" xr:uid="{00000000-0005-0000-0000-00007F790000}"/>
    <cellStyle name="メモ 4 3" xfId="31125" xr:uid="{00000000-0005-0000-0000-000080790000}"/>
    <cellStyle name="メモ 5" xfId="31126" xr:uid="{00000000-0005-0000-0000-000081790000}"/>
    <cellStyle name="メモ 6" xfId="31127" xr:uid="{00000000-0005-0000-0000-000082790000}"/>
    <cellStyle name="メモ 7" xfId="31128" xr:uid="{00000000-0005-0000-0000-000083790000}"/>
    <cellStyle name="メモ 8" xfId="31129" xr:uid="{00000000-0005-0000-0000-000084790000}"/>
    <cellStyle name="メモ 9" xfId="31130" xr:uid="{00000000-0005-0000-0000-000085790000}"/>
    <cellStyle name="リンク セル" xfId="31131" xr:uid="{00000000-0005-0000-0000-000086790000}"/>
    <cellStyle name="น้บะภฒ_95" xfId="31002" xr:uid="{00000000-0005-0000-0000-000087790000}"/>
    <cellStyle name="ปกติ_11wq42" xfId="31003" xr:uid="{00000000-0005-0000-0000-000088790000}"/>
    <cellStyle name="ม๖มคตวม๖ พสภฝ" xfId="31004" xr:uid="{00000000-0005-0000-0000-000089790000}"/>
    <cellStyle name="ม๖มคตวม๖ พสภฝ 2" xfId="31005" xr:uid="{00000000-0005-0000-0000-00008A790000}"/>
    <cellStyle name="ม๖มคตวม๖ พสภฝ 2 2" xfId="31006" xr:uid="{00000000-0005-0000-0000-00008B790000}"/>
    <cellStyle name="ม๖มคตวม๖ พสภฝ 3" xfId="31007" xr:uid="{00000000-0005-0000-0000-00008C790000}"/>
    <cellStyle name="ฤธถ [0]_12ฟ๙ภศญ" xfId="31008" xr:uid="{00000000-0005-0000-0000-00008D790000}"/>
    <cellStyle name="ฤธถ_12ฟ๙ภศญ" xfId="31009" xr:uid="{00000000-0005-0000-0000-00008E790000}"/>
    <cellStyle name="ล๋ศญ [0]_12ฟ๙ภศญ" xfId="31010" xr:uid="{00000000-0005-0000-0000-00008F790000}"/>
    <cellStyle name="ล๋ศญ_12ฟ๙ภศญ" xfId="31011" xr:uid="{00000000-0005-0000-0000-000090790000}"/>
    <cellStyle name="วฅมุ_4ฟ๙ฝวภ๛" xfId="31012" xr:uid="{00000000-0005-0000-0000-000091790000}"/>
    <cellStyle name="뒤에 오는 하이퍼링크" xfId="31013" xr:uid="{00000000-0005-0000-0000-000092790000}"/>
    <cellStyle name="뒤에 오는 하이퍼링크 2" xfId="31014" xr:uid="{00000000-0005-0000-0000-000093790000}"/>
    <cellStyle name="뒤에 오는 하이퍼링크 2 2" xfId="31015" xr:uid="{00000000-0005-0000-0000-000094790000}"/>
    <cellStyle name="뒤에 오는 하이퍼링크 3" xfId="31016" xr:uid="{00000000-0005-0000-0000-000095790000}"/>
    <cellStyle name="뷭?_BOOKSHIP" xfId="31017" xr:uid="{00000000-0005-0000-0000-000096790000}"/>
    <cellStyle name="븿뗦먛귟_PRODUCT DETAIL Q1" xfId="31018" xr:uid="{00000000-0005-0000-0000-000097790000}"/>
    <cellStyle name="쉼표 [0]_tower price and foundation price" xfId="31019" xr:uid="{00000000-0005-0000-0000-000098790000}"/>
    <cellStyle name="콤마 [0]_10월2주 " xfId="31020" xr:uid="{00000000-0005-0000-0000-000099790000}"/>
    <cellStyle name="콤마_10월2주 " xfId="31021" xr:uid="{00000000-0005-0000-0000-00009A790000}"/>
    <cellStyle name="통화 [0]_BID" xfId="31022" xr:uid="{00000000-0005-0000-0000-00009B790000}"/>
    <cellStyle name="통화_BID" xfId="31023" xr:uid="{00000000-0005-0000-0000-00009C790000}"/>
    <cellStyle name="표준_030331MM_JB_030424MM_1mileswitch_config_06092005_FINNET" xfId="31024" xr:uid="{00000000-0005-0000-0000-00009D790000}"/>
    <cellStyle name="入力" xfId="31132" xr:uid="{00000000-0005-0000-0000-00009E790000}"/>
    <cellStyle name="入力 10" xfId="31133" xr:uid="{00000000-0005-0000-0000-00009F790000}"/>
    <cellStyle name="入力 11" xfId="31134" xr:uid="{00000000-0005-0000-0000-0000A0790000}"/>
    <cellStyle name="入力 12" xfId="31135" xr:uid="{00000000-0005-0000-0000-0000A1790000}"/>
    <cellStyle name="入力 13" xfId="31136" xr:uid="{00000000-0005-0000-0000-0000A2790000}"/>
    <cellStyle name="入力 14" xfId="31137" xr:uid="{00000000-0005-0000-0000-0000A3790000}"/>
    <cellStyle name="入力 2" xfId="31138" xr:uid="{00000000-0005-0000-0000-0000A4790000}"/>
    <cellStyle name="入力 2 10" xfId="31139" xr:uid="{00000000-0005-0000-0000-0000A5790000}"/>
    <cellStyle name="入力 2 11" xfId="31140" xr:uid="{00000000-0005-0000-0000-0000A6790000}"/>
    <cellStyle name="入力 2 12" xfId="31141" xr:uid="{00000000-0005-0000-0000-0000A7790000}"/>
    <cellStyle name="入力 2 13" xfId="31142" xr:uid="{00000000-0005-0000-0000-0000A8790000}"/>
    <cellStyle name="入力 2 14" xfId="31143" xr:uid="{00000000-0005-0000-0000-0000A9790000}"/>
    <cellStyle name="入力 2 15" xfId="31144" xr:uid="{00000000-0005-0000-0000-0000AA790000}"/>
    <cellStyle name="入力 2 16" xfId="31145" xr:uid="{00000000-0005-0000-0000-0000AB790000}"/>
    <cellStyle name="入力 2 17" xfId="31146" xr:uid="{00000000-0005-0000-0000-0000AC790000}"/>
    <cellStyle name="入力 2 18" xfId="31147" xr:uid="{00000000-0005-0000-0000-0000AD790000}"/>
    <cellStyle name="入力 2 19" xfId="31148" xr:uid="{00000000-0005-0000-0000-0000AE790000}"/>
    <cellStyle name="入力 2 2" xfId="31149" xr:uid="{00000000-0005-0000-0000-0000AF790000}"/>
    <cellStyle name="入力 2 2 2" xfId="31150" xr:uid="{00000000-0005-0000-0000-0000B0790000}"/>
    <cellStyle name="入力 2 2 2 2" xfId="31151" xr:uid="{00000000-0005-0000-0000-0000B1790000}"/>
    <cellStyle name="入力 2 2 2 3" xfId="31152" xr:uid="{00000000-0005-0000-0000-0000B2790000}"/>
    <cellStyle name="入力 2 2 3" xfId="31153" xr:uid="{00000000-0005-0000-0000-0000B3790000}"/>
    <cellStyle name="入力 2 2 3 2" xfId="31154" xr:uid="{00000000-0005-0000-0000-0000B4790000}"/>
    <cellStyle name="入力 2 2 3 3" xfId="31155" xr:uid="{00000000-0005-0000-0000-0000B5790000}"/>
    <cellStyle name="入力 2 2 4" xfId="31156" xr:uid="{00000000-0005-0000-0000-0000B6790000}"/>
    <cellStyle name="入力 2 2 5" xfId="31157" xr:uid="{00000000-0005-0000-0000-0000B7790000}"/>
    <cellStyle name="入力 2 20" xfId="31158" xr:uid="{00000000-0005-0000-0000-0000B8790000}"/>
    <cellStyle name="入力 2 21" xfId="31159" xr:uid="{00000000-0005-0000-0000-0000B9790000}"/>
    <cellStyle name="入力 2 22" xfId="31160" xr:uid="{00000000-0005-0000-0000-0000BA790000}"/>
    <cellStyle name="入力 2 23" xfId="31161" xr:uid="{00000000-0005-0000-0000-0000BB790000}"/>
    <cellStyle name="入力 2 24" xfId="31162" xr:uid="{00000000-0005-0000-0000-0000BC790000}"/>
    <cellStyle name="入力 2 25" xfId="31163" xr:uid="{00000000-0005-0000-0000-0000BD790000}"/>
    <cellStyle name="入力 2 26" xfId="31164" xr:uid="{00000000-0005-0000-0000-0000BE790000}"/>
    <cellStyle name="入力 2 27" xfId="31165" xr:uid="{00000000-0005-0000-0000-0000BF790000}"/>
    <cellStyle name="入力 2 28" xfId="31166" xr:uid="{00000000-0005-0000-0000-0000C0790000}"/>
    <cellStyle name="入力 2 29" xfId="31167" xr:uid="{00000000-0005-0000-0000-0000C1790000}"/>
    <cellStyle name="入力 2 3" xfId="31168" xr:uid="{00000000-0005-0000-0000-0000C2790000}"/>
    <cellStyle name="入力 2 3 2" xfId="31169" xr:uid="{00000000-0005-0000-0000-0000C3790000}"/>
    <cellStyle name="入力 2 3 2 2" xfId="31170" xr:uid="{00000000-0005-0000-0000-0000C4790000}"/>
    <cellStyle name="入力 2 3 2 3" xfId="31171" xr:uid="{00000000-0005-0000-0000-0000C5790000}"/>
    <cellStyle name="入力 2 3 3" xfId="31172" xr:uid="{00000000-0005-0000-0000-0000C6790000}"/>
    <cellStyle name="入力 2 3 3 2" xfId="31173" xr:uid="{00000000-0005-0000-0000-0000C7790000}"/>
    <cellStyle name="入力 2 3 3 3" xfId="31174" xr:uid="{00000000-0005-0000-0000-0000C8790000}"/>
    <cellStyle name="入力 2 3 4" xfId="31175" xr:uid="{00000000-0005-0000-0000-0000C9790000}"/>
    <cellStyle name="入力 2 3 5" xfId="31176" xr:uid="{00000000-0005-0000-0000-0000CA790000}"/>
    <cellStyle name="入力 2 30" xfId="31177" xr:uid="{00000000-0005-0000-0000-0000CB790000}"/>
    <cellStyle name="入力 2 31" xfId="31178" xr:uid="{00000000-0005-0000-0000-0000CC790000}"/>
    <cellStyle name="入力 2 32" xfId="31179" xr:uid="{00000000-0005-0000-0000-0000CD790000}"/>
    <cellStyle name="入力 2 33" xfId="31180" xr:uid="{00000000-0005-0000-0000-0000CE790000}"/>
    <cellStyle name="入力 2 34" xfId="31181" xr:uid="{00000000-0005-0000-0000-0000CF790000}"/>
    <cellStyle name="入力 2 35" xfId="31182" xr:uid="{00000000-0005-0000-0000-0000D0790000}"/>
    <cellStyle name="入力 2 4" xfId="31183" xr:uid="{00000000-0005-0000-0000-0000D1790000}"/>
    <cellStyle name="入力 2 4 2" xfId="31184" xr:uid="{00000000-0005-0000-0000-0000D2790000}"/>
    <cellStyle name="入力 2 4 3" xfId="31185" xr:uid="{00000000-0005-0000-0000-0000D3790000}"/>
    <cellStyle name="入力 2 5" xfId="31186" xr:uid="{00000000-0005-0000-0000-0000D4790000}"/>
    <cellStyle name="入力 2 5 2" xfId="31187" xr:uid="{00000000-0005-0000-0000-0000D5790000}"/>
    <cellStyle name="入力 2 5 3" xfId="31188" xr:uid="{00000000-0005-0000-0000-0000D6790000}"/>
    <cellStyle name="入力 2 6" xfId="31189" xr:uid="{00000000-0005-0000-0000-0000D7790000}"/>
    <cellStyle name="入力 2 7" xfId="31190" xr:uid="{00000000-0005-0000-0000-0000D8790000}"/>
    <cellStyle name="入力 2 8" xfId="31191" xr:uid="{00000000-0005-0000-0000-0000D9790000}"/>
    <cellStyle name="入力 2 9" xfId="31192" xr:uid="{00000000-0005-0000-0000-0000DA790000}"/>
    <cellStyle name="入力 3" xfId="31193" xr:uid="{00000000-0005-0000-0000-0000DB790000}"/>
    <cellStyle name="入力 3 2" xfId="31194" xr:uid="{00000000-0005-0000-0000-0000DC790000}"/>
    <cellStyle name="入力 3 2 2" xfId="31195" xr:uid="{00000000-0005-0000-0000-0000DD790000}"/>
    <cellStyle name="入力 3 2 3" xfId="31196" xr:uid="{00000000-0005-0000-0000-0000DE790000}"/>
    <cellStyle name="入力 3 3" xfId="31197" xr:uid="{00000000-0005-0000-0000-0000DF790000}"/>
    <cellStyle name="入力 3 3 2" xfId="31198" xr:uid="{00000000-0005-0000-0000-0000E0790000}"/>
    <cellStyle name="入力 3 3 3" xfId="31199" xr:uid="{00000000-0005-0000-0000-0000E1790000}"/>
    <cellStyle name="入力 3 4" xfId="31200" xr:uid="{00000000-0005-0000-0000-0000E2790000}"/>
    <cellStyle name="入力 3 5" xfId="31201" xr:uid="{00000000-0005-0000-0000-0000E3790000}"/>
    <cellStyle name="入力 4" xfId="31202" xr:uid="{00000000-0005-0000-0000-0000E4790000}"/>
    <cellStyle name="入力 4 2" xfId="31203" xr:uid="{00000000-0005-0000-0000-0000E5790000}"/>
    <cellStyle name="入力 4 3" xfId="31204" xr:uid="{00000000-0005-0000-0000-0000E6790000}"/>
    <cellStyle name="入力 5" xfId="31205" xr:uid="{00000000-0005-0000-0000-0000E7790000}"/>
    <cellStyle name="入力 5 2" xfId="31206" xr:uid="{00000000-0005-0000-0000-0000E8790000}"/>
    <cellStyle name="入力 5 3" xfId="31207" xr:uid="{00000000-0005-0000-0000-0000E9790000}"/>
    <cellStyle name="入力 6" xfId="31208" xr:uid="{00000000-0005-0000-0000-0000EA790000}"/>
    <cellStyle name="入力 7" xfId="31209" xr:uid="{00000000-0005-0000-0000-0000EB790000}"/>
    <cellStyle name="入力 8" xfId="31210" xr:uid="{00000000-0005-0000-0000-0000EC790000}"/>
    <cellStyle name="入力 9" xfId="31211" xr:uid="{00000000-0005-0000-0000-0000ED790000}"/>
    <cellStyle name="出力" xfId="31212" xr:uid="{00000000-0005-0000-0000-0000EE790000}"/>
    <cellStyle name="出力 10" xfId="31213" xr:uid="{00000000-0005-0000-0000-0000EF790000}"/>
    <cellStyle name="出力 11" xfId="31214" xr:uid="{00000000-0005-0000-0000-0000F0790000}"/>
    <cellStyle name="出力 12" xfId="31215" xr:uid="{00000000-0005-0000-0000-0000F1790000}"/>
    <cellStyle name="出力 13" xfId="31216" xr:uid="{00000000-0005-0000-0000-0000F2790000}"/>
    <cellStyle name="出力 14" xfId="31217" xr:uid="{00000000-0005-0000-0000-0000F3790000}"/>
    <cellStyle name="出力 15" xfId="31218" xr:uid="{00000000-0005-0000-0000-0000F4790000}"/>
    <cellStyle name="出力 16" xfId="31219" xr:uid="{00000000-0005-0000-0000-0000F5790000}"/>
    <cellStyle name="出力 17" xfId="31220" xr:uid="{00000000-0005-0000-0000-0000F6790000}"/>
    <cellStyle name="出力 18" xfId="31221" xr:uid="{00000000-0005-0000-0000-0000F7790000}"/>
    <cellStyle name="出力 19" xfId="31222" xr:uid="{00000000-0005-0000-0000-0000F8790000}"/>
    <cellStyle name="出力 2" xfId="31223" xr:uid="{00000000-0005-0000-0000-0000F9790000}"/>
    <cellStyle name="出力 2 10" xfId="31224" xr:uid="{00000000-0005-0000-0000-0000FA790000}"/>
    <cellStyle name="出力 2 11" xfId="31225" xr:uid="{00000000-0005-0000-0000-0000FB790000}"/>
    <cellStyle name="出力 2 12" xfId="31226" xr:uid="{00000000-0005-0000-0000-0000FC790000}"/>
    <cellStyle name="出力 2 13" xfId="31227" xr:uid="{00000000-0005-0000-0000-0000FD790000}"/>
    <cellStyle name="出力 2 14" xfId="31228" xr:uid="{00000000-0005-0000-0000-0000FE790000}"/>
    <cellStyle name="出力 2 15" xfId="31229" xr:uid="{00000000-0005-0000-0000-0000FF790000}"/>
    <cellStyle name="出力 2 16" xfId="31230" xr:uid="{00000000-0005-0000-0000-0000007A0000}"/>
    <cellStyle name="出力 2 17" xfId="31231" xr:uid="{00000000-0005-0000-0000-0000017A0000}"/>
    <cellStyle name="出力 2 18" xfId="31232" xr:uid="{00000000-0005-0000-0000-0000027A0000}"/>
    <cellStyle name="出力 2 19" xfId="31233" xr:uid="{00000000-0005-0000-0000-0000037A0000}"/>
    <cellStyle name="出力 2 2" xfId="31234" xr:uid="{00000000-0005-0000-0000-0000047A0000}"/>
    <cellStyle name="出力 2 20" xfId="31235" xr:uid="{00000000-0005-0000-0000-0000057A0000}"/>
    <cellStyle name="出力 2 21" xfId="31236" xr:uid="{00000000-0005-0000-0000-0000067A0000}"/>
    <cellStyle name="出力 2 22" xfId="31237" xr:uid="{00000000-0005-0000-0000-0000077A0000}"/>
    <cellStyle name="出力 2 23" xfId="31238" xr:uid="{00000000-0005-0000-0000-0000087A0000}"/>
    <cellStyle name="出力 2 24" xfId="31239" xr:uid="{00000000-0005-0000-0000-0000097A0000}"/>
    <cellStyle name="出力 2 25" xfId="31240" xr:uid="{00000000-0005-0000-0000-00000A7A0000}"/>
    <cellStyle name="出力 2 26" xfId="31241" xr:uid="{00000000-0005-0000-0000-00000B7A0000}"/>
    <cellStyle name="出力 2 27" xfId="31242" xr:uid="{00000000-0005-0000-0000-00000C7A0000}"/>
    <cellStyle name="出力 2 28" xfId="31243" xr:uid="{00000000-0005-0000-0000-00000D7A0000}"/>
    <cellStyle name="出力 2 29" xfId="31244" xr:uid="{00000000-0005-0000-0000-00000E7A0000}"/>
    <cellStyle name="出力 2 3" xfId="31245" xr:uid="{00000000-0005-0000-0000-00000F7A0000}"/>
    <cellStyle name="出力 2 30" xfId="31246" xr:uid="{00000000-0005-0000-0000-0000107A0000}"/>
    <cellStyle name="出力 2 31" xfId="31247" xr:uid="{00000000-0005-0000-0000-0000117A0000}"/>
    <cellStyle name="出力 2 32" xfId="31248" xr:uid="{00000000-0005-0000-0000-0000127A0000}"/>
    <cellStyle name="出力 2 33" xfId="31249" xr:uid="{00000000-0005-0000-0000-0000137A0000}"/>
    <cellStyle name="出力 2 34" xfId="31250" xr:uid="{00000000-0005-0000-0000-0000147A0000}"/>
    <cellStyle name="出力 2 4" xfId="31251" xr:uid="{00000000-0005-0000-0000-0000157A0000}"/>
    <cellStyle name="出力 2 5" xfId="31252" xr:uid="{00000000-0005-0000-0000-0000167A0000}"/>
    <cellStyle name="出力 2 6" xfId="31253" xr:uid="{00000000-0005-0000-0000-0000177A0000}"/>
    <cellStyle name="出力 2 7" xfId="31254" xr:uid="{00000000-0005-0000-0000-0000187A0000}"/>
    <cellStyle name="出力 2 8" xfId="31255" xr:uid="{00000000-0005-0000-0000-0000197A0000}"/>
    <cellStyle name="出力 2 9" xfId="31256" xr:uid="{00000000-0005-0000-0000-00001A7A0000}"/>
    <cellStyle name="出力 20" xfId="31257" xr:uid="{00000000-0005-0000-0000-00001B7A0000}"/>
    <cellStyle name="出力 3" xfId="31258" xr:uid="{00000000-0005-0000-0000-00001C7A0000}"/>
    <cellStyle name="出力 3 2" xfId="31259" xr:uid="{00000000-0005-0000-0000-00001D7A0000}"/>
    <cellStyle name="出力 3 3" xfId="31260" xr:uid="{00000000-0005-0000-0000-00001E7A0000}"/>
    <cellStyle name="出力 4" xfId="31261" xr:uid="{00000000-0005-0000-0000-00001F7A0000}"/>
    <cellStyle name="出力 5" xfId="31262" xr:uid="{00000000-0005-0000-0000-0000207A0000}"/>
    <cellStyle name="出力 6" xfId="31263" xr:uid="{00000000-0005-0000-0000-0000217A0000}"/>
    <cellStyle name="出力 7" xfId="31264" xr:uid="{00000000-0005-0000-0000-0000227A0000}"/>
    <cellStyle name="出力 8" xfId="31265" xr:uid="{00000000-0005-0000-0000-0000237A0000}"/>
    <cellStyle name="出力 9" xfId="31266" xr:uid="{00000000-0005-0000-0000-0000247A0000}"/>
    <cellStyle name="千位[0]_laroux" xfId="31268" xr:uid="{00000000-0005-0000-0000-0000257A0000}"/>
    <cellStyle name="千位_laroux" xfId="31267" xr:uid="{00000000-0005-0000-0000-0000267A0000}"/>
    <cellStyle name="千位分隔 10" xfId="31269" xr:uid="{00000000-0005-0000-0000-0000277A0000}"/>
    <cellStyle name="千位分隔 11" xfId="31270" xr:uid="{00000000-0005-0000-0000-0000287A0000}"/>
    <cellStyle name="千位分隔 2" xfId="31271" xr:uid="{00000000-0005-0000-0000-0000297A0000}"/>
    <cellStyle name="千位分隔 2 2" xfId="31272" xr:uid="{00000000-0005-0000-0000-00002A7A0000}"/>
    <cellStyle name="千位分隔 2 2 2" xfId="31273" xr:uid="{00000000-0005-0000-0000-00002B7A0000}"/>
    <cellStyle name="千位分隔 2 2 3" xfId="31274" xr:uid="{00000000-0005-0000-0000-00002C7A0000}"/>
    <cellStyle name="千位分隔 2 2 4" xfId="31275" xr:uid="{00000000-0005-0000-0000-00002D7A0000}"/>
    <cellStyle name="千位分隔 2 3" xfId="31276" xr:uid="{00000000-0005-0000-0000-00002E7A0000}"/>
    <cellStyle name="千位分隔 2 4" xfId="31277" xr:uid="{00000000-0005-0000-0000-00002F7A0000}"/>
    <cellStyle name="千位分隔 2 5" xfId="31278" xr:uid="{00000000-0005-0000-0000-0000307A0000}"/>
    <cellStyle name="千位分隔 3" xfId="31279" xr:uid="{00000000-0005-0000-0000-0000317A0000}"/>
    <cellStyle name="千位分隔 3 2" xfId="31280" xr:uid="{00000000-0005-0000-0000-0000327A0000}"/>
    <cellStyle name="千位分隔 3 3" xfId="31281" xr:uid="{00000000-0005-0000-0000-0000337A0000}"/>
    <cellStyle name="千位分隔 4" xfId="31282" xr:uid="{00000000-0005-0000-0000-0000347A0000}"/>
    <cellStyle name="千位分隔 4 2" xfId="31283" xr:uid="{00000000-0005-0000-0000-0000357A0000}"/>
    <cellStyle name="千位分隔 4 3" xfId="31284" xr:uid="{00000000-0005-0000-0000-0000367A0000}"/>
    <cellStyle name="千位分隔 5" xfId="31285" xr:uid="{00000000-0005-0000-0000-0000377A0000}"/>
    <cellStyle name="千位分隔 5 2" xfId="31286" xr:uid="{00000000-0005-0000-0000-0000387A0000}"/>
    <cellStyle name="千位分隔 6" xfId="31287" xr:uid="{00000000-0005-0000-0000-0000397A0000}"/>
    <cellStyle name="千位分隔 6 2" xfId="31288" xr:uid="{00000000-0005-0000-0000-00003A7A0000}"/>
    <cellStyle name="千位分隔 7" xfId="31289" xr:uid="{00000000-0005-0000-0000-00003B7A0000}"/>
    <cellStyle name="千位分隔 8" xfId="31290" xr:uid="{00000000-0005-0000-0000-00003C7A0000}"/>
    <cellStyle name="千位分隔 9" xfId="31291" xr:uid="{00000000-0005-0000-0000-00003D7A0000}"/>
    <cellStyle name="千位分隔[0] 2" xfId="31293" xr:uid="{00000000-0005-0000-0000-00003E7A0000}"/>
    <cellStyle name="千位分隔[0] 3" xfId="31294" xr:uid="{00000000-0005-0000-0000-00003F7A0000}"/>
    <cellStyle name="千位分隔[0] 4" xfId="31295" xr:uid="{00000000-0005-0000-0000-0000407A0000}"/>
    <cellStyle name="千位分隔[0]_2.5G报价模板" xfId="31296" xr:uid="{00000000-0005-0000-0000-0000417A0000}"/>
    <cellStyle name="千位分隔_2.5G报价模板" xfId="31292" xr:uid="{00000000-0005-0000-0000-0000427A0000}"/>
    <cellStyle name="千分位[0]_ 白土" xfId="31298" xr:uid="{00000000-0005-0000-0000-0000437A0000}"/>
    <cellStyle name="千分位_ 白土" xfId="31297" xr:uid="{00000000-0005-0000-0000-0000447A0000}"/>
    <cellStyle name="后继超级链接_~0055202" xfId="31299" xr:uid="{00000000-0005-0000-0000-0000457A0000}"/>
    <cellStyle name="好" xfId="31300" xr:uid="{00000000-0005-0000-0000-0000467A0000}"/>
    <cellStyle name="好 2" xfId="31301" xr:uid="{00000000-0005-0000-0000-0000477A0000}"/>
    <cellStyle name="好 3" xfId="31302" xr:uid="{00000000-0005-0000-0000-0000487A0000}"/>
    <cellStyle name="好 4" xfId="31303" xr:uid="{00000000-0005-0000-0000-0000497A0000}"/>
    <cellStyle name="好 5" xfId="31304" xr:uid="{00000000-0005-0000-0000-00004A7A0000}"/>
    <cellStyle name="好 6" xfId="31305" xr:uid="{00000000-0005-0000-0000-00004B7A0000}"/>
    <cellStyle name="好_Annex 27 Part 2 Prices-2010.09.17-V1.0" xfId="31306" xr:uid="{00000000-0005-0000-0000-00004C7A0000}"/>
    <cellStyle name="好_BoQ-Bill of Quantity" xfId="31307" xr:uid="{00000000-0005-0000-0000-00004D7A0000}"/>
    <cellStyle name="好_Optical" xfId="31308" xr:uid="{00000000-0005-0000-0000-00004E7A0000}"/>
    <cellStyle name="好_Sheet3" xfId="31309" xr:uid="{00000000-0005-0000-0000-00004F7A0000}"/>
    <cellStyle name="好_VAS 软件单价表" xfId="31310" xr:uid="{00000000-0005-0000-0000-0000507A0000}"/>
    <cellStyle name="好_固网单价" xfId="31311" xr:uid="{00000000-0005-0000-0000-0000517A0000}"/>
    <cellStyle name="差" xfId="31312" xr:uid="{00000000-0005-0000-0000-0000527A0000}"/>
    <cellStyle name="差 2" xfId="31313" xr:uid="{00000000-0005-0000-0000-0000537A0000}"/>
    <cellStyle name="差 3" xfId="31314" xr:uid="{00000000-0005-0000-0000-0000547A0000}"/>
    <cellStyle name="差 4" xfId="31315" xr:uid="{00000000-0005-0000-0000-0000557A0000}"/>
    <cellStyle name="差 5" xfId="31316" xr:uid="{00000000-0005-0000-0000-0000567A0000}"/>
    <cellStyle name="差 6" xfId="31317" xr:uid="{00000000-0005-0000-0000-0000577A0000}"/>
    <cellStyle name="差_Annex 27 Part 2 Prices-2010.09.17-V1.0" xfId="31318" xr:uid="{00000000-0005-0000-0000-0000587A0000}"/>
    <cellStyle name="差_BoQ-Bill of Quantity" xfId="31319" xr:uid="{00000000-0005-0000-0000-0000597A0000}"/>
    <cellStyle name="差_Optical" xfId="31320" xr:uid="{00000000-0005-0000-0000-00005A7A0000}"/>
    <cellStyle name="差_Sheet3" xfId="31321" xr:uid="{00000000-0005-0000-0000-00005B7A0000}"/>
    <cellStyle name="差_VAS 软件单价表" xfId="31322" xr:uid="{00000000-0005-0000-0000-00005C7A0000}"/>
    <cellStyle name="差_固网单价" xfId="31323" xr:uid="{00000000-0005-0000-0000-00005D7A0000}"/>
    <cellStyle name="常规 10" xfId="31324" xr:uid="{00000000-0005-0000-0000-00005E7A0000}"/>
    <cellStyle name="常规 11" xfId="31325" xr:uid="{00000000-0005-0000-0000-00005F7A0000}"/>
    <cellStyle name="常规 11 2" xfId="31326" xr:uid="{00000000-0005-0000-0000-0000607A0000}"/>
    <cellStyle name="常规 12" xfId="31327" xr:uid="{00000000-0005-0000-0000-0000617A0000}"/>
    <cellStyle name="常规 13" xfId="31328" xr:uid="{00000000-0005-0000-0000-0000627A0000}"/>
    <cellStyle name="常规 14" xfId="31329" xr:uid="{00000000-0005-0000-0000-0000637A0000}"/>
    <cellStyle name="常规 14 2" xfId="31330" xr:uid="{00000000-0005-0000-0000-0000647A0000}"/>
    <cellStyle name="常规 14 3" xfId="31331" xr:uid="{00000000-0005-0000-0000-0000657A0000}"/>
    <cellStyle name="常规 15" xfId="31332" xr:uid="{00000000-0005-0000-0000-0000667A0000}"/>
    <cellStyle name="常规 16" xfId="31333" xr:uid="{00000000-0005-0000-0000-0000677A0000}"/>
    <cellStyle name="常规 17" xfId="31334" xr:uid="{00000000-0005-0000-0000-0000687A0000}"/>
    <cellStyle name="常规 2" xfId="31335" xr:uid="{00000000-0005-0000-0000-0000697A0000}"/>
    <cellStyle name="常规 2 2" xfId="31336" xr:uid="{00000000-0005-0000-0000-00006A7A0000}"/>
    <cellStyle name="常规 2 2 2" xfId="31337" xr:uid="{00000000-0005-0000-0000-00006B7A0000}"/>
    <cellStyle name="常规 2 3" xfId="31338" xr:uid="{00000000-0005-0000-0000-00006C7A0000}"/>
    <cellStyle name="常规 2_Discounts(Ran)" xfId="31339" xr:uid="{00000000-0005-0000-0000-00006D7A0000}"/>
    <cellStyle name="常规 3" xfId="31340" xr:uid="{00000000-0005-0000-0000-00006E7A0000}"/>
    <cellStyle name="常规 3 2" xfId="31341" xr:uid="{00000000-0005-0000-0000-00006F7A0000}"/>
    <cellStyle name="常规 3 3" xfId="31342" xr:uid="{00000000-0005-0000-0000-0000707A0000}"/>
    <cellStyle name="常规 3 4" xfId="31343" xr:uid="{00000000-0005-0000-0000-0000717A0000}"/>
    <cellStyle name="常规 3_Discounts(Core)" xfId="31344" xr:uid="{00000000-0005-0000-0000-0000727A0000}"/>
    <cellStyle name="常规 4" xfId="31345" xr:uid="{00000000-0005-0000-0000-0000737A0000}"/>
    <cellStyle name="常规 4 2" xfId="31346" xr:uid="{00000000-0005-0000-0000-0000747A0000}"/>
    <cellStyle name="常规 5" xfId="31347" xr:uid="{00000000-0005-0000-0000-0000757A0000}"/>
    <cellStyle name="常规 6" xfId="31348" xr:uid="{00000000-0005-0000-0000-0000767A0000}"/>
    <cellStyle name="常规 6 2" xfId="31349" xr:uid="{00000000-0005-0000-0000-0000777A0000}"/>
    <cellStyle name="常规 7" xfId="31350" xr:uid="{00000000-0005-0000-0000-0000787A0000}"/>
    <cellStyle name="常规 7 2" xfId="31351" xr:uid="{00000000-0005-0000-0000-0000797A0000}"/>
    <cellStyle name="常规 8" xfId="31352" xr:uid="{00000000-0005-0000-0000-00007A7A0000}"/>
    <cellStyle name="常规 8 2" xfId="31353" xr:uid="{00000000-0005-0000-0000-00007B7A0000}"/>
    <cellStyle name="常规 8 3" xfId="31354" xr:uid="{00000000-0005-0000-0000-00007C7A0000}"/>
    <cellStyle name="常规 9" xfId="31355" xr:uid="{00000000-0005-0000-0000-00007D7A0000}"/>
    <cellStyle name="常规_~5333370" xfId="31356" xr:uid="{00000000-0005-0000-0000-00007E7A0000}"/>
    <cellStyle name="强调文字颜色 1" xfId="31357" xr:uid="{00000000-0005-0000-0000-00007F7A0000}"/>
    <cellStyle name="强调文字颜色 1 2" xfId="31358" xr:uid="{00000000-0005-0000-0000-0000807A0000}"/>
    <cellStyle name="强调文字颜色 1 3" xfId="31359" xr:uid="{00000000-0005-0000-0000-0000817A0000}"/>
    <cellStyle name="强调文字颜色 1 4" xfId="31360" xr:uid="{00000000-0005-0000-0000-0000827A0000}"/>
    <cellStyle name="强调文字颜色 1 5" xfId="31361" xr:uid="{00000000-0005-0000-0000-0000837A0000}"/>
    <cellStyle name="强调文字颜色 1 6" xfId="31362" xr:uid="{00000000-0005-0000-0000-0000847A0000}"/>
    <cellStyle name="强调文字颜色 2" xfId="31363" xr:uid="{00000000-0005-0000-0000-0000857A0000}"/>
    <cellStyle name="强调文字颜色 2 2" xfId="31364" xr:uid="{00000000-0005-0000-0000-0000867A0000}"/>
    <cellStyle name="强调文字颜色 2 3" xfId="31365" xr:uid="{00000000-0005-0000-0000-0000877A0000}"/>
    <cellStyle name="强调文字颜色 2 4" xfId="31366" xr:uid="{00000000-0005-0000-0000-0000887A0000}"/>
    <cellStyle name="强调文字颜色 2 5" xfId="31367" xr:uid="{00000000-0005-0000-0000-0000897A0000}"/>
    <cellStyle name="强调文字颜色 2 6" xfId="31368" xr:uid="{00000000-0005-0000-0000-00008A7A0000}"/>
    <cellStyle name="强调文字颜色 3" xfId="31369" xr:uid="{00000000-0005-0000-0000-00008B7A0000}"/>
    <cellStyle name="强调文字颜色 3 2" xfId="31370" xr:uid="{00000000-0005-0000-0000-00008C7A0000}"/>
    <cellStyle name="强调文字颜色 3 3" xfId="31371" xr:uid="{00000000-0005-0000-0000-00008D7A0000}"/>
    <cellStyle name="强调文字颜色 3 4" xfId="31372" xr:uid="{00000000-0005-0000-0000-00008E7A0000}"/>
    <cellStyle name="强调文字颜色 3 5" xfId="31373" xr:uid="{00000000-0005-0000-0000-00008F7A0000}"/>
    <cellStyle name="强调文字颜色 3 6" xfId="31374" xr:uid="{00000000-0005-0000-0000-0000907A0000}"/>
    <cellStyle name="强调文字颜色 4" xfId="31375" xr:uid="{00000000-0005-0000-0000-0000917A0000}"/>
    <cellStyle name="强调文字颜色 4 2" xfId="31376" xr:uid="{00000000-0005-0000-0000-0000927A0000}"/>
    <cellStyle name="强调文字颜色 4 3" xfId="31377" xr:uid="{00000000-0005-0000-0000-0000937A0000}"/>
    <cellStyle name="强调文字颜色 4 4" xfId="31378" xr:uid="{00000000-0005-0000-0000-0000947A0000}"/>
    <cellStyle name="强调文字颜色 4 5" xfId="31379" xr:uid="{00000000-0005-0000-0000-0000957A0000}"/>
    <cellStyle name="强调文字颜色 4 6" xfId="31380" xr:uid="{00000000-0005-0000-0000-0000967A0000}"/>
    <cellStyle name="强调文字颜色 5" xfId="31381" xr:uid="{00000000-0005-0000-0000-0000977A0000}"/>
    <cellStyle name="强调文字颜色 5 2" xfId="31382" xr:uid="{00000000-0005-0000-0000-0000987A0000}"/>
    <cellStyle name="强调文字颜色 5 3" xfId="31383" xr:uid="{00000000-0005-0000-0000-0000997A0000}"/>
    <cellStyle name="强调文字颜色 5 4" xfId="31384" xr:uid="{00000000-0005-0000-0000-00009A7A0000}"/>
    <cellStyle name="强调文字颜色 5 5" xfId="31385" xr:uid="{00000000-0005-0000-0000-00009B7A0000}"/>
    <cellStyle name="强调文字颜色 5 6" xfId="31386" xr:uid="{00000000-0005-0000-0000-00009C7A0000}"/>
    <cellStyle name="强调文字颜色 6" xfId="31387" xr:uid="{00000000-0005-0000-0000-00009D7A0000}"/>
    <cellStyle name="强调文字颜色 6 2" xfId="31388" xr:uid="{00000000-0005-0000-0000-00009E7A0000}"/>
    <cellStyle name="强调文字颜色 6 3" xfId="31389" xr:uid="{00000000-0005-0000-0000-00009F7A0000}"/>
    <cellStyle name="强调文字颜色 6 4" xfId="31390" xr:uid="{00000000-0005-0000-0000-0000A07A0000}"/>
    <cellStyle name="强调文字颜色 6 5" xfId="31391" xr:uid="{00000000-0005-0000-0000-0000A17A0000}"/>
    <cellStyle name="强调文字颜色 6 6" xfId="31392" xr:uid="{00000000-0005-0000-0000-0000A27A0000}"/>
    <cellStyle name="悪い" xfId="31393" xr:uid="{00000000-0005-0000-0000-0000A37A0000}"/>
    <cellStyle name="普通_ 白土" xfId="31394" xr:uid="{00000000-0005-0000-0000-0000A47A0000}"/>
    <cellStyle name="未定義" xfId="31395" xr:uid="{00000000-0005-0000-0000-0000A57A0000}"/>
    <cellStyle name="未定義 2" xfId="31396" xr:uid="{00000000-0005-0000-0000-0000A67A0000}"/>
    <cellStyle name="未定義 2 2" xfId="31397" xr:uid="{00000000-0005-0000-0000-0000A77A0000}"/>
    <cellStyle name="未定義 3" xfId="31398" xr:uid="{00000000-0005-0000-0000-0000A87A0000}"/>
    <cellStyle name="标题" xfId="31399" xr:uid="{00000000-0005-0000-0000-0000A97A0000}"/>
    <cellStyle name="标题 1" xfId="31400" xr:uid="{00000000-0005-0000-0000-0000AA7A0000}"/>
    <cellStyle name="标题 1 2" xfId="31401" xr:uid="{00000000-0005-0000-0000-0000AB7A0000}"/>
    <cellStyle name="标题 1 3" xfId="31402" xr:uid="{00000000-0005-0000-0000-0000AC7A0000}"/>
    <cellStyle name="标题 1 4" xfId="31403" xr:uid="{00000000-0005-0000-0000-0000AD7A0000}"/>
    <cellStyle name="标题 1 5" xfId="31404" xr:uid="{00000000-0005-0000-0000-0000AE7A0000}"/>
    <cellStyle name="标题 1 6" xfId="31405" xr:uid="{00000000-0005-0000-0000-0000AF7A0000}"/>
    <cellStyle name="标题 2" xfId="31406" xr:uid="{00000000-0005-0000-0000-0000B07A0000}"/>
    <cellStyle name="标题 2 2" xfId="31407" xr:uid="{00000000-0005-0000-0000-0000B17A0000}"/>
    <cellStyle name="标题 2 3" xfId="31408" xr:uid="{00000000-0005-0000-0000-0000B27A0000}"/>
    <cellStyle name="标题 2 4" xfId="31409" xr:uid="{00000000-0005-0000-0000-0000B37A0000}"/>
    <cellStyle name="标题 2 5" xfId="31410" xr:uid="{00000000-0005-0000-0000-0000B47A0000}"/>
    <cellStyle name="标题 2 6" xfId="31411" xr:uid="{00000000-0005-0000-0000-0000B57A0000}"/>
    <cellStyle name="标题 3" xfId="31412" xr:uid="{00000000-0005-0000-0000-0000B67A0000}"/>
    <cellStyle name="标题 3 2" xfId="31413" xr:uid="{00000000-0005-0000-0000-0000B77A0000}"/>
    <cellStyle name="标题 3 3" xfId="31414" xr:uid="{00000000-0005-0000-0000-0000B87A0000}"/>
    <cellStyle name="标题 3 4" xfId="31415" xr:uid="{00000000-0005-0000-0000-0000B97A0000}"/>
    <cellStyle name="标题 3 5" xfId="31416" xr:uid="{00000000-0005-0000-0000-0000BA7A0000}"/>
    <cellStyle name="标题 3 6" xfId="31417" xr:uid="{00000000-0005-0000-0000-0000BB7A0000}"/>
    <cellStyle name="标题 4" xfId="31418" xr:uid="{00000000-0005-0000-0000-0000BC7A0000}"/>
    <cellStyle name="标题 4 2" xfId="31419" xr:uid="{00000000-0005-0000-0000-0000BD7A0000}"/>
    <cellStyle name="标题 4 3" xfId="31420" xr:uid="{00000000-0005-0000-0000-0000BE7A0000}"/>
    <cellStyle name="标题 4 4" xfId="31421" xr:uid="{00000000-0005-0000-0000-0000BF7A0000}"/>
    <cellStyle name="标题 4 5" xfId="31422" xr:uid="{00000000-0005-0000-0000-0000C07A0000}"/>
    <cellStyle name="标题 4 6" xfId="31423" xr:uid="{00000000-0005-0000-0000-0000C17A0000}"/>
    <cellStyle name="标题 5" xfId="31424" xr:uid="{00000000-0005-0000-0000-0000C27A0000}"/>
    <cellStyle name="标题 6" xfId="31425" xr:uid="{00000000-0005-0000-0000-0000C37A0000}"/>
    <cellStyle name="标题 7" xfId="31426" xr:uid="{00000000-0005-0000-0000-0000C47A0000}"/>
    <cellStyle name="标题 8" xfId="31427" xr:uid="{00000000-0005-0000-0000-0000C57A0000}"/>
    <cellStyle name="标题 9" xfId="31428" xr:uid="{00000000-0005-0000-0000-0000C67A0000}"/>
    <cellStyle name="样式 1" xfId="31429" xr:uid="{00000000-0005-0000-0000-0000C77A0000}"/>
    <cellStyle name="样式 1 2" xfId="31430" xr:uid="{00000000-0005-0000-0000-0000C87A0000}"/>
    <cellStyle name="样式 1 2 2" xfId="31431" xr:uid="{00000000-0005-0000-0000-0000C97A0000}"/>
    <cellStyle name="样式 1 3" xfId="31432" xr:uid="{00000000-0005-0000-0000-0000CA7A0000}"/>
    <cellStyle name="样式 1_Discounts(Ran)" xfId="31433" xr:uid="{00000000-0005-0000-0000-0000CB7A0000}"/>
    <cellStyle name="桁区切り [0.00] 2" xfId="31434" xr:uid="{00000000-0005-0000-0000-0000CC7A0000}"/>
    <cellStyle name="桁区切り [0.00] 3" xfId="31435" xr:uid="{00000000-0005-0000-0000-0000CD7A0000}"/>
    <cellStyle name="桁区切り [0.00]_laroux" xfId="31436" xr:uid="{00000000-0005-0000-0000-0000CE7A0000}"/>
    <cellStyle name="桁区切り 2" xfId="31437" xr:uid="{00000000-0005-0000-0000-0000CF7A0000}"/>
    <cellStyle name="桁区切り_20111219_1500人事⑲_社員個人別データ_3_TW_TM2" xfId="31438" xr:uid="{00000000-0005-0000-0000-0000D07A0000}"/>
    <cellStyle name="检查单元格" xfId="31439" xr:uid="{00000000-0005-0000-0000-0000D17A0000}"/>
    <cellStyle name="检查单元格 2" xfId="31440" xr:uid="{00000000-0005-0000-0000-0000D27A0000}"/>
    <cellStyle name="检查单元格 2 2" xfId="31441" xr:uid="{00000000-0005-0000-0000-0000D37A0000}"/>
    <cellStyle name="检查单元格 2 2 2" xfId="31442" xr:uid="{00000000-0005-0000-0000-0000D47A0000}"/>
    <cellStyle name="检查单元格 2 3" xfId="31443" xr:uid="{00000000-0005-0000-0000-0000D57A0000}"/>
    <cellStyle name="检查单元格 2 4" xfId="31444" xr:uid="{00000000-0005-0000-0000-0000D67A0000}"/>
    <cellStyle name="检查单元格 3" xfId="31445" xr:uid="{00000000-0005-0000-0000-0000D77A0000}"/>
    <cellStyle name="检查单元格 3 2" xfId="31446" xr:uid="{00000000-0005-0000-0000-0000D87A0000}"/>
    <cellStyle name="检查单元格 3 2 2" xfId="31447" xr:uid="{00000000-0005-0000-0000-0000D97A0000}"/>
    <cellStyle name="检查单元格 3 3" xfId="31448" xr:uid="{00000000-0005-0000-0000-0000DA7A0000}"/>
    <cellStyle name="检查单元格 3 4" xfId="31449" xr:uid="{00000000-0005-0000-0000-0000DB7A0000}"/>
    <cellStyle name="检查单元格 4" xfId="31450" xr:uid="{00000000-0005-0000-0000-0000DC7A0000}"/>
    <cellStyle name="检查单元格 4 2" xfId="31451" xr:uid="{00000000-0005-0000-0000-0000DD7A0000}"/>
    <cellStyle name="检查单元格 4 2 2" xfId="31452" xr:uid="{00000000-0005-0000-0000-0000DE7A0000}"/>
    <cellStyle name="检查单元格 4 3" xfId="31453" xr:uid="{00000000-0005-0000-0000-0000DF7A0000}"/>
    <cellStyle name="检查单元格 4 4" xfId="31454" xr:uid="{00000000-0005-0000-0000-0000E07A0000}"/>
    <cellStyle name="检查单元格 5" xfId="31455" xr:uid="{00000000-0005-0000-0000-0000E17A0000}"/>
    <cellStyle name="检查单元格 5 2" xfId="31456" xr:uid="{00000000-0005-0000-0000-0000E27A0000}"/>
    <cellStyle name="检查单元格 5 2 2" xfId="31457" xr:uid="{00000000-0005-0000-0000-0000E37A0000}"/>
    <cellStyle name="检查单元格 5 3" xfId="31458" xr:uid="{00000000-0005-0000-0000-0000E47A0000}"/>
    <cellStyle name="检查单元格 5 4" xfId="31459" xr:uid="{00000000-0005-0000-0000-0000E57A0000}"/>
    <cellStyle name="检查单元格 6" xfId="31460" xr:uid="{00000000-0005-0000-0000-0000E67A0000}"/>
    <cellStyle name="检查单元格 6 2" xfId="31461" xr:uid="{00000000-0005-0000-0000-0000E77A0000}"/>
    <cellStyle name="检查单元格 6 2 2" xfId="31462" xr:uid="{00000000-0005-0000-0000-0000E87A0000}"/>
    <cellStyle name="检查单元格 6 3" xfId="31463" xr:uid="{00000000-0005-0000-0000-0000E97A0000}"/>
    <cellStyle name="检查单元格 6 4" xfId="31464" xr:uid="{00000000-0005-0000-0000-0000EA7A0000}"/>
    <cellStyle name="检查单元格 7" xfId="31465" xr:uid="{00000000-0005-0000-0000-0000EB7A0000}"/>
    <cellStyle name="检查单元格 7 2" xfId="31466" xr:uid="{00000000-0005-0000-0000-0000EC7A0000}"/>
    <cellStyle name="检查单元格 8" xfId="31467" xr:uid="{00000000-0005-0000-0000-0000ED7A0000}"/>
    <cellStyle name="检查单元格 9" xfId="31468" xr:uid="{00000000-0005-0000-0000-0000EE7A0000}"/>
    <cellStyle name="標準 2" xfId="31469" xr:uid="{00000000-0005-0000-0000-0000EF7A0000}"/>
    <cellStyle name="標準 3" xfId="31470" xr:uid="{00000000-0005-0000-0000-0000F07A0000}"/>
    <cellStyle name="標準 33" xfId="31471" xr:uid="{00000000-0005-0000-0000-0000F17A0000}"/>
    <cellStyle name="標準_20111219_1500人事⑲_社員個人別データ_3_TW_TM2" xfId="31472" xr:uid="{00000000-0005-0000-0000-0000F27A0000}"/>
    <cellStyle name="汇总" xfId="31473" xr:uid="{00000000-0005-0000-0000-0000F37A0000}"/>
    <cellStyle name="汇总 10" xfId="31474" xr:uid="{00000000-0005-0000-0000-0000F47A0000}"/>
    <cellStyle name="汇总 11" xfId="31475" xr:uid="{00000000-0005-0000-0000-0000F57A0000}"/>
    <cellStyle name="汇总 12" xfId="31476" xr:uid="{00000000-0005-0000-0000-0000F67A0000}"/>
    <cellStyle name="汇总 13" xfId="31477" xr:uid="{00000000-0005-0000-0000-0000F77A0000}"/>
    <cellStyle name="汇总 14" xfId="31478" xr:uid="{00000000-0005-0000-0000-0000F87A0000}"/>
    <cellStyle name="汇总 15" xfId="31479" xr:uid="{00000000-0005-0000-0000-0000F97A0000}"/>
    <cellStyle name="汇总 16" xfId="31480" xr:uid="{00000000-0005-0000-0000-0000FA7A0000}"/>
    <cellStyle name="汇总 17" xfId="31481" xr:uid="{00000000-0005-0000-0000-0000FB7A0000}"/>
    <cellStyle name="汇总 18" xfId="31482" xr:uid="{00000000-0005-0000-0000-0000FC7A0000}"/>
    <cellStyle name="汇总 19" xfId="31483" xr:uid="{00000000-0005-0000-0000-0000FD7A0000}"/>
    <cellStyle name="汇总 2" xfId="31484" xr:uid="{00000000-0005-0000-0000-0000FE7A0000}"/>
    <cellStyle name="汇总 2 10" xfId="31485" xr:uid="{00000000-0005-0000-0000-0000FF7A0000}"/>
    <cellStyle name="汇总 2 11" xfId="31486" xr:uid="{00000000-0005-0000-0000-0000007B0000}"/>
    <cellStyle name="汇总 2 12" xfId="31487" xr:uid="{00000000-0005-0000-0000-0000017B0000}"/>
    <cellStyle name="汇总 2 13" xfId="31488" xr:uid="{00000000-0005-0000-0000-0000027B0000}"/>
    <cellStyle name="汇总 2 14" xfId="31489" xr:uid="{00000000-0005-0000-0000-0000037B0000}"/>
    <cellStyle name="汇总 2 15" xfId="31490" xr:uid="{00000000-0005-0000-0000-0000047B0000}"/>
    <cellStyle name="汇总 2 16" xfId="31491" xr:uid="{00000000-0005-0000-0000-0000057B0000}"/>
    <cellStyle name="汇总 2 17" xfId="31492" xr:uid="{00000000-0005-0000-0000-0000067B0000}"/>
    <cellStyle name="汇总 2 18" xfId="31493" xr:uid="{00000000-0005-0000-0000-0000077B0000}"/>
    <cellStyle name="汇总 2 19" xfId="31494" xr:uid="{00000000-0005-0000-0000-0000087B0000}"/>
    <cellStyle name="汇总 2 2" xfId="31495" xr:uid="{00000000-0005-0000-0000-0000097B0000}"/>
    <cellStyle name="汇总 2 2 10" xfId="31496" xr:uid="{00000000-0005-0000-0000-00000A7B0000}"/>
    <cellStyle name="汇总 2 2 11" xfId="31497" xr:uid="{00000000-0005-0000-0000-00000B7B0000}"/>
    <cellStyle name="汇总 2 2 12" xfId="31498" xr:uid="{00000000-0005-0000-0000-00000C7B0000}"/>
    <cellStyle name="汇总 2 2 13" xfId="31499" xr:uid="{00000000-0005-0000-0000-00000D7B0000}"/>
    <cellStyle name="汇总 2 2 14" xfId="31500" xr:uid="{00000000-0005-0000-0000-00000E7B0000}"/>
    <cellStyle name="汇总 2 2 15" xfId="31501" xr:uid="{00000000-0005-0000-0000-00000F7B0000}"/>
    <cellStyle name="汇总 2 2 16" xfId="31502" xr:uid="{00000000-0005-0000-0000-0000107B0000}"/>
    <cellStyle name="汇总 2 2 17" xfId="31503" xr:uid="{00000000-0005-0000-0000-0000117B0000}"/>
    <cellStyle name="汇总 2 2 18" xfId="31504" xr:uid="{00000000-0005-0000-0000-0000127B0000}"/>
    <cellStyle name="汇总 2 2 19" xfId="31505" xr:uid="{00000000-0005-0000-0000-0000137B0000}"/>
    <cellStyle name="汇总 2 2 2" xfId="31506" xr:uid="{00000000-0005-0000-0000-0000147B0000}"/>
    <cellStyle name="汇总 2 2 20" xfId="31507" xr:uid="{00000000-0005-0000-0000-0000157B0000}"/>
    <cellStyle name="汇总 2 2 21" xfId="31508" xr:uid="{00000000-0005-0000-0000-0000167B0000}"/>
    <cellStyle name="汇总 2 2 22" xfId="31509" xr:uid="{00000000-0005-0000-0000-0000177B0000}"/>
    <cellStyle name="汇总 2 2 23" xfId="31510" xr:uid="{00000000-0005-0000-0000-0000187B0000}"/>
    <cellStyle name="汇总 2 2 24" xfId="31511" xr:uid="{00000000-0005-0000-0000-0000197B0000}"/>
    <cellStyle name="汇总 2 2 25" xfId="31512" xr:uid="{00000000-0005-0000-0000-00001A7B0000}"/>
    <cellStyle name="汇总 2 2 26" xfId="31513" xr:uid="{00000000-0005-0000-0000-00001B7B0000}"/>
    <cellStyle name="汇总 2 2 27" xfId="31514" xr:uid="{00000000-0005-0000-0000-00001C7B0000}"/>
    <cellStyle name="汇总 2 2 28" xfId="31515" xr:uid="{00000000-0005-0000-0000-00001D7B0000}"/>
    <cellStyle name="汇总 2 2 29" xfId="31516" xr:uid="{00000000-0005-0000-0000-00001E7B0000}"/>
    <cellStyle name="汇总 2 2 3" xfId="31517" xr:uid="{00000000-0005-0000-0000-00001F7B0000}"/>
    <cellStyle name="汇总 2 2 30" xfId="31518" xr:uid="{00000000-0005-0000-0000-0000207B0000}"/>
    <cellStyle name="汇总 2 2 31" xfId="31519" xr:uid="{00000000-0005-0000-0000-0000217B0000}"/>
    <cellStyle name="汇总 2 2 32" xfId="31520" xr:uid="{00000000-0005-0000-0000-0000227B0000}"/>
    <cellStyle name="汇总 2 2 33" xfId="31521" xr:uid="{00000000-0005-0000-0000-0000237B0000}"/>
    <cellStyle name="汇总 2 2 34" xfId="31522" xr:uid="{00000000-0005-0000-0000-0000247B0000}"/>
    <cellStyle name="汇总 2 2 4" xfId="31523" xr:uid="{00000000-0005-0000-0000-0000257B0000}"/>
    <cellStyle name="汇总 2 2 5" xfId="31524" xr:uid="{00000000-0005-0000-0000-0000267B0000}"/>
    <cellStyle name="汇总 2 2 6" xfId="31525" xr:uid="{00000000-0005-0000-0000-0000277B0000}"/>
    <cellStyle name="汇总 2 2 7" xfId="31526" xr:uid="{00000000-0005-0000-0000-0000287B0000}"/>
    <cellStyle name="汇总 2 2 8" xfId="31527" xr:uid="{00000000-0005-0000-0000-0000297B0000}"/>
    <cellStyle name="汇总 2 2 9" xfId="31528" xr:uid="{00000000-0005-0000-0000-00002A7B0000}"/>
    <cellStyle name="汇总 2 20" xfId="31529" xr:uid="{00000000-0005-0000-0000-00002B7B0000}"/>
    <cellStyle name="汇总 2 3" xfId="31530" xr:uid="{00000000-0005-0000-0000-00002C7B0000}"/>
    <cellStyle name="汇总 2 3 2" xfId="31531" xr:uid="{00000000-0005-0000-0000-00002D7B0000}"/>
    <cellStyle name="汇总 2 3 3" xfId="31532" xr:uid="{00000000-0005-0000-0000-00002E7B0000}"/>
    <cellStyle name="汇总 2 4" xfId="31533" xr:uid="{00000000-0005-0000-0000-00002F7B0000}"/>
    <cellStyle name="汇总 2 5" xfId="31534" xr:uid="{00000000-0005-0000-0000-0000307B0000}"/>
    <cellStyle name="汇总 2 6" xfId="31535" xr:uid="{00000000-0005-0000-0000-0000317B0000}"/>
    <cellStyle name="汇总 2 7" xfId="31536" xr:uid="{00000000-0005-0000-0000-0000327B0000}"/>
    <cellStyle name="汇总 2 8" xfId="31537" xr:uid="{00000000-0005-0000-0000-0000337B0000}"/>
    <cellStyle name="汇总 2 9" xfId="31538" xr:uid="{00000000-0005-0000-0000-0000347B0000}"/>
    <cellStyle name="汇总 20" xfId="31539" xr:uid="{00000000-0005-0000-0000-0000357B0000}"/>
    <cellStyle name="汇总 21" xfId="31540" xr:uid="{00000000-0005-0000-0000-0000367B0000}"/>
    <cellStyle name="汇总 22" xfId="31541" xr:uid="{00000000-0005-0000-0000-0000377B0000}"/>
    <cellStyle name="汇总 23" xfId="31542" xr:uid="{00000000-0005-0000-0000-0000387B0000}"/>
    <cellStyle name="汇总 24" xfId="31543" xr:uid="{00000000-0005-0000-0000-0000397B0000}"/>
    <cellStyle name="汇总 25" xfId="31544" xr:uid="{00000000-0005-0000-0000-00003A7B0000}"/>
    <cellStyle name="汇总 3" xfId="31545" xr:uid="{00000000-0005-0000-0000-00003B7B0000}"/>
    <cellStyle name="汇总 3 10" xfId="31546" xr:uid="{00000000-0005-0000-0000-00003C7B0000}"/>
    <cellStyle name="汇总 3 11" xfId="31547" xr:uid="{00000000-0005-0000-0000-00003D7B0000}"/>
    <cellStyle name="汇总 3 12" xfId="31548" xr:uid="{00000000-0005-0000-0000-00003E7B0000}"/>
    <cellStyle name="汇总 3 13" xfId="31549" xr:uid="{00000000-0005-0000-0000-00003F7B0000}"/>
    <cellStyle name="汇总 3 14" xfId="31550" xr:uid="{00000000-0005-0000-0000-0000407B0000}"/>
    <cellStyle name="汇总 3 15" xfId="31551" xr:uid="{00000000-0005-0000-0000-0000417B0000}"/>
    <cellStyle name="汇总 3 16" xfId="31552" xr:uid="{00000000-0005-0000-0000-0000427B0000}"/>
    <cellStyle name="汇总 3 17" xfId="31553" xr:uid="{00000000-0005-0000-0000-0000437B0000}"/>
    <cellStyle name="汇总 3 18" xfId="31554" xr:uid="{00000000-0005-0000-0000-0000447B0000}"/>
    <cellStyle name="汇总 3 19" xfId="31555" xr:uid="{00000000-0005-0000-0000-0000457B0000}"/>
    <cellStyle name="汇总 3 2" xfId="31556" xr:uid="{00000000-0005-0000-0000-0000467B0000}"/>
    <cellStyle name="汇总 3 2 10" xfId="31557" xr:uid="{00000000-0005-0000-0000-0000477B0000}"/>
    <cellStyle name="汇总 3 2 11" xfId="31558" xr:uid="{00000000-0005-0000-0000-0000487B0000}"/>
    <cellStyle name="汇总 3 2 12" xfId="31559" xr:uid="{00000000-0005-0000-0000-0000497B0000}"/>
    <cellStyle name="汇总 3 2 13" xfId="31560" xr:uid="{00000000-0005-0000-0000-00004A7B0000}"/>
    <cellStyle name="汇总 3 2 14" xfId="31561" xr:uid="{00000000-0005-0000-0000-00004B7B0000}"/>
    <cellStyle name="汇总 3 2 15" xfId="31562" xr:uid="{00000000-0005-0000-0000-00004C7B0000}"/>
    <cellStyle name="汇总 3 2 16" xfId="31563" xr:uid="{00000000-0005-0000-0000-00004D7B0000}"/>
    <cellStyle name="汇总 3 2 17" xfId="31564" xr:uid="{00000000-0005-0000-0000-00004E7B0000}"/>
    <cellStyle name="汇总 3 2 18" xfId="31565" xr:uid="{00000000-0005-0000-0000-00004F7B0000}"/>
    <cellStyle name="汇总 3 2 19" xfId="31566" xr:uid="{00000000-0005-0000-0000-0000507B0000}"/>
    <cellStyle name="汇总 3 2 2" xfId="31567" xr:uid="{00000000-0005-0000-0000-0000517B0000}"/>
    <cellStyle name="汇总 3 2 20" xfId="31568" xr:uid="{00000000-0005-0000-0000-0000527B0000}"/>
    <cellStyle name="汇总 3 2 21" xfId="31569" xr:uid="{00000000-0005-0000-0000-0000537B0000}"/>
    <cellStyle name="汇总 3 2 22" xfId="31570" xr:uid="{00000000-0005-0000-0000-0000547B0000}"/>
    <cellStyle name="汇总 3 2 23" xfId="31571" xr:uid="{00000000-0005-0000-0000-0000557B0000}"/>
    <cellStyle name="汇总 3 2 24" xfId="31572" xr:uid="{00000000-0005-0000-0000-0000567B0000}"/>
    <cellStyle name="汇总 3 2 25" xfId="31573" xr:uid="{00000000-0005-0000-0000-0000577B0000}"/>
    <cellStyle name="汇总 3 2 26" xfId="31574" xr:uid="{00000000-0005-0000-0000-0000587B0000}"/>
    <cellStyle name="汇总 3 2 27" xfId="31575" xr:uid="{00000000-0005-0000-0000-0000597B0000}"/>
    <cellStyle name="汇总 3 2 28" xfId="31576" xr:uid="{00000000-0005-0000-0000-00005A7B0000}"/>
    <cellStyle name="汇总 3 2 29" xfId="31577" xr:uid="{00000000-0005-0000-0000-00005B7B0000}"/>
    <cellStyle name="汇总 3 2 3" xfId="31578" xr:uid="{00000000-0005-0000-0000-00005C7B0000}"/>
    <cellStyle name="汇总 3 2 30" xfId="31579" xr:uid="{00000000-0005-0000-0000-00005D7B0000}"/>
    <cellStyle name="汇总 3 2 31" xfId="31580" xr:uid="{00000000-0005-0000-0000-00005E7B0000}"/>
    <cellStyle name="汇总 3 2 32" xfId="31581" xr:uid="{00000000-0005-0000-0000-00005F7B0000}"/>
    <cellStyle name="汇总 3 2 33" xfId="31582" xr:uid="{00000000-0005-0000-0000-0000607B0000}"/>
    <cellStyle name="汇总 3 2 34" xfId="31583" xr:uid="{00000000-0005-0000-0000-0000617B0000}"/>
    <cellStyle name="汇总 3 2 4" xfId="31584" xr:uid="{00000000-0005-0000-0000-0000627B0000}"/>
    <cellStyle name="汇总 3 2 5" xfId="31585" xr:uid="{00000000-0005-0000-0000-0000637B0000}"/>
    <cellStyle name="汇总 3 2 6" xfId="31586" xr:uid="{00000000-0005-0000-0000-0000647B0000}"/>
    <cellStyle name="汇总 3 2 7" xfId="31587" xr:uid="{00000000-0005-0000-0000-0000657B0000}"/>
    <cellStyle name="汇总 3 2 8" xfId="31588" xr:uid="{00000000-0005-0000-0000-0000667B0000}"/>
    <cellStyle name="汇总 3 2 9" xfId="31589" xr:uid="{00000000-0005-0000-0000-0000677B0000}"/>
    <cellStyle name="汇总 3 20" xfId="31590" xr:uid="{00000000-0005-0000-0000-0000687B0000}"/>
    <cellStyle name="汇总 3 3" xfId="31591" xr:uid="{00000000-0005-0000-0000-0000697B0000}"/>
    <cellStyle name="汇总 3 3 2" xfId="31592" xr:uid="{00000000-0005-0000-0000-00006A7B0000}"/>
    <cellStyle name="汇总 3 3 3" xfId="31593" xr:uid="{00000000-0005-0000-0000-00006B7B0000}"/>
    <cellStyle name="汇总 3 4" xfId="31594" xr:uid="{00000000-0005-0000-0000-00006C7B0000}"/>
    <cellStyle name="汇总 3 5" xfId="31595" xr:uid="{00000000-0005-0000-0000-00006D7B0000}"/>
    <cellStyle name="汇总 3 6" xfId="31596" xr:uid="{00000000-0005-0000-0000-00006E7B0000}"/>
    <cellStyle name="汇总 3 7" xfId="31597" xr:uid="{00000000-0005-0000-0000-00006F7B0000}"/>
    <cellStyle name="汇总 3 8" xfId="31598" xr:uid="{00000000-0005-0000-0000-0000707B0000}"/>
    <cellStyle name="汇总 3 9" xfId="31599" xr:uid="{00000000-0005-0000-0000-0000717B0000}"/>
    <cellStyle name="汇总 4" xfId="31600" xr:uid="{00000000-0005-0000-0000-0000727B0000}"/>
    <cellStyle name="汇总 4 10" xfId="31601" xr:uid="{00000000-0005-0000-0000-0000737B0000}"/>
    <cellStyle name="汇总 4 11" xfId="31602" xr:uid="{00000000-0005-0000-0000-0000747B0000}"/>
    <cellStyle name="汇总 4 12" xfId="31603" xr:uid="{00000000-0005-0000-0000-0000757B0000}"/>
    <cellStyle name="汇总 4 13" xfId="31604" xr:uid="{00000000-0005-0000-0000-0000767B0000}"/>
    <cellStyle name="汇总 4 14" xfId="31605" xr:uid="{00000000-0005-0000-0000-0000777B0000}"/>
    <cellStyle name="汇总 4 15" xfId="31606" xr:uid="{00000000-0005-0000-0000-0000787B0000}"/>
    <cellStyle name="汇总 4 16" xfId="31607" xr:uid="{00000000-0005-0000-0000-0000797B0000}"/>
    <cellStyle name="汇总 4 17" xfId="31608" xr:uid="{00000000-0005-0000-0000-00007A7B0000}"/>
    <cellStyle name="汇总 4 18" xfId="31609" xr:uid="{00000000-0005-0000-0000-00007B7B0000}"/>
    <cellStyle name="汇总 4 19" xfId="31610" xr:uid="{00000000-0005-0000-0000-00007C7B0000}"/>
    <cellStyle name="汇总 4 2" xfId="31611" xr:uid="{00000000-0005-0000-0000-00007D7B0000}"/>
    <cellStyle name="汇总 4 2 10" xfId="31612" xr:uid="{00000000-0005-0000-0000-00007E7B0000}"/>
    <cellStyle name="汇总 4 2 11" xfId="31613" xr:uid="{00000000-0005-0000-0000-00007F7B0000}"/>
    <cellStyle name="汇总 4 2 12" xfId="31614" xr:uid="{00000000-0005-0000-0000-0000807B0000}"/>
    <cellStyle name="汇总 4 2 13" xfId="31615" xr:uid="{00000000-0005-0000-0000-0000817B0000}"/>
    <cellStyle name="汇总 4 2 14" xfId="31616" xr:uid="{00000000-0005-0000-0000-0000827B0000}"/>
    <cellStyle name="汇总 4 2 15" xfId="31617" xr:uid="{00000000-0005-0000-0000-0000837B0000}"/>
    <cellStyle name="汇总 4 2 16" xfId="31618" xr:uid="{00000000-0005-0000-0000-0000847B0000}"/>
    <cellStyle name="汇总 4 2 17" xfId="31619" xr:uid="{00000000-0005-0000-0000-0000857B0000}"/>
    <cellStyle name="汇总 4 2 18" xfId="31620" xr:uid="{00000000-0005-0000-0000-0000867B0000}"/>
    <cellStyle name="汇总 4 2 19" xfId="31621" xr:uid="{00000000-0005-0000-0000-0000877B0000}"/>
    <cellStyle name="汇总 4 2 2" xfId="31622" xr:uid="{00000000-0005-0000-0000-0000887B0000}"/>
    <cellStyle name="汇总 4 2 20" xfId="31623" xr:uid="{00000000-0005-0000-0000-0000897B0000}"/>
    <cellStyle name="汇总 4 2 21" xfId="31624" xr:uid="{00000000-0005-0000-0000-00008A7B0000}"/>
    <cellStyle name="汇总 4 2 22" xfId="31625" xr:uid="{00000000-0005-0000-0000-00008B7B0000}"/>
    <cellStyle name="汇总 4 2 23" xfId="31626" xr:uid="{00000000-0005-0000-0000-00008C7B0000}"/>
    <cellStyle name="汇总 4 2 24" xfId="31627" xr:uid="{00000000-0005-0000-0000-00008D7B0000}"/>
    <cellStyle name="汇总 4 2 25" xfId="31628" xr:uid="{00000000-0005-0000-0000-00008E7B0000}"/>
    <cellStyle name="汇总 4 2 26" xfId="31629" xr:uid="{00000000-0005-0000-0000-00008F7B0000}"/>
    <cellStyle name="汇总 4 2 27" xfId="31630" xr:uid="{00000000-0005-0000-0000-0000907B0000}"/>
    <cellStyle name="汇总 4 2 28" xfId="31631" xr:uid="{00000000-0005-0000-0000-0000917B0000}"/>
    <cellStyle name="汇总 4 2 29" xfId="31632" xr:uid="{00000000-0005-0000-0000-0000927B0000}"/>
    <cellStyle name="汇总 4 2 3" xfId="31633" xr:uid="{00000000-0005-0000-0000-0000937B0000}"/>
    <cellStyle name="汇总 4 2 30" xfId="31634" xr:uid="{00000000-0005-0000-0000-0000947B0000}"/>
    <cellStyle name="汇总 4 2 31" xfId="31635" xr:uid="{00000000-0005-0000-0000-0000957B0000}"/>
    <cellStyle name="汇总 4 2 32" xfId="31636" xr:uid="{00000000-0005-0000-0000-0000967B0000}"/>
    <cellStyle name="汇总 4 2 33" xfId="31637" xr:uid="{00000000-0005-0000-0000-0000977B0000}"/>
    <cellStyle name="汇总 4 2 34" xfId="31638" xr:uid="{00000000-0005-0000-0000-0000987B0000}"/>
    <cellStyle name="汇总 4 2 4" xfId="31639" xr:uid="{00000000-0005-0000-0000-0000997B0000}"/>
    <cellStyle name="汇总 4 2 5" xfId="31640" xr:uid="{00000000-0005-0000-0000-00009A7B0000}"/>
    <cellStyle name="汇总 4 2 6" xfId="31641" xr:uid="{00000000-0005-0000-0000-00009B7B0000}"/>
    <cellStyle name="汇总 4 2 7" xfId="31642" xr:uid="{00000000-0005-0000-0000-00009C7B0000}"/>
    <cellStyle name="汇总 4 2 8" xfId="31643" xr:uid="{00000000-0005-0000-0000-00009D7B0000}"/>
    <cellStyle name="汇总 4 2 9" xfId="31644" xr:uid="{00000000-0005-0000-0000-00009E7B0000}"/>
    <cellStyle name="汇总 4 20" xfId="31645" xr:uid="{00000000-0005-0000-0000-00009F7B0000}"/>
    <cellStyle name="汇总 4 3" xfId="31646" xr:uid="{00000000-0005-0000-0000-0000A07B0000}"/>
    <cellStyle name="汇总 4 3 2" xfId="31647" xr:uid="{00000000-0005-0000-0000-0000A17B0000}"/>
    <cellStyle name="汇总 4 3 3" xfId="31648" xr:uid="{00000000-0005-0000-0000-0000A27B0000}"/>
    <cellStyle name="汇总 4 4" xfId="31649" xr:uid="{00000000-0005-0000-0000-0000A37B0000}"/>
    <cellStyle name="汇总 4 5" xfId="31650" xr:uid="{00000000-0005-0000-0000-0000A47B0000}"/>
    <cellStyle name="汇总 4 6" xfId="31651" xr:uid="{00000000-0005-0000-0000-0000A57B0000}"/>
    <cellStyle name="汇总 4 7" xfId="31652" xr:uid="{00000000-0005-0000-0000-0000A67B0000}"/>
    <cellStyle name="汇总 4 8" xfId="31653" xr:uid="{00000000-0005-0000-0000-0000A77B0000}"/>
    <cellStyle name="汇总 4 9" xfId="31654" xr:uid="{00000000-0005-0000-0000-0000A87B0000}"/>
    <cellStyle name="汇总 5" xfId="31655" xr:uid="{00000000-0005-0000-0000-0000A97B0000}"/>
    <cellStyle name="汇总 5 10" xfId="31656" xr:uid="{00000000-0005-0000-0000-0000AA7B0000}"/>
    <cellStyle name="汇总 5 11" xfId="31657" xr:uid="{00000000-0005-0000-0000-0000AB7B0000}"/>
    <cellStyle name="汇总 5 12" xfId="31658" xr:uid="{00000000-0005-0000-0000-0000AC7B0000}"/>
    <cellStyle name="汇总 5 13" xfId="31659" xr:uid="{00000000-0005-0000-0000-0000AD7B0000}"/>
    <cellStyle name="汇总 5 14" xfId="31660" xr:uid="{00000000-0005-0000-0000-0000AE7B0000}"/>
    <cellStyle name="汇总 5 15" xfId="31661" xr:uid="{00000000-0005-0000-0000-0000AF7B0000}"/>
    <cellStyle name="汇总 5 16" xfId="31662" xr:uid="{00000000-0005-0000-0000-0000B07B0000}"/>
    <cellStyle name="汇总 5 17" xfId="31663" xr:uid="{00000000-0005-0000-0000-0000B17B0000}"/>
    <cellStyle name="汇总 5 18" xfId="31664" xr:uid="{00000000-0005-0000-0000-0000B27B0000}"/>
    <cellStyle name="汇总 5 19" xfId="31665" xr:uid="{00000000-0005-0000-0000-0000B37B0000}"/>
    <cellStyle name="汇总 5 2" xfId="31666" xr:uid="{00000000-0005-0000-0000-0000B47B0000}"/>
    <cellStyle name="汇总 5 2 10" xfId="31667" xr:uid="{00000000-0005-0000-0000-0000B57B0000}"/>
    <cellStyle name="汇总 5 2 11" xfId="31668" xr:uid="{00000000-0005-0000-0000-0000B67B0000}"/>
    <cellStyle name="汇总 5 2 12" xfId="31669" xr:uid="{00000000-0005-0000-0000-0000B77B0000}"/>
    <cellStyle name="汇总 5 2 13" xfId="31670" xr:uid="{00000000-0005-0000-0000-0000B87B0000}"/>
    <cellStyle name="汇总 5 2 14" xfId="31671" xr:uid="{00000000-0005-0000-0000-0000B97B0000}"/>
    <cellStyle name="汇总 5 2 15" xfId="31672" xr:uid="{00000000-0005-0000-0000-0000BA7B0000}"/>
    <cellStyle name="汇总 5 2 16" xfId="31673" xr:uid="{00000000-0005-0000-0000-0000BB7B0000}"/>
    <cellStyle name="汇总 5 2 17" xfId="31674" xr:uid="{00000000-0005-0000-0000-0000BC7B0000}"/>
    <cellStyle name="汇总 5 2 18" xfId="31675" xr:uid="{00000000-0005-0000-0000-0000BD7B0000}"/>
    <cellStyle name="汇总 5 2 19" xfId="31676" xr:uid="{00000000-0005-0000-0000-0000BE7B0000}"/>
    <cellStyle name="汇总 5 2 2" xfId="31677" xr:uid="{00000000-0005-0000-0000-0000BF7B0000}"/>
    <cellStyle name="汇总 5 2 20" xfId="31678" xr:uid="{00000000-0005-0000-0000-0000C07B0000}"/>
    <cellStyle name="汇总 5 2 21" xfId="31679" xr:uid="{00000000-0005-0000-0000-0000C17B0000}"/>
    <cellStyle name="汇总 5 2 22" xfId="31680" xr:uid="{00000000-0005-0000-0000-0000C27B0000}"/>
    <cellStyle name="汇总 5 2 23" xfId="31681" xr:uid="{00000000-0005-0000-0000-0000C37B0000}"/>
    <cellStyle name="汇总 5 2 24" xfId="31682" xr:uid="{00000000-0005-0000-0000-0000C47B0000}"/>
    <cellStyle name="汇总 5 2 25" xfId="31683" xr:uid="{00000000-0005-0000-0000-0000C57B0000}"/>
    <cellStyle name="汇总 5 2 26" xfId="31684" xr:uid="{00000000-0005-0000-0000-0000C67B0000}"/>
    <cellStyle name="汇总 5 2 27" xfId="31685" xr:uid="{00000000-0005-0000-0000-0000C77B0000}"/>
    <cellStyle name="汇总 5 2 28" xfId="31686" xr:uid="{00000000-0005-0000-0000-0000C87B0000}"/>
    <cellStyle name="汇总 5 2 29" xfId="31687" xr:uid="{00000000-0005-0000-0000-0000C97B0000}"/>
    <cellStyle name="汇总 5 2 3" xfId="31688" xr:uid="{00000000-0005-0000-0000-0000CA7B0000}"/>
    <cellStyle name="汇总 5 2 30" xfId="31689" xr:uid="{00000000-0005-0000-0000-0000CB7B0000}"/>
    <cellStyle name="汇总 5 2 31" xfId="31690" xr:uid="{00000000-0005-0000-0000-0000CC7B0000}"/>
    <cellStyle name="汇总 5 2 32" xfId="31691" xr:uid="{00000000-0005-0000-0000-0000CD7B0000}"/>
    <cellStyle name="汇总 5 2 33" xfId="31692" xr:uid="{00000000-0005-0000-0000-0000CE7B0000}"/>
    <cellStyle name="汇总 5 2 34" xfId="31693" xr:uid="{00000000-0005-0000-0000-0000CF7B0000}"/>
    <cellStyle name="汇总 5 2 4" xfId="31694" xr:uid="{00000000-0005-0000-0000-0000D07B0000}"/>
    <cellStyle name="汇总 5 2 5" xfId="31695" xr:uid="{00000000-0005-0000-0000-0000D17B0000}"/>
    <cellStyle name="汇总 5 2 6" xfId="31696" xr:uid="{00000000-0005-0000-0000-0000D27B0000}"/>
    <cellStyle name="汇总 5 2 7" xfId="31697" xr:uid="{00000000-0005-0000-0000-0000D37B0000}"/>
    <cellStyle name="汇总 5 2 8" xfId="31698" xr:uid="{00000000-0005-0000-0000-0000D47B0000}"/>
    <cellStyle name="汇总 5 2 9" xfId="31699" xr:uid="{00000000-0005-0000-0000-0000D57B0000}"/>
    <cellStyle name="汇总 5 20" xfId="31700" xr:uid="{00000000-0005-0000-0000-0000D67B0000}"/>
    <cellStyle name="汇总 5 3" xfId="31701" xr:uid="{00000000-0005-0000-0000-0000D77B0000}"/>
    <cellStyle name="汇总 5 3 2" xfId="31702" xr:uid="{00000000-0005-0000-0000-0000D87B0000}"/>
    <cellStyle name="汇总 5 3 3" xfId="31703" xr:uid="{00000000-0005-0000-0000-0000D97B0000}"/>
    <cellStyle name="汇总 5 4" xfId="31704" xr:uid="{00000000-0005-0000-0000-0000DA7B0000}"/>
    <cellStyle name="汇总 5 5" xfId="31705" xr:uid="{00000000-0005-0000-0000-0000DB7B0000}"/>
    <cellStyle name="汇总 5 6" xfId="31706" xr:uid="{00000000-0005-0000-0000-0000DC7B0000}"/>
    <cellStyle name="汇总 5 7" xfId="31707" xr:uid="{00000000-0005-0000-0000-0000DD7B0000}"/>
    <cellStyle name="汇总 5 8" xfId="31708" xr:uid="{00000000-0005-0000-0000-0000DE7B0000}"/>
    <cellStyle name="汇总 5 9" xfId="31709" xr:uid="{00000000-0005-0000-0000-0000DF7B0000}"/>
    <cellStyle name="汇总 6" xfId="31710" xr:uid="{00000000-0005-0000-0000-0000E07B0000}"/>
    <cellStyle name="汇总 6 10" xfId="31711" xr:uid="{00000000-0005-0000-0000-0000E17B0000}"/>
    <cellStyle name="汇总 6 11" xfId="31712" xr:uid="{00000000-0005-0000-0000-0000E27B0000}"/>
    <cellStyle name="汇总 6 12" xfId="31713" xr:uid="{00000000-0005-0000-0000-0000E37B0000}"/>
    <cellStyle name="汇总 6 13" xfId="31714" xr:uid="{00000000-0005-0000-0000-0000E47B0000}"/>
    <cellStyle name="汇总 6 14" xfId="31715" xr:uid="{00000000-0005-0000-0000-0000E57B0000}"/>
    <cellStyle name="汇总 6 15" xfId="31716" xr:uid="{00000000-0005-0000-0000-0000E67B0000}"/>
    <cellStyle name="汇总 6 16" xfId="31717" xr:uid="{00000000-0005-0000-0000-0000E77B0000}"/>
    <cellStyle name="汇总 6 17" xfId="31718" xr:uid="{00000000-0005-0000-0000-0000E87B0000}"/>
    <cellStyle name="汇总 6 18" xfId="31719" xr:uid="{00000000-0005-0000-0000-0000E97B0000}"/>
    <cellStyle name="汇总 6 19" xfId="31720" xr:uid="{00000000-0005-0000-0000-0000EA7B0000}"/>
    <cellStyle name="汇总 6 2" xfId="31721" xr:uid="{00000000-0005-0000-0000-0000EB7B0000}"/>
    <cellStyle name="汇总 6 2 10" xfId="31722" xr:uid="{00000000-0005-0000-0000-0000EC7B0000}"/>
    <cellStyle name="汇总 6 2 11" xfId="31723" xr:uid="{00000000-0005-0000-0000-0000ED7B0000}"/>
    <cellStyle name="汇总 6 2 12" xfId="31724" xr:uid="{00000000-0005-0000-0000-0000EE7B0000}"/>
    <cellStyle name="汇总 6 2 13" xfId="31725" xr:uid="{00000000-0005-0000-0000-0000EF7B0000}"/>
    <cellStyle name="汇总 6 2 14" xfId="31726" xr:uid="{00000000-0005-0000-0000-0000F07B0000}"/>
    <cellStyle name="汇总 6 2 15" xfId="31727" xr:uid="{00000000-0005-0000-0000-0000F17B0000}"/>
    <cellStyle name="汇总 6 2 16" xfId="31728" xr:uid="{00000000-0005-0000-0000-0000F27B0000}"/>
    <cellStyle name="汇总 6 2 17" xfId="31729" xr:uid="{00000000-0005-0000-0000-0000F37B0000}"/>
    <cellStyle name="汇总 6 2 18" xfId="31730" xr:uid="{00000000-0005-0000-0000-0000F47B0000}"/>
    <cellStyle name="汇总 6 2 19" xfId="31731" xr:uid="{00000000-0005-0000-0000-0000F57B0000}"/>
    <cellStyle name="汇总 6 2 2" xfId="31732" xr:uid="{00000000-0005-0000-0000-0000F67B0000}"/>
    <cellStyle name="汇总 6 2 20" xfId="31733" xr:uid="{00000000-0005-0000-0000-0000F77B0000}"/>
    <cellStyle name="汇总 6 2 21" xfId="31734" xr:uid="{00000000-0005-0000-0000-0000F87B0000}"/>
    <cellStyle name="汇总 6 2 22" xfId="31735" xr:uid="{00000000-0005-0000-0000-0000F97B0000}"/>
    <cellStyle name="汇总 6 2 23" xfId="31736" xr:uid="{00000000-0005-0000-0000-0000FA7B0000}"/>
    <cellStyle name="汇总 6 2 24" xfId="31737" xr:uid="{00000000-0005-0000-0000-0000FB7B0000}"/>
    <cellStyle name="汇总 6 2 25" xfId="31738" xr:uid="{00000000-0005-0000-0000-0000FC7B0000}"/>
    <cellStyle name="汇总 6 2 26" xfId="31739" xr:uid="{00000000-0005-0000-0000-0000FD7B0000}"/>
    <cellStyle name="汇总 6 2 27" xfId="31740" xr:uid="{00000000-0005-0000-0000-0000FE7B0000}"/>
    <cellStyle name="汇总 6 2 28" xfId="31741" xr:uid="{00000000-0005-0000-0000-0000FF7B0000}"/>
    <cellStyle name="汇总 6 2 29" xfId="31742" xr:uid="{00000000-0005-0000-0000-0000007C0000}"/>
    <cellStyle name="汇总 6 2 3" xfId="31743" xr:uid="{00000000-0005-0000-0000-0000017C0000}"/>
    <cellStyle name="汇总 6 2 30" xfId="31744" xr:uid="{00000000-0005-0000-0000-0000027C0000}"/>
    <cellStyle name="汇总 6 2 31" xfId="31745" xr:uid="{00000000-0005-0000-0000-0000037C0000}"/>
    <cellStyle name="汇总 6 2 32" xfId="31746" xr:uid="{00000000-0005-0000-0000-0000047C0000}"/>
    <cellStyle name="汇总 6 2 33" xfId="31747" xr:uid="{00000000-0005-0000-0000-0000057C0000}"/>
    <cellStyle name="汇总 6 2 34" xfId="31748" xr:uid="{00000000-0005-0000-0000-0000067C0000}"/>
    <cellStyle name="汇总 6 2 4" xfId="31749" xr:uid="{00000000-0005-0000-0000-0000077C0000}"/>
    <cellStyle name="汇总 6 2 5" xfId="31750" xr:uid="{00000000-0005-0000-0000-0000087C0000}"/>
    <cellStyle name="汇总 6 2 6" xfId="31751" xr:uid="{00000000-0005-0000-0000-0000097C0000}"/>
    <cellStyle name="汇总 6 2 7" xfId="31752" xr:uid="{00000000-0005-0000-0000-00000A7C0000}"/>
    <cellStyle name="汇总 6 2 8" xfId="31753" xr:uid="{00000000-0005-0000-0000-00000B7C0000}"/>
    <cellStyle name="汇总 6 2 9" xfId="31754" xr:uid="{00000000-0005-0000-0000-00000C7C0000}"/>
    <cellStyle name="汇总 6 20" xfId="31755" xr:uid="{00000000-0005-0000-0000-00000D7C0000}"/>
    <cellStyle name="汇总 6 3" xfId="31756" xr:uid="{00000000-0005-0000-0000-00000E7C0000}"/>
    <cellStyle name="汇总 6 3 2" xfId="31757" xr:uid="{00000000-0005-0000-0000-00000F7C0000}"/>
    <cellStyle name="汇总 6 3 3" xfId="31758" xr:uid="{00000000-0005-0000-0000-0000107C0000}"/>
    <cellStyle name="汇总 6 4" xfId="31759" xr:uid="{00000000-0005-0000-0000-0000117C0000}"/>
    <cellStyle name="汇总 6 5" xfId="31760" xr:uid="{00000000-0005-0000-0000-0000127C0000}"/>
    <cellStyle name="汇总 6 6" xfId="31761" xr:uid="{00000000-0005-0000-0000-0000137C0000}"/>
    <cellStyle name="汇总 6 7" xfId="31762" xr:uid="{00000000-0005-0000-0000-0000147C0000}"/>
    <cellStyle name="汇总 6 8" xfId="31763" xr:uid="{00000000-0005-0000-0000-0000157C0000}"/>
    <cellStyle name="汇总 6 9" xfId="31764" xr:uid="{00000000-0005-0000-0000-0000167C0000}"/>
    <cellStyle name="汇总 7" xfId="31765" xr:uid="{00000000-0005-0000-0000-0000177C0000}"/>
    <cellStyle name="汇总 7 10" xfId="31766" xr:uid="{00000000-0005-0000-0000-0000187C0000}"/>
    <cellStyle name="汇总 7 11" xfId="31767" xr:uid="{00000000-0005-0000-0000-0000197C0000}"/>
    <cellStyle name="汇总 7 12" xfId="31768" xr:uid="{00000000-0005-0000-0000-00001A7C0000}"/>
    <cellStyle name="汇总 7 13" xfId="31769" xr:uid="{00000000-0005-0000-0000-00001B7C0000}"/>
    <cellStyle name="汇总 7 14" xfId="31770" xr:uid="{00000000-0005-0000-0000-00001C7C0000}"/>
    <cellStyle name="汇总 7 15" xfId="31771" xr:uid="{00000000-0005-0000-0000-00001D7C0000}"/>
    <cellStyle name="汇总 7 16" xfId="31772" xr:uid="{00000000-0005-0000-0000-00001E7C0000}"/>
    <cellStyle name="汇总 7 17" xfId="31773" xr:uid="{00000000-0005-0000-0000-00001F7C0000}"/>
    <cellStyle name="汇总 7 18" xfId="31774" xr:uid="{00000000-0005-0000-0000-0000207C0000}"/>
    <cellStyle name="汇总 7 19" xfId="31775" xr:uid="{00000000-0005-0000-0000-0000217C0000}"/>
    <cellStyle name="汇总 7 2" xfId="31776" xr:uid="{00000000-0005-0000-0000-0000227C0000}"/>
    <cellStyle name="汇总 7 20" xfId="31777" xr:uid="{00000000-0005-0000-0000-0000237C0000}"/>
    <cellStyle name="汇总 7 21" xfId="31778" xr:uid="{00000000-0005-0000-0000-0000247C0000}"/>
    <cellStyle name="汇总 7 22" xfId="31779" xr:uid="{00000000-0005-0000-0000-0000257C0000}"/>
    <cellStyle name="汇总 7 23" xfId="31780" xr:uid="{00000000-0005-0000-0000-0000267C0000}"/>
    <cellStyle name="汇总 7 24" xfId="31781" xr:uid="{00000000-0005-0000-0000-0000277C0000}"/>
    <cellStyle name="汇总 7 25" xfId="31782" xr:uid="{00000000-0005-0000-0000-0000287C0000}"/>
    <cellStyle name="汇总 7 26" xfId="31783" xr:uid="{00000000-0005-0000-0000-0000297C0000}"/>
    <cellStyle name="汇总 7 27" xfId="31784" xr:uid="{00000000-0005-0000-0000-00002A7C0000}"/>
    <cellStyle name="汇总 7 28" xfId="31785" xr:uid="{00000000-0005-0000-0000-00002B7C0000}"/>
    <cellStyle name="汇总 7 29" xfId="31786" xr:uid="{00000000-0005-0000-0000-00002C7C0000}"/>
    <cellStyle name="汇总 7 3" xfId="31787" xr:uid="{00000000-0005-0000-0000-00002D7C0000}"/>
    <cellStyle name="汇总 7 30" xfId="31788" xr:uid="{00000000-0005-0000-0000-00002E7C0000}"/>
    <cellStyle name="汇总 7 31" xfId="31789" xr:uid="{00000000-0005-0000-0000-00002F7C0000}"/>
    <cellStyle name="汇总 7 32" xfId="31790" xr:uid="{00000000-0005-0000-0000-0000307C0000}"/>
    <cellStyle name="汇总 7 33" xfId="31791" xr:uid="{00000000-0005-0000-0000-0000317C0000}"/>
    <cellStyle name="汇总 7 34" xfId="31792" xr:uid="{00000000-0005-0000-0000-0000327C0000}"/>
    <cellStyle name="汇总 7 4" xfId="31793" xr:uid="{00000000-0005-0000-0000-0000337C0000}"/>
    <cellStyle name="汇总 7 5" xfId="31794" xr:uid="{00000000-0005-0000-0000-0000347C0000}"/>
    <cellStyle name="汇总 7 6" xfId="31795" xr:uid="{00000000-0005-0000-0000-0000357C0000}"/>
    <cellStyle name="汇总 7 7" xfId="31796" xr:uid="{00000000-0005-0000-0000-0000367C0000}"/>
    <cellStyle name="汇总 7 8" xfId="31797" xr:uid="{00000000-0005-0000-0000-0000377C0000}"/>
    <cellStyle name="汇总 7 9" xfId="31798" xr:uid="{00000000-0005-0000-0000-0000387C0000}"/>
    <cellStyle name="汇总 8" xfId="31799" xr:uid="{00000000-0005-0000-0000-0000397C0000}"/>
    <cellStyle name="汇总 8 2" xfId="31800" xr:uid="{00000000-0005-0000-0000-00003A7C0000}"/>
    <cellStyle name="汇总 8 3" xfId="31801" xr:uid="{00000000-0005-0000-0000-00003B7C0000}"/>
    <cellStyle name="汇总 9" xfId="31802" xr:uid="{00000000-0005-0000-0000-00003C7C0000}"/>
    <cellStyle name="注释" xfId="31803" xr:uid="{00000000-0005-0000-0000-00003D7C0000}"/>
    <cellStyle name="注释 10" xfId="31804" xr:uid="{00000000-0005-0000-0000-00003E7C0000}"/>
    <cellStyle name="注释 11" xfId="31805" xr:uid="{00000000-0005-0000-0000-00003F7C0000}"/>
    <cellStyle name="注释 12" xfId="31806" xr:uid="{00000000-0005-0000-0000-0000407C0000}"/>
    <cellStyle name="注释 13" xfId="31807" xr:uid="{00000000-0005-0000-0000-0000417C0000}"/>
    <cellStyle name="注释 14" xfId="31808" xr:uid="{00000000-0005-0000-0000-0000427C0000}"/>
    <cellStyle name="注释 15" xfId="31809" xr:uid="{00000000-0005-0000-0000-0000437C0000}"/>
    <cellStyle name="注释 16" xfId="31810" xr:uid="{00000000-0005-0000-0000-0000447C0000}"/>
    <cellStyle name="注释 17" xfId="31811" xr:uid="{00000000-0005-0000-0000-0000457C0000}"/>
    <cellStyle name="注释 18" xfId="31812" xr:uid="{00000000-0005-0000-0000-0000467C0000}"/>
    <cellStyle name="注释 19" xfId="31813" xr:uid="{00000000-0005-0000-0000-0000477C0000}"/>
    <cellStyle name="注释 2" xfId="31814" xr:uid="{00000000-0005-0000-0000-0000487C0000}"/>
    <cellStyle name="注释 2 10" xfId="31815" xr:uid="{00000000-0005-0000-0000-0000497C0000}"/>
    <cellStyle name="注释 2 11" xfId="31816" xr:uid="{00000000-0005-0000-0000-00004A7C0000}"/>
    <cellStyle name="注释 2 12" xfId="31817" xr:uid="{00000000-0005-0000-0000-00004B7C0000}"/>
    <cellStyle name="注释 2 13" xfId="31818" xr:uid="{00000000-0005-0000-0000-00004C7C0000}"/>
    <cellStyle name="注释 2 14" xfId="31819" xr:uid="{00000000-0005-0000-0000-00004D7C0000}"/>
    <cellStyle name="注释 2 15" xfId="31820" xr:uid="{00000000-0005-0000-0000-00004E7C0000}"/>
    <cellStyle name="注释 2 16" xfId="31821" xr:uid="{00000000-0005-0000-0000-00004F7C0000}"/>
    <cellStyle name="注释 2 17" xfId="31822" xr:uid="{00000000-0005-0000-0000-0000507C0000}"/>
    <cellStyle name="注释 2 18" xfId="31823" xr:uid="{00000000-0005-0000-0000-0000517C0000}"/>
    <cellStyle name="注释 2 19" xfId="31824" xr:uid="{00000000-0005-0000-0000-0000527C0000}"/>
    <cellStyle name="注释 2 2" xfId="31825" xr:uid="{00000000-0005-0000-0000-0000537C0000}"/>
    <cellStyle name="注释 2 2 10" xfId="31826" xr:uid="{00000000-0005-0000-0000-0000547C0000}"/>
    <cellStyle name="注释 2 2 11" xfId="31827" xr:uid="{00000000-0005-0000-0000-0000557C0000}"/>
    <cellStyle name="注释 2 2 12" xfId="31828" xr:uid="{00000000-0005-0000-0000-0000567C0000}"/>
    <cellStyle name="注释 2 2 13" xfId="31829" xr:uid="{00000000-0005-0000-0000-0000577C0000}"/>
    <cellStyle name="注释 2 2 14" xfId="31830" xr:uid="{00000000-0005-0000-0000-0000587C0000}"/>
    <cellStyle name="注释 2 2 15" xfId="31831" xr:uid="{00000000-0005-0000-0000-0000597C0000}"/>
    <cellStyle name="注释 2 2 16" xfId="31832" xr:uid="{00000000-0005-0000-0000-00005A7C0000}"/>
    <cellStyle name="注释 2 2 17" xfId="31833" xr:uid="{00000000-0005-0000-0000-00005B7C0000}"/>
    <cellStyle name="注释 2 2 18" xfId="31834" xr:uid="{00000000-0005-0000-0000-00005C7C0000}"/>
    <cellStyle name="注释 2 2 19" xfId="31835" xr:uid="{00000000-0005-0000-0000-00005D7C0000}"/>
    <cellStyle name="注释 2 2 2" xfId="31836" xr:uid="{00000000-0005-0000-0000-00005E7C0000}"/>
    <cellStyle name="注释 2 2 2 2" xfId="31837" xr:uid="{00000000-0005-0000-0000-00005F7C0000}"/>
    <cellStyle name="注释 2 2 2 2 2" xfId="31838" xr:uid="{00000000-0005-0000-0000-0000607C0000}"/>
    <cellStyle name="注释 2 2 2 2 3" xfId="31839" xr:uid="{00000000-0005-0000-0000-0000617C0000}"/>
    <cellStyle name="注释 2 2 2 3" xfId="31840" xr:uid="{00000000-0005-0000-0000-0000627C0000}"/>
    <cellStyle name="注释 2 2 2 3 2" xfId="31841" xr:uid="{00000000-0005-0000-0000-0000637C0000}"/>
    <cellStyle name="注释 2 2 2 3 3" xfId="31842" xr:uid="{00000000-0005-0000-0000-0000647C0000}"/>
    <cellStyle name="注释 2 2 2 4" xfId="31843" xr:uid="{00000000-0005-0000-0000-0000657C0000}"/>
    <cellStyle name="注释 2 2 2 5" xfId="31844" xr:uid="{00000000-0005-0000-0000-0000667C0000}"/>
    <cellStyle name="注释 2 2 20" xfId="31845" xr:uid="{00000000-0005-0000-0000-0000677C0000}"/>
    <cellStyle name="注释 2 2 21" xfId="31846" xr:uid="{00000000-0005-0000-0000-0000687C0000}"/>
    <cellStyle name="注释 2 2 22" xfId="31847" xr:uid="{00000000-0005-0000-0000-0000697C0000}"/>
    <cellStyle name="注释 2 2 23" xfId="31848" xr:uid="{00000000-0005-0000-0000-00006A7C0000}"/>
    <cellStyle name="注释 2 2 24" xfId="31849" xr:uid="{00000000-0005-0000-0000-00006B7C0000}"/>
    <cellStyle name="注释 2 2 25" xfId="31850" xr:uid="{00000000-0005-0000-0000-00006C7C0000}"/>
    <cellStyle name="注释 2 2 26" xfId="31851" xr:uid="{00000000-0005-0000-0000-00006D7C0000}"/>
    <cellStyle name="注释 2 2 27" xfId="31852" xr:uid="{00000000-0005-0000-0000-00006E7C0000}"/>
    <cellStyle name="注释 2 2 28" xfId="31853" xr:uid="{00000000-0005-0000-0000-00006F7C0000}"/>
    <cellStyle name="注释 2 2 29" xfId="31854" xr:uid="{00000000-0005-0000-0000-0000707C0000}"/>
    <cellStyle name="注释 2 2 3" xfId="31855" xr:uid="{00000000-0005-0000-0000-0000717C0000}"/>
    <cellStyle name="注释 2 2 3 2" xfId="31856" xr:uid="{00000000-0005-0000-0000-0000727C0000}"/>
    <cellStyle name="注释 2 2 3 2 2" xfId="31857" xr:uid="{00000000-0005-0000-0000-0000737C0000}"/>
    <cellStyle name="注释 2 2 3 2 3" xfId="31858" xr:uid="{00000000-0005-0000-0000-0000747C0000}"/>
    <cellStyle name="注释 2 2 3 3" xfId="31859" xr:uid="{00000000-0005-0000-0000-0000757C0000}"/>
    <cellStyle name="注释 2 2 3 3 2" xfId="31860" xr:uid="{00000000-0005-0000-0000-0000767C0000}"/>
    <cellStyle name="注释 2 2 3 3 3" xfId="31861" xr:uid="{00000000-0005-0000-0000-0000777C0000}"/>
    <cellStyle name="注释 2 2 3 4" xfId="31862" xr:uid="{00000000-0005-0000-0000-0000787C0000}"/>
    <cellStyle name="注释 2 2 3 5" xfId="31863" xr:uid="{00000000-0005-0000-0000-0000797C0000}"/>
    <cellStyle name="注释 2 2 30" xfId="31864" xr:uid="{00000000-0005-0000-0000-00007A7C0000}"/>
    <cellStyle name="注释 2 2 31" xfId="31865" xr:uid="{00000000-0005-0000-0000-00007B7C0000}"/>
    <cellStyle name="注释 2 2 32" xfId="31866" xr:uid="{00000000-0005-0000-0000-00007C7C0000}"/>
    <cellStyle name="注释 2 2 33" xfId="31867" xr:uid="{00000000-0005-0000-0000-00007D7C0000}"/>
    <cellStyle name="注释 2 2 34" xfId="31868" xr:uid="{00000000-0005-0000-0000-00007E7C0000}"/>
    <cellStyle name="注释 2 2 35" xfId="31869" xr:uid="{00000000-0005-0000-0000-00007F7C0000}"/>
    <cellStyle name="注释 2 2 4" xfId="31870" xr:uid="{00000000-0005-0000-0000-0000807C0000}"/>
    <cellStyle name="注释 2 2 4 2" xfId="31871" xr:uid="{00000000-0005-0000-0000-0000817C0000}"/>
    <cellStyle name="注释 2 2 4 3" xfId="31872" xr:uid="{00000000-0005-0000-0000-0000827C0000}"/>
    <cellStyle name="注释 2 2 5" xfId="31873" xr:uid="{00000000-0005-0000-0000-0000837C0000}"/>
    <cellStyle name="注释 2 2 5 2" xfId="31874" xr:uid="{00000000-0005-0000-0000-0000847C0000}"/>
    <cellStyle name="注释 2 2 5 3" xfId="31875" xr:uid="{00000000-0005-0000-0000-0000857C0000}"/>
    <cellStyle name="注释 2 2 6" xfId="31876" xr:uid="{00000000-0005-0000-0000-0000867C0000}"/>
    <cellStyle name="注释 2 2 7" xfId="31877" xr:uid="{00000000-0005-0000-0000-0000877C0000}"/>
    <cellStyle name="注释 2 2 8" xfId="31878" xr:uid="{00000000-0005-0000-0000-0000887C0000}"/>
    <cellStyle name="注释 2 2 9" xfId="31879" xr:uid="{00000000-0005-0000-0000-0000897C0000}"/>
    <cellStyle name="注释 2 20" xfId="31880" xr:uid="{00000000-0005-0000-0000-00008A7C0000}"/>
    <cellStyle name="注释 2 21" xfId="31881" xr:uid="{00000000-0005-0000-0000-00008B7C0000}"/>
    <cellStyle name="注释 2 22" xfId="31882" xr:uid="{00000000-0005-0000-0000-00008C7C0000}"/>
    <cellStyle name="注释 2 23" xfId="31883" xr:uid="{00000000-0005-0000-0000-00008D7C0000}"/>
    <cellStyle name="注释 2 24" xfId="31884" xr:uid="{00000000-0005-0000-0000-00008E7C0000}"/>
    <cellStyle name="注释 2 25" xfId="31885" xr:uid="{00000000-0005-0000-0000-00008F7C0000}"/>
    <cellStyle name="注释 2 26" xfId="31886" xr:uid="{00000000-0005-0000-0000-0000907C0000}"/>
    <cellStyle name="注释 2 27" xfId="31887" xr:uid="{00000000-0005-0000-0000-0000917C0000}"/>
    <cellStyle name="注释 2 28" xfId="31888" xr:uid="{00000000-0005-0000-0000-0000927C0000}"/>
    <cellStyle name="注释 2 29" xfId="31889" xr:uid="{00000000-0005-0000-0000-0000937C0000}"/>
    <cellStyle name="注释 2 3" xfId="31890" xr:uid="{00000000-0005-0000-0000-0000947C0000}"/>
    <cellStyle name="注释 2 3 2" xfId="31891" xr:uid="{00000000-0005-0000-0000-0000957C0000}"/>
    <cellStyle name="注释 2 3 3" xfId="31892" xr:uid="{00000000-0005-0000-0000-0000967C0000}"/>
    <cellStyle name="注释 2 30" xfId="31893" xr:uid="{00000000-0005-0000-0000-0000977C0000}"/>
    <cellStyle name="注释 2 31" xfId="31894" xr:uid="{00000000-0005-0000-0000-0000987C0000}"/>
    <cellStyle name="注释 2 32" xfId="31895" xr:uid="{00000000-0005-0000-0000-0000997C0000}"/>
    <cellStyle name="注释 2 33" xfId="31896" xr:uid="{00000000-0005-0000-0000-00009A7C0000}"/>
    <cellStyle name="注释 2 34" xfId="31897" xr:uid="{00000000-0005-0000-0000-00009B7C0000}"/>
    <cellStyle name="注释 2 4" xfId="31898" xr:uid="{00000000-0005-0000-0000-00009C7C0000}"/>
    <cellStyle name="注释 2 4 2" xfId="31899" xr:uid="{00000000-0005-0000-0000-00009D7C0000}"/>
    <cellStyle name="注释 2 4 3" xfId="31900" xr:uid="{00000000-0005-0000-0000-00009E7C0000}"/>
    <cellStyle name="注释 2 5" xfId="31901" xr:uid="{00000000-0005-0000-0000-00009F7C0000}"/>
    <cellStyle name="注释 2 6" xfId="31902" xr:uid="{00000000-0005-0000-0000-0000A07C0000}"/>
    <cellStyle name="注释 2 7" xfId="31903" xr:uid="{00000000-0005-0000-0000-0000A17C0000}"/>
    <cellStyle name="注释 2 8" xfId="31904" xr:uid="{00000000-0005-0000-0000-0000A27C0000}"/>
    <cellStyle name="注释 2 9" xfId="31905" xr:uid="{00000000-0005-0000-0000-0000A37C0000}"/>
    <cellStyle name="注释 20" xfId="31906" xr:uid="{00000000-0005-0000-0000-0000A47C0000}"/>
    <cellStyle name="注释 21" xfId="31907" xr:uid="{00000000-0005-0000-0000-0000A57C0000}"/>
    <cellStyle name="注释 22" xfId="31908" xr:uid="{00000000-0005-0000-0000-0000A67C0000}"/>
    <cellStyle name="注释 23" xfId="31909" xr:uid="{00000000-0005-0000-0000-0000A77C0000}"/>
    <cellStyle name="注释 24" xfId="31910" xr:uid="{00000000-0005-0000-0000-0000A87C0000}"/>
    <cellStyle name="注释 25" xfId="31911" xr:uid="{00000000-0005-0000-0000-0000A97C0000}"/>
    <cellStyle name="注释 26" xfId="31912" xr:uid="{00000000-0005-0000-0000-0000AA7C0000}"/>
    <cellStyle name="注释 27" xfId="31913" xr:uid="{00000000-0005-0000-0000-0000AB7C0000}"/>
    <cellStyle name="注释 28" xfId="31914" xr:uid="{00000000-0005-0000-0000-0000AC7C0000}"/>
    <cellStyle name="注释 29" xfId="31915" xr:uid="{00000000-0005-0000-0000-0000AD7C0000}"/>
    <cellStyle name="注释 3" xfId="31916" xr:uid="{00000000-0005-0000-0000-0000AE7C0000}"/>
    <cellStyle name="注释 3 10" xfId="31917" xr:uid="{00000000-0005-0000-0000-0000AF7C0000}"/>
    <cellStyle name="注释 3 11" xfId="31918" xr:uid="{00000000-0005-0000-0000-0000B07C0000}"/>
    <cellStyle name="注释 3 12" xfId="31919" xr:uid="{00000000-0005-0000-0000-0000B17C0000}"/>
    <cellStyle name="注释 3 13" xfId="31920" xr:uid="{00000000-0005-0000-0000-0000B27C0000}"/>
    <cellStyle name="注释 3 14" xfId="31921" xr:uid="{00000000-0005-0000-0000-0000B37C0000}"/>
    <cellStyle name="注释 3 15" xfId="31922" xr:uid="{00000000-0005-0000-0000-0000B47C0000}"/>
    <cellStyle name="注释 3 16" xfId="31923" xr:uid="{00000000-0005-0000-0000-0000B57C0000}"/>
    <cellStyle name="注释 3 17" xfId="31924" xr:uid="{00000000-0005-0000-0000-0000B67C0000}"/>
    <cellStyle name="注释 3 18" xfId="31925" xr:uid="{00000000-0005-0000-0000-0000B77C0000}"/>
    <cellStyle name="注释 3 19" xfId="31926" xr:uid="{00000000-0005-0000-0000-0000B87C0000}"/>
    <cellStyle name="注释 3 2" xfId="31927" xr:uid="{00000000-0005-0000-0000-0000B97C0000}"/>
    <cellStyle name="注释 3 2 10" xfId="31928" xr:uid="{00000000-0005-0000-0000-0000BA7C0000}"/>
    <cellStyle name="注释 3 2 11" xfId="31929" xr:uid="{00000000-0005-0000-0000-0000BB7C0000}"/>
    <cellStyle name="注释 3 2 12" xfId="31930" xr:uid="{00000000-0005-0000-0000-0000BC7C0000}"/>
    <cellStyle name="注释 3 2 13" xfId="31931" xr:uid="{00000000-0005-0000-0000-0000BD7C0000}"/>
    <cellStyle name="注释 3 2 14" xfId="31932" xr:uid="{00000000-0005-0000-0000-0000BE7C0000}"/>
    <cellStyle name="注释 3 2 15" xfId="31933" xr:uid="{00000000-0005-0000-0000-0000BF7C0000}"/>
    <cellStyle name="注释 3 2 16" xfId="31934" xr:uid="{00000000-0005-0000-0000-0000C07C0000}"/>
    <cellStyle name="注释 3 2 17" xfId="31935" xr:uid="{00000000-0005-0000-0000-0000C17C0000}"/>
    <cellStyle name="注释 3 2 18" xfId="31936" xr:uid="{00000000-0005-0000-0000-0000C27C0000}"/>
    <cellStyle name="注释 3 2 19" xfId="31937" xr:uid="{00000000-0005-0000-0000-0000C37C0000}"/>
    <cellStyle name="注释 3 2 2" xfId="31938" xr:uid="{00000000-0005-0000-0000-0000C47C0000}"/>
    <cellStyle name="注释 3 2 2 2" xfId="31939" xr:uid="{00000000-0005-0000-0000-0000C57C0000}"/>
    <cellStyle name="注释 3 2 2 2 2" xfId="31940" xr:uid="{00000000-0005-0000-0000-0000C67C0000}"/>
    <cellStyle name="注释 3 2 2 2 3" xfId="31941" xr:uid="{00000000-0005-0000-0000-0000C77C0000}"/>
    <cellStyle name="注释 3 2 2 3" xfId="31942" xr:uid="{00000000-0005-0000-0000-0000C87C0000}"/>
    <cellStyle name="注释 3 2 2 3 2" xfId="31943" xr:uid="{00000000-0005-0000-0000-0000C97C0000}"/>
    <cellStyle name="注释 3 2 2 3 3" xfId="31944" xr:uid="{00000000-0005-0000-0000-0000CA7C0000}"/>
    <cellStyle name="注释 3 2 2 4" xfId="31945" xr:uid="{00000000-0005-0000-0000-0000CB7C0000}"/>
    <cellStyle name="注释 3 2 2 5" xfId="31946" xr:uid="{00000000-0005-0000-0000-0000CC7C0000}"/>
    <cellStyle name="注释 3 2 20" xfId="31947" xr:uid="{00000000-0005-0000-0000-0000CD7C0000}"/>
    <cellStyle name="注释 3 2 21" xfId="31948" xr:uid="{00000000-0005-0000-0000-0000CE7C0000}"/>
    <cellStyle name="注释 3 2 22" xfId="31949" xr:uid="{00000000-0005-0000-0000-0000CF7C0000}"/>
    <cellStyle name="注释 3 2 23" xfId="31950" xr:uid="{00000000-0005-0000-0000-0000D07C0000}"/>
    <cellStyle name="注释 3 2 24" xfId="31951" xr:uid="{00000000-0005-0000-0000-0000D17C0000}"/>
    <cellStyle name="注释 3 2 25" xfId="31952" xr:uid="{00000000-0005-0000-0000-0000D27C0000}"/>
    <cellStyle name="注释 3 2 26" xfId="31953" xr:uid="{00000000-0005-0000-0000-0000D37C0000}"/>
    <cellStyle name="注释 3 2 27" xfId="31954" xr:uid="{00000000-0005-0000-0000-0000D47C0000}"/>
    <cellStyle name="注释 3 2 28" xfId="31955" xr:uid="{00000000-0005-0000-0000-0000D57C0000}"/>
    <cellStyle name="注释 3 2 29" xfId="31956" xr:uid="{00000000-0005-0000-0000-0000D67C0000}"/>
    <cellStyle name="注释 3 2 3" xfId="31957" xr:uid="{00000000-0005-0000-0000-0000D77C0000}"/>
    <cellStyle name="注释 3 2 3 2" xfId="31958" xr:uid="{00000000-0005-0000-0000-0000D87C0000}"/>
    <cellStyle name="注释 3 2 3 2 2" xfId="31959" xr:uid="{00000000-0005-0000-0000-0000D97C0000}"/>
    <cellStyle name="注释 3 2 3 2 3" xfId="31960" xr:uid="{00000000-0005-0000-0000-0000DA7C0000}"/>
    <cellStyle name="注释 3 2 3 3" xfId="31961" xr:uid="{00000000-0005-0000-0000-0000DB7C0000}"/>
    <cellStyle name="注释 3 2 3 3 2" xfId="31962" xr:uid="{00000000-0005-0000-0000-0000DC7C0000}"/>
    <cellStyle name="注释 3 2 3 3 3" xfId="31963" xr:uid="{00000000-0005-0000-0000-0000DD7C0000}"/>
    <cellStyle name="注释 3 2 3 4" xfId="31964" xr:uid="{00000000-0005-0000-0000-0000DE7C0000}"/>
    <cellStyle name="注释 3 2 3 5" xfId="31965" xr:uid="{00000000-0005-0000-0000-0000DF7C0000}"/>
    <cellStyle name="注释 3 2 30" xfId="31966" xr:uid="{00000000-0005-0000-0000-0000E07C0000}"/>
    <cellStyle name="注释 3 2 31" xfId="31967" xr:uid="{00000000-0005-0000-0000-0000E17C0000}"/>
    <cellStyle name="注释 3 2 32" xfId="31968" xr:uid="{00000000-0005-0000-0000-0000E27C0000}"/>
    <cellStyle name="注释 3 2 33" xfId="31969" xr:uid="{00000000-0005-0000-0000-0000E37C0000}"/>
    <cellStyle name="注释 3 2 34" xfId="31970" xr:uid="{00000000-0005-0000-0000-0000E47C0000}"/>
    <cellStyle name="注释 3 2 35" xfId="31971" xr:uid="{00000000-0005-0000-0000-0000E57C0000}"/>
    <cellStyle name="注释 3 2 4" xfId="31972" xr:uid="{00000000-0005-0000-0000-0000E67C0000}"/>
    <cellStyle name="注释 3 2 4 2" xfId="31973" xr:uid="{00000000-0005-0000-0000-0000E77C0000}"/>
    <cellStyle name="注释 3 2 4 3" xfId="31974" xr:uid="{00000000-0005-0000-0000-0000E87C0000}"/>
    <cellStyle name="注释 3 2 5" xfId="31975" xr:uid="{00000000-0005-0000-0000-0000E97C0000}"/>
    <cellStyle name="注释 3 2 5 2" xfId="31976" xr:uid="{00000000-0005-0000-0000-0000EA7C0000}"/>
    <cellStyle name="注释 3 2 5 3" xfId="31977" xr:uid="{00000000-0005-0000-0000-0000EB7C0000}"/>
    <cellStyle name="注释 3 2 6" xfId="31978" xr:uid="{00000000-0005-0000-0000-0000EC7C0000}"/>
    <cellStyle name="注释 3 2 7" xfId="31979" xr:uid="{00000000-0005-0000-0000-0000ED7C0000}"/>
    <cellStyle name="注释 3 2 8" xfId="31980" xr:uid="{00000000-0005-0000-0000-0000EE7C0000}"/>
    <cellStyle name="注释 3 2 9" xfId="31981" xr:uid="{00000000-0005-0000-0000-0000EF7C0000}"/>
    <cellStyle name="注释 3 20" xfId="31982" xr:uid="{00000000-0005-0000-0000-0000F07C0000}"/>
    <cellStyle name="注释 3 21" xfId="31983" xr:uid="{00000000-0005-0000-0000-0000F17C0000}"/>
    <cellStyle name="注释 3 22" xfId="31984" xr:uid="{00000000-0005-0000-0000-0000F27C0000}"/>
    <cellStyle name="注释 3 23" xfId="31985" xr:uid="{00000000-0005-0000-0000-0000F37C0000}"/>
    <cellStyle name="注释 3 24" xfId="31986" xr:uid="{00000000-0005-0000-0000-0000F47C0000}"/>
    <cellStyle name="注释 3 25" xfId="31987" xr:uid="{00000000-0005-0000-0000-0000F57C0000}"/>
    <cellStyle name="注释 3 26" xfId="31988" xr:uid="{00000000-0005-0000-0000-0000F67C0000}"/>
    <cellStyle name="注释 3 27" xfId="31989" xr:uid="{00000000-0005-0000-0000-0000F77C0000}"/>
    <cellStyle name="注释 3 28" xfId="31990" xr:uid="{00000000-0005-0000-0000-0000F87C0000}"/>
    <cellStyle name="注释 3 29" xfId="31991" xr:uid="{00000000-0005-0000-0000-0000F97C0000}"/>
    <cellStyle name="注释 3 3" xfId="31992" xr:uid="{00000000-0005-0000-0000-0000FA7C0000}"/>
    <cellStyle name="注释 3 3 2" xfId="31993" xr:uid="{00000000-0005-0000-0000-0000FB7C0000}"/>
    <cellStyle name="注释 3 3 3" xfId="31994" xr:uid="{00000000-0005-0000-0000-0000FC7C0000}"/>
    <cellStyle name="注释 3 30" xfId="31995" xr:uid="{00000000-0005-0000-0000-0000FD7C0000}"/>
    <cellStyle name="注释 3 31" xfId="31996" xr:uid="{00000000-0005-0000-0000-0000FE7C0000}"/>
    <cellStyle name="注释 3 32" xfId="31997" xr:uid="{00000000-0005-0000-0000-0000FF7C0000}"/>
    <cellStyle name="注释 3 33" xfId="31998" xr:uid="{00000000-0005-0000-0000-0000007D0000}"/>
    <cellStyle name="注释 3 34" xfId="31999" xr:uid="{00000000-0005-0000-0000-0000017D0000}"/>
    <cellStyle name="注释 3 4" xfId="32000" xr:uid="{00000000-0005-0000-0000-0000027D0000}"/>
    <cellStyle name="注释 3 4 2" xfId="32001" xr:uid="{00000000-0005-0000-0000-0000037D0000}"/>
    <cellStyle name="注释 3 4 3" xfId="32002" xr:uid="{00000000-0005-0000-0000-0000047D0000}"/>
    <cellStyle name="注释 3 5" xfId="32003" xr:uid="{00000000-0005-0000-0000-0000057D0000}"/>
    <cellStyle name="注释 3 6" xfId="32004" xr:uid="{00000000-0005-0000-0000-0000067D0000}"/>
    <cellStyle name="注释 3 7" xfId="32005" xr:uid="{00000000-0005-0000-0000-0000077D0000}"/>
    <cellStyle name="注释 3 8" xfId="32006" xr:uid="{00000000-0005-0000-0000-0000087D0000}"/>
    <cellStyle name="注释 3 9" xfId="32007" xr:uid="{00000000-0005-0000-0000-0000097D0000}"/>
    <cellStyle name="注释 30" xfId="32008" xr:uid="{00000000-0005-0000-0000-00000A7D0000}"/>
    <cellStyle name="注释 31" xfId="32009" xr:uid="{00000000-0005-0000-0000-00000B7D0000}"/>
    <cellStyle name="注释 32" xfId="32010" xr:uid="{00000000-0005-0000-0000-00000C7D0000}"/>
    <cellStyle name="注释 33" xfId="32011" xr:uid="{00000000-0005-0000-0000-00000D7D0000}"/>
    <cellStyle name="注释 34" xfId="32012" xr:uid="{00000000-0005-0000-0000-00000E7D0000}"/>
    <cellStyle name="注释 35" xfId="32013" xr:uid="{00000000-0005-0000-0000-00000F7D0000}"/>
    <cellStyle name="注释 36" xfId="32014" xr:uid="{00000000-0005-0000-0000-0000107D0000}"/>
    <cellStyle name="注释 37" xfId="32015" xr:uid="{00000000-0005-0000-0000-0000117D0000}"/>
    <cellStyle name="注释 38" xfId="32016" xr:uid="{00000000-0005-0000-0000-0000127D0000}"/>
    <cellStyle name="注释 39" xfId="32017" xr:uid="{00000000-0005-0000-0000-0000137D0000}"/>
    <cellStyle name="注释 4" xfId="32018" xr:uid="{00000000-0005-0000-0000-0000147D0000}"/>
    <cellStyle name="注释 4 10" xfId="32019" xr:uid="{00000000-0005-0000-0000-0000157D0000}"/>
    <cellStyle name="注释 4 11" xfId="32020" xr:uid="{00000000-0005-0000-0000-0000167D0000}"/>
    <cellStyle name="注释 4 12" xfId="32021" xr:uid="{00000000-0005-0000-0000-0000177D0000}"/>
    <cellStyle name="注释 4 13" xfId="32022" xr:uid="{00000000-0005-0000-0000-0000187D0000}"/>
    <cellStyle name="注释 4 14" xfId="32023" xr:uid="{00000000-0005-0000-0000-0000197D0000}"/>
    <cellStyle name="注释 4 15" xfId="32024" xr:uid="{00000000-0005-0000-0000-00001A7D0000}"/>
    <cellStyle name="注释 4 16" xfId="32025" xr:uid="{00000000-0005-0000-0000-00001B7D0000}"/>
    <cellStyle name="注释 4 17" xfId="32026" xr:uid="{00000000-0005-0000-0000-00001C7D0000}"/>
    <cellStyle name="注释 4 18" xfId="32027" xr:uid="{00000000-0005-0000-0000-00001D7D0000}"/>
    <cellStyle name="注释 4 19" xfId="32028" xr:uid="{00000000-0005-0000-0000-00001E7D0000}"/>
    <cellStyle name="注释 4 2" xfId="32029" xr:uid="{00000000-0005-0000-0000-00001F7D0000}"/>
    <cellStyle name="注释 4 2 10" xfId="32030" xr:uid="{00000000-0005-0000-0000-0000207D0000}"/>
    <cellStyle name="注释 4 2 11" xfId="32031" xr:uid="{00000000-0005-0000-0000-0000217D0000}"/>
    <cellStyle name="注释 4 2 12" xfId="32032" xr:uid="{00000000-0005-0000-0000-0000227D0000}"/>
    <cellStyle name="注释 4 2 13" xfId="32033" xr:uid="{00000000-0005-0000-0000-0000237D0000}"/>
    <cellStyle name="注释 4 2 14" xfId="32034" xr:uid="{00000000-0005-0000-0000-0000247D0000}"/>
    <cellStyle name="注释 4 2 15" xfId="32035" xr:uid="{00000000-0005-0000-0000-0000257D0000}"/>
    <cellStyle name="注释 4 2 16" xfId="32036" xr:uid="{00000000-0005-0000-0000-0000267D0000}"/>
    <cellStyle name="注释 4 2 17" xfId="32037" xr:uid="{00000000-0005-0000-0000-0000277D0000}"/>
    <cellStyle name="注释 4 2 18" xfId="32038" xr:uid="{00000000-0005-0000-0000-0000287D0000}"/>
    <cellStyle name="注释 4 2 19" xfId="32039" xr:uid="{00000000-0005-0000-0000-0000297D0000}"/>
    <cellStyle name="注释 4 2 2" xfId="32040" xr:uid="{00000000-0005-0000-0000-00002A7D0000}"/>
    <cellStyle name="注释 4 2 2 2" xfId="32041" xr:uid="{00000000-0005-0000-0000-00002B7D0000}"/>
    <cellStyle name="注释 4 2 2 2 2" xfId="32042" xr:uid="{00000000-0005-0000-0000-00002C7D0000}"/>
    <cellStyle name="注释 4 2 2 2 3" xfId="32043" xr:uid="{00000000-0005-0000-0000-00002D7D0000}"/>
    <cellStyle name="注释 4 2 2 3" xfId="32044" xr:uid="{00000000-0005-0000-0000-00002E7D0000}"/>
    <cellStyle name="注释 4 2 2 3 2" xfId="32045" xr:uid="{00000000-0005-0000-0000-00002F7D0000}"/>
    <cellStyle name="注释 4 2 2 3 3" xfId="32046" xr:uid="{00000000-0005-0000-0000-0000307D0000}"/>
    <cellStyle name="注释 4 2 2 4" xfId="32047" xr:uid="{00000000-0005-0000-0000-0000317D0000}"/>
    <cellStyle name="注释 4 2 2 5" xfId="32048" xr:uid="{00000000-0005-0000-0000-0000327D0000}"/>
    <cellStyle name="注释 4 2 20" xfId="32049" xr:uid="{00000000-0005-0000-0000-0000337D0000}"/>
    <cellStyle name="注释 4 2 21" xfId="32050" xr:uid="{00000000-0005-0000-0000-0000347D0000}"/>
    <cellStyle name="注释 4 2 22" xfId="32051" xr:uid="{00000000-0005-0000-0000-0000357D0000}"/>
    <cellStyle name="注释 4 2 23" xfId="32052" xr:uid="{00000000-0005-0000-0000-0000367D0000}"/>
    <cellStyle name="注释 4 2 24" xfId="32053" xr:uid="{00000000-0005-0000-0000-0000377D0000}"/>
    <cellStyle name="注释 4 2 25" xfId="32054" xr:uid="{00000000-0005-0000-0000-0000387D0000}"/>
    <cellStyle name="注释 4 2 26" xfId="32055" xr:uid="{00000000-0005-0000-0000-0000397D0000}"/>
    <cellStyle name="注释 4 2 27" xfId="32056" xr:uid="{00000000-0005-0000-0000-00003A7D0000}"/>
    <cellStyle name="注释 4 2 28" xfId="32057" xr:uid="{00000000-0005-0000-0000-00003B7D0000}"/>
    <cellStyle name="注释 4 2 29" xfId="32058" xr:uid="{00000000-0005-0000-0000-00003C7D0000}"/>
    <cellStyle name="注释 4 2 3" xfId="32059" xr:uid="{00000000-0005-0000-0000-00003D7D0000}"/>
    <cellStyle name="注释 4 2 3 2" xfId="32060" xr:uid="{00000000-0005-0000-0000-00003E7D0000}"/>
    <cellStyle name="注释 4 2 3 2 2" xfId="32061" xr:uid="{00000000-0005-0000-0000-00003F7D0000}"/>
    <cellStyle name="注释 4 2 3 2 3" xfId="32062" xr:uid="{00000000-0005-0000-0000-0000407D0000}"/>
    <cellStyle name="注释 4 2 3 3" xfId="32063" xr:uid="{00000000-0005-0000-0000-0000417D0000}"/>
    <cellStyle name="注释 4 2 3 3 2" xfId="32064" xr:uid="{00000000-0005-0000-0000-0000427D0000}"/>
    <cellStyle name="注释 4 2 3 3 3" xfId="32065" xr:uid="{00000000-0005-0000-0000-0000437D0000}"/>
    <cellStyle name="注释 4 2 3 4" xfId="32066" xr:uid="{00000000-0005-0000-0000-0000447D0000}"/>
    <cellStyle name="注释 4 2 3 5" xfId="32067" xr:uid="{00000000-0005-0000-0000-0000457D0000}"/>
    <cellStyle name="注释 4 2 30" xfId="32068" xr:uid="{00000000-0005-0000-0000-0000467D0000}"/>
    <cellStyle name="注释 4 2 31" xfId="32069" xr:uid="{00000000-0005-0000-0000-0000477D0000}"/>
    <cellStyle name="注释 4 2 32" xfId="32070" xr:uid="{00000000-0005-0000-0000-0000487D0000}"/>
    <cellStyle name="注释 4 2 33" xfId="32071" xr:uid="{00000000-0005-0000-0000-0000497D0000}"/>
    <cellStyle name="注释 4 2 34" xfId="32072" xr:uid="{00000000-0005-0000-0000-00004A7D0000}"/>
    <cellStyle name="注释 4 2 35" xfId="32073" xr:uid="{00000000-0005-0000-0000-00004B7D0000}"/>
    <cellStyle name="注释 4 2 4" xfId="32074" xr:uid="{00000000-0005-0000-0000-00004C7D0000}"/>
    <cellStyle name="注释 4 2 4 2" xfId="32075" xr:uid="{00000000-0005-0000-0000-00004D7D0000}"/>
    <cellStyle name="注释 4 2 4 3" xfId="32076" xr:uid="{00000000-0005-0000-0000-00004E7D0000}"/>
    <cellStyle name="注释 4 2 5" xfId="32077" xr:uid="{00000000-0005-0000-0000-00004F7D0000}"/>
    <cellStyle name="注释 4 2 5 2" xfId="32078" xr:uid="{00000000-0005-0000-0000-0000507D0000}"/>
    <cellStyle name="注释 4 2 5 3" xfId="32079" xr:uid="{00000000-0005-0000-0000-0000517D0000}"/>
    <cellStyle name="注释 4 2 6" xfId="32080" xr:uid="{00000000-0005-0000-0000-0000527D0000}"/>
    <cellStyle name="注释 4 2 7" xfId="32081" xr:uid="{00000000-0005-0000-0000-0000537D0000}"/>
    <cellStyle name="注释 4 2 8" xfId="32082" xr:uid="{00000000-0005-0000-0000-0000547D0000}"/>
    <cellStyle name="注释 4 2 9" xfId="32083" xr:uid="{00000000-0005-0000-0000-0000557D0000}"/>
    <cellStyle name="注释 4 20" xfId="32084" xr:uid="{00000000-0005-0000-0000-0000567D0000}"/>
    <cellStyle name="注释 4 21" xfId="32085" xr:uid="{00000000-0005-0000-0000-0000577D0000}"/>
    <cellStyle name="注释 4 22" xfId="32086" xr:uid="{00000000-0005-0000-0000-0000587D0000}"/>
    <cellStyle name="注释 4 23" xfId="32087" xr:uid="{00000000-0005-0000-0000-0000597D0000}"/>
    <cellStyle name="注释 4 24" xfId="32088" xr:uid="{00000000-0005-0000-0000-00005A7D0000}"/>
    <cellStyle name="注释 4 25" xfId="32089" xr:uid="{00000000-0005-0000-0000-00005B7D0000}"/>
    <cellStyle name="注释 4 26" xfId="32090" xr:uid="{00000000-0005-0000-0000-00005C7D0000}"/>
    <cellStyle name="注释 4 27" xfId="32091" xr:uid="{00000000-0005-0000-0000-00005D7D0000}"/>
    <cellStyle name="注释 4 28" xfId="32092" xr:uid="{00000000-0005-0000-0000-00005E7D0000}"/>
    <cellStyle name="注释 4 29" xfId="32093" xr:uid="{00000000-0005-0000-0000-00005F7D0000}"/>
    <cellStyle name="注释 4 3" xfId="32094" xr:uid="{00000000-0005-0000-0000-0000607D0000}"/>
    <cellStyle name="注释 4 3 2" xfId="32095" xr:uid="{00000000-0005-0000-0000-0000617D0000}"/>
    <cellStyle name="注释 4 3 3" xfId="32096" xr:uid="{00000000-0005-0000-0000-0000627D0000}"/>
    <cellStyle name="注释 4 30" xfId="32097" xr:uid="{00000000-0005-0000-0000-0000637D0000}"/>
    <cellStyle name="注释 4 31" xfId="32098" xr:uid="{00000000-0005-0000-0000-0000647D0000}"/>
    <cellStyle name="注释 4 32" xfId="32099" xr:uid="{00000000-0005-0000-0000-0000657D0000}"/>
    <cellStyle name="注释 4 33" xfId="32100" xr:uid="{00000000-0005-0000-0000-0000667D0000}"/>
    <cellStyle name="注释 4 34" xfId="32101" xr:uid="{00000000-0005-0000-0000-0000677D0000}"/>
    <cellStyle name="注释 4 4" xfId="32102" xr:uid="{00000000-0005-0000-0000-0000687D0000}"/>
    <cellStyle name="注释 4 4 2" xfId="32103" xr:uid="{00000000-0005-0000-0000-0000697D0000}"/>
    <cellStyle name="注释 4 4 3" xfId="32104" xr:uid="{00000000-0005-0000-0000-00006A7D0000}"/>
    <cellStyle name="注释 4 5" xfId="32105" xr:uid="{00000000-0005-0000-0000-00006B7D0000}"/>
    <cellStyle name="注释 4 6" xfId="32106" xr:uid="{00000000-0005-0000-0000-00006C7D0000}"/>
    <cellStyle name="注释 4 7" xfId="32107" xr:uid="{00000000-0005-0000-0000-00006D7D0000}"/>
    <cellStyle name="注释 4 8" xfId="32108" xr:uid="{00000000-0005-0000-0000-00006E7D0000}"/>
    <cellStyle name="注释 4 9" xfId="32109" xr:uid="{00000000-0005-0000-0000-00006F7D0000}"/>
    <cellStyle name="注释 5" xfId="32110" xr:uid="{00000000-0005-0000-0000-0000707D0000}"/>
    <cellStyle name="注释 5 10" xfId="32111" xr:uid="{00000000-0005-0000-0000-0000717D0000}"/>
    <cellStyle name="注释 5 11" xfId="32112" xr:uid="{00000000-0005-0000-0000-0000727D0000}"/>
    <cellStyle name="注释 5 12" xfId="32113" xr:uid="{00000000-0005-0000-0000-0000737D0000}"/>
    <cellStyle name="注释 5 13" xfId="32114" xr:uid="{00000000-0005-0000-0000-0000747D0000}"/>
    <cellStyle name="注释 5 14" xfId="32115" xr:uid="{00000000-0005-0000-0000-0000757D0000}"/>
    <cellStyle name="注释 5 15" xfId="32116" xr:uid="{00000000-0005-0000-0000-0000767D0000}"/>
    <cellStyle name="注释 5 16" xfId="32117" xr:uid="{00000000-0005-0000-0000-0000777D0000}"/>
    <cellStyle name="注释 5 17" xfId="32118" xr:uid="{00000000-0005-0000-0000-0000787D0000}"/>
    <cellStyle name="注释 5 18" xfId="32119" xr:uid="{00000000-0005-0000-0000-0000797D0000}"/>
    <cellStyle name="注释 5 19" xfId="32120" xr:uid="{00000000-0005-0000-0000-00007A7D0000}"/>
    <cellStyle name="注释 5 2" xfId="32121" xr:uid="{00000000-0005-0000-0000-00007B7D0000}"/>
    <cellStyle name="注释 5 2 10" xfId="32122" xr:uid="{00000000-0005-0000-0000-00007C7D0000}"/>
    <cellStyle name="注释 5 2 11" xfId="32123" xr:uid="{00000000-0005-0000-0000-00007D7D0000}"/>
    <cellStyle name="注释 5 2 12" xfId="32124" xr:uid="{00000000-0005-0000-0000-00007E7D0000}"/>
    <cellStyle name="注释 5 2 13" xfId="32125" xr:uid="{00000000-0005-0000-0000-00007F7D0000}"/>
    <cellStyle name="注释 5 2 14" xfId="32126" xr:uid="{00000000-0005-0000-0000-0000807D0000}"/>
    <cellStyle name="注释 5 2 15" xfId="32127" xr:uid="{00000000-0005-0000-0000-0000817D0000}"/>
    <cellStyle name="注释 5 2 16" xfId="32128" xr:uid="{00000000-0005-0000-0000-0000827D0000}"/>
    <cellStyle name="注释 5 2 17" xfId="32129" xr:uid="{00000000-0005-0000-0000-0000837D0000}"/>
    <cellStyle name="注释 5 2 18" xfId="32130" xr:uid="{00000000-0005-0000-0000-0000847D0000}"/>
    <cellStyle name="注释 5 2 19" xfId="32131" xr:uid="{00000000-0005-0000-0000-0000857D0000}"/>
    <cellStyle name="注释 5 2 2" xfId="32132" xr:uid="{00000000-0005-0000-0000-0000867D0000}"/>
    <cellStyle name="注释 5 2 2 2" xfId="32133" xr:uid="{00000000-0005-0000-0000-0000877D0000}"/>
    <cellStyle name="注释 5 2 2 2 2" xfId="32134" xr:uid="{00000000-0005-0000-0000-0000887D0000}"/>
    <cellStyle name="注释 5 2 2 2 3" xfId="32135" xr:uid="{00000000-0005-0000-0000-0000897D0000}"/>
    <cellStyle name="注释 5 2 2 3" xfId="32136" xr:uid="{00000000-0005-0000-0000-00008A7D0000}"/>
    <cellStyle name="注释 5 2 2 3 2" xfId="32137" xr:uid="{00000000-0005-0000-0000-00008B7D0000}"/>
    <cellStyle name="注释 5 2 2 3 3" xfId="32138" xr:uid="{00000000-0005-0000-0000-00008C7D0000}"/>
    <cellStyle name="注释 5 2 2 4" xfId="32139" xr:uid="{00000000-0005-0000-0000-00008D7D0000}"/>
    <cellStyle name="注释 5 2 2 5" xfId="32140" xr:uid="{00000000-0005-0000-0000-00008E7D0000}"/>
    <cellStyle name="注释 5 2 20" xfId="32141" xr:uid="{00000000-0005-0000-0000-00008F7D0000}"/>
    <cellStyle name="注释 5 2 21" xfId="32142" xr:uid="{00000000-0005-0000-0000-0000907D0000}"/>
    <cellStyle name="注释 5 2 22" xfId="32143" xr:uid="{00000000-0005-0000-0000-0000917D0000}"/>
    <cellStyle name="注释 5 2 23" xfId="32144" xr:uid="{00000000-0005-0000-0000-0000927D0000}"/>
    <cellStyle name="注释 5 2 24" xfId="32145" xr:uid="{00000000-0005-0000-0000-0000937D0000}"/>
    <cellStyle name="注释 5 2 25" xfId="32146" xr:uid="{00000000-0005-0000-0000-0000947D0000}"/>
    <cellStyle name="注释 5 2 26" xfId="32147" xr:uid="{00000000-0005-0000-0000-0000957D0000}"/>
    <cellStyle name="注释 5 2 27" xfId="32148" xr:uid="{00000000-0005-0000-0000-0000967D0000}"/>
    <cellStyle name="注释 5 2 28" xfId="32149" xr:uid="{00000000-0005-0000-0000-0000977D0000}"/>
    <cellStyle name="注释 5 2 29" xfId="32150" xr:uid="{00000000-0005-0000-0000-0000987D0000}"/>
    <cellStyle name="注释 5 2 3" xfId="32151" xr:uid="{00000000-0005-0000-0000-0000997D0000}"/>
    <cellStyle name="注释 5 2 3 2" xfId="32152" xr:uid="{00000000-0005-0000-0000-00009A7D0000}"/>
    <cellStyle name="注释 5 2 3 2 2" xfId="32153" xr:uid="{00000000-0005-0000-0000-00009B7D0000}"/>
    <cellStyle name="注释 5 2 3 2 3" xfId="32154" xr:uid="{00000000-0005-0000-0000-00009C7D0000}"/>
    <cellStyle name="注释 5 2 3 3" xfId="32155" xr:uid="{00000000-0005-0000-0000-00009D7D0000}"/>
    <cellStyle name="注释 5 2 3 3 2" xfId="32156" xr:uid="{00000000-0005-0000-0000-00009E7D0000}"/>
    <cellStyle name="注释 5 2 3 3 3" xfId="32157" xr:uid="{00000000-0005-0000-0000-00009F7D0000}"/>
    <cellStyle name="注释 5 2 3 4" xfId="32158" xr:uid="{00000000-0005-0000-0000-0000A07D0000}"/>
    <cellStyle name="注释 5 2 3 5" xfId="32159" xr:uid="{00000000-0005-0000-0000-0000A17D0000}"/>
    <cellStyle name="注释 5 2 30" xfId="32160" xr:uid="{00000000-0005-0000-0000-0000A27D0000}"/>
    <cellStyle name="注释 5 2 31" xfId="32161" xr:uid="{00000000-0005-0000-0000-0000A37D0000}"/>
    <cellStyle name="注释 5 2 32" xfId="32162" xr:uid="{00000000-0005-0000-0000-0000A47D0000}"/>
    <cellStyle name="注释 5 2 33" xfId="32163" xr:uid="{00000000-0005-0000-0000-0000A57D0000}"/>
    <cellStyle name="注释 5 2 34" xfId="32164" xr:uid="{00000000-0005-0000-0000-0000A67D0000}"/>
    <cellStyle name="注释 5 2 35" xfId="32165" xr:uid="{00000000-0005-0000-0000-0000A77D0000}"/>
    <cellStyle name="注释 5 2 4" xfId="32166" xr:uid="{00000000-0005-0000-0000-0000A87D0000}"/>
    <cellStyle name="注释 5 2 4 2" xfId="32167" xr:uid="{00000000-0005-0000-0000-0000A97D0000}"/>
    <cellStyle name="注释 5 2 4 3" xfId="32168" xr:uid="{00000000-0005-0000-0000-0000AA7D0000}"/>
    <cellStyle name="注释 5 2 5" xfId="32169" xr:uid="{00000000-0005-0000-0000-0000AB7D0000}"/>
    <cellStyle name="注释 5 2 5 2" xfId="32170" xr:uid="{00000000-0005-0000-0000-0000AC7D0000}"/>
    <cellStyle name="注释 5 2 5 3" xfId="32171" xr:uid="{00000000-0005-0000-0000-0000AD7D0000}"/>
    <cellStyle name="注释 5 2 6" xfId="32172" xr:uid="{00000000-0005-0000-0000-0000AE7D0000}"/>
    <cellStyle name="注释 5 2 7" xfId="32173" xr:uid="{00000000-0005-0000-0000-0000AF7D0000}"/>
    <cellStyle name="注释 5 2 8" xfId="32174" xr:uid="{00000000-0005-0000-0000-0000B07D0000}"/>
    <cellStyle name="注释 5 2 9" xfId="32175" xr:uid="{00000000-0005-0000-0000-0000B17D0000}"/>
    <cellStyle name="注释 5 20" xfId="32176" xr:uid="{00000000-0005-0000-0000-0000B27D0000}"/>
    <cellStyle name="注释 5 21" xfId="32177" xr:uid="{00000000-0005-0000-0000-0000B37D0000}"/>
    <cellStyle name="注释 5 22" xfId="32178" xr:uid="{00000000-0005-0000-0000-0000B47D0000}"/>
    <cellStyle name="注释 5 23" xfId="32179" xr:uid="{00000000-0005-0000-0000-0000B57D0000}"/>
    <cellStyle name="注释 5 24" xfId="32180" xr:uid="{00000000-0005-0000-0000-0000B67D0000}"/>
    <cellStyle name="注释 5 25" xfId="32181" xr:uid="{00000000-0005-0000-0000-0000B77D0000}"/>
    <cellStyle name="注释 5 26" xfId="32182" xr:uid="{00000000-0005-0000-0000-0000B87D0000}"/>
    <cellStyle name="注释 5 27" xfId="32183" xr:uid="{00000000-0005-0000-0000-0000B97D0000}"/>
    <cellStyle name="注释 5 28" xfId="32184" xr:uid="{00000000-0005-0000-0000-0000BA7D0000}"/>
    <cellStyle name="注释 5 29" xfId="32185" xr:uid="{00000000-0005-0000-0000-0000BB7D0000}"/>
    <cellStyle name="注释 5 3" xfId="32186" xr:uid="{00000000-0005-0000-0000-0000BC7D0000}"/>
    <cellStyle name="注释 5 3 2" xfId="32187" xr:uid="{00000000-0005-0000-0000-0000BD7D0000}"/>
    <cellStyle name="注释 5 3 3" xfId="32188" xr:uid="{00000000-0005-0000-0000-0000BE7D0000}"/>
    <cellStyle name="注释 5 30" xfId="32189" xr:uid="{00000000-0005-0000-0000-0000BF7D0000}"/>
    <cellStyle name="注释 5 31" xfId="32190" xr:uid="{00000000-0005-0000-0000-0000C07D0000}"/>
    <cellStyle name="注释 5 32" xfId="32191" xr:uid="{00000000-0005-0000-0000-0000C17D0000}"/>
    <cellStyle name="注释 5 33" xfId="32192" xr:uid="{00000000-0005-0000-0000-0000C27D0000}"/>
    <cellStyle name="注释 5 34" xfId="32193" xr:uid="{00000000-0005-0000-0000-0000C37D0000}"/>
    <cellStyle name="注释 5 4" xfId="32194" xr:uid="{00000000-0005-0000-0000-0000C47D0000}"/>
    <cellStyle name="注释 5 4 2" xfId="32195" xr:uid="{00000000-0005-0000-0000-0000C57D0000}"/>
    <cellStyle name="注释 5 4 3" xfId="32196" xr:uid="{00000000-0005-0000-0000-0000C67D0000}"/>
    <cellStyle name="注释 5 5" xfId="32197" xr:uid="{00000000-0005-0000-0000-0000C77D0000}"/>
    <cellStyle name="注释 5 6" xfId="32198" xr:uid="{00000000-0005-0000-0000-0000C87D0000}"/>
    <cellStyle name="注释 5 7" xfId="32199" xr:uid="{00000000-0005-0000-0000-0000C97D0000}"/>
    <cellStyle name="注释 5 8" xfId="32200" xr:uid="{00000000-0005-0000-0000-0000CA7D0000}"/>
    <cellStyle name="注释 5 9" xfId="32201" xr:uid="{00000000-0005-0000-0000-0000CB7D0000}"/>
    <cellStyle name="注释 6" xfId="32202" xr:uid="{00000000-0005-0000-0000-0000CC7D0000}"/>
    <cellStyle name="注释 6 10" xfId="32203" xr:uid="{00000000-0005-0000-0000-0000CD7D0000}"/>
    <cellStyle name="注释 6 11" xfId="32204" xr:uid="{00000000-0005-0000-0000-0000CE7D0000}"/>
    <cellStyle name="注释 6 12" xfId="32205" xr:uid="{00000000-0005-0000-0000-0000CF7D0000}"/>
    <cellStyle name="注释 6 13" xfId="32206" xr:uid="{00000000-0005-0000-0000-0000D07D0000}"/>
    <cellStyle name="注释 6 14" xfId="32207" xr:uid="{00000000-0005-0000-0000-0000D17D0000}"/>
    <cellStyle name="注释 6 15" xfId="32208" xr:uid="{00000000-0005-0000-0000-0000D27D0000}"/>
    <cellStyle name="注释 6 16" xfId="32209" xr:uid="{00000000-0005-0000-0000-0000D37D0000}"/>
    <cellStyle name="注释 6 17" xfId="32210" xr:uid="{00000000-0005-0000-0000-0000D47D0000}"/>
    <cellStyle name="注释 6 18" xfId="32211" xr:uid="{00000000-0005-0000-0000-0000D57D0000}"/>
    <cellStyle name="注释 6 19" xfId="32212" xr:uid="{00000000-0005-0000-0000-0000D67D0000}"/>
    <cellStyle name="注释 6 2" xfId="32213" xr:uid="{00000000-0005-0000-0000-0000D77D0000}"/>
    <cellStyle name="注释 6 2 10" xfId="32214" xr:uid="{00000000-0005-0000-0000-0000D87D0000}"/>
    <cellStyle name="注释 6 2 11" xfId="32215" xr:uid="{00000000-0005-0000-0000-0000D97D0000}"/>
    <cellStyle name="注释 6 2 12" xfId="32216" xr:uid="{00000000-0005-0000-0000-0000DA7D0000}"/>
    <cellStyle name="注释 6 2 13" xfId="32217" xr:uid="{00000000-0005-0000-0000-0000DB7D0000}"/>
    <cellStyle name="注释 6 2 14" xfId="32218" xr:uid="{00000000-0005-0000-0000-0000DC7D0000}"/>
    <cellStyle name="注释 6 2 15" xfId="32219" xr:uid="{00000000-0005-0000-0000-0000DD7D0000}"/>
    <cellStyle name="注释 6 2 16" xfId="32220" xr:uid="{00000000-0005-0000-0000-0000DE7D0000}"/>
    <cellStyle name="注释 6 2 17" xfId="32221" xr:uid="{00000000-0005-0000-0000-0000DF7D0000}"/>
    <cellStyle name="注释 6 2 18" xfId="32222" xr:uid="{00000000-0005-0000-0000-0000E07D0000}"/>
    <cellStyle name="注释 6 2 19" xfId="32223" xr:uid="{00000000-0005-0000-0000-0000E17D0000}"/>
    <cellStyle name="注释 6 2 2" xfId="32224" xr:uid="{00000000-0005-0000-0000-0000E27D0000}"/>
    <cellStyle name="注释 6 2 2 2" xfId="32225" xr:uid="{00000000-0005-0000-0000-0000E37D0000}"/>
    <cellStyle name="注释 6 2 2 2 2" xfId="32226" xr:uid="{00000000-0005-0000-0000-0000E47D0000}"/>
    <cellStyle name="注释 6 2 2 2 3" xfId="32227" xr:uid="{00000000-0005-0000-0000-0000E57D0000}"/>
    <cellStyle name="注释 6 2 2 3" xfId="32228" xr:uid="{00000000-0005-0000-0000-0000E67D0000}"/>
    <cellStyle name="注释 6 2 2 3 2" xfId="32229" xr:uid="{00000000-0005-0000-0000-0000E77D0000}"/>
    <cellStyle name="注释 6 2 2 3 3" xfId="32230" xr:uid="{00000000-0005-0000-0000-0000E87D0000}"/>
    <cellStyle name="注释 6 2 2 4" xfId="32231" xr:uid="{00000000-0005-0000-0000-0000E97D0000}"/>
    <cellStyle name="注释 6 2 2 5" xfId="32232" xr:uid="{00000000-0005-0000-0000-0000EA7D0000}"/>
    <cellStyle name="注释 6 2 20" xfId="32233" xr:uid="{00000000-0005-0000-0000-0000EB7D0000}"/>
    <cellStyle name="注释 6 2 21" xfId="32234" xr:uid="{00000000-0005-0000-0000-0000EC7D0000}"/>
    <cellStyle name="注释 6 2 22" xfId="32235" xr:uid="{00000000-0005-0000-0000-0000ED7D0000}"/>
    <cellStyle name="注释 6 2 23" xfId="32236" xr:uid="{00000000-0005-0000-0000-0000EE7D0000}"/>
    <cellStyle name="注释 6 2 24" xfId="32237" xr:uid="{00000000-0005-0000-0000-0000EF7D0000}"/>
    <cellStyle name="注释 6 2 25" xfId="32238" xr:uid="{00000000-0005-0000-0000-0000F07D0000}"/>
    <cellStyle name="注释 6 2 26" xfId="32239" xr:uid="{00000000-0005-0000-0000-0000F17D0000}"/>
    <cellStyle name="注释 6 2 27" xfId="32240" xr:uid="{00000000-0005-0000-0000-0000F27D0000}"/>
    <cellStyle name="注释 6 2 28" xfId="32241" xr:uid="{00000000-0005-0000-0000-0000F37D0000}"/>
    <cellStyle name="注释 6 2 29" xfId="32242" xr:uid="{00000000-0005-0000-0000-0000F47D0000}"/>
    <cellStyle name="注释 6 2 3" xfId="32243" xr:uid="{00000000-0005-0000-0000-0000F57D0000}"/>
    <cellStyle name="注释 6 2 3 2" xfId="32244" xr:uid="{00000000-0005-0000-0000-0000F67D0000}"/>
    <cellStyle name="注释 6 2 3 2 2" xfId="32245" xr:uid="{00000000-0005-0000-0000-0000F77D0000}"/>
    <cellStyle name="注释 6 2 3 2 3" xfId="32246" xr:uid="{00000000-0005-0000-0000-0000F87D0000}"/>
    <cellStyle name="注释 6 2 3 3" xfId="32247" xr:uid="{00000000-0005-0000-0000-0000F97D0000}"/>
    <cellStyle name="注释 6 2 3 3 2" xfId="32248" xr:uid="{00000000-0005-0000-0000-0000FA7D0000}"/>
    <cellStyle name="注释 6 2 3 3 3" xfId="32249" xr:uid="{00000000-0005-0000-0000-0000FB7D0000}"/>
    <cellStyle name="注释 6 2 3 4" xfId="32250" xr:uid="{00000000-0005-0000-0000-0000FC7D0000}"/>
    <cellStyle name="注释 6 2 3 5" xfId="32251" xr:uid="{00000000-0005-0000-0000-0000FD7D0000}"/>
    <cellStyle name="注释 6 2 30" xfId="32252" xr:uid="{00000000-0005-0000-0000-0000FE7D0000}"/>
    <cellStyle name="注释 6 2 31" xfId="32253" xr:uid="{00000000-0005-0000-0000-0000FF7D0000}"/>
    <cellStyle name="注释 6 2 32" xfId="32254" xr:uid="{00000000-0005-0000-0000-0000007E0000}"/>
    <cellStyle name="注释 6 2 33" xfId="32255" xr:uid="{00000000-0005-0000-0000-0000017E0000}"/>
    <cellStyle name="注释 6 2 34" xfId="32256" xr:uid="{00000000-0005-0000-0000-0000027E0000}"/>
    <cellStyle name="注释 6 2 35" xfId="32257" xr:uid="{00000000-0005-0000-0000-0000037E0000}"/>
    <cellStyle name="注释 6 2 4" xfId="32258" xr:uid="{00000000-0005-0000-0000-0000047E0000}"/>
    <cellStyle name="注释 6 2 4 2" xfId="32259" xr:uid="{00000000-0005-0000-0000-0000057E0000}"/>
    <cellStyle name="注释 6 2 4 3" xfId="32260" xr:uid="{00000000-0005-0000-0000-0000067E0000}"/>
    <cellStyle name="注释 6 2 5" xfId="32261" xr:uid="{00000000-0005-0000-0000-0000077E0000}"/>
    <cellStyle name="注释 6 2 5 2" xfId="32262" xr:uid="{00000000-0005-0000-0000-0000087E0000}"/>
    <cellStyle name="注释 6 2 5 3" xfId="32263" xr:uid="{00000000-0005-0000-0000-0000097E0000}"/>
    <cellStyle name="注释 6 2 6" xfId="32264" xr:uid="{00000000-0005-0000-0000-00000A7E0000}"/>
    <cellStyle name="注释 6 2 7" xfId="32265" xr:uid="{00000000-0005-0000-0000-00000B7E0000}"/>
    <cellStyle name="注释 6 2 8" xfId="32266" xr:uid="{00000000-0005-0000-0000-00000C7E0000}"/>
    <cellStyle name="注释 6 2 9" xfId="32267" xr:uid="{00000000-0005-0000-0000-00000D7E0000}"/>
    <cellStyle name="注释 6 20" xfId="32268" xr:uid="{00000000-0005-0000-0000-00000E7E0000}"/>
    <cellStyle name="注释 6 21" xfId="32269" xr:uid="{00000000-0005-0000-0000-00000F7E0000}"/>
    <cellStyle name="注释 6 22" xfId="32270" xr:uid="{00000000-0005-0000-0000-0000107E0000}"/>
    <cellStyle name="注释 6 23" xfId="32271" xr:uid="{00000000-0005-0000-0000-0000117E0000}"/>
    <cellStyle name="注释 6 24" xfId="32272" xr:uid="{00000000-0005-0000-0000-0000127E0000}"/>
    <cellStyle name="注释 6 25" xfId="32273" xr:uid="{00000000-0005-0000-0000-0000137E0000}"/>
    <cellStyle name="注释 6 26" xfId="32274" xr:uid="{00000000-0005-0000-0000-0000147E0000}"/>
    <cellStyle name="注释 6 27" xfId="32275" xr:uid="{00000000-0005-0000-0000-0000157E0000}"/>
    <cellStyle name="注释 6 28" xfId="32276" xr:uid="{00000000-0005-0000-0000-0000167E0000}"/>
    <cellStyle name="注释 6 29" xfId="32277" xr:uid="{00000000-0005-0000-0000-0000177E0000}"/>
    <cellStyle name="注释 6 3" xfId="32278" xr:uid="{00000000-0005-0000-0000-0000187E0000}"/>
    <cellStyle name="注释 6 3 2" xfId="32279" xr:uid="{00000000-0005-0000-0000-0000197E0000}"/>
    <cellStyle name="注释 6 3 3" xfId="32280" xr:uid="{00000000-0005-0000-0000-00001A7E0000}"/>
    <cellStyle name="注释 6 30" xfId="32281" xr:uid="{00000000-0005-0000-0000-00001B7E0000}"/>
    <cellStyle name="注释 6 31" xfId="32282" xr:uid="{00000000-0005-0000-0000-00001C7E0000}"/>
    <cellStyle name="注释 6 32" xfId="32283" xr:uid="{00000000-0005-0000-0000-00001D7E0000}"/>
    <cellStyle name="注释 6 33" xfId="32284" xr:uid="{00000000-0005-0000-0000-00001E7E0000}"/>
    <cellStyle name="注释 6 34" xfId="32285" xr:uid="{00000000-0005-0000-0000-00001F7E0000}"/>
    <cellStyle name="注释 6 4" xfId="32286" xr:uid="{00000000-0005-0000-0000-0000207E0000}"/>
    <cellStyle name="注释 6 4 2" xfId="32287" xr:uid="{00000000-0005-0000-0000-0000217E0000}"/>
    <cellStyle name="注释 6 4 3" xfId="32288" xr:uid="{00000000-0005-0000-0000-0000227E0000}"/>
    <cellStyle name="注释 6 5" xfId="32289" xr:uid="{00000000-0005-0000-0000-0000237E0000}"/>
    <cellStyle name="注释 6 6" xfId="32290" xr:uid="{00000000-0005-0000-0000-0000247E0000}"/>
    <cellStyle name="注释 6 7" xfId="32291" xr:uid="{00000000-0005-0000-0000-0000257E0000}"/>
    <cellStyle name="注释 6 8" xfId="32292" xr:uid="{00000000-0005-0000-0000-0000267E0000}"/>
    <cellStyle name="注释 6 9" xfId="32293" xr:uid="{00000000-0005-0000-0000-0000277E0000}"/>
    <cellStyle name="注释 7" xfId="32294" xr:uid="{00000000-0005-0000-0000-0000287E0000}"/>
    <cellStyle name="注释 7 10" xfId="32295" xr:uid="{00000000-0005-0000-0000-0000297E0000}"/>
    <cellStyle name="注释 7 11" xfId="32296" xr:uid="{00000000-0005-0000-0000-00002A7E0000}"/>
    <cellStyle name="注释 7 12" xfId="32297" xr:uid="{00000000-0005-0000-0000-00002B7E0000}"/>
    <cellStyle name="注释 7 13" xfId="32298" xr:uid="{00000000-0005-0000-0000-00002C7E0000}"/>
    <cellStyle name="注释 7 14" xfId="32299" xr:uid="{00000000-0005-0000-0000-00002D7E0000}"/>
    <cellStyle name="注释 7 15" xfId="32300" xr:uid="{00000000-0005-0000-0000-00002E7E0000}"/>
    <cellStyle name="注释 7 16" xfId="32301" xr:uid="{00000000-0005-0000-0000-00002F7E0000}"/>
    <cellStyle name="注释 7 17" xfId="32302" xr:uid="{00000000-0005-0000-0000-0000307E0000}"/>
    <cellStyle name="注释 7 18" xfId="32303" xr:uid="{00000000-0005-0000-0000-0000317E0000}"/>
    <cellStyle name="注释 7 19" xfId="32304" xr:uid="{00000000-0005-0000-0000-0000327E0000}"/>
    <cellStyle name="注释 7 2" xfId="32305" xr:uid="{00000000-0005-0000-0000-0000337E0000}"/>
    <cellStyle name="注释 7 2 2" xfId="32306" xr:uid="{00000000-0005-0000-0000-0000347E0000}"/>
    <cellStyle name="注释 7 2 2 2" xfId="32307" xr:uid="{00000000-0005-0000-0000-0000357E0000}"/>
    <cellStyle name="注释 7 2 2 3" xfId="32308" xr:uid="{00000000-0005-0000-0000-0000367E0000}"/>
    <cellStyle name="注释 7 2 3" xfId="32309" xr:uid="{00000000-0005-0000-0000-0000377E0000}"/>
    <cellStyle name="注释 7 2 3 2" xfId="32310" xr:uid="{00000000-0005-0000-0000-0000387E0000}"/>
    <cellStyle name="注释 7 2 3 3" xfId="32311" xr:uid="{00000000-0005-0000-0000-0000397E0000}"/>
    <cellStyle name="注释 7 2 4" xfId="32312" xr:uid="{00000000-0005-0000-0000-00003A7E0000}"/>
    <cellStyle name="注释 7 2 5" xfId="32313" xr:uid="{00000000-0005-0000-0000-00003B7E0000}"/>
    <cellStyle name="注释 7 20" xfId="32314" xr:uid="{00000000-0005-0000-0000-00003C7E0000}"/>
    <cellStyle name="注释 7 21" xfId="32315" xr:uid="{00000000-0005-0000-0000-00003D7E0000}"/>
    <cellStyle name="注释 7 22" xfId="32316" xr:uid="{00000000-0005-0000-0000-00003E7E0000}"/>
    <cellStyle name="注释 7 23" xfId="32317" xr:uid="{00000000-0005-0000-0000-00003F7E0000}"/>
    <cellStyle name="注释 7 24" xfId="32318" xr:uid="{00000000-0005-0000-0000-0000407E0000}"/>
    <cellStyle name="注释 7 25" xfId="32319" xr:uid="{00000000-0005-0000-0000-0000417E0000}"/>
    <cellStyle name="注释 7 26" xfId="32320" xr:uid="{00000000-0005-0000-0000-0000427E0000}"/>
    <cellStyle name="注释 7 27" xfId="32321" xr:uid="{00000000-0005-0000-0000-0000437E0000}"/>
    <cellStyle name="注释 7 28" xfId="32322" xr:uid="{00000000-0005-0000-0000-0000447E0000}"/>
    <cellStyle name="注释 7 29" xfId="32323" xr:uid="{00000000-0005-0000-0000-0000457E0000}"/>
    <cellStyle name="注释 7 3" xfId="32324" xr:uid="{00000000-0005-0000-0000-0000467E0000}"/>
    <cellStyle name="注释 7 3 2" xfId="32325" xr:uid="{00000000-0005-0000-0000-0000477E0000}"/>
    <cellStyle name="注释 7 3 2 2" xfId="32326" xr:uid="{00000000-0005-0000-0000-0000487E0000}"/>
    <cellStyle name="注释 7 3 2 3" xfId="32327" xr:uid="{00000000-0005-0000-0000-0000497E0000}"/>
    <cellStyle name="注释 7 3 3" xfId="32328" xr:uid="{00000000-0005-0000-0000-00004A7E0000}"/>
    <cellStyle name="注释 7 3 3 2" xfId="32329" xr:uid="{00000000-0005-0000-0000-00004B7E0000}"/>
    <cellStyle name="注释 7 3 3 3" xfId="32330" xr:uid="{00000000-0005-0000-0000-00004C7E0000}"/>
    <cellStyle name="注释 7 3 4" xfId="32331" xr:uid="{00000000-0005-0000-0000-00004D7E0000}"/>
    <cellStyle name="注释 7 3 5" xfId="32332" xr:uid="{00000000-0005-0000-0000-00004E7E0000}"/>
    <cellStyle name="注释 7 30" xfId="32333" xr:uid="{00000000-0005-0000-0000-00004F7E0000}"/>
    <cellStyle name="注释 7 31" xfId="32334" xr:uid="{00000000-0005-0000-0000-0000507E0000}"/>
    <cellStyle name="注释 7 32" xfId="32335" xr:uid="{00000000-0005-0000-0000-0000517E0000}"/>
    <cellStyle name="注释 7 33" xfId="32336" xr:uid="{00000000-0005-0000-0000-0000527E0000}"/>
    <cellStyle name="注释 7 34" xfId="32337" xr:uid="{00000000-0005-0000-0000-0000537E0000}"/>
    <cellStyle name="注释 7 35" xfId="32338" xr:uid="{00000000-0005-0000-0000-0000547E0000}"/>
    <cellStyle name="注释 7 4" xfId="32339" xr:uid="{00000000-0005-0000-0000-0000557E0000}"/>
    <cellStyle name="注释 7 4 2" xfId="32340" xr:uid="{00000000-0005-0000-0000-0000567E0000}"/>
    <cellStyle name="注释 7 4 3" xfId="32341" xr:uid="{00000000-0005-0000-0000-0000577E0000}"/>
    <cellStyle name="注释 7 5" xfId="32342" xr:uid="{00000000-0005-0000-0000-0000587E0000}"/>
    <cellStyle name="注释 7 5 2" xfId="32343" xr:uid="{00000000-0005-0000-0000-0000597E0000}"/>
    <cellStyle name="注释 7 5 3" xfId="32344" xr:uid="{00000000-0005-0000-0000-00005A7E0000}"/>
    <cellStyle name="注释 7 6" xfId="32345" xr:uid="{00000000-0005-0000-0000-00005B7E0000}"/>
    <cellStyle name="注释 7 7" xfId="32346" xr:uid="{00000000-0005-0000-0000-00005C7E0000}"/>
    <cellStyle name="注释 7 8" xfId="32347" xr:uid="{00000000-0005-0000-0000-00005D7E0000}"/>
    <cellStyle name="注释 7 9" xfId="32348" xr:uid="{00000000-0005-0000-0000-00005E7E0000}"/>
    <cellStyle name="注释 8" xfId="32349" xr:uid="{00000000-0005-0000-0000-00005F7E0000}"/>
    <cellStyle name="注释 8 2" xfId="32350" xr:uid="{00000000-0005-0000-0000-0000607E0000}"/>
    <cellStyle name="注释 8 3" xfId="32351" xr:uid="{00000000-0005-0000-0000-0000617E0000}"/>
    <cellStyle name="注释 9" xfId="32352" xr:uid="{00000000-0005-0000-0000-0000627E0000}"/>
    <cellStyle name="注释 9 2" xfId="32353" xr:uid="{00000000-0005-0000-0000-0000637E0000}"/>
    <cellStyle name="注释 9 3" xfId="32354" xr:uid="{00000000-0005-0000-0000-0000647E0000}"/>
    <cellStyle name="烹拳 [0]_97MBO" xfId="32355" xr:uid="{00000000-0005-0000-0000-0000657E0000}"/>
    <cellStyle name="烹拳_97MBO" xfId="32356" xr:uid="{00000000-0005-0000-0000-0000667E0000}"/>
    <cellStyle name="百分比 2" xfId="32357" xr:uid="{00000000-0005-0000-0000-0000677E0000}"/>
    <cellStyle name="百分比 2 2" xfId="32358" xr:uid="{00000000-0005-0000-0000-0000687E0000}"/>
    <cellStyle name="百分比 3" xfId="32359" xr:uid="{00000000-0005-0000-0000-0000697E0000}"/>
    <cellStyle name="百分比 3 2" xfId="32360" xr:uid="{00000000-0005-0000-0000-00006A7E0000}"/>
    <cellStyle name="百分比 4" xfId="32361" xr:uid="{00000000-0005-0000-0000-00006B7E0000}"/>
    <cellStyle name="百分比 4 2" xfId="32362" xr:uid="{00000000-0005-0000-0000-00006C7E0000}"/>
    <cellStyle name="百分比 5" xfId="32363" xr:uid="{00000000-0005-0000-0000-00006D7E0000}"/>
    <cellStyle name="百分比 5 2" xfId="32364" xr:uid="{00000000-0005-0000-0000-00006E7E0000}"/>
    <cellStyle name="百分比 6" xfId="32365" xr:uid="{00000000-0005-0000-0000-00006F7E0000}"/>
    <cellStyle name="百分比 7" xfId="32366" xr:uid="{00000000-0005-0000-0000-0000707E0000}"/>
    <cellStyle name="百分比 7 2" xfId="32367" xr:uid="{00000000-0005-0000-0000-0000717E0000}"/>
    <cellStyle name="百分比 8" xfId="32368" xr:uid="{00000000-0005-0000-0000-0000727E0000}"/>
    <cellStyle name="良い" xfId="32369" xr:uid="{00000000-0005-0000-0000-0000737E0000}"/>
    <cellStyle name="見出し 1" xfId="32370" xr:uid="{00000000-0005-0000-0000-0000747E0000}"/>
    <cellStyle name="見出し 2" xfId="32371" xr:uid="{00000000-0005-0000-0000-0000757E0000}"/>
    <cellStyle name="見出し 3" xfId="32372" xr:uid="{00000000-0005-0000-0000-0000767E0000}"/>
    <cellStyle name="見出し 4" xfId="32373" xr:uid="{00000000-0005-0000-0000-0000777E0000}"/>
    <cellStyle name="解释性文本" xfId="32374" xr:uid="{00000000-0005-0000-0000-0000787E0000}"/>
    <cellStyle name="解释性文本 2" xfId="32375" xr:uid="{00000000-0005-0000-0000-0000797E0000}"/>
    <cellStyle name="解释性文本 3" xfId="32376" xr:uid="{00000000-0005-0000-0000-00007A7E0000}"/>
    <cellStyle name="解释性文本 4" xfId="32377" xr:uid="{00000000-0005-0000-0000-00007B7E0000}"/>
    <cellStyle name="解释性文本 5" xfId="32378" xr:uid="{00000000-0005-0000-0000-00007C7E0000}"/>
    <cellStyle name="解释性文本 6" xfId="32379" xr:uid="{00000000-0005-0000-0000-00007D7E0000}"/>
    <cellStyle name="計算" xfId="32380" xr:uid="{00000000-0005-0000-0000-00007E7E0000}"/>
    <cellStyle name="計算 10" xfId="32381" xr:uid="{00000000-0005-0000-0000-00007F7E0000}"/>
    <cellStyle name="計算 11" xfId="32382" xr:uid="{00000000-0005-0000-0000-0000807E0000}"/>
    <cellStyle name="計算 12" xfId="32383" xr:uid="{00000000-0005-0000-0000-0000817E0000}"/>
    <cellStyle name="計算 13" xfId="32384" xr:uid="{00000000-0005-0000-0000-0000827E0000}"/>
    <cellStyle name="計算 14" xfId="32385" xr:uid="{00000000-0005-0000-0000-0000837E0000}"/>
    <cellStyle name="計算 2" xfId="32386" xr:uid="{00000000-0005-0000-0000-0000847E0000}"/>
    <cellStyle name="計算 2 10" xfId="32387" xr:uid="{00000000-0005-0000-0000-0000857E0000}"/>
    <cellStyle name="計算 2 11" xfId="32388" xr:uid="{00000000-0005-0000-0000-0000867E0000}"/>
    <cellStyle name="計算 2 12" xfId="32389" xr:uid="{00000000-0005-0000-0000-0000877E0000}"/>
    <cellStyle name="計算 2 13" xfId="32390" xr:uid="{00000000-0005-0000-0000-0000887E0000}"/>
    <cellStyle name="計算 2 14" xfId="32391" xr:uid="{00000000-0005-0000-0000-0000897E0000}"/>
    <cellStyle name="計算 2 15" xfId="32392" xr:uid="{00000000-0005-0000-0000-00008A7E0000}"/>
    <cellStyle name="計算 2 16" xfId="32393" xr:uid="{00000000-0005-0000-0000-00008B7E0000}"/>
    <cellStyle name="計算 2 17" xfId="32394" xr:uid="{00000000-0005-0000-0000-00008C7E0000}"/>
    <cellStyle name="計算 2 18" xfId="32395" xr:uid="{00000000-0005-0000-0000-00008D7E0000}"/>
    <cellStyle name="計算 2 19" xfId="32396" xr:uid="{00000000-0005-0000-0000-00008E7E0000}"/>
    <cellStyle name="計算 2 2" xfId="32397" xr:uid="{00000000-0005-0000-0000-00008F7E0000}"/>
    <cellStyle name="計算 2 2 2" xfId="32398" xr:uid="{00000000-0005-0000-0000-0000907E0000}"/>
    <cellStyle name="計算 2 2 2 2" xfId="32399" xr:uid="{00000000-0005-0000-0000-0000917E0000}"/>
    <cellStyle name="計算 2 2 2 3" xfId="32400" xr:uid="{00000000-0005-0000-0000-0000927E0000}"/>
    <cellStyle name="計算 2 2 3" xfId="32401" xr:uid="{00000000-0005-0000-0000-0000937E0000}"/>
    <cellStyle name="計算 2 2 3 2" xfId="32402" xr:uid="{00000000-0005-0000-0000-0000947E0000}"/>
    <cellStyle name="計算 2 2 3 3" xfId="32403" xr:uid="{00000000-0005-0000-0000-0000957E0000}"/>
    <cellStyle name="計算 2 2 4" xfId="32404" xr:uid="{00000000-0005-0000-0000-0000967E0000}"/>
    <cellStyle name="計算 2 2 5" xfId="32405" xr:uid="{00000000-0005-0000-0000-0000977E0000}"/>
    <cellStyle name="計算 2 20" xfId="32406" xr:uid="{00000000-0005-0000-0000-0000987E0000}"/>
    <cellStyle name="計算 2 21" xfId="32407" xr:uid="{00000000-0005-0000-0000-0000997E0000}"/>
    <cellStyle name="計算 2 22" xfId="32408" xr:uid="{00000000-0005-0000-0000-00009A7E0000}"/>
    <cellStyle name="計算 2 23" xfId="32409" xr:uid="{00000000-0005-0000-0000-00009B7E0000}"/>
    <cellStyle name="計算 2 24" xfId="32410" xr:uid="{00000000-0005-0000-0000-00009C7E0000}"/>
    <cellStyle name="計算 2 25" xfId="32411" xr:uid="{00000000-0005-0000-0000-00009D7E0000}"/>
    <cellStyle name="計算 2 26" xfId="32412" xr:uid="{00000000-0005-0000-0000-00009E7E0000}"/>
    <cellStyle name="計算 2 27" xfId="32413" xr:uid="{00000000-0005-0000-0000-00009F7E0000}"/>
    <cellStyle name="計算 2 28" xfId="32414" xr:uid="{00000000-0005-0000-0000-0000A07E0000}"/>
    <cellStyle name="計算 2 29" xfId="32415" xr:uid="{00000000-0005-0000-0000-0000A17E0000}"/>
    <cellStyle name="計算 2 3" xfId="32416" xr:uid="{00000000-0005-0000-0000-0000A27E0000}"/>
    <cellStyle name="計算 2 3 2" xfId="32417" xr:uid="{00000000-0005-0000-0000-0000A37E0000}"/>
    <cellStyle name="計算 2 3 2 2" xfId="32418" xr:uid="{00000000-0005-0000-0000-0000A47E0000}"/>
    <cellStyle name="計算 2 3 2 3" xfId="32419" xr:uid="{00000000-0005-0000-0000-0000A57E0000}"/>
    <cellStyle name="計算 2 3 3" xfId="32420" xr:uid="{00000000-0005-0000-0000-0000A67E0000}"/>
    <cellStyle name="計算 2 3 3 2" xfId="32421" xr:uid="{00000000-0005-0000-0000-0000A77E0000}"/>
    <cellStyle name="計算 2 3 3 3" xfId="32422" xr:uid="{00000000-0005-0000-0000-0000A87E0000}"/>
    <cellStyle name="計算 2 3 4" xfId="32423" xr:uid="{00000000-0005-0000-0000-0000A97E0000}"/>
    <cellStyle name="計算 2 3 5" xfId="32424" xr:uid="{00000000-0005-0000-0000-0000AA7E0000}"/>
    <cellStyle name="計算 2 30" xfId="32425" xr:uid="{00000000-0005-0000-0000-0000AB7E0000}"/>
    <cellStyle name="計算 2 31" xfId="32426" xr:uid="{00000000-0005-0000-0000-0000AC7E0000}"/>
    <cellStyle name="計算 2 32" xfId="32427" xr:uid="{00000000-0005-0000-0000-0000AD7E0000}"/>
    <cellStyle name="計算 2 33" xfId="32428" xr:uid="{00000000-0005-0000-0000-0000AE7E0000}"/>
    <cellStyle name="計算 2 34" xfId="32429" xr:uid="{00000000-0005-0000-0000-0000AF7E0000}"/>
    <cellStyle name="計算 2 35" xfId="32430" xr:uid="{00000000-0005-0000-0000-0000B07E0000}"/>
    <cellStyle name="計算 2 4" xfId="32431" xr:uid="{00000000-0005-0000-0000-0000B17E0000}"/>
    <cellStyle name="計算 2 4 2" xfId="32432" xr:uid="{00000000-0005-0000-0000-0000B27E0000}"/>
    <cellStyle name="計算 2 4 3" xfId="32433" xr:uid="{00000000-0005-0000-0000-0000B37E0000}"/>
    <cellStyle name="計算 2 5" xfId="32434" xr:uid="{00000000-0005-0000-0000-0000B47E0000}"/>
    <cellStyle name="計算 2 5 2" xfId="32435" xr:uid="{00000000-0005-0000-0000-0000B57E0000}"/>
    <cellStyle name="計算 2 5 3" xfId="32436" xr:uid="{00000000-0005-0000-0000-0000B67E0000}"/>
    <cellStyle name="計算 2 6" xfId="32437" xr:uid="{00000000-0005-0000-0000-0000B77E0000}"/>
    <cellStyle name="計算 2 7" xfId="32438" xr:uid="{00000000-0005-0000-0000-0000B87E0000}"/>
    <cellStyle name="計算 2 8" xfId="32439" xr:uid="{00000000-0005-0000-0000-0000B97E0000}"/>
    <cellStyle name="計算 2 9" xfId="32440" xr:uid="{00000000-0005-0000-0000-0000BA7E0000}"/>
    <cellStyle name="計算 3" xfId="32441" xr:uid="{00000000-0005-0000-0000-0000BB7E0000}"/>
    <cellStyle name="計算 3 2" xfId="32442" xr:uid="{00000000-0005-0000-0000-0000BC7E0000}"/>
    <cellStyle name="計算 3 2 2" xfId="32443" xr:uid="{00000000-0005-0000-0000-0000BD7E0000}"/>
    <cellStyle name="計算 3 2 3" xfId="32444" xr:uid="{00000000-0005-0000-0000-0000BE7E0000}"/>
    <cellStyle name="計算 3 3" xfId="32445" xr:uid="{00000000-0005-0000-0000-0000BF7E0000}"/>
    <cellStyle name="計算 3 3 2" xfId="32446" xr:uid="{00000000-0005-0000-0000-0000C07E0000}"/>
    <cellStyle name="計算 3 3 3" xfId="32447" xr:uid="{00000000-0005-0000-0000-0000C17E0000}"/>
    <cellStyle name="計算 3 4" xfId="32448" xr:uid="{00000000-0005-0000-0000-0000C27E0000}"/>
    <cellStyle name="計算 3 5" xfId="32449" xr:uid="{00000000-0005-0000-0000-0000C37E0000}"/>
    <cellStyle name="計算 4" xfId="32450" xr:uid="{00000000-0005-0000-0000-0000C47E0000}"/>
    <cellStyle name="計算 4 2" xfId="32451" xr:uid="{00000000-0005-0000-0000-0000C57E0000}"/>
    <cellStyle name="計算 4 3" xfId="32452" xr:uid="{00000000-0005-0000-0000-0000C67E0000}"/>
    <cellStyle name="計算 5" xfId="32453" xr:uid="{00000000-0005-0000-0000-0000C77E0000}"/>
    <cellStyle name="計算 5 2" xfId="32454" xr:uid="{00000000-0005-0000-0000-0000C87E0000}"/>
    <cellStyle name="計算 5 3" xfId="32455" xr:uid="{00000000-0005-0000-0000-0000C97E0000}"/>
    <cellStyle name="計算 6" xfId="32456" xr:uid="{00000000-0005-0000-0000-0000CA7E0000}"/>
    <cellStyle name="計算 7" xfId="32457" xr:uid="{00000000-0005-0000-0000-0000CB7E0000}"/>
    <cellStyle name="計算 8" xfId="32458" xr:uid="{00000000-0005-0000-0000-0000CC7E0000}"/>
    <cellStyle name="計算 9" xfId="32459" xr:uid="{00000000-0005-0000-0000-0000CD7E0000}"/>
    <cellStyle name="説明文" xfId="32460" xr:uid="{00000000-0005-0000-0000-0000CE7E0000}"/>
    <cellStyle name="警告文" xfId="32461" xr:uid="{00000000-0005-0000-0000-0000CF7E0000}"/>
    <cellStyle name="警告文本" xfId="32462" xr:uid="{00000000-0005-0000-0000-0000D07E0000}"/>
    <cellStyle name="警告文本 2" xfId="32463" xr:uid="{00000000-0005-0000-0000-0000D17E0000}"/>
    <cellStyle name="警告文本 3" xfId="32464" xr:uid="{00000000-0005-0000-0000-0000D27E0000}"/>
    <cellStyle name="警告文本 4" xfId="32465" xr:uid="{00000000-0005-0000-0000-0000D37E0000}"/>
    <cellStyle name="警告文本 5" xfId="32466" xr:uid="{00000000-0005-0000-0000-0000D47E0000}"/>
    <cellStyle name="警告文本 6" xfId="32467" xr:uid="{00000000-0005-0000-0000-0000D57E0000}"/>
    <cellStyle name="计算" xfId="32468" xr:uid="{00000000-0005-0000-0000-0000D67E0000}"/>
    <cellStyle name="计算 10" xfId="32469" xr:uid="{00000000-0005-0000-0000-0000D77E0000}"/>
    <cellStyle name="计算 10 2" xfId="32470" xr:uid="{00000000-0005-0000-0000-0000D87E0000}"/>
    <cellStyle name="计算 10 3" xfId="32471" xr:uid="{00000000-0005-0000-0000-0000D97E0000}"/>
    <cellStyle name="计算 11" xfId="32472" xr:uid="{00000000-0005-0000-0000-0000DA7E0000}"/>
    <cellStyle name="计算 12" xfId="32473" xr:uid="{00000000-0005-0000-0000-0000DB7E0000}"/>
    <cellStyle name="计算 13" xfId="32474" xr:uid="{00000000-0005-0000-0000-0000DC7E0000}"/>
    <cellStyle name="计算 14" xfId="32475" xr:uid="{00000000-0005-0000-0000-0000DD7E0000}"/>
    <cellStyle name="计算 15" xfId="32476" xr:uid="{00000000-0005-0000-0000-0000DE7E0000}"/>
    <cellStyle name="计算 16" xfId="32477" xr:uid="{00000000-0005-0000-0000-0000DF7E0000}"/>
    <cellStyle name="计算 17" xfId="32478" xr:uid="{00000000-0005-0000-0000-0000E07E0000}"/>
    <cellStyle name="计算 18" xfId="32479" xr:uid="{00000000-0005-0000-0000-0000E17E0000}"/>
    <cellStyle name="计算 19" xfId="32480" xr:uid="{00000000-0005-0000-0000-0000E27E0000}"/>
    <cellStyle name="计算 2" xfId="32481" xr:uid="{00000000-0005-0000-0000-0000E37E0000}"/>
    <cellStyle name="计算 2 10" xfId="32482" xr:uid="{00000000-0005-0000-0000-0000E47E0000}"/>
    <cellStyle name="计算 2 11" xfId="32483" xr:uid="{00000000-0005-0000-0000-0000E57E0000}"/>
    <cellStyle name="计算 2 12" xfId="32484" xr:uid="{00000000-0005-0000-0000-0000E67E0000}"/>
    <cellStyle name="计算 2 13" xfId="32485" xr:uid="{00000000-0005-0000-0000-0000E77E0000}"/>
    <cellStyle name="计算 2 14" xfId="32486" xr:uid="{00000000-0005-0000-0000-0000E87E0000}"/>
    <cellStyle name="计算 2 2" xfId="32487" xr:uid="{00000000-0005-0000-0000-0000E97E0000}"/>
    <cellStyle name="计算 2 2 10" xfId="32488" xr:uid="{00000000-0005-0000-0000-0000EA7E0000}"/>
    <cellStyle name="计算 2 2 11" xfId="32489" xr:uid="{00000000-0005-0000-0000-0000EB7E0000}"/>
    <cellStyle name="计算 2 2 12" xfId="32490" xr:uid="{00000000-0005-0000-0000-0000EC7E0000}"/>
    <cellStyle name="计算 2 2 13" xfId="32491" xr:uid="{00000000-0005-0000-0000-0000ED7E0000}"/>
    <cellStyle name="计算 2 2 14" xfId="32492" xr:uid="{00000000-0005-0000-0000-0000EE7E0000}"/>
    <cellStyle name="计算 2 2 15" xfId="32493" xr:uid="{00000000-0005-0000-0000-0000EF7E0000}"/>
    <cellStyle name="计算 2 2 16" xfId="32494" xr:uid="{00000000-0005-0000-0000-0000F07E0000}"/>
    <cellStyle name="计算 2 2 17" xfId="32495" xr:uid="{00000000-0005-0000-0000-0000F17E0000}"/>
    <cellStyle name="计算 2 2 18" xfId="32496" xr:uid="{00000000-0005-0000-0000-0000F27E0000}"/>
    <cellStyle name="计算 2 2 19" xfId="32497" xr:uid="{00000000-0005-0000-0000-0000F37E0000}"/>
    <cellStyle name="计算 2 2 2" xfId="32498" xr:uid="{00000000-0005-0000-0000-0000F47E0000}"/>
    <cellStyle name="计算 2 2 2 2" xfId="32499" xr:uid="{00000000-0005-0000-0000-0000F57E0000}"/>
    <cellStyle name="计算 2 2 2 2 2" xfId="32500" xr:uid="{00000000-0005-0000-0000-0000F67E0000}"/>
    <cellStyle name="计算 2 2 2 2 3" xfId="32501" xr:uid="{00000000-0005-0000-0000-0000F77E0000}"/>
    <cellStyle name="计算 2 2 2 3" xfId="32502" xr:uid="{00000000-0005-0000-0000-0000F87E0000}"/>
    <cellStyle name="计算 2 2 2 3 2" xfId="32503" xr:uid="{00000000-0005-0000-0000-0000F97E0000}"/>
    <cellStyle name="计算 2 2 2 3 3" xfId="32504" xr:uid="{00000000-0005-0000-0000-0000FA7E0000}"/>
    <cellStyle name="计算 2 2 2 4" xfId="32505" xr:uid="{00000000-0005-0000-0000-0000FB7E0000}"/>
    <cellStyle name="计算 2 2 2 5" xfId="32506" xr:uid="{00000000-0005-0000-0000-0000FC7E0000}"/>
    <cellStyle name="计算 2 2 20" xfId="32507" xr:uid="{00000000-0005-0000-0000-0000FD7E0000}"/>
    <cellStyle name="计算 2 2 21" xfId="32508" xr:uid="{00000000-0005-0000-0000-0000FE7E0000}"/>
    <cellStyle name="计算 2 2 22" xfId="32509" xr:uid="{00000000-0005-0000-0000-0000FF7E0000}"/>
    <cellStyle name="计算 2 2 23" xfId="32510" xr:uid="{00000000-0005-0000-0000-0000007F0000}"/>
    <cellStyle name="计算 2 2 24" xfId="32511" xr:uid="{00000000-0005-0000-0000-0000017F0000}"/>
    <cellStyle name="计算 2 2 25" xfId="32512" xr:uid="{00000000-0005-0000-0000-0000027F0000}"/>
    <cellStyle name="计算 2 2 26" xfId="32513" xr:uid="{00000000-0005-0000-0000-0000037F0000}"/>
    <cellStyle name="计算 2 2 27" xfId="32514" xr:uid="{00000000-0005-0000-0000-0000047F0000}"/>
    <cellStyle name="计算 2 2 28" xfId="32515" xr:uid="{00000000-0005-0000-0000-0000057F0000}"/>
    <cellStyle name="计算 2 2 29" xfId="32516" xr:uid="{00000000-0005-0000-0000-0000067F0000}"/>
    <cellStyle name="计算 2 2 3" xfId="32517" xr:uid="{00000000-0005-0000-0000-0000077F0000}"/>
    <cellStyle name="计算 2 2 3 2" xfId="32518" xr:uid="{00000000-0005-0000-0000-0000087F0000}"/>
    <cellStyle name="计算 2 2 3 2 2" xfId="32519" xr:uid="{00000000-0005-0000-0000-0000097F0000}"/>
    <cellStyle name="计算 2 2 3 2 3" xfId="32520" xr:uid="{00000000-0005-0000-0000-00000A7F0000}"/>
    <cellStyle name="计算 2 2 3 3" xfId="32521" xr:uid="{00000000-0005-0000-0000-00000B7F0000}"/>
    <cellStyle name="计算 2 2 3 3 2" xfId="32522" xr:uid="{00000000-0005-0000-0000-00000C7F0000}"/>
    <cellStyle name="计算 2 2 3 3 3" xfId="32523" xr:uid="{00000000-0005-0000-0000-00000D7F0000}"/>
    <cellStyle name="计算 2 2 3 4" xfId="32524" xr:uid="{00000000-0005-0000-0000-00000E7F0000}"/>
    <cellStyle name="计算 2 2 3 5" xfId="32525" xr:uid="{00000000-0005-0000-0000-00000F7F0000}"/>
    <cellStyle name="计算 2 2 30" xfId="32526" xr:uid="{00000000-0005-0000-0000-0000107F0000}"/>
    <cellStyle name="计算 2 2 31" xfId="32527" xr:uid="{00000000-0005-0000-0000-0000117F0000}"/>
    <cellStyle name="计算 2 2 32" xfId="32528" xr:uid="{00000000-0005-0000-0000-0000127F0000}"/>
    <cellStyle name="计算 2 2 33" xfId="32529" xr:uid="{00000000-0005-0000-0000-0000137F0000}"/>
    <cellStyle name="计算 2 2 34" xfId="32530" xr:uid="{00000000-0005-0000-0000-0000147F0000}"/>
    <cellStyle name="计算 2 2 35" xfId="32531" xr:uid="{00000000-0005-0000-0000-0000157F0000}"/>
    <cellStyle name="计算 2 2 4" xfId="32532" xr:uid="{00000000-0005-0000-0000-0000167F0000}"/>
    <cellStyle name="计算 2 2 4 2" xfId="32533" xr:uid="{00000000-0005-0000-0000-0000177F0000}"/>
    <cellStyle name="计算 2 2 4 3" xfId="32534" xr:uid="{00000000-0005-0000-0000-0000187F0000}"/>
    <cellStyle name="计算 2 2 5" xfId="32535" xr:uid="{00000000-0005-0000-0000-0000197F0000}"/>
    <cellStyle name="计算 2 2 5 2" xfId="32536" xr:uid="{00000000-0005-0000-0000-00001A7F0000}"/>
    <cellStyle name="计算 2 2 5 3" xfId="32537" xr:uid="{00000000-0005-0000-0000-00001B7F0000}"/>
    <cellStyle name="计算 2 2 6" xfId="32538" xr:uid="{00000000-0005-0000-0000-00001C7F0000}"/>
    <cellStyle name="计算 2 2 7" xfId="32539" xr:uid="{00000000-0005-0000-0000-00001D7F0000}"/>
    <cellStyle name="计算 2 2 8" xfId="32540" xr:uid="{00000000-0005-0000-0000-00001E7F0000}"/>
    <cellStyle name="计算 2 2 9" xfId="32541" xr:uid="{00000000-0005-0000-0000-00001F7F0000}"/>
    <cellStyle name="计算 2 3" xfId="32542" xr:uid="{00000000-0005-0000-0000-0000207F0000}"/>
    <cellStyle name="计算 2 3 2" xfId="32543" xr:uid="{00000000-0005-0000-0000-0000217F0000}"/>
    <cellStyle name="计算 2 3 2 2" xfId="32544" xr:uid="{00000000-0005-0000-0000-0000227F0000}"/>
    <cellStyle name="计算 2 3 2 3" xfId="32545" xr:uid="{00000000-0005-0000-0000-0000237F0000}"/>
    <cellStyle name="计算 2 3 3" xfId="32546" xr:uid="{00000000-0005-0000-0000-0000247F0000}"/>
    <cellStyle name="计算 2 3 3 2" xfId="32547" xr:uid="{00000000-0005-0000-0000-0000257F0000}"/>
    <cellStyle name="计算 2 3 3 3" xfId="32548" xr:uid="{00000000-0005-0000-0000-0000267F0000}"/>
    <cellStyle name="计算 2 3 4" xfId="32549" xr:uid="{00000000-0005-0000-0000-0000277F0000}"/>
    <cellStyle name="计算 2 3 5" xfId="32550" xr:uid="{00000000-0005-0000-0000-0000287F0000}"/>
    <cellStyle name="计算 2 4" xfId="32551" xr:uid="{00000000-0005-0000-0000-0000297F0000}"/>
    <cellStyle name="计算 2 4 2" xfId="32552" xr:uid="{00000000-0005-0000-0000-00002A7F0000}"/>
    <cellStyle name="计算 2 4 3" xfId="32553" xr:uid="{00000000-0005-0000-0000-00002B7F0000}"/>
    <cellStyle name="计算 2 5" xfId="32554" xr:uid="{00000000-0005-0000-0000-00002C7F0000}"/>
    <cellStyle name="计算 2 5 2" xfId="32555" xr:uid="{00000000-0005-0000-0000-00002D7F0000}"/>
    <cellStyle name="计算 2 5 3" xfId="32556" xr:uid="{00000000-0005-0000-0000-00002E7F0000}"/>
    <cellStyle name="计算 2 6" xfId="32557" xr:uid="{00000000-0005-0000-0000-00002F7F0000}"/>
    <cellStyle name="计算 2 7" xfId="32558" xr:uid="{00000000-0005-0000-0000-0000307F0000}"/>
    <cellStyle name="计算 2 8" xfId="32559" xr:uid="{00000000-0005-0000-0000-0000317F0000}"/>
    <cellStyle name="计算 2 9" xfId="32560" xr:uid="{00000000-0005-0000-0000-0000327F0000}"/>
    <cellStyle name="计算 3" xfId="32561" xr:uid="{00000000-0005-0000-0000-0000337F0000}"/>
    <cellStyle name="计算 3 10" xfId="32562" xr:uid="{00000000-0005-0000-0000-0000347F0000}"/>
    <cellStyle name="计算 3 11" xfId="32563" xr:uid="{00000000-0005-0000-0000-0000357F0000}"/>
    <cellStyle name="计算 3 12" xfId="32564" xr:uid="{00000000-0005-0000-0000-0000367F0000}"/>
    <cellStyle name="计算 3 13" xfId="32565" xr:uid="{00000000-0005-0000-0000-0000377F0000}"/>
    <cellStyle name="计算 3 14" xfId="32566" xr:uid="{00000000-0005-0000-0000-0000387F0000}"/>
    <cellStyle name="计算 3 2" xfId="32567" xr:uid="{00000000-0005-0000-0000-0000397F0000}"/>
    <cellStyle name="计算 3 2 10" xfId="32568" xr:uid="{00000000-0005-0000-0000-00003A7F0000}"/>
    <cellStyle name="计算 3 2 11" xfId="32569" xr:uid="{00000000-0005-0000-0000-00003B7F0000}"/>
    <cellStyle name="计算 3 2 12" xfId="32570" xr:uid="{00000000-0005-0000-0000-00003C7F0000}"/>
    <cellStyle name="计算 3 2 13" xfId="32571" xr:uid="{00000000-0005-0000-0000-00003D7F0000}"/>
    <cellStyle name="计算 3 2 14" xfId="32572" xr:uid="{00000000-0005-0000-0000-00003E7F0000}"/>
    <cellStyle name="计算 3 2 15" xfId="32573" xr:uid="{00000000-0005-0000-0000-00003F7F0000}"/>
    <cellStyle name="计算 3 2 16" xfId="32574" xr:uid="{00000000-0005-0000-0000-0000407F0000}"/>
    <cellStyle name="计算 3 2 17" xfId="32575" xr:uid="{00000000-0005-0000-0000-0000417F0000}"/>
    <cellStyle name="计算 3 2 18" xfId="32576" xr:uid="{00000000-0005-0000-0000-0000427F0000}"/>
    <cellStyle name="计算 3 2 19" xfId="32577" xr:uid="{00000000-0005-0000-0000-0000437F0000}"/>
    <cellStyle name="计算 3 2 2" xfId="32578" xr:uid="{00000000-0005-0000-0000-0000447F0000}"/>
    <cellStyle name="计算 3 2 2 2" xfId="32579" xr:uid="{00000000-0005-0000-0000-0000457F0000}"/>
    <cellStyle name="计算 3 2 2 2 2" xfId="32580" xr:uid="{00000000-0005-0000-0000-0000467F0000}"/>
    <cellStyle name="计算 3 2 2 2 3" xfId="32581" xr:uid="{00000000-0005-0000-0000-0000477F0000}"/>
    <cellStyle name="计算 3 2 2 3" xfId="32582" xr:uid="{00000000-0005-0000-0000-0000487F0000}"/>
    <cellStyle name="计算 3 2 2 3 2" xfId="32583" xr:uid="{00000000-0005-0000-0000-0000497F0000}"/>
    <cellStyle name="计算 3 2 2 3 3" xfId="32584" xr:uid="{00000000-0005-0000-0000-00004A7F0000}"/>
    <cellStyle name="计算 3 2 2 4" xfId="32585" xr:uid="{00000000-0005-0000-0000-00004B7F0000}"/>
    <cellStyle name="计算 3 2 2 5" xfId="32586" xr:uid="{00000000-0005-0000-0000-00004C7F0000}"/>
    <cellStyle name="计算 3 2 20" xfId="32587" xr:uid="{00000000-0005-0000-0000-00004D7F0000}"/>
    <cellStyle name="计算 3 2 21" xfId="32588" xr:uid="{00000000-0005-0000-0000-00004E7F0000}"/>
    <cellStyle name="计算 3 2 22" xfId="32589" xr:uid="{00000000-0005-0000-0000-00004F7F0000}"/>
    <cellStyle name="计算 3 2 23" xfId="32590" xr:uid="{00000000-0005-0000-0000-0000507F0000}"/>
    <cellStyle name="计算 3 2 24" xfId="32591" xr:uid="{00000000-0005-0000-0000-0000517F0000}"/>
    <cellStyle name="计算 3 2 25" xfId="32592" xr:uid="{00000000-0005-0000-0000-0000527F0000}"/>
    <cellStyle name="计算 3 2 26" xfId="32593" xr:uid="{00000000-0005-0000-0000-0000537F0000}"/>
    <cellStyle name="计算 3 2 27" xfId="32594" xr:uid="{00000000-0005-0000-0000-0000547F0000}"/>
    <cellStyle name="计算 3 2 28" xfId="32595" xr:uid="{00000000-0005-0000-0000-0000557F0000}"/>
    <cellStyle name="计算 3 2 29" xfId="32596" xr:uid="{00000000-0005-0000-0000-0000567F0000}"/>
    <cellStyle name="计算 3 2 3" xfId="32597" xr:uid="{00000000-0005-0000-0000-0000577F0000}"/>
    <cellStyle name="计算 3 2 3 2" xfId="32598" xr:uid="{00000000-0005-0000-0000-0000587F0000}"/>
    <cellStyle name="计算 3 2 3 2 2" xfId="32599" xr:uid="{00000000-0005-0000-0000-0000597F0000}"/>
    <cellStyle name="计算 3 2 3 2 3" xfId="32600" xr:uid="{00000000-0005-0000-0000-00005A7F0000}"/>
    <cellStyle name="计算 3 2 3 3" xfId="32601" xr:uid="{00000000-0005-0000-0000-00005B7F0000}"/>
    <cellStyle name="计算 3 2 3 3 2" xfId="32602" xr:uid="{00000000-0005-0000-0000-00005C7F0000}"/>
    <cellStyle name="计算 3 2 3 3 3" xfId="32603" xr:uid="{00000000-0005-0000-0000-00005D7F0000}"/>
    <cellStyle name="计算 3 2 3 4" xfId="32604" xr:uid="{00000000-0005-0000-0000-00005E7F0000}"/>
    <cellStyle name="计算 3 2 3 5" xfId="32605" xr:uid="{00000000-0005-0000-0000-00005F7F0000}"/>
    <cellStyle name="计算 3 2 30" xfId="32606" xr:uid="{00000000-0005-0000-0000-0000607F0000}"/>
    <cellStyle name="计算 3 2 31" xfId="32607" xr:uid="{00000000-0005-0000-0000-0000617F0000}"/>
    <cellStyle name="计算 3 2 32" xfId="32608" xr:uid="{00000000-0005-0000-0000-0000627F0000}"/>
    <cellStyle name="计算 3 2 33" xfId="32609" xr:uid="{00000000-0005-0000-0000-0000637F0000}"/>
    <cellStyle name="计算 3 2 34" xfId="32610" xr:uid="{00000000-0005-0000-0000-0000647F0000}"/>
    <cellStyle name="计算 3 2 35" xfId="32611" xr:uid="{00000000-0005-0000-0000-0000657F0000}"/>
    <cellStyle name="计算 3 2 4" xfId="32612" xr:uid="{00000000-0005-0000-0000-0000667F0000}"/>
    <cellStyle name="计算 3 2 4 2" xfId="32613" xr:uid="{00000000-0005-0000-0000-0000677F0000}"/>
    <cellStyle name="计算 3 2 4 3" xfId="32614" xr:uid="{00000000-0005-0000-0000-0000687F0000}"/>
    <cellStyle name="计算 3 2 5" xfId="32615" xr:uid="{00000000-0005-0000-0000-0000697F0000}"/>
    <cellStyle name="计算 3 2 5 2" xfId="32616" xr:uid="{00000000-0005-0000-0000-00006A7F0000}"/>
    <cellStyle name="计算 3 2 5 3" xfId="32617" xr:uid="{00000000-0005-0000-0000-00006B7F0000}"/>
    <cellStyle name="计算 3 2 6" xfId="32618" xr:uid="{00000000-0005-0000-0000-00006C7F0000}"/>
    <cellStyle name="计算 3 2 7" xfId="32619" xr:uid="{00000000-0005-0000-0000-00006D7F0000}"/>
    <cellStyle name="计算 3 2 8" xfId="32620" xr:uid="{00000000-0005-0000-0000-00006E7F0000}"/>
    <cellStyle name="计算 3 2 9" xfId="32621" xr:uid="{00000000-0005-0000-0000-00006F7F0000}"/>
    <cellStyle name="计算 3 3" xfId="32622" xr:uid="{00000000-0005-0000-0000-0000707F0000}"/>
    <cellStyle name="计算 3 3 2" xfId="32623" xr:uid="{00000000-0005-0000-0000-0000717F0000}"/>
    <cellStyle name="计算 3 3 2 2" xfId="32624" xr:uid="{00000000-0005-0000-0000-0000727F0000}"/>
    <cellStyle name="计算 3 3 2 3" xfId="32625" xr:uid="{00000000-0005-0000-0000-0000737F0000}"/>
    <cellStyle name="计算 3 3 3" xfId="32626" xr:uid="{00000000-0005-0000-0000-0000747F0000}"/>
    <cellStyle name="计算 3 3 3 2" xfId="32627" xr:uid="{00000000-0005-0000-0000-0000757F0000}"/>
    <cellStyle name="计算 3 3 3 3" xfId="32628" xr:uid="{00000000-0005-0000-0000-0000767F0000}"/>
    <cellStyle name="计算 3 3 4" xfId="32629" xr:uid="{00000000-0005-0000-0000-0000777F0000}"/>
    <cellStyle name="计算 3 3 5" xfId="32630" xr:uid="{00000000-0005-0000-0000-0000787F0000}"/>
    <cellStyle name="计算 3 4" xfId="32631" xr:uid="{00000000-0005-0000-0000-0000797F0000}"/>
    <cellStyle name="计算 3 4 2" xfId="32632" xr:uid="{00000000-0005-0000-0000-00007A7F0000}"/>
    <cellStyle name="计算 3 4 3" xfId="32633" xr:uid="{00000000-0005-0000-0000-00007B7F0000}"/>
    <cellStyle name="计算 3 5" xfId="32634" xr:uid="{00000000-0005-0000-0000-00007C7F0000}"/>
    <cellStyle name="计算 3 5 2" xfId="32635" xr:uid="{00000000-0005-0000-0000-00007D7F0000}"/>
    <cellStyle name="计算 3 5 3" xfId="32636" xr:uid="{00000000-0005-0000-0000-00007E7F0000}"/>
    <cellStyle name="计算 3 6" xfId="32637" xr:uid="{00000000-0005-0000-0000-00007F7F0000}"/>
    <cellStyle name="计算 3 7" xfId="32638" xr:uid="{00000000-0005-0000-0000-0000807F0000}"/>
    <cellStyle name="计算 3 8" xfId="32639" xr:uid="{00000000-0005-0000-0000-0000817F0000}"/>
    <cellStyle name="计算 3 9" xfId="32640" xr:uid="{00000000-0005-0000-0000-0000827F0000}"/>
    <cellStyle name="计算 4" xfId="32641" xr:uid="{00000000-0005-0000-0000-0000837F0000}"/>
    <cellStyle name="计算 4 10" xfId="32642" xr:uid="{00000000-0005-0000-0000-0000847F0000}"/>
    <cellStyle name="计算 4 11" xfId="32643" xr:uid="{00000000-0005-0000-0000-0000857F0000}"/>
    <cellStyle name="计算 4 12" xfId="32644" xr:uid="{00000000-0005-0000-0000-0000867F0000}"/>
    <cellStyle name="计算 4 13" xfId="32645" xr:uid="{00000000-0005-0000-0000-0000877F0000}"/>
    <cellStyle name="计算 4 14" xfId="32646" xr:uid="{00000000-0005-0000-0000-0000887F0000}"/>
    <cellStyle name="计算 4 2" xfId="32647" xr:uid="{00000000-0005-0000-0000-0000897F0000}"/>
    <cellStyle name="计算 4 2 10" xfId="32648" xr:uid="{00000000-0005-0000-0000-00008A7F0000}"/>
    <cellStyle name="计算 4 2 11" xfId="32649" xr:uid="{00000000-0005-0000-0000-00008B7F0000}"/>
    <cellStyle name="计算 4 2 12" xfId="32650" xr:uid="{00000000-0005-0000-0000-00008C7F0000}"/>
    <cellStyle name="计算 4 2 13" xfId="32651" xr:uid="{00000000-0005-0000-0000-00008D7F0000}"/>
    <cellStyle name="计算 4 2 14" xfId="32652" xr:uid="{00000000-0005-0000-0000-00008E7F0000}"/>
    <cellStyle name="计算 4 2 15" xfId="32653" xr:uid="{00000000-0005-0000-0000-00008F7F0000}"/>
    <cellStyle name="计算 4 2 16" xfId="32654" xr:uid="{00000000-0005-0000-0000-0000907F0000}"/>
    <cellStyle name="计算 4 2 17" xfId="32655" xr:uid="{00000000-0005-0000-0000-0000917F0000}"/>
    <cellStyle name="计算 4 2 18" xfId="32656" xr:uid="{00000000-0005-0000-0000-0000927F0000}"/>
    <cellStyle name="计算 4 2 19" xfId="32657" xr:uid="{00000000-0005-0000-0000-0000937F0000}"/>
    <cellStyle name="计算 4 2 2" xfId="32658" xr:uid="{00000000-0005-0000-0000-0000947F0000}"/>
    <cellStyle name="计算 4 2 2 2" xfId="32659" xr:uid="{00000000-0005-0000-0000-0000957F0000}"/>
    <cellStyle name="计算 4 2 2 2 2" xfId="32660" xr:uid="{00000000-0005-0000-0000-0000967F0000}"/>
    <cellStyle name="计算 4 2 2 2 3" xfId="32661" xr:uid="{00000000-0005-0000-0000-0000977F0000}"/>
    <cellStyle name="计算 4 2 2 3" xfId="32662" xr:uid="{00000000-0005-0000-0000-0000987F0000}"/>
    <cellStyle name="计算 4 2 2 3 2" xfId="32663" xr:uid="{00000000-0005-0000-0000-0000997F0000}"/>
    <cellStyle name="计算 4 2 2 3 3" xfId="32664" xr:uid="{00000000-0005-0000-0000-00009A7F0000}"/>
    <cellStyle name="计算 4 2 2 4" xfId="32665" xr:uid="{00000000-0005-0000-0000-00009B7F0000}"/>
    <cellStyle name="计算 4 2 2 5" xfId="32666" xr:uid="{00000000-0005-0000-0000-00009C7F0000}"/>
    <cellStyle name="计算 4 2 20" xfId="32667" xr:uid="{00000000-0005-0000-0000-00009D7F0000}"/>
    <cellStyle name="计算 4 2 21" xfId="32668" xr:uid="{00000000-0005-0000-0000-00009E7F0000}"/>
    <cellStyle name="计算 4 2 22" xfId="32669" xr:uid="{00000000-0005-0000-0000-00009F7F0000}"/>
    <cellStyle name="计算 4 2 23" xfId="32670" xr:uid="{00000000-0005-0000-0000-0000A07F0000}"/>
    <cellStyle name="计算 4 2 24" xfId="32671" xr:uid="{00000000-0005-0000-0000-0000A17F0000}"/>
    <cellStyle name="计算 4 2 25" xfId="32672" xr:uid="{00000000-0005-0000-0000-0000A27F0000}"/>
    <cellStyle name="计算 4 2 26" xfId="32673" xr:uid="{00000000-0005-0000-0000-0000A37F0000}"/>
    <cellStyle name="计算 4 2 27" xfId="32674" xr:uid="{00000000-0005-0000-0000-0000A47F0000}"/>
    <cellStyle name="计算 4 2 28" xfId="32675" xr:uid="{00000000-0005-0000-0000-0000A57F0000}"/>
    <cellStyle name="计算 4 2 29" xfId="32676" xr:uid="{00000000-0005-0000-0000-0000A67F0000}"/>
    <cellStyle name="计算 4 2 3" xfId="32677" xr:uid="{00000000-0005-0000-0000-0000A77F0000}"/>
    <cellStyle name="计算 4 2 3 2" xfId="32678" xr:uid="{00000000-0005-0000-0000-0000A87F0000}"/>
    <cellStyle name="计算 4 2 3 2 2" xfId="32679" xr:uid="{00000000-0005-0000-0000-0000A97F0000}"/>
    <cellStyle name="计算 4 2 3 2 3" xfId="32680" xr:uid="{00000000-0005-0000-0000-0000AA7F0000}"/>
    <cellStyle name="计算 4 2 3 3" xfId="32681" xr:uid="{00000000-0005-0000-0000-0000AB7F0000}"/>
    <cellStyle name="计算 4 2 3 3 2" xfId="32682" xr:uid="{00000000-0005-0000-0000-0000AC7F0000}"/>
    <cellStyle name="计算 4 2 3 3 3" xfId="32683" xr:uid="{00000000-0005-0000-0000-0000AD7F0000}"/>
    <cellStyle name="计算 4 2 3 4" xfId="32684" xr:uid="{00000000-0005-0000-0000-0000AE7F0000}"/>
    <cellStyle name="计算 4 2 3 5" xfId="32685" xr:uid="{00000000-0005-0000-0000-0000AF7F0000}"/>
    <cellStyle name="计算 4 2 30" xfId="32686" xr:uid="{00000000-0005-0000-0000-0000B07F0000}"/>
    <cellStyle name="计算 4 2 31" xfId="32687" xr:uid="{00000000-0005-0000-0000-0000B17F0000}"/>
    <cellStyle name="计算 4 2 32" xfId="32688" xr:uid="{00000000-0005-0000-0000-0000B27F0000}"/>
    <cellStyle name="计算 4 2 33" xfId="32689" xr:uid="{00000000-0005-0000-0000-0000B37F0000}"/>
    <cellStyle name="计算 4 2 34" xfId="32690" xr:uid="{00000000-0005-0000-0000-0000B47F0000}"/>
    <cellStyle name="计算 4 2 35" xfId="32691" xr:uid="{00000000-0005-0000-0000-0000B57F0000}"/>
    <cellStyle name="计算 4 2 4" xfId="32692" xr:uid="{00000000-0005-0000-0000-0000B67F0000}"/>
    <cellStyle name="计算 4 2 4 2" xfId="32693" xr:uid="{00000000-0005-0000-0000-0000B77F0000}"/>
    <cellStyle name="计算 4 2 4 3" xfId="32694" xr:uid="{00000000-0005-0000-0000-0000B87F0000}"/>
    <cellStyle name="计算 4 2 5" xfId="32695" xr:uid="{00000000-0005-0000-0000-0000B97F0000}"/>
    <cellStyle name="计算 4 2 5 2" xfId="32696" xr:uid="{00000000-0005-0000-0000-0000BA7F0000}"/>
    <cellStyle name="计算 4 2 5 3" xfId="32697" xr:uid="{00000000-0005-0000-0000-0000BB7F0000}"/>
    <cellStyle name="计算 4 2 6" xfId="32698" xr:uid="{00000000-0005-0000-0000-0000BC7F0000}"/>
    <cellStyle name="计算 4 2 7" xfId="32699" xr:uid="{00000000-0005-0000-0000-0000BD7F0000}"/>
    <cellStyle name="计算 4 2 8" xfId="32700" xr:uid="{00000000-0005-0000-0000-0000BE7F0000}"/>
    <cellStyle name="计算 4 2 9" xfId="32701" xr:uid="{00000000-0005-0000-0000-0000BF7F0000}"/>
    <cellStyle name="计算 4 3" xfId="32702" xr:uid="{00000000-0005-0000-0000-0000C07F0000}"/>
    <cellStyle name="计算 4 3 2" xfId="32703" xr:uid="{00000000-0005-0000-0000-0000C17F0000}"/>
    <cellStyle name="计算 4 3 2 2" xfId="32704" xr:uid="{00000000-0005-0000-0000-0000C27F0000}"/>
    <cellStyle name="计算 4 3 2 3" xfId="32705" xr:uid="{00000000-0005-0000-0000-0000C37F0000}"/>
    <cellStyle name="计算 4 3 3" xfId="32706" xr:uid="{00000000-0005-0000-0000-0000C47F0000}"/>
    <cellStyle name="计算 4 3 3 2" xfId="32707" xr:uid="{00000000-0005-0000-0000-0000C57F0000}"/>
    <cellStyle name="计算 4 3 3 3" xfId="32708" xr:uid="{00000000-0005-0000-0000-0000C67F0000}"/>
    <cellStyle name="计算 4 3 4" xfId="32709" xr:uid="{00000000-0005-0000-0000-0000C77F0000}"/>
    <cellStyle name="计算 4 3 5" xfId="32710" xr:uid="{00000000-0005-0000-0000-0000C87F0000}"/>
    <cellStyle name="计算 4 4" xfId="32711" xr:uid="{00000000-0005-0000-0000-0000C97F0000}"/>
    <cellStyle name="计算 4 4 2" xfId="32712" xr:uid="{00000000-0005-0000-0000-0000CA7F0000}"/>
    <cellStyle name="计算 4 4 3" xfId="32713" xr:uid="{00000000-0005-0000-0000-0000CB7F0000}"/>
    <cellStyle name="计算 4 5" xfId="32714" xr:uid="{00000000-0005-0000-0000-0000CC7F0000}"/>
    <cellStyle name="计算 4 5 2" xfId="32715" xr:uid="{00000000-0005-0000-0000-0000CD7F0000}"/>
    <cellStyle name="计算 4 5 3" xfId="32716" xr:uid="{00000000-0005-0000-0000-0000CE7F0000}"/>
    <cellStyle name="计算 4 6" xfId="32717" xr:uid="{00000000-0005-0000-0000-0000CF7F0000}"/>
    <cellStyle name="计算 4 7" xfId="32718" xr:uid="{00000000-0005-0000-0000-0000D07F0000}"/>
    <cellStyle name="计算 4 8" xfId="32719" xr:uid="{00000000-0005-0000-0000-0000D17F0000}"/>
    <cellStyle name="计算 4 9" xfId="32720" xr:uid="{00000000-0005-0000-0000-0000D27F0000}"/>
    <cellStyle name="计算 5" xfId="32721" xr:uid="{00000000-0005-0000-0000-0000D37F0000}"/>
    <cellStyle name="计算 5 10" xfId="32722" xr:uid="{00000000-0005-0000-0000-0000D47F0000}"/>
    <cellStyle name="计算 5 11" xfId="32723" xr:uid="{00000000-0005-0000-0000-0000D57F0000}"/>
    <cellStyle name="计算 5 12" xfId="32724" xr:uid="{00000000-0005-0000-0000-0000D67F0000}"/>
    <cellStyle name="计算 5 13" xfId="32725" xr:uid="{00000000-0005-0000-0000-0000D77F0000}"/>
    <cellStyle name="计算 5 14" xfId="32726" xr:uid="{00000000-0005-0000-0000-0000D87F0000}"/>
    <cellStyle name="计算 5 2" xfId="32727" xr:uid="{00000000-0005-0000-0000-0000D97F0000}"/>
    <cellStyle name="计算 5 2 10" xfId="32728" xr:uid="{00000000-0005-0000-0000-0000DA7F0000}"/>
    <cellStyle name="计算 5 2 11" xfId="32729" xr:uid="{00000000-0005-0000-0000-0000DB7F0000}"/>
    <cellStyle name="计算 5 2 12" xfId="32730" xr:uid="{00000000-0005-0000-0000-0000DC7F0000}"/>
    <cellStyle name="计算 5 2 13" xfId="32731" xr:uid="{00000000-0005-0000-0000-0000DD7F0000}"/>
    <cellStyle name="计算 5 2 14" xfId="32732" xr:uid="{00000000-0005-0000-0000-0000DE7F0000}"/>
    <cellStyle name="计算 5 2 15" xfId="32733" xr:uid="{00000000-0005-0000-0000-0000DF7F0000}"/>
    <cellStyle name="计算 5 2 16" xfId="32734" xr:uid="{00000000-0005-0000-0000-0000E07F0000}"/>
    <cellStyle name="计算 5 2 17" xfId="32735" xr:uid="{00000000-0005-0000-0000-0000E17F0000}"/>
    <cellStyle name="计算 5 2 18" xfId="32736" xr:uid="{00000000-0005-0000-0000-0000E27F0000}"/>
    <cellStyle name="计算 5 2 19" xfId="32737" xr:uid="{00000000-0005-0000-0000-0000E37F0000}"/>
    <cellStyle name="计算 5 2 2" xfId="32738" xr:uid="{00000000-0005-0000-0000-0000E47F0000}"/>
    <cellStyle name="计算 5 2 2 2" xfId="32739" xr:uid="{00000000-0005-0000-0000-0000E57F0000}"/>
    <cellStyle name="计算 5 2 2 2 2" xfId="32740" xr:uid="{00000000-0005-0000-0000-0000E67F0000}"/>
    <cellStyle name="计算 5 2 2 2 3" xfId="32741" xr:uid="{00000000-0005-0000-0000-0000E77F0000}"/>
    <cellStyle name="计算 5 2 2 3" xfId="32742" xr:uid="{00000000-0005-0000-0000-0000E87F0000}"/>
    <cellStyle name="计算 5 2 2 3 2" xfId="32743" xr:uid="{00000000-0005-0000-0000-0000E97F0000}"/>
    <cellStyle name="计算 5 2 2 3 3" xfId="32744" xr:uid="{00000000-0005-0000-0000-0000EA7F0000}"/>
    <cellStyle name="计算 5 2 2 4" xfId="32745" xr:uid="{00000000-0005-0000-0000-0000EB7F0000}"/>
    <cellStyle name="计算 5 2 2 5" xfId="32746" xr:uid="{00000000-0005-0000-0000-0000EC7F0000}"/>
    <cellStyle name="计算 5 2 20" xfId="32747" xr:uid="{00000000-0005-0000-0000-0000ED7F0000}"/>
    <cellStyle name="计算 5 2 21" xfId="32748" xr:uid="{00000000-0005-0000-0000-0000EE7F0000}"/>
    <cellStyle name="计算 5 2 22" xfId="32749" xr:uid="{00000000-0005-0000-0000-0000EF7F0000}"/>
    <cellStyle name="计算 5 2 23" xfId="32750" xr:uid="{00000000-0005-0000-0000-0000F07F0000}"/>
    <cellStyle name="计算 5 2 24" xfId="32751" xr:uid="{00000000-0005-0000-0000-0000F17F0000}"/>
    <cellStyle name="计算 5 2 25" xfId="32752" xr:uid="{00000000-0005-0000-0000-0000F27F0000}"/>
    <cellStyle name="计算 5 2 26" xfId="32753" xr:uid="{00000000-0005-0000-0000-0000F37F0000}"/>
    <cellStyle name="计算 5 2 27" xfId="32754" xr:uid="{00000000-0005-0000-0000-0000F47F0000}"/>
    <cellStyle name="计算 5 2 28" xfId="32755" xr:uid="{00000000-0005-0000-0000-0000F57F0000}"/>
    <cellStyle name="计算 5 2 29" xfId="32756" xr:uid="{00000000-0005-0000-0000-0000F67F0000}"/>
    <cellStyle name="计算 5 2 3" xfId="32757" xr:uid="{00000000-0005-0000-0000-0000F77F0000}"/>
    <cellStyle name="计算 5 2 3 2" xfId="32758" xr:uid="{00000000-0005-0000-0000-0000F87F0000}"/>
    <cellStyle name="计算 5 2 3 2 2" xfId="32759" xr:uid="{00000000-0005-0000-0000-0000F97F0000}"/>
    <cellStyle name="计算 5 2 3 2 3" xfId="32760" xr:uid="{00000000-0005-0000-0000-0000FA7F0000}"/>
    <cellStyle name="计算 5 2 3 3" xfId="32761" xr:uid="{00000000-0005-0000-0000-0000FB7F0000}"/>
    <cellStyle name="计算 5 2 3 3 2" xfId="32762" xr:uid="{00000000-0005-0000-0000-0000FC7F0000}"/>
    <cellStyle name="计算 5 2 3 3 3" xfId="32763" xr:uid="{00000000-0005-0000-0000-0000FD7F0000}"/>
    <cellStyle name="计算 5 2 3 4" xfId="32764" xr:uid="{00000000-0005-0000-0000-0000FE7F0000}"/>
    <cellStyle name="计算 5 2 3 5" xfId="32765" xr:uid="{00000000-0005-0000-0000-0000FF7F0000}"/>
    <cellStyle name="计算 5 2 30" xfId="32766" xr:uid="{00000000-0005-0000-0000-000000800000}"/>
    <cellStyle name="计算 5 2 31" xfId="32767" xr:uid="{00000000-0005-0000-0000-000001800000}"/>
    <cellStyle name="计算 5 2 32" xfId="32768" xr:uid="{00000000-0005-0000-0000-000002800000}"/>
    <cellStyle name="计算 5 2 33" xfId="32769" xr:uid="{00000000-0005-0000-0000-000003800000}"/>
    <cellStyle name="计算 5 2 34" xfId="32770" xr:uid="{00000000-0005-0000-0000-000004800000}"/>
    <cellStyle name="计算 5 2 35" xfId="32771" xr:uid="{00000000-0005-0000-0000-000005800000}"/>
    <cellStyle name="计算 5 2 4" xfId="32772" xr:uid="{00000000-0005-0000-0000-000006800000}"/>
    <cellStyle name="计算 5 2 4 2" xfId="32773" xr:uid="{00000000-0005-0000-0000-000007800000}"/>
    <cellStyle name="计算 5 2 4 3" xfId="32774" xr:uid="{00000000-0005-0000-0000-000008800000}"/>
    <cellStyle name="计算 5 2 5" xfId="32775" xr:uid="{00000000-0005-0000-0000-000009800000}"/>
    <cellStyle name="计算 5 2 5 2" xfId="32776" xr:uid="{00000000-0005-0000-0000-00000A800000}"/>
    <cellStyle name="计算 5 2 5 3" xfId="32777" xr:uid="{00000000-0005-0000-0000-00000B800000}"/>
    <cellStyle name="计算 5 2 6" xfId="32778" xr:uid="{00000000-0005-0000-0000-00000C800000}"/>
    <cellStyle name="计算 5 2 7" xfId="32779" xr:uid="{00000000-0005-0000-0000-00000D800000}"/>
    <cellStyle name="计算 5 2 8" xfId="32780" xr:uid="{00000000-0005-0000-0000-00000E800000}"/>
    <cellStyle name="计算 5 2 9" xfId="32781" xr:uid="{00000000-0005-0000-0000-00000F800000}"/>
    <cellStyle name="计算 5 3" xfId="32782" xr:uid="{00000000-0005-0000-0000-000010800000}"/>
    <cellStyle name="计算 5 3 2" xfId="32783" xr:uid="{00000000-0005-0000-0000-000011800000}"/>
    <cellStyle name="计算 5 3 2 2" xfId="32784" xr:uid="{00000000-0005-0000-0000-000012800000}"/>
    <cellStyle name="计算 5 3 2 3" xfId="32785" xr:uid="{00000000-0005-0000-0000-000013800000}"/>
    <cellStyle name="计算 5 3 3" xfId="32786" xr:uid="{00000000-0005-0000-0000-000014800000}"/>
    <cellStyle name="计算 5 3 3 2" xfId="32787" xr:uid="{00000000-0005-0000-0000-000015800000}"/>
    <cellStyle name="计算 5 3 3 3" xfId="32788" xr:uid="{00000000-0005-0000-0000-000016800000}"/>
    <cellStyle name="计算 5 3 4" xfId="32789" xr:uid="{00000000-0005-0000-0000-000017800000}"/>
    <cellStyle name="计算 5 3 5" xfId="32790" xr:uid="{00000000-0005-0000-0000-000018800000}"/>
    <cellStyle name="计算 5 4" xfId="32791" xr:uid="{00000000-0005-0000-0000-000019800000}"/>
    <cellStyle name="计算 5 4 2" xfId="32792" xr:uid="{00000000-0005-0000-0000-00001A800000}"/>
    <cellStyle name="计算 5 4 3" xfId="32793" xr:uid="{00000000-0005-0000-0000-00001B800000}"/>
    <cellStyle name="计算 5 5" xfId="32794" xr:uid="{00000000-0005-0000-0000-00001C800000}"/>
    <cellStyle name="计算 5 5 2" xfId="32795" xr:uid="{00000000-0005-0000-0000-00001D800000}"/>
    <cellStyle name="计算 5 5 3" xfId="32796" xr:uid="{00000000-0005-0000-0000-00001E800000}"/>
    <cellStyle name="计算 5 6" xfId="32797" xr:uid="{00000000-0005-0000-0000-00001F800000}"/>
    <cellStyle name="计算 5 7" xfId="32798" xr:uid="{00000000-0005-0000-0000-000020800000}"/>
    <cellStyle name="计算 5 8" xfId="32799" xr:uid="{00000000-0005-0000-0000-000021800000}"/>
    <cellStyle name="计算 5 9" xfId="32800" xr:uid="{00000000-0005-0000-0000-000022800000}"/>
    <cellStyle name="计算 6" xfId="32801" xr:uid="{00000000-0005-0000-0000-000023800000}"/>
    <cellStyle name="计算 6 10" xfId="32802" xr:uid="{00000000-0005-0000-0000-000024800000}"/>
    <cellStyle name="计算 6 11" xfId="32803" xr:uid="{00000000-0005-0000-0000-000025800000}"/>
    <cellStyle name="计算 6 12" xfId="32804" xr:uid="{00000000-0005-0000-0000-000026800000}"/>
    <cellStyle name="计算 6 13" xfId="32805" xr:uid="{00000000-0005-0000-0000-000027800000}"/>
    <cellStyle name="计算 6 14" xfId="32806" xr:uid="{00000000-0005-0000-0000-000028800000}"/>
    <cellStyle name="计算 6 2" xfId="32807" xr:uid="{00000000-0005-0000-0000-000029800000}"/>
    <cellStyle name="计算 6 2 10" xfId="32808" xr:uid="{00000000-0005-0000-0000-00002A800000}"/>
    <cellStyle name="计算 6 2 11" xfId="32809" xr:uid="{00000000-0005-0000-0000-00002B800000}"/>
    <cellStyle name="计算 6 2 12" xfId="32810" xr:uid="{00000000-0005-0000-0000-00002C800000}"/>
    <cellStyle name="计算 6 2 13" xfId="32811" xr:uid="{00000000-0005-0000-0000-00002D800000}"/>
    <cellStyle name="计算 6 2 14" xfId="32812" xr:uid="{00000000-0005-0000-0000-00002E800000}"/>
    <cellStyle name="计算 6 2 15" xfId="32813" xr:uid="{00000000-0005-0000-0000-00002F800000}"/>
    <cellStyle name="计算 6 2 16" xfId="32814" xr:uid="{00000000-0005-0000-0000-000030800000}"/>
    <cellStyle name="计算 6 2 17" xfId="32815" xr:uid="{00000000-0005-0000-0000-000031800000}"/>
    <cellStyle name="计算 6 2 18" xfId="32816" xr:uid="{00000000-0005-0000-0000-000032800000}"/>
    <cellStyle name="计算 6 2 19" xfId="32817" xr:uid="{00000000-0005-0000-0000-000033800000}"/>
    <cellStyle name="计算 6 2 2" xfId="32818" xr:uid="{00000000-0005-0000-0000-000034800000}"/>
    <cellStyle name="计算 6 2 2 2" xfId="32819" xr:uid="{00000000-0005-0000-0000-000035800000}"/>
    <cellStyle name="计算 6 2 2 2 2" xfId="32820" xr:uid="{00000000-0005-0000-0000-000036800000}"/>
    <cellStyle name="计算 6 2 2 2 3" xfId="32821" xr:uid="{00000000-0005-0000-0000-000037800000}"/>
    <cellStyle name="计算 6 2 2 3" xfId="32822" xr:uid="{00000000-0005-0000-0000-000038800000}"/>
    <cellStyle name="计算 6 2 2 3 2" xfId="32823" xr:uid="{00000000-0005-0000-0000-000039800000}"/>
    <cellStyle name="计算 6 2 2 3 3" xfId="32824" xr:uid="{00000000-0005-0000-0000-00003A800000}"/>
    <cellStyle name="计算 6 2 2 4" xfId="32825" xr:uid="{00000000-0005-0000-0000-00003B800000}"/>
    <cellStyle name="计算 6 2 2 5" xfId="32826" xr:uid="{00000000-0005-0000-0000-00003C800000}"/>
    <cellStyle name="计算 6 2 20" xfId="32827" xr:uid="{00000000-0005-0000-0000-00003D800000}"/>
    <cellStyle name="计算 6 2 21" xfId="32828" xr:uid="{00000000-0005-0000-0000-00003E800000}"/>
    <cellStyle name="计算 6 2 22" xfId="32829" xr:uid="{00000000-0005-0000-0000-00003F800000}"/>
    <cellStyle name="计算 6 2 23" xfId="32830" xr:uid="{00000000-0005-0000-0000-000040800000}"/>
    <cellStyle name="计算 6 2 24" xfId="32831" xr:uid="{00000000-0005-0000-0000-000041800000}"/>
    <cellStyle name="计算 6 2 25" xfId="32832" xr:uid="{00000000-0005-0000-0000-000042800000}"/>
    <cellStyle name="计算 6 2 26" xfId="32833" xr:uid="{00000000-0005-0000-0000-000043800000}"/>
    <cellStyle name="计算 6 2 27" xfId="32834" xr:uid="{00000000-0005-0000-0000-000044800000}"/>
    <cellStyle name="计算 6 2 28" xfId="32835" xr:uid="{00000000-0005-0000-0000-000045800000}"/>
    <cellStyle name="计算 6 2 29" xfId="32836" xr:uid="{00000000-0005-0000-0000-000046800000}"/>
    <cellStyle name="计算 6 2 3" xfId="32837" xr:uid="{00000000-0005-0000-0000-000047800000}"/>
    <cellStyle name="计算 6 2 3 2" xfId="32838" xr:uid="{00000000-0005-0000-0000-000048800000}"/>
    <cellStyle name="计算 6 2 3 2 2" xfId="32839" xr:uid="{00000000-0005-0000-0000-000049800000}"/>
    <cellStyle name="计算 6 2 3 2 3" xfId="32840" xr:uid="{00000000-0005-0000-0000-00004A800000}"/>
    <cellStyle name="计算 6 2 3 3" xfId="32841" xr:uid="{00000000-0005-0000-0000-00004B800000}"/>
    <cellStyle name="计算 6 2 3 3 2" xfId="32842" xr:uid="{00000000-0005-0000-0000-00004C800000}"/>
    <cellStyle name="计算 6 2 3 3 3" xfId="32843" xr:uid="{00000000-0005-0000-0000-00004D800000}"/>
    <cellStyle name="计算 6 2 3 4" xfId="32844" xr:uid="{00000000-0005-0000-0000-00004E800000}"/>
    <cellStyle name="计算 6 2 3 5" xfId="32845" xr:uid="{00000000-0005-0000-0000-00004F800000}"/>
    <cellStyle name="计算 6 2 30" xfId="32846" xr:uid="{00000000-0005-0000-0000-000050800000}"/>
    <cellStyle name="计算 6 2 31" xfId="32847" xr:uid="{00000000-0005-0000-0000-000051800000}"/>
    <cellStyle name="计算 6 2 32" xfId="32848" xr:uid="{00000000-0005-0000-0000-000052800000}"/>
    <cellStyle name="计算 6 2 33" xfId="32849" xr:uid="{00000000-0005-0000-0000-000053800000}"/>
    <cellStyle name="计算 6 2 34" xfId="32850" xr:uid="{00000000-0005-0000-0000-000054800000}"/>
    <cellStyle name="计算 6 2 35" xfId="32851" xr:uid="{00000000-0005-0000-0000-000055800000}"/>
    <cellStyle name="计算 6 2 4" xfId="32852" xr:uid="{00000000-0005-0000-0000-000056800000}"/>
    <cellStyle name="计算 6 2 4 2" xfId="32853" xr:uid="{00000000-0005-0000-0000-000057800000}"/>
    <cellStyle name="计算 6 2 4 3" xfId="32854" xr:uid="{00000000-0005-0000-0000-000058800000}"/>
    <cellStyle name="计算 6 2 5" xfId="32855" xr:uid="{00000000-0005-0000-0000-000059800000}"/>
    <cellStyle name="计算 6 2 5 2" xfId="32856" xr:uid="{00000000-0005-0000-0000-00005A800000}"/>
    <cellStyle name="计算 6 2 5 3" xfId="32857" xr:uid="{00000000-0005-0000-0000-00005B800000}"/>
    <cellStyle name="计算 6 2 6" xfId="32858" xr:uid="{00000000-0005-0000-0000-00005C800000}"/>
    <cellStyle name="计算 6 2 7" xfId="32859" xr:uid="{00000000-0005-0000-0000-00005D800000}"/>
    <cellStyle name="计算 6 2 8" xfId="32860" xr:uid="{00000000-0005-0000-0000-00005E800000}"/>
    <cellStyle name="计算 6 2 9" xfId="32861" xr:uid="{00000000-0005-0000-0000-00005F800000}"/>
    <cellStyle name="计算 6 3" xfId="32862" xr:uid="{00000000-0005-0000-0000-000060800000}"/>
    <cellStyle name="计算 6 3 2" xfId="32863" xr:uid="{00000000-0005-0000-0000-000061800000}"/>
    <cellStyle name="计算 6 3 2 2" xfId="32864" xr:uid="{00000000-0005-0000-0000-000062800000}"/>
    <cellStyle name="计算 6 3 2 3" xfId="32865" xr:uid="{00000000-0005-0000-0000-000063800000}"/>
    <cellStyle name="计算 6 3 3" xfId="32866" xr:uid="{00000000-0005-0000-0000-000064800000}"/>
    <cellStyle name="计算 6 3 3 2" xfId="32867" xr:uid="{00000000-0005-0000-0000-000065800000}"/>
    <cellStyle name="计算 6 3 3 3" xfId="32868" xr:uid="{00000000-0005-0000-0000-000066800000}"/>
    <cellStyle name="计算 6 3 4" xfId="32869" xr:uid="{00000000-0005-0000-0000-000067800000}"/>
    <cellStyle name="计算 6 3 5" xfId="32870" xr:uid="{00000000-0005-0000-0000-000068800000}"/>
    <cellStyle name="计算 6 4" xfId="32871" xr:uid="{00000000-0005-0000-0000-000069800000}"/>
    <cellStyle name="计算 6 4 2" xfId="32872" xr:uid="{00000000-0005-0000-0000-00006A800000}"/>
    <cellStyle name="计算 6 4 3" xfId="32873" xr:uid="{00000000-0005-0000-0000-00006B800000}"/>
    <cellStyle name="计算 6 5" xfId="32874" xr:uid="{00000000-0005-0000-0000-00006C800000}"/>
    <cellStyle name="计算 6 5 2" xfId="32875" xr:uid="{00000000-0005-0000-0000-00006D800000}"/>
    <cellStyle name="计算 6 5 3" xfId="32876" xr:uid="{00000000-0005-0000-0000-00006E800000}"/>
    <cellStyle name="计算 6 6" xfId="32877" xr:uid="{00000000-0005-0000-0000-00006F800000}"/>
    <cellStyle name="计算 6 7" xfId="32878" xr:uid="{00000000-0005-0000-0000-000070800000}"/>
    <cellStyle name="计算 6 8" xfId="32879" xr:uid="{00000000-0005-0000-0000-000071800000}"/>
    <cellStyle name="计算 6 9" xfId="32880" xr:uid="{00000000-0005-0000-0000-000072800000}"/>
    <cellStyle name="计算 7" xfId="32881" xr:uid="{00000000-0005-0000-0000-000073800000}"/>
    <cellStyle name="计算 7 10" xfId="32882" xr:uid="{00000000-0005-0000-0000-000074800000}"/>
    <cellStyle name="计算 7 11" xfId="32883" xr:uid="{00000000-0005-0000-0000-000075800000}"/>
    <cellStyle name="计算 7 12" xfId="32884" xr:uid="{00000000-0005-0000-0000-000076800000}"/>
    <cellStyle name="计算 7 13" xfId="32885" xr:uid="{00000000-0005-0000-0000-000077800000}"/>
    <cellStyle name="计算 7 14" xfId="32886" xr:uid="{00000000-0005-0000-0000-000078800000}"/>
    <cellStyle name="计算 7 15" xfId="32887" xr:uid="{00000000-0005-0000-0000-000079800000}"/>
    <cellStyle name="计算 7 16" xfId="32888" xr:uid="{00000000-0005-0000-0000-00007A800000}"/>
    <cellStyle name="计算 7 17" xfId="32889" xr:uid="{00000000-0005-0000-0000-00007B800000}"/>
    <cellStyle name="计算 7 18" xfId="32890" xr:uid="{00000000-0005-0000-0000-00007C800000}"/>
    <cellStyle name="计算 7 19" xfId="32891" xr:uid="{00000000-0005-0000-0000-00007D800000}"/>
    <cellStyle name="计算 7 2" xfId="32892" xr:uid="{00000000-0005-0000-0000-00007E800000}"/>
    <cellStyle name="计算 7 2 2" xfId="32893" xr:uid="{00000000-0005-0000-0000-00007F800000}"/>
    <cellStyle name="计算 7 2 2 2" xfId="32894" xr:uid="{00000000-0005-0000-0000-000080800000}"/>
    <cellStyle name="计算 7 2 2 3" xfId="32895" xr:uid="{00000000-0005-0000-0000-000081800000}"/>
    <cellStyle name="计算 7 2 3" xfId="32896" xr:uid="{00000000-0005-0000-0000-000082800000}"/>
    <cellStyle name="计算 7 2 3 2" xfId="32897" xr:uid="{00000000-0005-0000-0000-000083800000}"/>
    <cellStyle name="计算 7 2 3 3" xfId="32898" xr:uid="{00000000-0005-0000-0000-000084800000}"/>
    <cellStyle name="计算 7 2 4" xfId="32899" xr:uid="{00000000-0005-0000-0000-000085800000}"/>
    <cellStyle name="计算 7 2 5" xfId="32900" xr:uid="{00000000-0005-0000-0000-000086800000}"/>
    <cellStyle name="计算 7 20" xfId="32901" xr:uid="{00000000-0005-0000-0000-000087800000}"/>
    <cellStyle name="计算 7 21" xfId="32902" xr:uid="{00000000-0005-0000-0000-000088800000}"/>
    <cellStyle name="计算 7 22" xfId="32903" xr:uid="{00000000-0005-0000-0000-000089800000}"/>
    <cellStyle name="计算 7 23" xfId="32904" xr:uid="{00000000-0005-0000-0000-00008A800000}"/>
    <cellStyle name="计算 7 24" xfId="32905" xr:uid="{00000000-0005-0000-0000-00008B800000}"/>
    <cellStyle name="计算 7 25" xfId="32906" xr:uid="{00000000-0005-0000-0000-00008C800000}"/>
    <cellStyle name="计算 7 26" xfId="32907" xr:uid="{00000000-0005-0000-0000-00008D800000}"/>
    <cellStyle name="计算 7 27" xfId="32908" xr:uid="{00000000-0005-0000-0000-00008E800000}"/>
    <cellStyle name="计算 7 28" xfId="32909" xr:uid="{00000000-0005-0000-0000-00008F800000}"/>
    <cellStyle name="计算 7 29" xfId="32910" xr:uid="{00000000-0005-0000-0000-000090800000}"/>
    <cellStyle name="计算 7 3" xfId="32911" xr:uid="{00000000-0005-0000-0000-000091800000}"/>
    <cellStyle name="计算 7 3 2" xfId="32912" xr:uid="{00000000-0005-0000-0000-000092800000}"/>
    <cellStyle name="计算 7 3 2 2" xfId="32913" xr:uid="{00000000-0005-0000-0000-000093800000}"/>
    <cellStyle name="计算 7 3 2 3" xfId="32914" xr:uid="{00000000-0005-0000-0000-000094800000}"/>
    <cellStyle name="计算 7 3 3" xfId="32915" xr:uid="{00000000-0005-0000-0000-000095800000}"/>
    <cellStyle name="计算 7 3 3 2" xfId="32916" xr:uid="{00000000-0005-0000-0000-000096800000}"/>
    <cellStyle name="计算 7 3 3 3" xfId="32917" xr:uid="{00000000-0005-0000-0000-000097800000}"/>
    <cellStyle name="计算 7 3 4" xfId="32918" xr:uid="{00000000-0005-0000-0000-000098800000}"/>
    <cellStyle name="计算 7 3 5" xfId="32919" xr:uid="{00000000-0005-0000-0000-000099800000}"/>
    <cellStyle name="计算 7 30" xfId="32920" xr:uid="{00000000-0005-0000-0000-00009A800000}"/>
    <cellStyle name="计算 7 31" xfId="32921" xr:uid="{00000000-0005-0000-0000-00009B800000}"/>
    <cellStyle name="计算 7 32" xfId="32922" xr:uid="{00000000-0005-0000-0000-00009C800000}"/>
    <cellStyle name="计算 7 33" xfId="32923" xr:uid="{00000000-0005-0000-0000-00009D800000}"/>
    <cellStyle name="计算 7 34" xfId="32924" xr:uid="{00000000-0005-0000-0000-00009E800000}"/>
    <cellStyle name="计算 7 35" xfId="32925" xr:uid="{00000000-0005-0000-0000-00009F800000}"/>
    <cellStyle name="计算 7 4" xfId="32926" xr:uid="{00000000-0005-0000-0000-0000A0800000}"/>
    <cellStyle name="计算 7 4 2" xfId="32927" xr:uid="{00000000-0005-0000-0000-0000A1800000}"/>
    <cellStyle name="计算 7 4 3" xfId="32928" xr:uid="{00000000-0005-0000-0000-0000A2800000}"/>
    <cellStyle name="计算 7 5" xfId="32929" xr:uid="{00000000-0005-0000-0000-0000A3800000}"/>
    <cellStyle name="计算 7 5 2" xfId="32930" xr:uid="{00000000-0005-0000-0000-0000A4800000}"/>
    <cellStyle name="计算 7 5 3" xfId="32931" xr:uid="{00000000-0005-0000-0000-0000A5800000}"/>
    <cellStyle name="计算 7 6" xfId="32932" xr:uid="{00000000-0005-0000-0000-0000A6800000}"/>
    <cellStyle name="计算 7 7" xfId="32933" xr:uid="{00000000-0005-0000-0000-0000A7800000}"/>
    <cellStyle name="计算 7 8" xfId="32934" xr:uid="{00000000-0005-0000-0000-0000A8800000}"/>
    <cellStyle name="计算 7 9" xfId="32935" xr:uid="{00000000-0005-0000-0000-0000A9800000}"/>
    <cellStyle name="计算 8" xfId="32936" xr:uid="{00000000-0005-0000-0000-0000AA800000}"/>
    <cellStyle name="计算 8 2" xfId="32937" xr:uid="{00000000-0005-0000-0000-0000AB800000}"/>
    <cellStyle name="计算 8 2 2" xfId="32938" xr:uid="{00000000-0005-0000-0000-0000AC800000}"/>
    <cellStyle name="计算 8 2 3" xfId="32939" xr:uid="{00000000-0005-0000-0000-0000AD800000}"/>
    <cellStyle name="计算 8 3" xfId="32940" xr:uid="{00000000-0005-0000-0000-0000AE800000}"/>
    <cellStyle name="计算 8 3 2" xfId="32941" xr:uid="{00000000-0005-0000-0000-0000AF800000}"/>
    <cellStyle name="计算 8 3 3" xfId="32942" xr:uid="{00000000-0005-0000-0000-0000B0800000}"/>
    <cellStyle name="计算 8 4" xfId="32943" xr:uid="{00000000-0005-0000-0000-0000B1800000}"/>
    <cellStyle name="计算 8 5" xfId="32944" xr:uid="{00000000-0005-0000-0000-0000B2800000}"/>
    <cellStyle name="计算 9" xfId="32945" xr:uid="{00000000-0005-0000-0000-0000B3800000}"/>
    <cellStyle name="计算 9 2" xfId="32946" xr:uid="{00000000-0005-0000-0000-0000B4800000}"/>
    <cellStyle name="计算 9 3" xfId="32947" xr:uid="{00000000-0005-0000-0000-0000B5800000}"/>
    <cellStyle name="超级链接_~0055202" xfId="32948" xr:uid="{00000000-0005-0000-0000-0000B6800000}"/>
    <cellStyle name="超链接 2" xfId="32949" xr:uid="{00000000-0005-0000-0000-0000B7800000}"/>
    <cellStyle name="输入" xfId="32950" xr:uid="{00000000-0005-0000-0000-0000B8800000}"/>
    <cellStyle name="输入 10" xfId="32951" xr:uid="{00000000-0005-0000-0000-0000B9800000}"/>
    <cellStyle name="输入 10 2" xfId="32952" xr:uid="{00000000-0005-0000-0000-0000BA800000}"/>
    <cellStyle name="输入 10 3" xfId="32953" xr:uid="{00000000-0005-0000-0000-0000BB800000}"/>
    <cellStyle name="输入 11" xfId="32954" xr:uid="{00000000-0005-0000-0000-0000BC800000}"/>
    <cellStyle name="输入 12" xfId="32955" xr:uid="{00000000-0005-0000-0000-0000BD800000}"/>
    <cellStyle name="输入 13" xfId="32956" xr:uid="{00000000-0005-0000-0000-0000BE800000}"/>
    <cellStyle name="输入 14" xfId="32957" xr:uid="{00000000-0005-0000-0000-0000BF800000}"/>
    <cellStyle name="输入 15" xfId="32958" xr:uid="{00000000-0005-0000-0000-0000C0800000}"/>
    <cellStyle name="输入 16" xfId="32959" xr:uid="{00000000-0005-0000-0000-0000C1800000}"/>
    <cellStyle name="输入 17" xfId="32960" xr:uid="{00000000-0005-0000-0000-0000C2800000}"/>
    <cellStyle name="输入 18" xfId="32961" xr:uid="{00000000-0005-0000-0000-0000C3800000}"/>
    <cellStyle name="输入 19" xfId="32962" xr:uid="{00000000-0005-0000-0000-0000C4800000}"/>
    <cellStyle name="输入 2" xfId="32963" xr:uid="{00000000-0005-0000-0000-0000C5800000}"/>
    <cellStyle name="输入 2 10" xfId="32964" xr:uid="{00000000-0005-0000-0000-0000C6800000}"/>
    <cellStyle name="输入 2 11" xfId="32965" xr:uid="{00000000-0005-0000-0000-0000C7800000}"/>
    <cellStyle name="输入 2 12" xfId="32966" xr:uid="{00000000-0005-0000-0000-0000C8800000}"/>
    <cellStyle name="输入 2 13" xfId="32967" xr:uid="{00000000-0005-0000-0000-0000C9800000}"/>
    <cellStyle name="输入 2 14" xfId="32968" xr:uid="{00000000-0005-0000-0000-0000CA800000}"/>
    <cellStyle name="输入 2 2" xfId="32969" xr:uid="{00000000-0005-0000-0000-0000CB800000}"/>
    <cellStyle name="输入 2 2 10" xfId="32970" xr:uid="{00000000-0005-0000-0000-0000CC800000}"/>
    <cellStyle name="输入 2 2 11" xfId="32971" xr:uid="{00000000-0005-0000-0000-0000CD800000}"/>
    <cellStyle name="输入 2 2 12" xfId="32972" xr:uid="{00000000-0005-0000-0000-0000CE800000}"/>
    <cellStyle name="输入 2 2 13" xfId="32973" xr:uid="{00000000-0005-0000-0000-0000CF800000}"/>
    <cellStyle name="输入 2 2 14" xfId="32974" xr:uid="{00000000-0005-0000-0000-0000D0800000}"/>
    <cellStyle name="输入 2 2 15" xfId="32975" xr:uid="{00000000-0005-0000-0000-0000D1800000}"/>
    <cellStyle name="输入 2 2 16" xfId="32976" xr:uid="{00000000-0005-0000-0000-0000D2800000}"/>
    <cellStyle name="输入 2 2 17" xfId="32977" xr:uid="{00000000-0005-0000-0000-0000D3800000}"/>
    <cellStyle name="输入 2 2 18" xfId="32978" xr:uid="{00000000-0005-0000-0000-0000D4800000}"/>
    <cellStyle name="输入 2 2 19" xfId="32979" xr:uid="{00000000-0005-0000-0000-0000D5800000}"/>
    <cellStyle name="输入 2 2 2" xfId="32980" xr:uid="{00000000-0005-0000-0000-0000D6800000}"/>
    <cellStyle name="输入 2 2 2 2" xfId="32981" xr:uid="{00000000-0005-0000-0000-0000D7800000}"/>
    <cellStyle name="输入 2 2 2 2 2" xfId="32982" xr:uid="{00000000-0005-0000-0000-0000D8800000}"/>
    <cellStyle name="输入 2 2 2 2 3" xfId="32983" xr:uid="{00000000-0005-0000-0000-0000D9800000}"/>
    <cellStyle name="输入 2 2 2 3" xfId="32984" xr:uid="{00000000-0005-0000-0000-0000DA800000}"/>
    <cellStyle name="输入 2 2 2 3 2" xfId="32985" xr:uid="{00000000-0005-0000-0000-0000DB800000}"/>
    <cellStyle name="输入 2 2 2 3 3" xfId="32986" xr:uid="{00000000-0005-0000-0000-0000DC800000}"/>
    <cellStyle name="输入 2 2 2 4" xfId="32987" xr:uid="{00000000-0005-0000-0000-0000DD800000}"/>
    <cellStyle name="输入 2 2 2 5" xfId="32988" xr:uid="{00000000-0005-0000-0000-0000DE800000}"/>
    <cellStyle name="输入 2 2 20" xfId="32989" xr:uid="{00000000-0005-0000-0000-0000DF800000}"/>
    <cellStyle name="输入 2 2 21" xfId="32990" xr:uid="{00000000-0005-0000-0000-0000E0800000}"/>
    <cellStyle name="输入 2 2 22" xfId="32991" xr:uid="{00000000-0005-0000-0000-0000E1800000}"/>
    <cellStyle name="输入 2 2 23" xfId="32992" xr:uid="{00000000-0005-0000-0000-0000E2800000}"/>
    <cellStyle name="输入 2 2 24" xfId="32993" xr:uid="{00000000-0005-0000-0000-0000E3800000}"/>
    <cellStyle name="输入 2 2 25" xfId="32994" xr:uid="{00000000-0005-0000-0000-0000E4800000}"/>
    <cellStyle name="输入 2 2 26" xfId="32995" xr:uid="{00000000-0005-0000-0000-0000E5800000}"/>
    <cellStyle name="输入 2 2 27" xfId="32996" xr:uid="{00000000-0005-0000-0000-0000E6800000}"/>
    <cellStyle name="输入 2 2 28" xfId="32997" xr:uid="{00000000-0005-0000-0000-0000E7800000}"/>
    <cellStyle name="输入 2 2 29" xfId="32998" xr:uid="{00000000-0005-0000-0000-0000E8800000}"/>
    <cellStyle name="输入 2 2 3" xfId="32999" xr:uid="{00000000-0005-0000-0000-0000E9800000}"/>
    <cellStyle name="输入 2 2 3 2" xfId="33000" xr:uid="{00000000-0005-0000-0000-0000EA800000}"/>
    <cellStyle name="输入 2 2 3 2 2" xfId="33001" xr:uid="{00000000-0005-0000-0000-0000EB800000}"/>
    <cellStyle name="输入 2 2 3 2 3" xfId="33002" xr:uid="{00000000-0005-0000-0000-0000EC800000}"/>
    <cellStyle name="输入 2 2 3 3" xfId="33003" xr:uid="{00000000-0005-0000-0000-0000ED800000}"/>
    <cellStyle name="输入 2 2 3 3 2" xfId="33004" xr:uid="{00000000-0005-0000-0000-0000EE800000}"/>
    <cellStyle name="输入 2 2 3 3 3" xfId="33005" xr:uid="{00000000-0005-0000-0000-0000EF800000}"/>
    <cellStyle name="输入 2 2 3 4" xfId="33006" xr:uid="{00000000-0005-0000-0000-0000F0800000}"/>
    <cellStyle name="输入 2 2 3 5" xfId="33007" xr:uid="{00000000-0005-0000-0000-0000F1800000}"/>
    <cellStyle name="输入 2 2 30" xfId="33008" xr:uid="{00000000-0005-0000-0000-0000F2800000}"/>
    <cellStyle name="输入 2 2 31" xfId="33009" xr:uid="{00000000-0005-0000-0000-0000F3800000}"/>
    <cellStyle name="输入 2 2 32" xfId="33010" xr:uid="{00000000-0005-0000-0000-0000F4800000}"/>
    <cellStyle name="输入 2 2 33" xfId="33011" xr:uid="{00000000-0005-0000-0000-0000F5800000}"/>
    <cellStyle name="输入 2 2 34" xfId="33012" xr:uid="{00000000-0005-0000-0000-0000F6800000}"/>
    <cellStyle name="输入 2 2 35" xfId="33013" xr:uid="{00000000-0005-0000-0000-0000F7800000}"/>
    <cellStyle name="输入 2 2 4" xfId="33014" xr:uid="{00000000-0005-0000-0000-0000F8800000}"/>
    <cellStyle name="输入 2 2 4 2" xfId="33015" xr:uid="{00000000-0005-0000-0000-0000F9800000}"/>
    <cellStyle name="输入 2 2 4 3" xfId="33016" xr:uid="{00000000-0005-0000-0000-0000FA800000}"/>
    <cellStyle name="输入 2 2 5" xfId="33017" xr:uid="{00000000-0005-0000-0000-0000FB800000}"/>
    <cellStyle name="输入 2 2 5 2" xfId="33018" xr:uid="{00000000-0005-0000-0000-0000FC800000}"/>
    <cellStyle name="输入 2 2 5 3" xfId="33019" xr:uid="{00000000-0005-0000-0000-0000FD800000}"/>
    <cellStyle name="输入 2 2 6" xfId="33020" xr:uid="{00000000-0005-0000-0000-0000FE800000}"/>
    <cellStyle name="输入 2 2 7" xfId="33021" xr:uid="{00000000-0005-0000-0000-0000FF800000}"/>
    <cellStyle name="输入 2 2 8" xfId="33022" xr:uid="{00000000-0005-0000-0000-000000810000}"/>
    <cellStyle name="输入 2 2 9" xfId="33023" xr:uid="{00000000-0005-0000-0000-000001810000}"/>
    <cellStyle name="输入 2 3" xfId="33024" xr:uid="{00000000-0005-0000-0000-000002810000}"/>
    <cellStyle name="输入 2 3 2" xfId="33025" xr:uid="{00000000-0005-0000-0000-000003810000}"/>
    <cellStyle name="输入 2 3 2 2" xfId="33026" xr:uid="{00000000-0005-0000-0000-000004810000}"/>
    <cellStyle name="输入 2 3 2 3" xfId="33027" xr:uid="{00000000-0005-0000-0000-000005810000}"/>
    <cellStyle name="输入 2 3 3" xfId="33028" xr:uid="{00000000-0005-0000-0000-000006810000}"/>
    <cellStyle name="输入 2 3 3 2" xfId="33029" xr:uid="{00000000-0005-0000-0000-000007810000}"/>
    <cellStyle name="输入 2 3 3 3" xfId="33030" xr:uid="{00000000-0005-0000-0000-000008810000}"/>
    <cellStyle name="输入 2 3 4" xfId="33031" xr:uid="{00000000-0005-0000-0000-000009810000}"/>
    <cellStyle name="输入 2 3 5" xfId="33032" xr:uid="{00000000-0005-0000-0000-00000A810000}"/>
    <cellStyle name="输入 2 4" xfId="33033" xr:uid="{00000000-0005-0000-0000-00000B810000}"/>
    <cellStyle name="输入 2 4 2" xfId="33034" xr:uid="{00000000-0005-0000-0000-00000C810000}"/>
    <cellStyle name="输入 2 4 3" xfId="33035" xr:uid="{00000000-0005-0000-0000-00000D810000}"/>
    <cellStyle name="输入 2 5" xfId="33036" xr:uid="{00000000-0005-0000-0000-00000E810000}"/>
    <cellStyle name="输入 2 5 2" xfId="33037" xr:uid="{00000000-0005-0000-0000-00000F810000}"/>
    <cellStyle name="输入 2 5 3" xfId="33038" xr:uid="{00000000-0005-0000-0000-000010810000}"/>
    <cellStyle name="输入 2 6" xfId="33039" xr:uid="{00000000-0005-0000-0000-000011810000}"/>
    <cellStyle name="输入 2 7" xfId="33040" xr:uid="{00000000-0005-0000-0000-000012810000}"/>
    <cellStyle name="输入 2 8" xfId="33041" xr:uid="{00000000-0005-0000-0000-000013810000}"/>
    <cellStyle name="输入 2 9" xfId="33042" xr:uid="{00000000-0005-0000-0000-000014810000}"/>
    <cellStyle name="输入 3" xfId="33043" xr:uid="{00000000-0005-0000-0000-000015810000}"/>
    <cellStyle name="输入 3 10" xfId="33044" xr:uid="{00000000-0005-0000-0000-000016810000}"/>
    <cellStyle name="输入 3 11" xfId="33045" xr:uid="{00000000-0005-0000-0000-000017810000}"/>
    <cellStyle name="输入 3 12" xfId="33046" xr:uid="{00000000-0005-0000-0000-000018810000}"/>
    <cellStyle name="输入 3 13" xfId="33047" xr:uid="{00000000-0005-0000-0000-000019810000}"/>
    <cellStyle name="输入 3 14" xfId="33048" xr:uid="{00000000-0005-0000-0000-00001A810000}"/>
    <cellStyle name="输入 3 2" xfId="33049" xr:uid="{00000000-0005-0000-0000-00001B810000}"/>
    <cellStyle name="输入 3 2 10" xfId="33050" xr:uid="{00000000-0005-0000-0000-00001C810000}"/>
    <cellStyle name="输入 3 2 11" xfId="33051" xr:uid="{00000000-0005-0000-0000-00001D810000}"/>
    <cellStyle name="输入 3 2 12" xfId="33052" xr:uid="{00000000-0005-0000-0000-00001E810000}"/>
    <cellStyle name="输入 3 2 13" xfId="33053" xr:uid="{00000000-0005-0000-0000-00001F810000}"/>
    <cellStyle name="输入 3 2 14" xfId="33054" xr:uid="{00000000-0005-0000-0000-000020810000}"/>
    <cellStyle name="输入 3 2 15" xfId="33055" xr:uid="{00000000-0005-0000-0000-000021810000}"/>
    <cellStyle name="输入 3 2 16" xfId="33056" xr:uid="{00000000-0005-0000-0000-000022810000}"/>
    <cellStyle name="输入 3 2 17" xfId="33057" xr:uid="{00000000-0005-0000-0000-000023810000}"/>
    <cellStyle name="输入 3 2 18" xfId="33058" xr:uid="{00000000-0005-0000-0000-000024810000}"/>
    <cellStyle name="输入 3 2 19" xfId="33059" xr:uid="{00000000-0005-0000-0000-000025810000}"/>
    <cellStyle name="输入 3 2 2" xfId="33060" xr:uid="{00000000-0005-0000-0000-000026810000}"/>
    <cellStyle name="输入 3 2 2 2" xfId="33061" xr:uid="{00000000-0005-0000-0000-000027810000}"/>
    <cellStyle name="输入 3 2 2 2 2" xfId="33062" xr:uid="{00000000-0005-0000-0000-000028810000}"/>
    <cellStyle name="输入 3 2 2 2 3" xfId="33063" xr:uid="{00000000-0005-0000-0000-000029810000}"/>
    <cellStyle name="输入 3 2 2 3" xfId="33064" xr:uid="{00000000-0005-0000-0000-00002A810000}"/>
    <cellStyle name="输入 3 2 2 3 2" xfId="33065" xr:uid="{00000000-0005-0000-0000-00002B810000}"/>
    <cellStyle name="输入 3 2 2 3 3" xfId="33066" xr:uid="{00000000-0005-0000-0000-00002C810000}"/>
    <cellStyle name="输入 3 2 2 4" xfId="33067" xr:uid="{00000000-0005-0000-0000-00002D810000}"/>
    <cellStyle name="输入 3 2 2 5" xfId="33068" xr:uid="{00000000-0005-0000-0000-00002E810000}"/>
    <cellStyle name="输入 3 2 20" xfId="33069" xr:uid="{00000000-0005-0000-0000-00002F810000}"/>
    <cellStyle name="输入 3 2 21" xfId="33070" xr:uid="{00000000-0005-0000-0000-000030810000}"/>
    <cellStyle name="输入 3 2 22" xfId="33071" xr:uid="{00000000-0005-0000-0000-000031810000}"/>
    <cellStyle name="输入 3 2 23" xfId="33072" xr:uid="{00000000-0005-0000-0000-000032810000}"/>
    <cellStyle name="输入 3 2 24" xfId="33073" xr:uid="{00000000-0005-0000-0000-000033810000}"/>
    <cellStyle name="输入 3 2 25" xfId="33074" xr:uid="{00000000-0005-0000-0000-000034810000}"/>
    <cellStyle name="输入 3 2 26" xfId="33075" xr:uid="{00000000-0005-0000-0000-000035810000}"/>
    <cellStyle name="输入 3 2 27" xfId="33076" xr:uid="{00000000-0005-0000-0000-000036810000}"/>
    <cellStyle name="输入 3 2 28" xfId="33077" xr:uid="{00000000-0005-0000-0000-000037810000}"/>
    <cellStyle name="输入 3 2 29" xfId="33078" xr:uid="{00000000-0005-0000-0000-000038810000}"/>
    <cellStyle name="输入 3 2 3" xfId="33079" xr:uid="{00000000-0005-0000-0000-000039810000}"/>
    <cellStyle name="输入 3 2 3 2" xfId="33080" xr:uid="{00000000-0005-0000-0000-00003A810000}"/>
    <cellStyle name="输入 3 2 3 2 2" xfId="33081" xr:uid="{00000000-0005-0000-0000-00003B810000}"/>
    <cellStyle name="输入 3 2 3 2 3" xfId="33082" xr:uid="{00000000-0005-0000-0000-00003C810000}"/>
    <cellStyle name="输入 3 2 3 3" xfId="33083" xr:uid="{00000000-0005-0000-0000-00003D810000}"/>
    <cellStyle name="输入 3 2 3 3 2" xfId="33084" xr:uid="{00000000-0005-0000-0000-00003E810000}"/>
    <cellStyle name="输入 3 2 3 3 3" xfId="33085" xr:uid="{00000000-0005-0000-0000-00003F810000}"/>
    <cellStyle name="输入 3 2 3 4" xfId="33086" xr:uid="{00000000-0005-0000-0000-000040810000}"/>
    <cellStyle name="输入 3 2 3 5" xfId="33087" xr:uid="{00000000-0005-0000-0000-000041810000}"/>
    <cellStyle name="输入 3 2 30" xfId="33088" xr:uid="{00000000-0005-0000-0000-000042810000}"/>
    <cellStyle name="输入 3 2 31" xfId="33089" xr:uid="{00000000-0005-0000-0000-000043810000}"/>
    <cellStyle name="输入 3 2 32" xfId="33090" xr:uid="{00000000-0005-0000-0000-000044810000}"/>
    <cellStyle name="输入 3 2 33" xfId="33091" xr:uid="{00000000-0005-0000-0000-000045810000}"/>
    <cellStyle name="输入 3 2 34" xfId="33092" xr:uid="{00000000-0005-0000-0000-000046810000}"/>
    <cellStyle name="输入 3 2 35" xfId="33093" xr:uid="{00000000-0005-0000-0000-000047810000}"/>
    <cellStyle name="输入 3 2 4" xfId="33094" xr:uid="{00000000-0005-0000-0000-000048810000}"/>
    <cellStyle name="输入 3 2 4 2" xfId="33095" xr:uid="{00000000-0005-0000-0000-000049810000}"/>
    <cellStyle name="输入 3 2 4 3" xfId="33096" xr:uid="{00000000-0005-0000-0000-00004A810000}"/>
    <cellStyle name="输入 3 2 5" xfId="33097" xr:uid="{00000000-0005-0000-0000-00004B810000}"/>
    <cellStyle name="输入 3 2 5 2" xfId="33098" xr:uid="{00000000-0005-0000-0000-00004C810000}"/>
    <cellStyle name="输入 3 2 5 3" xfId="33099" xr:uid="{00000000-0005-0000-0000-00004D810000}"/>
    <cellStyle name="输入 3 2 6" xfId="33100" xr:uid="{00000000-0005-0000-0000-00004E810000}"/>
    <cellStyle name="输入 3 2 7" xfId="33101" xr:uid="{00000000-0005-0000-0000-00004F810000}"/>
    <cellStyle name="输入 3 2 8" xfId="33102" xr:uid="{00000000-0005-0000-0000-000050810000}"/>
    <cellStyle name="输入 3 2 9" xfId="33103" xr:uid="{00000000-0005-0000-0000-000051810000}"/>
    <cellStyle name="输入 3 3" xfId="33104" xr:uid="{00000000-0005-0000-0000-000052810000}"/>
    <cellStyle name="输入 3 3 2" xfId="33105" xr:uid="{00000000-0005-0000-0000-000053810000}"/>
    <cellStyle name="输入 3 3 2 2" xfId="33106" xr:uid="{00000000-0005-0000-0000-000054810000}"/>
    <cellStyle name="输入 3 3 2 3" xfId="33107" xr:uid="{00000000-0005-0000-0000-000055810000}"/>
    <cellStyle name="输入 3 3 3" xfId="33108" xr:uid="{00000000-0005-0000-0000-000056810000}"/>
    <cellStyle name="输入 3 3 3 2" xfId="33109" xr:uid="{00000000-0005-0000-0000-000057810000}"/>
    <cellStyle name="输入 3 3 3 3" xfId="33110" xr:uid="{00000000-0005-0000-0000-000058810000}"/>
    <cellStyle name="输入 3 3 4" xfId="33111" xr:uid="{00000000-0005-0000-0000-000059810000}"/>
    <cellStyle name="输入 3 3 5" xfId="33112" xr:uid="{00000000-0005-0000-0000-00005A810000}"/>
    <cellStyle name="输入 3 4" xfId="33113" xr:uid="{00000000-0005-0000-0000-00005B810000}"/>
    <cellStyle name="输入 3 4 2" xfId="33114" xr:uid="{00000000-0005-0000-0000-00005C810000}"/>
    <cellStyle name="输入 3 4 3" xfId="33115" xr:uid="{00000000-0005-0000-0000-00005D810000}"/>
    <cellStyle name="输入 3 5" xfId="33116" xr:uid="{00000000-0005-0000-0000-00005E810000}"/>
    <cellStyle name="输入 3 5 2" xfId="33117" xr:uid="{00000000-0005-0000-0000-00005F810000}"/>
    <cellStyle name="输入 3 5 3" xfId="33118" xr:uid="{00000000-0005-0000-0000-000060810000}"/>
    <cellStyle name="输入 3 6" xfId="33119" xr:uid="{00000000-0005-0000-0000-000061810000}"/>
    <cellStyle name="输入 3 7" xfId="33120" xr:uid="{00000000-0005-0000-0000-000062810000}"/>
    <cellStyle name="输入 3 8" xfId="33121" xr:uid="{00000000-0005-0000-0000-000063810000}"/>
    <cellStyle name="输入 3 9" xfId="33122" xr:uid="{00000000-0005-0000-0000-000064810000}"/>
    <cellStyle name="输入 4" xfId="33123" xr:uid="{00000000-0005-0000-0000-000065810000}"/>
    <cellStyle name="输入 4 10" xfId="33124" xr:uid="{00000000-0005-0000-0000-000066810000}"/>
    <cellStyle name="输入 4 11" xfId="33125" xr:uid="{00000000-0005-0000-0000-000067810000}"/>
    <cellStyle name="输入 4 12" xfId="33126" xr:uid="{00000000-0005-0000-0000-000068810000}"/>
    <cellStyle name="输入 4 13" xfId="33127" xr:uid="{00000000-0005-0000-0000-000069810000}"/>
    <cellStyle name="输入 4 14" xfId="33128" xr:uid="{00000000-0005-0000-0000-00006A810000}"/>
    <cellStyle name="输入 4 2" xfId="33129" xr:uid="{00000000-0005-0000-0000-00006B810000}"/>
    <cellStyle name="输入 4 2 10" xfId="33130" xr:uid="{00000000-0005-0000-0000-00006C810000}"/>
    <cellStyle name="输入 4 2 11" xfId="33131" xr:uid="{00000000-0005-0000-0000-00006D810000}"/>
    <cellStyle name="输入 4 2 12" xfId="33132" xr:uid="{00000000-0005-0000-0000-00006E810000}"/>
    <cellStyle name="输入 4 2 13" xfId="33133" xr:uid="{00000000-0005-0000-0000-00006F810000}"/>
    <cellStyle name="输入 4 2 14" xfId="33134" xr:uid="{00000000-0005-0000-0000-000070810000}"/>
    <cellStyle name="输入 4 2 15" xfId="33135" xr:uid="{00000000-0005-0000-0000-000071810000}"/>
    <cellStyle name="输入 4 2 16" xfId="33136" xr:uid="{00000000-0005-0000-0000-000072810000}"/>
    <cellStyle name="输入 4 2 17" xfId="33137" xr:uid="{00000000-0005-0000-0000-000073810000}"/>
    <cellStyle name="输入 4 2 18" xfId="33138" xr:uid="{00000000-0005-0000-0000-000074810000}"/>
    <cellStyle name="输入 4 2 19" xfId="33139" xr:uid="{00000000-0005-0000-0000-000075810000}"/>
    <cellStyle name="输入 4 2 2" xfId="33140" xr:uid="{00000000-0005-0000-0000-000076810000}"/>
    <cellStyle name="输入 4 2 2 2" xfId="33141" xr:uid="{00000000-0005-0000-0000-000077810000}"/>
    <cellStyle name="输入 4 2 2 2 2" xfId="33142" xr:uid="{00000000-0005-0000-0000-000078810000}"/>
    <cellStyle name="输入 4 2 2 2 3" xfId="33143" xr:uid="{00000000-0005-0000-0000-000079810000}"/>
    <cellStyle name="输入 4 2 2 3" xfId="33144" xr:uid="{00000000-0005-0000-0000-00007A810000}"/>
    <cellStyle name="输入 4 2 2 3 2" xfId="33145" xr:uid="{00000000-0005-0000-0000-00007B810000}"/>
    <cellStyle name="输入 4 2 2 3 3" xfId="33146" xr:uid="{00000000-0005-0000-0000-00007C810000}"/>
    <cellStyle name="输入 4 2 2 4" xfId="33147" xr:uid="{00000000-0005-0000-0000-00007D810000}"/>
    <cellStyle name="输入 4 2 2 5" xfId="33148" xr:uid="{00000000-0005-0000-0000-00007E810000}"/>
    <cellStyle name="输入 4 2 20" xfId="33149" xr:uid="{00000000-0005-0000-0000-00007F810000}"/>
    <cellStyle name="输入 4 2 21" xfId="33150" xr:uid="{00000000-0005-0000-0000-000080810000}"/>
    <cellStyle name="输入 4 2 22" xfId="33151" xr:uid="{00000000-0005-0000-0000-000081810000}"/>
    <cellStyle name="输入 4 2 23" xfId="33152" xr:uid="{00000000-0005-0000-0000-000082810000}"/>
    <cellStyle name="输入 4 2 24" xfId="33153" xr:uid="{00000000-0005-0000-0000-000083810000}"/>
    <cellStyle name="输入 4 2 25" xfId="33154" xr:uid="{00000000-0005-0000-0000-000084810000}"/>
    <cellStyle name="输入 4 2 26" xfId="33155" xr:uid="{00000000-0005-0000-0000-000085810000}"/>
    <cellStyle name="输入 4 2 27" xfId="33156" xr:uid="{00000000-0005-0000-0000-000086810000}"/>
    <cellStyle name="输入 4 2 28" xfId="33157" xr:uid="{00000000-0005-0000-0000-000087810000}"/>
    <cellStyle name="输入 4 2 29" xfId="33158" xr:uid="{00000000-0005-0000-0000-000088810000}"/>
    <cellStyle name="输入 4 2 3" xfId="33159" xr:uid="{00000000-0005-0000-0000-000089810000}"/>
    <cellStyle name="输入 4 2 3 2" xfId="33160" xr:uid="{00000000-0005-0000-0000-00008A810000}"/>
    <cellStyle name="输入 4 2 3 2 2" xfId="33161" xr:uid="{00000000-0005-0000-0000-00008B810000}"/>
    <cellStyle name="输入 4 2 3 2 3" xfId="33162" xr:uid="{00000000-0005-0000-0000-00008C810000}"/>
    <cellStyle name="输入 4 2 3 3" xfId="33163" xr:uid="{00000000-0005-0000-0000-00008D810000}"/>
    <cellStyle name="输入 4 2 3 3 2" xfId="33164" xr:uid="{00000000-0005-0000-0000-00008E810000}"/>
    <cellStyle name="输入 4 2 3 3 3" xfId="33165" xr:uid="{00000000-0005-0000-0000-00008F810000}"/>
    <cellStyle name="输入 4 2 3 4" xfId="33166" xr:uid="{00000000-0005-0000-0000-000090810000}"/>
    <cellStyle name="输入 4 2 3 5" xfId="33167" xr:uid="{00000000-0005-0000-0000-000091810000}"/>
    <cellStyle name="输入 4 2 30" xfId="33168" xr:uid="{00000000-0005-0000-0000-000092810000}"/>
    <cellStyle name="输入 4 2 31" xfId="33169" xr:uid="{00000000-0005-0000-0000-000093810000}"/>
    <cellStyle name="输入 4 2 32" xfId="33170" xr:uid="{00000000-0005-0000-0000-000094810000}"/>
    <cellStyle name="输入 4 2 33" xfId="33171" xr:uid="{00000000-0005-0000-0000-000095810000}"/>
    <cellStyle name="输入 4 2 34" xfId="33172" xr:uid="{00000000-0005-0000-0000-000096810000}"/>
    <cellStyle name="输入 4 2 35" xfId="33173" xr:uid="{00000000-0005-0000-0000-000097810000}"/>
    <cellStyle name="输入 4 2 4" xfId="33174" xr:uid="{00000000-0005-0000-0000-000098810000}"/>
    <cellStyle name="输入 4 2 4 2" xfId="33175" xr:uid="{00000000-0005-0000-0000-000099810000}"/>
    <cellStyle name="输入 4 2 4 3" xfId="33176" xr:uid="{00000000-0005-0000-0000-00009A810000}"/>
    <cellStyle name="输入 4 2 5" xfId="33177" xr:uid="{00000000-0005-0000-0000-00009B810000}"/>
    <cellStyle name="输入 4 2 5 2" xfId="33178" xr:uid="{00000000-0005-0000-0000-00009C810000}"/>
    <cellStyle name="输入 4 2 5 3" xfId="33179" xr:uid="{00000000-0005-0000-0000-00009D810000}"/>
    <cellStyle name="输入 4 2 6" xfId="33180" xr:uid="{00000000-0005-0000-0000-00009E810000}"/>
    <cellStyle name="输入 4 2 7" xfId="33181" xr:uid="{00000000-0005-0000-0000-00009F810000}"/>
    <cellStyle name="输入 4 2 8" xfId="33182" xr:uid="{00000000-0005-0000-0000-0000A0810000}"/>
    <cellStyle name="输入 4 2 9" xfId="33183" xr:uid="{00000000-0005-0000-0000-0000A1810000}"/>
    <cellStyle name="输入 4 3" xfId="33184" xr:uid="{00000000-0005-0000-0000-0000A2810000}"/>
    <cellStyle name="输入 4 3 2" xfId="33185" xr:uid="{00000000-0005-0000-0000-0000A3810000}"/>
    <cellStyle name="输入 4 3 2 2" xfId="33186" xr:uid="{00000000-0005-0000-0000-0000A4810000}"/>
    <cellStyle name="输入 4 3 2 3" xfId="33187" xr:uid="{00000000-0005-0000-0000-0000A5810000}"/>
    <cellStyle name="输入 4 3 3" xfId="33188" xr:uid="{00000000-0005-0000-0000-0000A6810000}"/>
    <cellStyle name="输入 4 3 3 2" xfId="33189" xr:uid="{00000000-0005-0000-0000-0000A7810000}"/>
    <cellStyle name="输入 4 3 3 3" xfId="33190" xr:uid="{00000000-0005-0000-0000-0000A8810000}"/>
    <cellStyle name="输入 4 3 4" xfId="33191" xr:uid="{00000000-0005-0000-0000-0000A9810000}"/>
    <cellStyle name="输入 4 3 5" xfId="33192" xr:uid="{00000000-0005-0000-0000-0000AA810000}"/>
    <cellStyle name="输入 4 4" xfId="33193" xr:uid="{00000000-0005-0000-0000-0000AB810000}"/>
    <cellStyle name="输入 4 4 2" xfId="33194" xr:uid="{00000000-0005-0000-0000-0000AC810000}"/>
    <cellStyle name="输入 4 4 3" xfId="33195" xr:uid="{00000000-0005-0000-0000-0000AD810000}"/>
    <cellStyle name="输入 4 5" xfId="33196" xr:uid="{00000000-0005-0000-0000-0000AE810000}"/>
    <cellStyle name="输入 4 5 2" xfId="33197" xr:uid="{00000000-0005-0000-0000-0000AF810000}"/>
    <cellStyle name="输入 4 5 3" xfId="33198" xr:uid="{00000000-0005-0000-0000-0000B0810000}"/>
    <cellStyle name="输入 4 6" xfId="33199" xr:uid="{00000000-0005-0000-0000-0000B1810000}"/>
    <cellStyle name="输入 4 7" xfId="33200" xr:uid="{00000000-0005-0000-0000-0000B2810000}"/>
    <cellStyle name="输入 4 8" xfId="33201" xr:uid="{00000000-0005-0000-0000-0000B3810000}"/>
    <cellStyle name="输入 4 9" xfId="33202" xr:uid="{00000000-0005-0000-0000-0000B4810000}"/>
    <cellStyle name="输入 5" xfId="33203" xr:uid="{00000000-0005-0000-0000-0000B5810000}"/>
    <cellStyle name="输入 5 10" xfId="33204" xr:uid="{00000000-0005-0000-0000-0000B6810000}"/>
    <cellStyle name="输入 5 11" xfId="33205" xr:uid="{00000000-0005-0000-0000-0000B7810000}"/>
    <cellStyle name="输入 5 12" xfId="33206" xr:uid="{00000000-0005-0000-0000-0000B8810000}"/>
    <cellStyle name="输入 5 13" xfId="33207" xr:uid="{00000000-0005-0000-0000-0000B9810000}"/>
    <cellStyle name="输入 5 14" xfId="33208" xr:uid="{00000000-0005-0000-0000-0000BA810000}"/>
    <cellStyle name="输入 5 2" xfId="33209" xr:uid="{00000000-0005-0000-0000-0000BB810000}"/>
    <cellStyle name="输入 5 2 10" xfId="33210" xr:uid="{00000000-0005-0000-0000-0000BC810000}"/>
    <cellStyle name="输入 5 2 11" xfId="33211" xr:uid="{00000000-0005-0000-0000-0000BD810000}"/>
    <cellStyle name="输入 5 2 12" xfId="33212" xr:uid="{00000000-0005-0000-0000-0000BE810000}"/>
    <cellStyle name="输入 5 2 13" xfId="33213" xr:uid="{00000000-0005-0000-0000-0000BF810000}"/>
    <cellStyle name="输入 5 2 14" xfId="33214" xr:uid="{00000000-0005-0000-0000-0000C0810000}"/>
    <cellStyle name="输入 5 2 15" xfId="33215" xr:uid="{00000000-0005-0000-0000-0000C1810000}"/>
    <cellStyle name="输入 5 2 16" xfId="33216" xr:uid="{00000000-0005-0000-0000-0000C2810000}"/>
    <cellStyle name="输入 5 2 17" xfId="33217" xr:uid="{00000000-0005-0000-0000-0000C3810000}"/>
    <cellStyle name="输入 5 2 18" xfId="33218" xr:uid="{00000000-0005-0000-0000-0000C4810000}"/>
    <cellStyle name="输入 5 2 19" xfId="33219" xr:uid="{00000000-0005-0000-0000-0000C5810000}"/>
    <cellStyle name="输入 5 2 2" xfId="33220" xr:uid="{00000000-0005-0000-0000-0000C6810000}"/>
    <cellStyle name="输入 5 2 2 2" xfId="33221" xr:uid="{00000000-0005-0000-0000-0000C7810000}"/>
    <cellStyle name="输入 5 2 2 2 2" xfId="33222" xr:uid="{00000000-0005-0000-0000-0000C8810000}"/>
    <cellStyle name="输入 5 2 2 2 3" xfId="33223" xr:uid="{00000000-0005-0000-0000-0000C9810000}"/>
    <cellStyle name="输入 5 2 2 3" xfId="33224" xr:uid="{00000000-0005-0000-0000-0000CA810000}"/>
    <cellStyle name="输入 5 2 2 3 2" xfId="33225" xr:uid="{00000000-0005-0000-0000-0000CB810000}"/>
    <cellStyle name="输入 5 2 2 3 3" xfId="33226" xr:uid="{00000000-0005-0000-0000-0000CC810000}"/>
    <cellStyle name="输入 5 2 2 4" xfId="33227" xr:uid="{00000000-0005-0000-0000-0000CD810000}"/>
    <cellStyle name="输入 5 2 2 5" xfId="33228" xr:uid="{00000000-0005-0000-0000-0000CE810000}"/>
    <cellStyle name="输入 5 2 20" xfId="33229" xr:uid="{00000000-0005-0000-0000-0000CF810000}"/>
    <cellStyle name="输入 5 2 21" xfId="33230" xr:uid="{00000000-0005-0000-0000-0000D0810000}"/>
    <cellStyle name="输入 5 2 22" xfId="33231" xr:uid="{00000000-0005-0000-0000-0000D1810000}"/>
    <cellStyle name="输入 5 2 23" xfId="33232" xr:uid="{00000000-0005-0000-0000-0000D2810000}"/>
    <cellStyle name="输入 5 2 24" xfId="33233" xr:uid="{00000000-0005-0000-0000-0000D3810000}"/>
    <cellStyle name="输入 5 2 25" xfId="33234" xr:uid="{00000000-0005-0000-0000-0000D4810000}"/>
    <cellStyle name="输入 5 2 26" xfId="33235" xr:uid="{00000000-0005-0000-0000-0000D5810000}"/>
    <cellStyle name="输入 5 2 27" xfId="33236" xr:uid="{00000000-0005-0000-0000-0000D6810000}"/>
    <cellStyle name="输入 5 2 28" xfId="33237" xr:uid="{00000000-0005-0000-0000-0000D7810000}"/>
    <cellStyle name="输入 5 2 29" xfId="33238" xr:uid="{00000000-0005-0000-0000-0000D8810000}"/>
    <cellStyle name="输入 5 2 3" xfId="33239" xr:uid="{00000000-0005-0000-0000-0000D9810000}"/>
    <cellStyle name="输入 5 2 3 2" xfId="33240" xr:uid="{00000000-0005-0000-0000-0000DA810000}"/>
    <cellStyle name="输入 5 2 3 2 2" xfId="33241" xr:uid="{00000000-0005-0000-0000-0000DB810000}"/>
    <cellStyle name="输入 5 2 3 2 3" xfId="33242" xr:uid="{00000000-0005-0000-0000-0000DC810000}"/>
    <cellStyle name="输入 5 2 3 3" xfId="33243" xr:uid="{00000000-0005-0000-0000-0000DD810000}"/>
    <cellStyle name="输入 5 2 3 3 2" xfId="33244" xr:uid="{00000000-0005-0000-0000-0000DE810000}"/>
    <cellStyle name="输入 5 2 3 3 3" xfId="33245" xr:uid="{00000000-0005-0000-0000-0000DF810000}"/>
    <cellStyle name="输入 5 2 3 4" xfId="33246" xr:uid="{00000000-0005-0000-0000-0000E0810000}"/>
    <cellStyle name="输入 5 2 3 5" xfId="33247" xr:uid="{00000000-0005-0000-0000-0000E1810000}"/>
    <cellStyle name="输入 5 2 30" xfId="33248" xr:uid="{00000000-0005-0000-0000-0000E2810000}"/>
    <cellStyle name="输入 5 2 31" xfId="33249" xr:uid="{00000000-0005-0000-0000-0000E3810000}"/>
    <cellStyle name="输入 5 2 32" xfId="33250" xr:uid="{00000000-0005-0000-0000-0000E4810000}"/>
    <cellStyle name="输入 5 2 33" xfId="33251" xr:uid="{00000000-0005-0000-0000-0000E5810000}"/>
    <cellStyle name="输入 5 2 34" xfId="33252" xr:uid="{00000000-0005-0000-0000-0000E6810000}"/>
    <cellStyle name="输入 5 2 35" xfId="33253" xr:uid="{00000000-0005-0000-0000-0000E7810000}"/>
    <cellStyle name="输入 5 2 4" xfId="33254" xr:uid="{00000000-0005-0000-0000-0000E8810000}"/>
    <cellStyle name="输入 5 2 4 2" xfId="33255" xr:uid="{00000000-0005-0000-0000-0000E9810000}"/>
    <cellStyle name="输入 5 2 4 3" xfId="33256" xr:uid="{00000000-0005-0000-0000-0000EA810000}"/>
    <cellStyle name="输入 5 2 5" xfId="33257" xr:uid="{00000000-0005-0000-0000-0000EB810000}"/>
    <cellStyle name="输入 5 2 5 2" xfId="33258" xr:uid="{00000000-0005-0000-0000-0000EC810000}"/>
    <cellStyle name="输入 5 2 5 3" xfId="33259" xr:uid="{00000000-0005-0000-0000-0000ED810000}"/>
    <cellStyle name="输入 5 2 6" xfId="33260" xr:uid="{00000000-0005-0000-0000-0000EE810000}"/>
    <cellStyle name="输入 5 2 7" xfId="33261" xr:uid="{00000000-0005-0000-0000-0000EF810000}"/>
    <cellStyle name="输入 5 2 8" xfId="33262" xr:uid="{00000000-0005-0000-0000-0000F0810000}"/>
    <cellStyle name="输入 5 2 9" xfId="33263" xr:uid="{00000000-0005-0000-0000-0000F1810000}"/>
    <cellStyle name="输入 5 3" xfId="33264" xr:uid="{00000000-0005-0000-0000-0000F2810000}"/>
    <cellStyle name="输入 5 3 2" xfId="33265" xr:uid="{00000000-0005-0000-0000-0000F3810000}"/>
    <cellStyle name="输入 5 3 2 2" xfId="33266" xr:uid="{00000000-0005-0000-0000-0000F4810000}"/>
    <cellStyle name="输入 5 3 2 3" xfId="33267" xr:uid="{00000000-0005-0000-0000-0000F5810000}"/>
    <cellStyle name="输入 5 3 3" xfId="33268" xr:uid="{00000000-0005-0000-0000-0000F6810000}"/>
    <cellStyle name="输入 5 3 3 2" xfId="33269" xr:uid="{00000000-0005-0000-0000-0000F7810000}"/>
    <cellStyle name="输入 5 3 3 3" xfId="33270" xr:uid="{00000000-0005-0000-0000-0000F8810000}"/>
    <cellStyle name="输入 5 3 4" xfId="33271" xr:uid="{00000000-0005-0000-0000-0000F9810000}"/>
    <cellStyle name="输入 5 3 5" xfId="33272" xr:uid="{00000000-0005-0000-0000-0000FA810000}"/>
    <cellStyle name="输入 5 4" xfId="33273" xr:uid="{00000000-0005-0000-0000-0000FB810000}"/>
    <cellStyle name="输入 5 4 2" xfId="33274" xr:uid="{00000000-0005-0000-0000-0000FC810000}"/>
    <cellStyle name="输入 5 4 3" xfId="33275" xr:uid="{00000000-0005-0000-0000-0000FD810000}"/>
    <cellStyle name="输入 5 5" xfId="33276" xr:uid="{00000000-0005-0000-0000-0000FE810000}"/>
    <cellStyle name="输入 5 5 2" xfId="33277" xr:uid="{00000000-0005-0000-0000-0000FF810000}"/>
    <cellStyle name="输入 5 5 3" xfId="33278" xr:uid="{00000000-0005-0000-0000-000000820000}"/>
    <cellStyle name="输入 5 6" xfId="33279" xr:uid="{00000000-0005-0000-0000-000001820000}"/>
    <cellStyle name="输入 5 7" xfId="33280" xr:uid="{00000000-0005-0000-0000-000002820000}"/>
    <cellStyle name="输入 5 8" xfId="33281" xr:uid="{00000000-0005-0000-0000-000003820000}"/>
    <cellStyle name="输入 5 9" xfId="33282" xr:uid="{00000000-0005-0000-0000-000004820000}"/>
    <cellStyle name="输入 6" xfId="33283" xr:uid="{00000000-0005-0000-0000-000005820000}"/>
    <cellStyle name="输入 6 10" xfId="33284" xr:uid="{00000000-0005-0000-0000-000006820000}"/>
    <cellStyle name="输入 6 11" xfId="33285" xr:uid="{00000000-0005-0000-0000-000007820000}"/>
    <cellStyle name="输入 6 12" xfId="33286" xr:uid="{00000000-0005-0000-0000-000008820000}"/>
    <cellStyle name="输入 6 13" xfId="33287" xr:uid="{00000000-0005-0000-0000-000009820000}"/>
    <cellStyle name="输入 6 14" xfId="33288" xr:uid="{00000000-0005-0000-0000-00000A820000}"/>
    <cellStyle name="输入 6 2" xfId="33289" xr:uid="{00000000-0005-0000-0000-00000B820000}"/>
    <cellStyle name="输入 6 2 10" xfId="33290" xr:uid="{00000000-0005-0000-0000-00000C820000}"/>
    <cellStyle name="输入 6 2 11" xfId="33291" xr:uid="{00000000-0005-0000-0000-00000D820000}"/>
    <cellStyle name="输入 6 2 12" xfId="33292" xr:uid="{00000000-0005-0000-0000-00000E820000}"/>
    <cellStyle name="输入 6 2 13" xfId="33293" xr:uid="{00000000-0005-0000-0000-00000F820000}"/>
    <cellStyle name="输入 6 2 14" xfId="33294" xr:uid="{00000000-0005-0000-0000-000010820000}"/>
    <cellStyle name="输入 6 2 15" xfId="33295" xr:uid="{00000000-0005-0000-0000-000011820000}"/>
    <cellStyle name="输入 6 2 16" xfId="33296" xr:uid="{00000000-0005-0000-0000-000012820000}"/>
    <cellStyle name="输入 6 2 17" xfId="33297" xr:uid="{00000000-0005-0000-0000-000013820000}"/>
    <cellStyle name="输入 6 2 18" xfId="33298" xr:uid="{00000000-0005-0000-0000-000014820000}"/>
    <cellStyle name="输入 6 2 19" xfId="33299" xr:uid="{00000000-0005-0000-0000-000015820000}"/>
    <cellStyle name="输入 6 2 2" xfId="33300" xr:uid="{00000000-0005-0000-0000-000016820000}"/>
    <cellStyle name="输入 6 2 2 2" xfId="33301" xr:uid="{00000000-0005-0000-0000-000017820000}"/>
    <cellStyle name="输入 6 2 2 2 2" xfId="33302" xr:uid="{00000000-0005-0000-0000-000018820000}"/>
    <cellStyle name="输入 6 2 2 2 3" xfId="33303" xr:uid="{00000000-0005-0000-0000-000019820000}"/>
    <cellStyle name="输入 6 2 2 3" xfId="33304" xr:uid="{00000000-0005-0000-0000-00001A820000}"/>
    <cellStyle name="输入 6 2 2 3 2" xfId="33305" xr:uid="{00000000-0005-0000-0000-00001B820000}"/>
    <cellStyle name="输入 6 2 2 3 3" xfId="33306" xr:uid="{00000000-0005-0000-0000-00001C820000}"/>
    <cellStyle name="输入 6 2 2 4" xfId="33307" xr:uid="{00000000-0005-0000-0000-00001D820000}"/>
    <cellStyle name="输入 6 2 2 5" xfId="33308" xr:uid="{00000000-0005-0000-0000-00001E820000}"/>
    <cellStyle name="输入 6 2 20" xfId="33309" xr:uid="{00000000-0005-0000-0000-00001F820000}"/>
    <cellStyle name="输入 6 2 21" xfId="33310" xr:uid="{00000000-0005-0000-0000-000020820000}"/>
    <cellStyle name="输入 6 2 22" xfId="33311" xr:uid="{00000000-0005-0000-0000-000021820000}"/>
    <cellStyle name="输入 6 2 23" xfId="33312" xr:uid="{00000000-0005-0000-0000-000022820000}"/>
    <cellStyle name="输入 6 2 24" xfId="33313" xr:uid="{00000000-0005-0000-0000-000023820000}"/>
    <cellStyle name="输入 6 2 25" xfId="33314" xr:uid="{00000000-0005-0000-0000-000024820000}"/>
    <cellStyle name="输入 6 2 26" xfId="33315" xr:uid="{00000000-0005-0000-0000-000025820000}"/>
    <cellStyle name="输入 6 2 27" xfId="33316" xr:uid="{00000000-0005-0000-0000-000026820000}"/>
    <cellStyle name="输入 6 2 28" xfId="33317" xr:uid="{00000000-0005-0000-0000-000027820000}"/>
    <cellStyle name="输入 6 2 29" xfId="33318" xr:uid="{00000000-0005-0000-0000-000028820000}"/>
    <cellStyle name="输入 6 2 3" xfId="33319" xr:uid="{00000000-0005-0000-0000-000029820000}"/>
    <cellStyle name="输入 6 2 3 2" xfId="33320" xr:uid="{00000000-0005-0000-0000-00002A820000}"/>
    <cellStyle name="输入 6 2 3 2 2" xfId="33321" xr:uid="{00000000-0005-0000-0000-00002B820000}"/>
    <cellStyle name="输入 6 2 3 2 3" xfId="33322" xr:uid="{00000000-0005-0000-0000-00002C820000}"/>
    <cellStyle name="输入 6 2 3 3" xfId="33323" xr:uid="{00000000-0005-0000-0000-00002D820000}"/>
    <cellStyle name="输入 6 2 3 3 2" xfId="33324" xr:uid="{00000000-0005-0000-0000-00002E820000}"/>
    <cellStyle name="输入 6 2 3 3 3" xfId="33325" xr:uid="{00000000-0005-0000-0000-00002F820000}"/>
    <cellStyle name="输入 6 2 3 4" xfId="33326" xr:uid="{00000000-0005-0000-0000-000030820000}"/>
    <cellStyle name="输入 6 2 3 5" xfId="33327" xr:uid="{00000000-0005-0000-0000-000031820000}"/>
    <cellStyle name="输入 6 2 30" xfId="33328" xr:uid="{00000000-0005-0000-0000-000032820000}"/>
    <cellStyle name="输入 6 2 31" xfId="33329" xr:uid="{00000000-0005-0000-0000-000033820000}"/>
    <cellStyle name="输入 6 2 32" xfId="33330" xr:uid="{00000000-0005-0000-0000-000034820000}"/>
    <cellStyle name="输入 6 2 33" xfId="33331" xr:uid="{00000000-0005-0000-0000-000035820000}"/>
    <cellStyle name="输入 6 2 34" xfId="33332" xr:uid="{00000000-0005-0000-0000-000036820000}"/>
    <cellStyle name="输入 6 2 35" xfId="33333" xr:uid="{00000000-0005-0000-0000-000037820000}"/>
    <cellStyle name="输入 6 2 4" xfId="33334" xr:uid="{00000000-0005-0000-0000-000038820000}"/>
    <cellStyle name="输入 6 2 4 2" xfId="33335" xr:uid="{00000000-0005-0000-0000-000039820000}"/>
    <cellStyle name="输入 6 2 4 3" xfId="33336" xr:uid="{00000000-0005-0000-0000-00003A820000}"/>
    <cellStyle name="输入 6 2 5" xfId="33337" xr:uid="{00000000-0005-0000-0000-00003B820000}"/>
    <cellStyle name="输入 6 2 5 2" xfId="33338" xr:uid="{00000000-0005-0000-0000-00003C820000}"/>
    <cellStyle name="输入 6 2 5 3" xfId="33339" xr:uid="{00000000-0005-0000-0000-00003D820000}"/>
    <cellStyle name="输入 6 2 6" xfId="33340" xr:uid="{00000000-0005-0000-0000-00003E820000}"/>
    <cellStyle name="输入 6 2 7" xfId="33341" xr:uid="{00000000-0005-0000-0000-00003F820000}"/>
    <cellStyle name="输入 6 2 8" xfId="33342" xr:uid="{00000000-0005-0000-0000-000040820000}"/>
    <cellStyle name="输入 6 2 9" xfId="33343" xr:uid="{00000000-0005-0000-0000-000041820000}"/>
    <cellStyle name="输入 6 3" xfId="33344" xr:uid="{00000000-0005-0000-0000-000042820000}"/>
    <cellStyle name="输入 6 3 2" xfId="33345" xr:uid="{00000000-0005-0000-0000-000043820000}"/>
    <cellStyle name="输入 6 3 2 2" xfId="33346" xr:uid="{00000000-0005-0000-0000-000044820000}"/>
    <cellStyle name="输入 6 3 2 3" xfId="33347" xr:uid="{00000000-0005-0000-0000-000045820000}"/>
    <cellStyle name="输入 6 3 3" xfId="33348" xr:uid="{00000000-0005-0000-0000-000046820000}"/>
    <cellStyle name="输入 6 3 3 2" xfId="33349" xr:uid="{00000000-0005-0000-0000-000047820000}"/>
    <cellStyle name="输入 6 3 3 3" xfId="33350" xr:uid="{00000000-0005-0000-0000-000048820000}"/>
    <cellStyle name="输入 6 3 4" xfId="33351" xr:uid="{00000000-0005-0000-0000-000049820000}"/>
    <cellStyle name="输入 6 3 5" xfId="33352" xr:uid="{00000000-0005-0000-0000-00004A820000}"/>
    <cellStyle name="输入 6 4" xfId="33353" xr:uid="{00000000-0005-0000-0000-00004B820000}"/>
    <cellStyle name="输入 6 4 2" xfId="33354" xr:uid="{00000000-0005-0000-0000-00004C820000}"/>
    <cellStyle name="输入 6 4 3" xfId="33355" xr:uid="{00000000-0005-0000-0000-00004D820000}"/>
    <cellStyle name="输入 6 5" xfId="33356" xr:uid="{00000000-0005-0000-0000-00004E820000}"/>
    <cellStyle name="输入 6 5 2" xfId="33357" xr:uid="{00000000-0005-0000-0000-00004F820000}"/>
    <cellStyle name="输入 6 5 3" xfId="33358" xr:uid="{00000000-0005-0000-0000-000050820000}"/>
    <cellStyle name="输入 6 6" xfId="33359" xr:uid="{00000000-0005-0000-0000-000051820000}"/>
    <cellStyle name="输入 6 7" xfId="33360" xr:uid="{00000000-0005-0000-0000-000052820000}"/>
    <cellStyle name="输入 6 8" xfId="33361" xr:uid="{00000000-0005-0000-0000-000053820000}"/>
    <cellStyle name="输入 6 9" xfId="33362" xr:uid="{00000000-0005-0000-0000-000054820000}"/>
    <cellStyle name="输入 7" xfId="33363" xr:uid="{00000000-0005-0000-0000-000055820000}"/>
    <cellStyle name="输入 7 10" xfId="33364" xr:uid="{00000000-0005-0000-0000-000056820000}"/>
    <cellStyle name="输入 7 11" xfId="33365" xr:uid="{00000000-0005-0000-0000-000057820000}"/>
    <cellStyle name="输入 7 12" xfId="33366" xr:uid="{00000000-0005-0000-0000-000058820000}"/>
    <cellStyle name="输入 7 13" xfId="33367" xr:uid="{00000000-0005-0000-0000-000059820000}"/>
    <cellStyle name="输入 7 14" xfId="33368" xr:uid="{00000000-0005-0000-0000-00005A820000}"/>
    <cellStyle name="输入 7 15" xfId="33369" xr:uid="{00000000-0005-0000-0000-00005B820000}"/>
    <cellStyle name="输入 7 16" xfId="33370" xr:uid="{00000000-0005-0000-0000-00005C820000}"/>
    <cellStyle name="输入 7 17" xfId="33371" xr:uid="{00000000-0005-0000-0000-00005D820000}"/>
    <cellStyle name="输入 7 18" xfId="33372" xr:uid="{00000000-0005-0000-0000-00005E820000}"/>
    <cellStyle name="输入 7 19" xfId="33373" xr:uid="{00000000-0005-0000-0000-00005F820000}"/>
    <cellStyle name="输入 7 2" xfId="33374" xr:uid="{00000000-0005-0000-0000-000060820000}"/>
    <cellStyle name="输入 7 2 2" xfId="33375" xr:uid="{00000000-0005-0000-0000-000061820000}"/>
    <cellStyle name="输入 7 2 2 2" xfId="33376" xr:uid="{00000000-0005-0000-0000-000062820000}"/>
    <cellStyle name="输入 7 2 2 3" xfId="33377" xr:uid="{00000000-0005-0000-0000-000063820000}"/>
    <cellStyle name="输入 7 2 3" xfId="33378" xr:uid="{00000000-0005-0000-0000-000064820000}"/>
    <cellStyle name="输入 7 2 3 2" xfId="33379" xr:uid="{00000000-0005-0000-0000-000065820000}"/>
    <cellStyle name="输入 7 2 3 3" xfId="33380" xr:uid="{00000000-0005-0000-0000-000066820000}"/>
    <cellStyle name="输入 7 2 4" xfId="33381" xr:uid="{00000000-0005-0000-0000-000067820000}"/>
    <cellStyle name="输入 7 2 5" xfId="33382" xr:uid="{00000000-0005-0000-0000-000068820000}"/>
    <cellStyle name="输入 7 20" xfId="33383" xr:uid="{00000000-0005-0000-0000-000069820000}"/>
    <cellStyle name="输入 7 21" xfId="33384" xr:uid="{00000000-0005-0000-0000-00006A820000}"/>
    <cellStyle name="输入 7 22" xfId="33385" xr:uid="{00000000-0005-0000-0000-00006B820000}"/>
    <cellStyle name="输入 7 23" xfId="33386" xr:uid="{00000000-0005-0000-0000-00006C820000}"/>
    <cellStyle name="输入 7 24" xfId="33387" xr:uid="{00000000-0005-0000-0000-00006D820000}"/>
    <cellStyle name="输入 7 25" xfId="33388" xr:uid="{00000000-0005-0000-0000-00006E820000}"/>
    <cellStyle name="输入 7 26" xfId="33389" xr:uid="{00000000-0005-0000-0000-00006F820000}"/>
    <cellStyle name="输入 7 27" xfId="33390" xr:uid="{00000000-0005-0000-0000-000070820000}"/>
    <cellStyle name="输入 7 28" xfId="33391" xr:uid="{00000000-0005-0000-0000-000071820000}"/>
    <cellStyle name="输入 7 29" xfId="33392" xr:uid="{00000000-0005-0000-0000-000072820000}"/>
    <cellStyle name="输入 7 3" xfId="33393" xr:uid="{00000000-0005-0000-0000-000073820000}"/>
    <cellStyle name="输入 7 3 2" xfId="33394" xr:uid="{00000000-0005-0000-0000-000074820000}"/>
    <cellStyle name="输入 7 3 2 2" xfId="33395" xr:uid="{00000000-0005-0000-0000-000075820000}"/>
    <cellStyle name="输入 7 3 2 3" xfId="33396" xr:uid="{00000000-0005-0000-0000-000076820000}"/>
    <cellStyle name="输入 7 3 3" xfId="33397" xr:uid="{00000000-0005-0000-0000-000077820000}"/>
    <cellStyle name="输入 7 3 3 2" xfId="33398" xr:uid="{00000000-0005-0000-0000-000078820000}"/>
    <cellStyle name="输入 7 3 3 3" xfId="33399" xr:uid="{00000000-0005-0000-0000-000079820000}"/>
    <cellStyle name="输入 7 3 4" xfId="33400" xr:uid="{00000000-0005-0000-0000-00007A820000}"/>
    <cellStyle name="输入 7 3 5" xfId="33401" xr:uid="{00000000-0005-0000-0000-00007B820000}"/>
    <cellStyle name="输入 7 30" xfId="33402" xr:uid="{00000000-0005-0000-0000-00007C820000}"/>
    <cellStyle name="输入 7 31" xfId="33403" xr:uid="{00000000-0005-0000-0000-00007D820000}"/>
    <cellStyle name="输入 7 32" xfId="33404" xr:uid="{00000000-0005-0000-0000-00007E820000}"/>
    <cellStyle name="输入 7 33" xfId="33405" xr:uid="{00000000-0005-0000-0000-00007F820000}"/>
    <cellStyle name="输入 7 34" xfId="33406" xr:uid="{00000000-0005-0000-0000-000080820000}"/>
    <cellStyle name="输入 7 35" xfId="33407" xr:uid="{00000000-0005-0000-0000-000081820000}"/>
    <cellStyle name="输入 7 4" xfId="33408" xr:uid="{00000000-0005-0000-0000-000082820000}"/>
    <cellStyle name="输入 7 4 2" xfId="33409" xr:uid="{00000000-0005-0000-0000-000083820000}"/>
    <cellStyle name="输入 7 4 3" xfId="33410" xr:uid="{00000000-0005-0000-0000-000084820000}"/>
    <cellStyle name="输入 7 5" xfId="33411" xr:uid="{00000000-0005-0000-0000-000085820000}"/>
    <cellStyle name="输入 7 5 2" xfId="33412" xr:uid="{00000000-0005-0000-0000-000086820000}"/>
    <cellStyle name="输入 7 5 3" xfId="33413" xr:uid="{00000000-0005-0000-0000-000087820000}"/>
    <cellStyle name="输入 7 6" xfId="33414" xr:uid="{00000000-0005-0000-0000-000088820000}"/>
    <cellStyle name="输入 7 7" xfId="33415" xr:uid="{00000000-0005-0000-0000-000089820000}"/>
    <cellStyle name="输入 7 8" xfId="33416" xr:uid="{00000000-0005-0000-0000-00008A820000}"/>
    <cellStyle name="输入 7 9" xfId="33417" xr:uid="{00000000-0005-0000-0000-00008B820000}"/>
    <cellStyle name="输入 8" xfId="33418" xr:uid="{00000000-0005-0000-0000-00008C820000}"/>
    <cellStyle name="输入 8 2" xfId="33419" xr:uid="{00000000-0005-0000-0000-00008D820000}"/>
    <cellStyle name="输入 8 2 2" xfId="33420" xr:uid="{00000000-0005-0000-0000-00008E820000}"/>
    <cellStyle name="输入 8 2 3" xfId="33421" xr:uid="{00000000-0005-0000-0000-00008F820000}"/>
    <cellStyle name="输入 8 3" xfId="33422" xr:uid="{00000000-0005-0000-0000-000090820000}"/>
    <cellStyle name="输入 8 3 2" xfId="33423" xr:uid="{00000000-0005-0000-0000-000091820000}"/>
    <cellStyle name="输入 8 3 3" xfId="33424" xr:uid="{00000000-0005-0000-0000-000092820000}"/>
    <cellStyle name="输入 8 4" xfId="33425" xr:uid="{00000000-0005-0000-0000-000093820000}"/>
    <cellStyle name="输入 8 5" xfId="33426" xr:uid="{00000000-0005-0000-0000-000094820000}"/>
    <cellStyle name="输入 9" xfId="33427" xr:uid="{00000000-0005-0000-0000-000095820000}"/>
    <cellStyle name="输入 9 2" xfId="33428" xr:uid="{00000000-0005-0000-0000-000096820000}"/>
    <cellStyle name="输入 9 3" xfId="33429" xr:uid="{00000000-0005-0000-0000-000097820000}"/>
    <cellStyle name="输出" xfId="33430" xr:uid="{00000000-0005-0000-0000-000098820000}"/>
    <cellStyle name="输出 10" xfId="33431" xr:uid="{00000000-0005-0000-0000-000099820000}"/>
    <cellStyle name="输出 11" xfId="33432" xr:uid="{00000000-0005-0000-0000-00009A820000}"/>
    <cellStyle name="输出 12" xfId="33433" xr:uid="{00000000-0005-0000-0000-00009B820000}"/>
    <cellStyle name="输出 13" xfId="33434" xr:uid="{00000000-0005-0000-0000-00009C820000}"/>
    <cellStyle name="输出 14" xfId="33435" xr:uid="{00000000-0005-0000-0000-00009D820000}"/>
    <cellStyle name="输出 15" xfId="33436" xr:uid="{00000000-0005-0000-0000-00009E820000}"/>
    <cellStyle name="输出 16" xfId="33437" xr:uid="{00000000-0005-0000-0000-00009F820000}"/>
    <cellStyle name="输出 17" xfId="33438" xr:uid="{00000000-0005-0000-0000-0000A0820000}"/>
    <cellStyle name="输出 18" xfId="33439" xr:uid="{00000000-0005-0000-0000-0000A1820000}"/>
    <cellStyle name="输出 19" xfId="33440" xr:uid="{00000000-0005-0000-0000-0000A2820000}"/>
    <cellStyle name="输出 2" xfId="33441" xr:uid="{00000000-0005-0000-0000-0000A3820000}"/>
    <cellStyle name="输出 2 10" xfId="33442" xr:uid="{00000000-0005-0000-0000-0000A4820000}"/>
    <cellStyle name="输出 2 11" xfId="33443" xr:uid="{00000000-0005-0000-0000-0000A5820000}"/>
    <cellStyle name="输出 2 12" xfId="33444" xr:uid="{00000000-0005-0000-0000-0000A6820000}"/>
    <cellStyle name="输出 2 13" xfId="33445" xr:uid="{00000000-0005-0000-0000-0000A7820000}"/>
    <cellStyle name="输出 2 14" xfId="33446" xr:uid="{00000000-0005-0000-0000-0000A8820000}"/>
    <cellStyle name="输出 2 15" xfId="33447" xr:uid="{00000000-0005-0000-0000-0000A9820000}"/>
    <cellStyle name="输出 2 16" xfId="33448" xr:uid="{00000000-0005-0000-0000-0000AA820000}"/>
    <cellStyle name="输出 2 17" xfId="33449" xr:uid="{00000000-0005-0000-0000-0000AB820000}"/>
    <cellStyle name="输出 2 18" xfId="33450" xr:uid="{00000000-0005-0000-0000-0000AC820000}"/>
    <cellStyle name="输出 2 19" xfId="33451" xr:uid="{00000000-0005-0000-0000-0000AD820000}"/>
    <cellStyle name="输出 2 2" xfId="33452" xr:uid="{00000000-0005-0000-0000-0000AE820000}"/>
    <cellStyle name="输出 2 2 10" xfId="33453" xr:uid="{00000000-0005-0000-0000-0000AF820000}"/>
    <cellStyle name="输出 2 2 11" xfId="33454" xr:uid="{00000000-0005-0000-0000-0000B0820000}"/>
    <cellStyle name="输出 2 2 12" xfId="33455" xr:uid="{00000000-0005-0000-0000-0000B1820000}"/>
    <cellStyle name="输出 2 2 13" xfId="33456" xr:uid="{00000000-0005-0000-0000-0000B2820000}"/>
    <cellStyle name="输出 2 2 14" xfId="33457" xr:uid="{00000000-0005-0000-0000-0000B3820000}"/>
    <cellStyle name="输出 2 2 15" xfId="33458" xr:uid="{00000000-0005-0000-0000-0000B4820000}"/>
    <cellStyle name="输出 2 2 16" xfId="33459" xr:uid="{00000000-0005-0000-0000-0000B5820000}"/>
    <cellStyle name="输出 2 2 17" xfId="33460" xr:uid="{00000000-0005-0000-0000-0000B6820000}"/>
    <cellStyle name="输出 2 2 18" xfId="33461" xr:uid="{00000000-0005-0000-0000-0000B7820000}"/>
    <cellStyle name="输出 2 2 19" xfId="33462" xr:uid="{00000000-0005-0000-0000-0000B8820000}"/>
    <cellStyle name="输出 2 2 2" xfId="33463" xr:uid="{00000000-0005-0000-0000-0000B9820000}"/>
    <cellStyle name="输出 2 2 20" xfId="33464" xr:uid="{00000000-0005-0000-0000-0000BA820000}"/>
    <cellStyle name="输出 2 2 21" xfId="33465" xr:uid="{00000000-0005-0000-0000-0000BB820000}"/>
    <cellStyle name="输出 2 2 22" xfId="33466" xr:uid="{00000000-0005-0000-0000-0000BC820000}"/>
    <cellStyle name="输出 2 2 23" xfId="33467" xr:uid="{00000000-0005-0000-0000-0000BD820000}"/>
    <cellStyle name="输出 2 2 24" xfId="33468" xr:uid="{00000000-0005-0000-0000-0000BE820000}"/>
    <cellStyle name="输出 2 2 25" xfId="33469" xr:uid="{00000000-0005-0000-0000-0000BF820000}"/>
    <cellStyle name="输出 2 2 26" xfId="33470" xr:uid="{00000000-0005-0000-0000-0000C0820000}"/>
    <cellStyle name="输出 2 2 27" xfId="33471" xr:uid="{00000000-0005-0000-0000-0000C1820000}"/>
    <cellStyle name="输出 2 2 28" xfId="33472" xr:uid="{00000000-0005-0000-0000-0000C2820000}"/>
    <cellStyle name="输出 2 2 29" xfId="33473" xr:uid="{00000000-0005-0000-0000-0000C3820000}"/>
    <cellStyle name="输出 2 2 3" xfId="33474" xr:uid="{00000000-0005-0000-0000-0000C4820000}"/>
    <cellStyle name="输出 2 2 30" xfId="33475" xr:uid="{00000000-0005-0000-0000-0000C5820000}"/>
    <cellStyle name="输出 2 2 31" xfId="33476" xr:uid="{00000000-0005-0000-0000-0000C6820000}"/>
    <cellStyle name="输出 2 2 32" xfId="33477" xr:uid="{00000000-0005-0000-0000-0000C7820000}"/>
    <cellStyle name="输出 2 2 33" xfId="33478" xr:uid="{00000000-0005-0000-0000-0000C8820000}"/>
    <cellStyle name="输出 2 2 34" xfId="33479" xr:uid="{00000000-0005-0000-0000-0000C9820000}"/>
    <cellStyle name="输出 2 2 4" xfId="33480" xr:uid="{00000000-0005-0000-0000-0000CA820000}"/>
    <cellStyle name="输出 2 2 5" xfId="33481" xr:uid="{00000000-0005-0000-0000-0000CB820000}"/>
    <cellStyle name="输出 2 2 6" xfId="33482" xr:uid="{00000000-0005-0000-0000-0000CC820000}"/>
    <cellStyle name="输出 2 2 7" xfId="33483" xr:uid="{00000000-0005-0000-0000-0000CD820000}"/>
    <cellStyle name="输出 2 2 8" xfId="33484" xr:uid="{00000000-0005-0000-0000-0000CE820000}"/>
    <cellStyle name="输出 2 2 9" xfId="33485" xr:uid="{00000000-0005-0000-0000-0000CF820000}"/>
    <cellStyle name="输出 2 20" xfId="33486" xr:uid="{00000000-0005-0000-0000-0000D0820000}"/>
    <cellStyle name="输出 2 3" xfId="33487" xr:uid="{00000000-0005-0000-0000-0000D1820000}"/>
    <cellStyle name="输出 2 3 2" xfId="33488" xr:uid="{00000000-0005-0000-0000-0000D2820000}"/>
    <cellStyle name="输出 2 3 3" xfId="33489" xr:uid="{00000000-0005-0000-0000-0000D3820000}"/>
    <cellStyle name="输出 2 4" xfId="33490" xr:uid="{00000000-0005-0000-0000-0000D4820000}"/>
    <cellStyle name="输出 2 5" xfId="33491" xr:uid="{00000000-0005-0000-0000-0000D5820000}"/>
    <cellStyle name="输出 2 6" xfId="33492" xr:uid="{00000000-0005-0000-0000-0000D6820000}"/>
    <cellStyle name="输出 2 7" xfId="33493" xr:uid="{00000000-0005-0000-0000-0000D7820000}"/>
    <cellStyle name="输出 2 8" xfId="33494" xr:uid="{00000000-0005-0000-0000-0000D8820000}"/>
    <cellStyle name="输出 2 9" xfId="33495" xr:uid="{00000000-0005-0000-0000-0000D9820000}"/>
    <cellStyle name="输出 20" xfId="33496" xr:uid="{00000000-0005-0000-0000-0000DA820000}"/>
    <cellStyle name="输出 21" xfId="33497" xr:uid="{00000000-0005-0000-0000-0000DB820000}"/>
    <cellStyle name="输出 22" xfId="33498" xr:uid="{00000000-0005-0000-0000-0000DC820000}"/>
    <cellStyle name="输出 23" xfId="33499" xr:uid="{00000000-0005-0000-0000-0000DD820000}"/>
    <cellStyle name="输出 24" xfId="33500" xr:uid="{00000000-0005-0000-0000-0000DE820000}"/>
    <cellStyle name="输出 25" xfId="33501" xr:uid="{00000000-0005-0000-0000-0000DF820000}"/>
    <cellStyle name="输出 3" xfId="33502" xr:uid="{00000000-0005-0000-0000-0000E0820000}"/>
    <cellStyle name="输出 3 10" xfId="33503" xr:uid="{00000000-0005-0000-0000-0000E1820000}"/>
    <cellStyle name="输出 3 11" xfId="33504" xr:uid="{00000000-0005-0000-0000-0000E2820000}"/>
    <cellStyle name="输出 3 12" xfId="33505" xr:uid="{00000000-0005-0000-0000-0000E3820000}"/>
    <cellStyle name="输出 3 13" xfId="33506" xr:uid="{00000000-0005-0000-0000-0000E4820000}"/>
    <cellStyle name="输出 3 14" xfId="33507" xr:uid="{00000000-0005-0000-0000-0000E5820000}"/>
    <cellStyle name="输出 3 15" xfId="33508" xr:uid="{00000000-0005-0000-0000-0000E6820000}"/>
    <cellStyle name="输出 3 16" xfId="33509" xr:uid="{00000000-0005-0000-0000-0000E7820000}"/>
    <cellStyle name="输出 3 17" xfId="33510" xr:uid="{00000000-0005-0000-0000-0000E8820000}"/>
    <cellStyle name="输出 3 18" xfId="33511" xr:uid="{00000000-0005-0000-0000-0000E9820000}"/>
    <cellStyle name="输出 3 19" xfId="33512" xr:uid="{00000000-0005-0000-0000-0000EA820000}"/>
    <cellStyle name="输出 3 2" xfId="33513" xr:uid="{00000000-0005-0000-0000-0000EB820000}"/>
    <cellStyle name="输出 3 2 10" xfId="33514" xr:uid="{00000000-0005-0000-0000-0000EC820000}"/>
    <cellStyle name="输出 3 2 11" xfId="33515" xr:uid="{00000000-0005-0000-0000-0000ED820000}"/>
    <cellStyle name="输出 3 2 12" xfId="33516" xr:uid="{00000000-0005-0000-0000-0000EE820000}"/>
    <cellStyle name="输出 3 2 13" xfId="33517" xr:uid="{00000000-0005-0000-0000-0000EF820000}"/>
    <cellStyle name="输出 3 2 14" xfId="33518" xr:uid="{00000000-0005-0000-0000-0000F0820000}"/>
    <cellStyle name="输出 3 2 15" xfId="33519" xr:uid="{00000000-0005-0000-0000-0000F1820000}"/>
    <cellStyle name="输出 3 2 16" xfId="33520" xr:uid="{00000000-0005-0000-0000-0000F2820000}"/>
    <cellStyle name="输出 3 2 17" xfId="33521" xr:uid="{00000000-0005-0000-0000-0000F3820000}"/>
    <cellStyle name="输出 3 2 18" xfId="33522" xr:uid="{00000000-0005-0000-0000-0000F4820000}"/>
    <cellStyle name="输出 3 2 19" xfId="33523" xr:uid="{00000000-0005-0000-0000-0000F5820000}"/>
    <cellStyle name="输出 3 2 2" xfId="33524" xr:uid="{00000000-0005-0000-0000-0000F6820000}"/>
    <cellStyle name="输出 3 2 20" xfId="33525" xr:uid="{00000000-0005-0000-0000-0000F7820000}"/>
    <cellStyle name="输出 3 2 21" xfId="33526" xr:uid="{00000000-0005-0000-0000-0000F8820000}"/>
    <cellStyle name="输出 3 2 22" xfId="33527" xr:uid="{00000000-0005-0000-0000-0000F9820000}"/>
    <cellStyle name="输出 3 2 23" xfId="33528" xr:uid="{00000000-0005-0000-0000-0000FA820000}"/>
    <cellStyle name="输出 3 2 24" xfId="33529" xr:uid="{00000000-0005-0000-0000-0000FB820000}"/>
    <cellStyle name="输出 3 2 25" xfId="33530" xr:uid="{00000000-0005-0000-0000-0000FC820000}"/>
    <cellStyle name="输出 3 2 26" xfId="33531" xr:uid="{00000000-0005-0000-0000-0000FD820000}"/>
    <cellStyle name="输出 3 2 27" xfId="33532" xr:uid="{00000000-0005-0000-0000-0000FE820000}"/>
    <cellStyle name="输出 3 2 28" xfId="33533" xr:uid="{00000000-0005-0000-0000-0000FF820000}"/>
    <cellStyle name="输出 3 2 29" xfId="33534" xr:uid="{00000000-0005-0000-0000-000000830000}"/>
    <cellStyle name="输出 3 2 3" xfId="33535" xr:uid="{00000000-0005-0000-0000-000001830000}"/>
    <cellStyle name="输出 3 2 30" xfId="33536" xr:uid="{00000000-0005-0000-0000-000002830000}"/>
    <cellStyle name="输出 3 2 31" xfId="33537" xr:uid="{00000000-0005-0000-0000-000003830000}"/>
    <cellStyle name="输出 3 2 32" xfId="33538" xr:uid="{00000000-0005-0000-0000-000004830000}"/>
    <cellStyle name="输出 3 2 33" xfId="33539" xr:uid="{00000000-0005-0000-0000-000005830000}"/>
    <cellStyle name="输出 3 2 34" xfId="33540" xr:uid="{00000000-0005-0000-0000-000006830000}"/>
    <cellStyle name="输出 3 2 4" xfId="33541" xr:uid="{00000000-0005-0000-0000-000007830000}"/>
    <cellStyle name="输出 3 2 5" xfId="33542" xr:uid="{00000000-0005-0000-0000-000008830000}"/>
    <cellStyle name="输出 3 2 6" xfId="33543" xr:uid="{00000000-0005-0000-0000-000009830000}"/>
    <cellStyle name="输出 3 2 7" xfId="33544" xr:uid="{00000000-0005-0000-0000-00000A830000}"/>
    <cellStyle name="输出 3 2 8" xfId="33545" xr:uid="{00000000-0005-0000-0000-00000B830000}"/>
    <cellStyle name="输出 3 2 9" xfId="33546" xr:uid="{00000000-0005-0000-0000-00000C830000}"/>
    <cellStyle name="输出 3 20" xfId="33547" xr:uid="{00000000-0005-0000-0000-00000D830000}"/>
    <cellStyle name="输出 3 3" xfId="33548" xr:uid="{00000000-0005-0000-0000-00000E830000}"/>
    <cellStyle name="输出 3 3 2" xfId="33549" xr:uid="{00000000-0005-0000-0000-00000F830000}"/>
    <cellStyle name="输出 3 3 3" xfId="33550" xr:uid="{00000000-0005-0000-0000-000010830000}"/>
    <cellStyle name="输出 3 4" xfId="33551" xr:uid="{00000000-0005-0000-0000-000011830000}"/>
    <cellStyle name="输出 3 5" xfId="33552" xr:uid="{00000000-0005-0000-0000-000012830000}"/>
    <cellStyle name="输出 3 6" xfId="33553" xr:uid="{00000000-0005-0000-0000-000013830000}"/>
    <cellStyle name="输出 3 7" xfId="33554" xr:uid="{00000000-0005-0000-0000-000014830000}"/>
    <cellStyle name="输出 3 8" xfId="33555" xr:uid="{00000000-0005-0000-0000-000015830000}"/>
    <cellStyle name="输出 3 9" xfId="33556" xr:uid="{00000000-0005-0000-0000-000016830000}"/>
    <cellStyle name="输出 4" xfId="33557" xr:uid="{00000000-0005-0000-0000-000017830000}"/>
    <cellStyle name="输出 4 10" xfId="33558" xr:uid="{00000000-0005-0000-0000-000018830000}"/>
    <cellStyle name="输出 4 11" xfId="33559" xr:uid="{00000000-0005-0000-0000-000019830000}"/>
    <cellStyle name="输出 4 12" xfId="33560" xr:uid="{00000000-0005-0000-0000-00001A830000}"/>
    <cellStyle name="输出 4 13" xfId="33561" xr:uid="{00000000-0005-0000-0000-00001B830000}"/>
    <cellStyle name="输出 4 14" xfId="33562" xr:uid="{00000000-0005-0000-0000-00001C830000}"/>
    <cellStyle name="输出 4 15" xfId="33563" xr:uid="{00000000-0005-0000-0000-00001D830000}"/>
    <cellStyle name="输出 4 16" xfId="33564" xr:uid="{00000000-0005-0000-0000-00001E830000}"/>
    <cellStyle name="输出 4 17" xfId="33565" xr:uid="{00000000-0005-0000-0000-00001F830000}"/>
    <cellStyle name="输出 4 18" xfId="33566" xr:uid="{00000000-0005-0000-0000-000020830000}"/>
    <cellStyle name="输出 4 19" xfId="33567" xr:uid="{00000000-0005-0000-0000-000021830000}"/>
    <cellStyle name="输出 4 2" xfId="33568" xr:uid="{00000000-0005-0000-0000-000022830000}"/>
    <cellStyle name="输出 4 2 10" xfId="33569" xr:uid="{00000000-0005-0000-0000-000023830000}"/>
    <cellStyle name="输出 4 2 11" xfId="33570" xr:uid="{00000000-0005-0000-0000-000024830000}"/>
    <cellStyle name="输出 4 2 12" xfId="33571" xr:uid="{00000000-0005-0000-0000-000025830000}"/>
    <cellStyle name="输出 4 2 13" xfId="33572" xr:uid="{00000000-0005-0000-0000-000026830000}"/>
    <cellStyle name="输出 4 2 14" xfId="33573" xr:uid="{00000000-0005-0000-0000-000027830000}"/>
    <cellStyle name="输出 4 2 15" xfId="33574" xr:uid="{00000000-0005-0000-0000-000028830000}"/>
    <cellStyle name="输出 4 2 16" xfId="33575" xr:uid="{00000000-0005-0000-0000-000029830000}"/>
    <cellStyle name="输出 4 2 17" xfId="33576" xr:uid="{00000000-0005-0000-0000-00002A830000}"/>
    <cellStyle name="输出 4 2 18" xfId="33577" xr:uid="{00000000-0005-0000-0000-00002B830000}"/>
    <cellStyle name="输出 4 2 19" xfId="33578" xr:uid="{00000000-0005-0000-0000-00002C830000}"/>
    <cellStyle name="输出 4 2 2" xfId="33579" xr:uid="{00000000-0005-0000-0000-00002D830000}"/>
    <cellStyle name="输出 4 2 20" xfId="33580" xr:uid="{00000000-0005-0000-0000-00002E830000}"/>
    <cellStyle name="输出 4 2 21" xfId="33581" xr:uid="{00000000-0005-0000-0000-00002F830000}"/>
    <cellStyle name="输出 4 2 22" xfId="33582" xr:uid="{00000000-0005-0000-0000-000030830000}"/>
    <cellStyle name="输出 4 2 23" xfId="33583" xr:uid="{00000000-0005-0000-0000-000031830000}"/>
    <cellStyle name="输出 4 2 24" xfId="33584" xr:uid="{00000000-0005-0000-0000-000032830000}"/>
    <cellStyle name="输出 4 2 25" xfId="33585" xr:uid="{00000000-0005-0000-0000-000033830000}"/>
    <cellStyle name="输出 4 2 26" xfId="33586" xr:uid="{00000000-0005-0000-0000-000034830000}"/>
    <cellStyle name="输出 4 2 27" xfId="33587" xr:uid="{00000000-0005-0000-0000-000035830000}"/>
    <cellStyle name="输出 4 2 28" xfId="33588" xr:uid="{00000000-0005-0000-0000-000036830000}"/>
    <cellStyle name="输出 4 2 29" xfId="33589" xr:uid="{00000000-0005-0000-0000-000037830000}"/>
    <cellStyle name="输出 4 2 3" xfId="33590" xr:uid="{00000000-0005-0000-0000-000038830000}"/>
    <cellStyle name="输出 4 2 30" xfId="33591" xr:uid="{00000000-0005-0000-0000-000039830000}"/>
    <cellStyle name="输出 4 2 31" xfId="33592" xr:uid="{00000000-0005-0000-0000-00003A830000}"/>
    <cellStyle name="输出 4 2 32" xfId="33593" xr:uid="{00000000-0005-0000-0000-00003B830000}"/>
    <cellStyle name="输出 4 2 33" xfId="33594" xr:uid="{00000000-0005-0000-0000-00003C830000}"/>
    <cellStyle name="输出 4 2 34" xfId="33595" xr:uid="{00000000-0005-0000-0000-00003D830000}"/>
    <cellStyle name="输出 4 2 4" xfId="33596" xr:uid="{00000000-0005-0000-0000-00003E830000}"/>
    <cellStyle name="输出 4 2 5" xfId="33597" xr:uid="{00000000-0005-0000-0000-00003F830000}"/>
    <cellStyle name="输出 4 2 6" xfId="33598" xr:uid="{00000000-0005-0000-0000-000040830000}"/>
    <cellStyle name="输出 4 2 7" xfId="33599" xr:uid="{00000000-0005-0000-0000-000041830000}"/>
    <cellStyle name="输出 4 2 8" xfId="33600" xr:uid="{00000000-0005-0000-0000-000042830000}"/>
    <cellStyle name="输出 4 2 9" xfId="33601" xr:uid="{00000000-0005-0000-0000-000043830000}"/>
    <cellStyle name="输出 4 20" xfId="33602" xr:uid="{00000000-0005-0000-0000-000044830000}"/>
    <cellStyle name="输出 4 3" xfId="33603" xr:uid="{00000000-0005-0000-0000-000045830000}"/>
    <cellStyle name="输出 4 3 2" xfId="33604" xr:uid="{00000000-0005-0000-0000-000046830000}"/>
    <cellStyle name="输出 4 3 3" xfId="33605" xr:uid="{00000000-0005-0000-0000-000047830000}"/>
    <cellStyle name="输出 4 4" xfId="33606" xr:uid="{00000000-0005-0000-0000-000048830000}"/>
    <cellStyle name="输出 4 5" xfId="33607" xr:uid="{00000000-0005-0000-0000-000049830000}"/>
    <cellStyle name="输出 4 6" xfId="33608" xr:uid="{00000000-0005-0000-0000-00004A830000}"/>
    <cellStyle name="输出 4 7" xfId="33609" xr:uid="{00000000-0005-0000-0000-00004B830000}"/>
    <cellStyle name="输出 4 8" xfId="33610" xr:uid="{00000000-0005-0000-0000-00004C830000}"/>
    <cellStyle name="输出 4 9" xfId="33611" xr:uid="{00000000-0005-0000-0000-00004D830000}"/>
    <cellStyle name="输出 5" xfId="33612" xr:uid="{00000000-0005-0000-0000-00004E830000}"/>
    <cellStyle name="输出 5 10" xfId="33613" xr:uid="{00000000-0005-0000-0000-00004F830000}"/>
    <cellStyle name="输出 5 11" xfId="33614" xr:uid="{00000000-0005-0000-0000-000050830000}"/>
    <cellStyle name="输出 5 12" xfId="33615" xr:uid="{00000000-0005-0000-0000-000051830000}"/>
    <cellStyle name="输出 5 13" xfId="33616" xr:uid="{00000000-0005-0000-0000-000052830000}"/>
    <cellStyle name="输出 5 14" xfId="33617" xr:uid="{00000000-0005-0000-0000-000053830000}"/>
    <cellStyle name="输出 5 15" xfId="33618" xr:uid="{00000000-0005-0000-0000-000054830000}"/>
    <cellStyle name="输出 5 16" xfId="33619" xr:uid="{00000000-0005-0000-0000-000055830000}"/>
    <cellStyle name="输出 5 17" xfId="33620" xr:uid="{00000000-0005-0000-0000-000056830000}"/>
    <cellStyle name="输出 5 18" xfId="33621" xr:uid="{00000000-0005-0000-0000-000057830000}"/>
    <cellStyle name="输出 5 19" xfId="33622" xr:uid="{00000000-0005-0000-0000-000058830000}"/>
    <cellStyle name="输出 5 2" xfId="33623" xr:uid="{00000000-0005-0000-0000-000059830000}"/>
    <cellStyle name="输出 5 2 10" xfId="33624" xr:uid="{00000000-0005-0000-0000-00005A830000}"/>
    <cellStyle name="输出 5 2 11" xfId="33625" xr:uid="{00000000-0005-0000-0000-00005B830000}"/>
    <cellStyle name="输出 5 2 12" xfId="33626" xr:uid="{00000000-0005-0000-0000-00005C830000}"/>
    <cellStyle name="输出 5 2 13" xfId="33627" xr:uid="{00000000-0005-0000-0000-00005D830000}"/>
    <cellStyle name="输出 5 2 14" xfId="33628" xr:uid="{00000000-0005-0000-0000-00005E830000}"/>
    <cellStyle name="输出 5 2 15" xfId="33629" xr:uid="{00000000-0005-0000-0000-00005F830000}"/>
    <cellStyle name="输出 5 2 16" xfId="33630" xr:uid="{00000000-0005-0000-0000-000060830000}"/>
    <cellStyle name="输出 5 2 17" xfId="33631" xr:uid="{00000000-0005-0000-0000-000061830000}"/>
    <cellStyle name="输出 5 2 18" xfId="33632" xr:uid="{00000000-0005-0000-0000-000062830000}"/>
    <cellStyle name="输出 5 2 19" xfId="33633" xr:uid="{00000000-0005-0000-0000-000063830000}"/>
    <cellStyle name="输出 5 2 2" xfId="33634" xr:uid="{00000000-0005-0000-0000-000064830000}"/>
    <cellStyle name="输出 5 2 20" xfId="33635" xr:uid="{00000000-0005-0000-0000-000065830000}"/>
    <cellStyle name="输出 5 2 21" xfId="33636" xr:uid="{00000000-0005-0000-0000-000066830000}"/>
    <cellStyle name="输出 5 2 22" xfId="33637" xr:uid="{00000000-0005-0000-0000-000067830000}"/>
    <cellStyle name="输出 5 2 23" xfId="33638" xr:uid="{00000000-0005-0000-0000-000068830000}"/>
    <cellStyle name="输出 5 2 24" xfId="33639" xr:uid="{00000000-0005-0000-0000-000069830000}"/>
    <cellStyle name="输出 5 2 25" xfId="33640" xr:uid="{00000000-0005-0000-0000-00006A830000}"/>
    <cellStyle name="输出 5 2 26" xfId="33641" xr:uid="{00000000-0005-0000-0000-00006B830000}"/>
    <cellStyle name="输出 5 2 27" xfId="33642" xr:uid="{00000000-0005-0000-0000-00006C830000}"/>
    <cellStyle name="输出 5 2 28" xfId="33643" xr:uid="{00000000-0005-0000-0000-00006D830000}"/>
    <cellStyle name="输出 5 2 29" xfId="33644" xr:uid="{00000000-0005-0000-0000-00006E830000}"/>
    <cellStyle name="输出 5 2 3" xfId="33645" xr:uid="{00000000-0005-0000-0000-00006F830000}"/>
    <cellStyle name="输出 5 2 30" xfId="33646" xr:uid="{00000000-0005-0000-0000-000070830000}"/>
    <cellStyle name="输出 5 2 31" xfId="33647" xr:uid="{00000000-0005-0000-0000-000071830000}"/>
    <cellStyle name="输出 5 2 32" xfId="33648" xr:uid="{00000000-0005-0000-0000-000072830000}"/>
    <cellStyle name="输出 5 2 33" xfId="33649" xr:uid="{00000000-0005-0000-0000-000073830000}"/>
    <cellStyle name="输出 5 2 34" xfId="33650" xr:uid="{00000000-0005-0000-0000-000074830000}"/>
    <cellStyle name="输出 5 2 4" xfId="33651" xr:uid="{00000000-0005-0000-0000-000075830000}"/>
    <cellStyle name="输出 5 2 5" xfId="33652" xr:uid="{00000000-0005-0000-0000-000076830000}"/>
    <cellStyle name="输出 5 2 6" xfId="33653" xr:uid="{00000000-0005-0000-0000-000077830000}"/>
    <cellStyle name="输出 5 2 7" xfId="33654" xr:uid="{00000000-0005-0000-0000-000078830000}"/>
    <cellStyle name="输出 5 2 8" xfId="33655" xr:uid="{00000000-0005-0000-0000-000079830000}"/>
    <cellStyle name="输出 5 2 9" xfId="33656" xr:uid="{00000000-0005-0000-0000-00007A830000}"/>
    <cellStyle name="输出 5 20" xfId="33657" xr:uid="{00000000-0005-0000-0000-00007B830000}"/>
    <cellStyle name="输出 5 3" xfId="33658" xr:uid="{00000000-0005-0000-0000-00007C830000}"/>
    <cellStyle name="输出 5 3 2" xfId="33659" xr:uid="{00000000-0005-0000-0000-00007D830000}"/>
    <cellStyle name="输出 5 3 3" xfId="33660" xr:uid="{00000000-0005-0000-0000-00007E830000}"/>
    <cellStyle name="输出 5 4" xfId="33661" xr:uid="{00000000-0005-0000-0000-00007F830000}"/>
    <cellStyle name="输出 5 5" xfId="33662" xr:uid="{00000000-0005-0000-0000-000080830000}"/>
    <cellStyle name="输出 5 6" xfId="33663" xr:uid="{00000000-0005-0000-0000-000081830000}"/>
    <cellStyle name="输出 5 7" xfId="33664" xr:uid="{00000000-0005-0000-0000-000082830000}"/>
    <cellStyle name="输出 5 8" xfId="33665" xr:uid="{00000000-0005-0000-0000-000083830000}"/>
    <cellStyle name="输出 5 9" xfId="33666" xr:uid="{00000000-0005-0000-0000-000084830000}"/>
    <cellStyle name="输出 6" xfId="33667" xr:uid="{00000000-0005-0000-0000-000085830000}"/>
    <cellStyle name="输出 6 10" xfId="33668" xr:uid="{00000000-0005-0000-0000-000086830000}"/>
    <cellStyle name="输出 6 11" xfId="33669" xr:uid="{00000000-0005-0000-0000-000087830000}"/>
    <cellStyle name="输出 6 12" xfId="33670" xr:uid="{00000000-0005-0000-0000-000088830000}"/>
    <cellStyle name="输出 6 13" xfId="33671" xr:uid="{00000000-0005-0000-0000-000089830000}"/>
    <cellStyle name="输出 6 14" xfId="33672" xr:uid="{00000000-0005-0000-0000-00008A830000}"/>
    <cellStyle name="输出 6 15" xfId="33673" xr:uid="{00000000-0005-0000-0000-00008B830000}"/>
    <cellStyle name="输出 6 16" xfId="33674" xr:uid="{00000000-0005-0000-0000-00008C830000}"/>
    <cellStyle name="输出 6 17" xfId="33675" xr:uid="{00000000-0005-0000-0000-00008D830000}"/>
    <cellStyle name="输出 6 18" xfId="33676" xr:uid="{00000000-0005-0000-0000-00008E830000}"/>
    <cellStyle name="输出 6 19" xfId="33677" xr:uid="{00000000-0005-0000-0000-00008F830000}"/>
    <cellStyle name="输出 6 2" xfId="33678" xr:uid="{00000000-0005-0000-0000-000090830000}"/>
    <cellStyle name="输出 6 2 10" xfId="33679" xr:uid="{00000000-0005-0000-0000-000091830000}"/>
    <cellStyle name="输出 6 2 11" xfId="33680" xr:uid="{00000000-0005-0000-0000-000092830000}"/>
    <cellStyle name="输出 6 2 12" xfId="33681" xr:uid="{00000000-0005-0000-0000-000093830000}"/>
    <cellStyle name="输出 6 2 13" xfId="33682" xr:uid="{00000000-0005-0000-0000-000094830000}"/>
    <cellStyle name="输出 6 2 14" xfId="33683" xr:uid="{00000000-0005-0000-0000-000095830000}"/>
    <cellStyle name="输出 6 2 15" xfId="33684" xr:uid="{00000000-0005-0000-0000-000096830000}"/>
    <cellStyle name="输出 6 2 16" xfId="33685" xr:uid="{00000000-0005-0000-0000-000097830000}"/>
    <cellStyle name="输出 6 2 17" xfId="33686" xr:uid="{00000000-0005-0000-0000-000098830000}"/>
    <cellStyle name="输出 6 2 18" xfId="33687" xr:uid="{00000000-0005-0000-0000-000099830000}"/>
    <cellStyle name="输出 6 2 19" xfId="33688" xr:uid="{00000000-0005-0000-0000-00009A830000}"/>
    <cellStyle name="输出 6 2 2" xfId="33689" xr:uid="{00000000-0005-0000-0000-00009B830000}"/>
    <cellStyle name="输出 6 2 20" xfId="33690" xr:uid="{00000000-0005-0000-0000-00009C830000}"/>
    <cellStyle name="输出 6 2 21" xfId="33691" xr:uid="{00000000-0005-0000-0000-00009D830000}"/>
    <cellStyle name="输出 6 2 22" xfId="33692" xr:uid="{00000000-0005-0000-0000-00009E830000}"/>
    <cellStyle name="输出 6 2 23" xfId="33693" xr:uid="{00000000-0005-0000-0000-00009F830000}"/>
    <cellStyle name="输出 6 2 24" xfId="33694" xr:uid="{00000000-0005-0000-0000-0000A0830000}"/>
    <cellStyle name="输出 6 2 25" xfId="33695" xr:uid="{00000000-0005-0000-0000-0000A1830000}"/>
    <cellStyle name="输出 6 2 26" xfId="33696" xr:uid="{00000000-0005-0000-0000-0000A2830000}"/>
    <cellStyle name="输出 6 2 27" xfId="33697" xr:uid="{00000000-0005-0000-0000-0000A3830000}"/>
    <cellStyle name="输出 6 2 28" xfId="33698" xr:uid="{00000000-0005-0000-0000-0000A4830000}"/>
    <cellStyle name="输出 6 2 29" xfId="33699" xr:uid="{00000000-0005-0000-0000-0000A5830000}"/>
    <cellStyle name="输出 6 2 3" xfId="33700" xr:uid="{00000000-0005-0000-0000-0000A6830000}"/>
    <cellStyle name="输出 6 2 30" xfId="33701" xr:uid="{00000000-0005-0000-0000-0000A7830000}"/>
    <cellStyle name="输出 6 2 31" xfId="33702" xr:uid="{00000000-0005-0000-0000-0000A8830000}"/>
    <cellStyle name="输出 6 2 32" xfId="33703" xr:uid="{00000000-0005-0000-0000-0000A9830000}"/>
    <cellStyle name="输出 6 2 33" xfId="33704" xr:uid="{00000000-0005-0000-0000-0000AA830000}"/>
    <cellStyle name="输出 6 2 34" xfId="33705" xr:uid="{00000000-0005-0000-0000-0000AB830000}"/>
    <cellStyle name="输出 6 2 4" xfId="33706" xr:uid="{00000000-0005-0000-0000-0000AC830000}"/>
    <cellStyle name="输出 6 2 5" xfId="33707" xr:uid="{00000000-0005-0000-0000-0000AD830000}"/>
    <cellStyle name="输出 6 2 6" xfId="33708" xr:uid="{00000000-0005-0000-0000-0000AE830000}"/>
    <cellStyle name="输出 6 2 7" xfId="33709" xr:uid="{00000000-0005-0000-0000-0000AF830000}"/>
    <cellStyle name="输出 6 2 8" xfId="33710" xr:uid="{00000000-0005-0000-0000-0000B0830000}"/>
    <cellStyle name="输出 6 2 9" xfId="33711" xr:uid="{00000000-0005-0000-0000-0000B1830000}"/>
    <cellStyle name="输出 6 20" xfId="33712" xr:uid="{00000000-0005-0000-0000-0000B2830000}"/>
    <cellStyle name="输出 6 3" xfId="33713" xr:uid="{00000000-0005-0000-0000-0000B3830000}"/>
    <cellStyle name="输出 6 3 2" xfId="33714" xr:uid="{00000000-0005-0000-0000-0000B4830000}"/>
    <cellStyle name="输出 6 3 3" xfId="33715" xr:uid="{00000000-0005-0000-0000-0000B5830000}"/>
    <cellStyle name="输出 6 4" xfId="33716" xr:uid="{00000000-0005-0000-0000-0000B6830000}"/>
    <cellStyle name="输出 6 5" xfId="33717" xr:uid="{00000000-0005-0000-0000-0000B7830000}"/>
    <cellStyle name="输出 6 6" xfId="33718" xr:uid="{00000000-0005-0000-0000-0000B8830000}"/>
    <cellStyle name="输出 6 7" xfId="33719" xr:uid="{00000000-0005-0000-0000-0000B9830000}"/>
    <cellStyle name="输出 6 8" xfId="33720" xr:uid="{00000000-0005-0000-0000-0000BA830000}"/>
    <cellStyle name="输出 6 9" xfId="33721" xr:uid="{00000000-0005-0000-0000-0000BB830000}"/>
    <cellStyle name="输出 7" xfId="33722" xr:uid="{00000000-0005-0000-0000-0000BC830000}"/>
    <cellStyle name="输出 7 10" xfId="33723" xr:uid="{00000000-0005-0000-0000-0000BD830000}"/>
    <cellStyle name="输出 7 11" xfId="33724" xr:uid="{00000000-0005-0000-0000-0000BE830000}"/>
    <cellStyle name="输出 7 12" xfId="33725" xr:uid="{00000000-0005-0000-0000-0000BF830000}"/>
    <cellStyle name="输出 7 13" xfId="33726" xr:uid="{00000000-0005-0000-0000-0000C0830000}"/>
    <cellStyle name="输出 7 14" xfId="33727" xr:uid="{00000000-0005-0000-0000-0000C1830000}"/>
    <cellStyle name="输出 7 15" xfId="33728" xr:uid="{00000000-0005-0000-0000-0000C2830000}"/>
    <cellStyle name="输出 7 16" xfId="33729" xr:uid="{00000000-0005-0000-0000-0000C3830000}"/>
    <cellStyle name="输出 7 17" xfId="33730" xr:uid="{00000000-0005-0000-0000-0000C4830000}"/>
    <cellStyle name="输出 7 18" xfId="33731" xr:uid="{00000000-0005-0000-0000-0000C5830000}"/>
    <cellStyle name="输出 7 19" xfId="33732" xr:uid="{00000000-0005-0000-0000-0000C6830000}"/>
    <cellStyle name="输出 7 2" xfId="33733" xr:uid="{00000000-0005-0000-0000-0000C7830000}"/>
    <cellStyle name="输出 7 20" xfId="33734" xr:uid="{00000000-0005-0000-0000-0000C8830000}"/>
    <cellStyle name="输出 7 21" xfId="33735" xr:uid="{00000000-0005-0000-0000-0000C9830000}"/>
    <cellStyle name="输出 7 22" xfId="33736" xr:uid="{00000000-0005-0000-0000-0000CA830000}"/>
    <cellStyle name="输出 7 23" xfId="33737" xr:uid="{00000000-0005-0000-0000-0000CB830000}"/>
    <cellStyle name="输出 7 24" xfId="33738" xr:uid="{00000000-0005-0000-0000-0000CC830000}"/>
    <cellStyle name="输出 7 25" xfId="33739" xr:uid="{00000000-0005-0000-0000-0000CD830000}"/>
    <cellStyle name="输出 7 26" xfId="33740" xr:uid="{00000000-0005-0000-0000-0000CE830000}"/>
    <cellStyle name="输出 7 27" xfId="33741" xr:uid="{00000000-0005-0000-0000-0000CF830000}"/>
    <cellStyle name="输出 7 28" xfId="33742" xr:uid="{00000000-0005-0000-0000-0000D0830000}"/>
    <cellStyle name="输出 7 29" xfId="33743" xr:uid="{00000000-0005-0000-0000-0000D1830000}"/>
    <cellStyle name="输出 7 3" xfId="33744" xr:uid="{00000000-0005-0000-0000-0000D2830000}"/>
    <cellStyle name="输出 7 30" xfId="33745" xr:uid="{00000000-0005-0000-0000-0000D3830000}"/>
    <cellStyle name="输出 7 31" xfId="33746" xr:uid="{00000000-0005-0000-0000-0000D4830000}"/>
    <cellStyle name="输出 7 32" xfId="33747" xr:uid="{00000000-0005-0000-0000-0000D5830000}"/>
    <cellStyle name="输出 7 33" xfId="33748" xr:uid="{00000000-0005-0000-0000-0000D6830000}"/>
    <cellStyle name="输出 7 34" xfId="33749" xr:uid="{00000000-0005-0000-0000-0000D7830000}"/>
    <cellStyle name="输出 7 4" xfId="33750" xr:uid="{00000000-0005-0000-0000-0000D8830000}"/>
    <cellStyle name="输出 7 5" xfId="33751" xr:uid="{00000000-0005-0000-0000-0000D9830000}"/>
    <cellStyle name="输出 7 6" xfId="33752" xr:uid="{00000000-0005-0000-0000-0000DA830000}"/>
    <cellStyle name="输出 7 7" xfId="33753" xr:uid="{00000000-0005-0000-0000-0000DB830000}"/>
    <cellStyle name="输出 7 8" xfId="33754" xr:uid="{00000000-0005-0000-0000-0000DC830000}"/>
    <cellStyle name="输出 7 9" xfId="33755" xr:uid="{00000000-0005-0000-0000-0000DD830000}"/>
    <cellStyle name="输出 8" xfId="33756" xr:uid="{00000000-0005-0000-0000-0000DE830000}"/>
    <cellStyle name="输出 8 2" xfId="33757" xr:uid="{00000000-0005-0000-0000-0000DF830000}"/>
    <cellStyle name="输出 8 3" xfId="33758" xr:uid="{00000000-0005-0000-0000-0000E0830000}"/>
    <cellStyle name="输出 9" xfId="33759" xr:uid="{00000000-0005-0000-0000-0000E1830000}"/>
    <cellStyle name="适中" xfId="33760" xr:uid="{00000000-0005-0000-0000-0000E2830000}"/>
    <cellStyle name="适中 2" xfId="33761" xr:uid="{00000000-0005-0000-0000-0000E3830000}"/>
    <cellStyle name="适中 3" xfId="33762" xr:uid="{00000000-0005-0000-0000-0000E4830000}"/>
    <cellStyle name="适中 4" xfId="33763" xr:uid="{00000000-0005-0000-0000-0000E5830000}"/>
    <cellStyle name="适中 5" xfId="33764" xr:uid="{00000000-0005-0000-0000-0000E6830000}"/>
    <cellStyle name="适中 6" xfId="33765" xr:uid="{00000000-0005-0000-0000-0000E7830000}"/>
    <cellStyle name="通貨 [0.00]_laroux" xfId="33766" xr:uid="{00000000-0005-0000-0000-0000E8830000}"/>
    <cellStyle name="通貨_laroux" xfId="33767" xr:uid="{00000000-0005-0000-0000-0000E9830000}"/>
    <cellStyle name="钎霖_laroux" xfId="33768" xr:uid="{00000000-0005-0000-0000-0000EA830000}"/>
    <cellStyle name="链接单元格" xfId="33769" xr:uid="{00000000-0005-0000-0000-0000EB830000}"/>
    <cellStyle name="链接单元格 2" xfId="33770" xr:uid="{00000000-0005-0000-0000-0000EC830000}"/>
    <cellStyle name="链接单元格 3" xfId="33771" xr:uid="{00000000-0005-0000-0000-0000ED830000}"/>
    <cellStyle name="链接单元格 4" xfId="33772" xr:uid="{00000000-0005-0000-0000-0000EE830000}"/>
    <cellStyle name="链接单元格 5" xfId="33773" xr:uid="{00000000-0005-0000-0000-0000EF830000}"/>
    <cellStyle name="链接单元格 6" xfId="33774" xr:uid="{00000000-0005-0000-0000-0000F0830000}"/>
    <cellStyle name="集計" xfId="33775" xr:uid="{00000000-0005-0000-0000-0000F1830000}"/>
    <cellStyle name="集計 10" xfId="33776" xr:uid="{00000000-0005-0000-0000-0000F2830000}"/>
    <cellStyle name="集計 11" xfId="33777" xr:uid="{00000000-0005-0000-0000-0000F3830000}"/>
    <cellStyle name="集計 12" xfId="33778" xr:uid="{00000000-0005-0000-0000-0000F4830000}"/>
    <cellStyle name="集計 13" xfId="33779" xr:uid="{00000000-0005-0000-0000-0000F5830000}"/>
    <cellStyle name="集計 14" xfId="33780" xr:uid="{00000000-0005-0000-0000-0000F6830000}"/>
    <cellStyle name="集計 15" xfId="33781" xr:uid="{00000000-0005-0000-0000-0000F7830000}"/>
    <cellStyle name="集計 16" xfId="33782" xr:uid="{00000000-0005-0000-0000-0000F8830000}"/>
    <cellStyle name="集計 17" xfId="33783" xr:uid="{00000000-0005-0000-0000-0000F9830000}"/>
    <cellStyle name="集計 18" xfId="33784" xr:uid="{00000000-0005-0000-0000-0000FA830000}"/>
    <cellStyle name="集計 19" xfId="33785" xr:uid="{00000000-0005-0000-0000-0000FB830000}"/>
    <cellStyle name="集計 2" xfId="33786" xr:uid="{00000000-0005-0000-0000-0000FC830000}"/>
    <cellStyle name="集計 2 10" xfId="33787" xr:uid="{00000000-0005-0000-0000-0000FD830000}"/>
    <cellStyle name="集計 2 11" xfId="33788" xr:uid="{00000000-0005-0000-0000-0000FE830000}"/>
    <cellStyle name="集計 2 12" xfId="33789" xr:uid="{00000000-0005-0000-0000-0000FF830000}"/>
    <cellStyle name="集計 2 13" xfId="33790" xr:uid="{00000000-0005-0000-0000-000000840000}"/>
    <cellStyle name="集計 2 14" xfId="33791" xr:uid="{00000000-0005-0000-0000-000001840000}"/>
    <cellStyle name="集計 2 15" xfId="33792" xr:uid="{00000000-0005-0000-0000-000002840000}"/>
    <cellStyle name="集計 2 16" xfId="33793" xr:uid="{00000000-0005-0000-0000-000003840000}"/>
    <cellStyle name="集計 2 17" xfId="33794" xr:uid="{00000000-0005-0000-0000-000004840000}"/>
    <cellStyle name="集計 2 18" xfId="33795" xr:uid="{00000000-0005-0000-0000-000005840000}"/>
    <cellStyle name="集計 2 19" xfId="33796" xr:uid="{00000000-0005-0000-0000-000006840000}"/>
    <cellStyle name="集計 2 2" xfId="33797" xr:uid="{00000000-0005-0000-0000-000007840000}"/>
    <cellStyle name="集計 2 20" xfId="33798" xr:uid="{00000000-0005-0000-0000-000008840000}"/>
    <cellStyle name="集計 2 21" xfId="33799" xr:uid="{00000000-0005-0000-0000-000009840000}"/>
    <cellStyle name="集計 2 22" xfId="33800" xr:uid="{00000000-0005-0000-0000-00000A840000}"/>
    <cellStyle name="集計 2 23" xfId="33801" xr:uid="{00000000-0005-0000-0000-00000B840000}"/>
    <cellStyle name="集計 2 24" xfId="33802" xr:uid="{00000000-0005-0000-0000-00000C840000}"/>
    <cellStyle name="集計 2 25" xfId="33803" xr:uid="{00000000-0005-0000-0000-00000D840000}"/>
    <cellStyle name="集計 2 26" xfId="33804" xr:uid="{00000000-0005-0000-0000-00000E840000}"/>
    <cellStyle name="集計 2 27" xfId="33805" xr:uid="{00000000-0005-0000-0000-00000F840000}"/>
    <cellStyle name="集計 2 28" xfId="33806" xr:uid="{00000000-0005-0000-0000-000010840000}"/>
    <cellStyle name="集計 2 29" xfId="33807" xr:uid="{00000000-0005-0000-0000-000011840000}"/>
    <cellStyle name="集計 2 3" xfId="33808" xr:uid="{00000000-0005-0000-0000-000012840000}"/>
    <cellStyle name="集計 2 30" xfId="33809" xr:uid="{00000000-0005-0000-0000-000013840000}"/>
    <cellStyle name="集計 2 31" xfId="33810" xr:uid="{00000000-0005-0000-0000-000014840000}"/>
    <cellStyle name="集計 2 32" xfId="33811" xr:uid="{00000000-0005-0000-0000-000015840000}"/>
    <cellStyle name="集計 2 33" xfId="33812" xr:uid="{00000000-0005-0000-0000-000016840000}"/>
    <cellStyle name="集計 2 34" xfId="33813" xr:uid="{00000000-0005-0000-0000-000017840000}"/>
    <cellStyle name="集計 2 4" xfId="33814" xr:uid="{00000000-0005-0000-0000-000018840000}"/>
    <cellStyle name="集計 2 5" xfId="33815" xr:uid="{00000000-0005-0000-0000-000019840000}"/>
    <cellStyle name="集計 2 6" xfId="33816" xr:uid="{00000000-0005-0000-0000-00001A840000}"/>
    <cellStyle name="集計 2 7" xfId="33817" xr:uid="{00000000-0005-0000-0000-00001B840000}"/>
    <cellStyle name="集計 2 8" xfId="33818" xr:uid="{00000000-0005-0000-0000-00001C840000}"/>
    <cellStyle name="集計 2 9" xfId="33819" xr:uid="{00000000-0005-0000-0000-00001D840000}"/>
    <cellStyle name="集計 20" xfId="33820" xr:uid="{00000000-0005-0000-0000-00001E840000}"/>
    <cellStyle name="集計 3" xfId="33821" xr:uid="{00000000-0005-0000-0000-00001F840000}"/>
    <cellStyle name="集計 3 2" xfId="33822" xr:uid="{00000000-0005-0000-0000-000020840000}"/>
    <cellStyle name="集計 3 3" xfId="33823" xr:uid="{00000000-0005-0000-0000-000021840000}"/>
    <cellStyle name="集計 4" xfId="33824" xr:uid="{00000000-0005-0000-0000-000022840000}"/>
    <cellStyle name="集計 5" xfId="33825" xr:uid="{00000000-0005-0000-0000-000023840000}"/>
    <cellStyle name="集計 6" xfId="33826" xr:uid="{00000000-0005-0000-0000-000024840000}"/>
    <cellStyle name="集計 7" xfId="33827" xr:uid="{00000000-0005-0000-0000-000025840000}"/>
    <cellStyle name="集計 8" xfId="33828" xr:uid="{00000000-0005-0000-0000-000026840000}"/>
    <cellStyle name="集計 9" xfId="33829" xr:uid="{00000000-0005-0000-0000-000027840000}"/>
    <cellStyle name="霓付 [0]_97MBO" xfId="33830" xr:uid="{00000000-0005-0000-0000-000028840000}"/>
    <cellStyle name="霓付_97MBO" xfId="33831" xr:uid="{00000000-0005-0000-0000-000029840000}"/>
  </cellStyles>
  <dxfs count="278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fill>
        <patternFill>
          <bgColor theme="5" tint="0.39994506668294322"/>
        </patternFill>
      </fill>
    </dxf>
    <dxf>
      <fill>
        <patternFill>
          <bgColor theme="9" tint="0.39994506668294322"/>
        </patternFill>
      </fill>
    </dxf>
    <dxf>
      <font>
        <color theme="9" tint="0.39994506668294322"/>
      </font>
      <fill>
        <patternFill>
          <bgColor theme="9" tint="0.39994506668294322"/>
        </patternFill>
      </fill>
    </dxf>
    <dxf>
      <font>
        <color theme="5" tint="0.39994506668294322"/>
      </font>
      <fill>
        <patternFill>
          <bgColor theme="5" tint="0.39994506668294322"/>
        </patternFill>
      </fill>
    </dxf>
    <dxf>
      <font>
        <color theme="4" tint="0.39994506668294322"/>
      </font>
      <fill>
        <patternFill>
          <bgColor theme="4" tint="0.39994506668294322"/>
        </patternFill>
      </fill>
    </dxf>
    <dxf>
      <font>
        <color theme="7" tint="0.39994506668294322"/>
      </font>
      <fill>
        <patternFill>
          <bgColor theme="7" tint="0.39994506668294322"/>
        </patternFill>
      </fill>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0" formatCode="General"/>
      <fill>
        <patternFill patternType="solid">
          <fgColor indexed="64"/>
          <bgColor rgb="FFFFFF00"/>
        </patternFill>
      </fill>
      <alignment horizontal="general" vertical="bottom" textRotation="0" wrapText="0" indent="0" justifyLastLine="0" shrinkToFit="0" readingOrder="0"/>
      <protection locked="0" hidden="0"/>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1" hidden="0"/>
    </dxf>
    <dxf>
      <numFmt numFmtId="302" formatCode="0\ &quot;Days&quot;"/>
      <alignment horizontal="center"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1" hidden="0"/>
    </dxf>
    <dxf>
      <numFmt numFmtId="19" formatCode="yyyy/mm/dd"/>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right style="thin">
          <color indexed="64"/>
        </right>
        <top style="thin">
          <color indexed="64"/>
        </top>
        <bottom style="thin">
          <color auto="1"/>
        </bottom>
        <vertical/>
        <horizontal/>
      </border>
    </dxf>
    <dxf>
      <numFmt numFmtId="4" formatCode="#,##0.00"/>
      <border diagonalUp="0" diagonalDown="0">
        <left style="thin">
          <color indexed="64"/>
        </left>
        <right style="thin">
          <color indexed="64"/>
        </right>
        <top style="thin">
          <color auto="1"/>
        </top>
        <bottom style="thin">
          <color indexed="64"/>
        </bottom>
        <vertical/>
        <horizontal/>
      </border>
    </dxf>
    <dxf>
      <numFmt numFmtId="4" formatCode="#,##0.0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0" formatCode="0.0#\ &quot;m&quot;"/>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0" formatCode="0.0#\ &quot;m&quot;"/>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1" formatCode="0.0#\ &quot;kW&quot;"/>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1" formatCode="0.0#\ &quot;kW&quot;"/>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4" formatCode="&quot;CAR&quot;0000"/>
      <alignment horizontal="general" vertical="bottom" textRotation="0" wrapText="0" indent="0" justifyLastLine="0" shrinkToFit="0" readingOrder="0"/>
      <border diagonalUp="0" diagonalDown="0">
        <left/>
        <right style="thin">
          <color indexed="64"/>
        </right>
        <top style="thin">
          <color indexed="64"/>
        </top>
        <bottom style="thin">
          <color auto="1"/>
        </bottom>
        <vertical/>
        <horizontal/>
      </border>
    </dxf>
    <dxf>
      <border>
        <top style="thin">
          <color auto="1"/>
        </top>
      </border>
    </dxf>
    <dxf>
      <border diagonalUp="0" diagonalDown="0">
        <left style="thin">
          <color auto="1"/>
        </left>
        <right style="thin">
          <color auto="1"/>
        </right>
        <top style="thin">
          <color auto="1"/>
        </top>
        <bottom style="thin">
          <color auto="1"/>
        </bottom>
      </border>
    </dxf>
    <dxf>
      <alignment horizontal="general" vertical="bottom" textRotation="0" wrapText="0" indent="0" justifyLastLine="0" shrinkToFit="0" readingOrder="0"/>
    </dxf>
    <dxf>
      <border>
        <bottom style="thin">
          <color auto="1"/>
        </bottom>
      </border>
    </dxf>
    <dxf>
      <border diagonalUp="0" diagonalDown="0">
        <left style="thin">
          <color auto="1"/>
        </left>
        <right style="thin">
          <color auto="1"/>
        </right>
        <top/>
        <bottom/>
        <vertical style="thin">
          <color auto="1"/>
        </vertical>
        <horizontal style="thin">
          <color auto="1"/>
        </horizontal>
      </border>
    </dxf>
    <dxf>
      <font>
        <b/>
        <sz val="11"/>
        <color theme="1"/>
      </font>
      <border>
        <vertical/>
        <horizontal/>
      </border>
    </dxf>
    <dxf>
      <font>
        <color theme="1"/>
      </font>
      <border diagonalUp="0" diagonalDown="0">
        <left/>
        <right/>
        <top/>
        <bottom/>
        <vertical/>
        <horizontal/>
      </border>
    </dxf>
    <dxf>
      <font>
        <b/>
        <sz val="11"/>
        <color theme="1"/>
      </font>
      <border>
        <vertical/>
        <horizontal/>
      </border>
    </dxf>
    <dxf>
      <font>
        <color theme="1"/>
      </font>
      <border diagonalUp="0" diagonalDown="0">
        <left/>
        <right/>
        <top/>
        <bottom/>
        <vertical/>
        <horizontal/>
      </border>
    </dxf>
    <dxf>
      <font>
        <b/>
        <color theme="1"/>
      </font>
      <border>
        <bottom style="thin">
          <color theme="9"/>
        </bottom>
        <vertical/>
        <horizontal/>
      </border>
    </dxf>
    <dxf>
      <font>
        <color theme="1"/>
      </font>
      <border diagonalUp="0" diagonalDown="0">
        <left/>
        <right/>
        <top/>
        <bottom/>
        <vertical/>
        <horizontal/>
      </border>
    </dxf>
    <dxf>
      <font>
        <b/>
        <color theme="1"/>
      </font>
      <border>
        <bottom style="thin">
          <color theme="7"/>
        </bottom>
        <vertical/>
        <horizontal/>
      </border>
    </dxf>
    <dxf>
      <font>
        <color theme="1"/>
      </font>
      <border diagonalUp="0" diagonalDown="0">
        <left/>
        <right/>
        <top/>
        <bottom/>
        <vertical/>
        <horizontal/>
      </border>
    </dxf>
    <dxf>
      <font>
        <b/>
        <color theme="1"/>
      </font>
      <border>
        <bottom style="thin">
          <color theme="5"/>
        </bottom>
        <vertical/>
        <horizontal/>
      </border>
    </dxf>
    <dxf>
      <font>
        <color theme="1"/>
      </font>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border diagonalUp="0" diagonalDown="0">
        <left/>
        <right/>
        <top/>
        <bottom/>
        <vertical/>
        <horizontal/>
      </border>
    </dxf>
    <dxf>
      <font>
        <b/>
        <i val="0"/>
      </font>
      <fill>
        <patternFill>
          <bgColor rgb="FFD7D7D7"/>
        </patternFill>
      </fill>
    </dxf>
    <dxf>
      <font>
        <b val="0"/>
        <i val="0"/>
      </font>
      <fill>
        <patternFill patternType="none">
          <bgColor indexed="65"/>
        </patternFill>
      </fill>
    </dxf>
  </dxfs>
  <tableStyles count="9" defaultTableStyle="TableStyleMedium2" defaultPivotStyle="PivotStyleLight16">
    <tableStyle name="MySqlDefault" pivot="0" table="0" count="2" xr9:uid="{00000000-0011-0000-FFFF-FFFF00000000}">
      <tableStyleElement type="wholeTable" dxfId="2779"/>
      <tableStyleElement type="headerRow" dxfId="2778"/>
    </tableStyle>
    <tableStyle name="Slicer Style 1" pivot="0" table="0" count="1" xr9:uid="{00000000-0011-0000-FFFF-FFFF01000000}">
      <tableStyleElement type="wholeTable" dxfId="2777"/>
    </tableStyle>
    <tableStyle name="Slicer Style New" pivot="0" table="0" count="10" xr9:uid="{00000000-0011-0000-FFFF-FFFF02000000}">
      <tableStyleElement type="wholeTable" dxfId="2776"/>
      <tableStyleElement type="headerRow" dxfId="2775"/>
    </tableStyle>
    <tableStyle name="SlicerStyleLight1 2" pivot="0" table="0" count="10" xr9:uid="{04F3D090-57BA-42A8-A8D7-4E3421125EC6}">
      <tableStyleElement type="wholeTable" dxfId="2774"/>
      <tableStyleElement type="headerRow" dxfId="2773"/>
    </tableStyle>
    <tableStyle name="SlicerStyleLight2 2" pivot="0" table="0" count="10" xr9:uid="{8F21480C-DA51-45E1-BD65-41810A9BB42F}">
      <tableStyleElement type="wholeTable" dxfId="2772"/>
      <tableStyleElement type="headerRow" dxfId="2771"/>
    </tableStyle>
    <tableStyle name="SlicerStyleLight4 2" pivot="0" table="0" count="10" xr9:uid="{8B7E8BF7-8F1E-4F4E-8386-F4BD3D344F97}">
      <tableStyleElement type="wholeTable" dxfId="2770"/>
      <tableStyleElement type="headerRow" dxfId="2769"/>
    </tableStyle>
    <tableStyle name="SlicerStyleLight6 2" pivot="0" table="0" count="10" xr9:uid="{3D2E40EC-16FF-4D6A-B2E6-055EBE416B5C}">
      <tableStyleElement type="wholeTable" dxfId="2768"/>
      <tableStyleElement type="headerRow" dxfId="2767"/>
    </tableStyle>
    <tableStyle name="TimeSlicerStyleLight1 2" pivot="0" table="0" count="9" xr9:uid="{B849AAC8-B35B-4797-B829-468E81F926EA}">
      <tableStyleElement type="wholeTable" dxfId="2766"/>
      <tableStyleElement type="headerRow" dxfId="2765"/>
    </tableStyle>
    <tableStyle name="TimeSlicerStyleLight6 2" pivot="0" table="0" count="9" xr9:uid="{B056285F-0DEB-4F49-98D9-AE4A16315EDF}">
      <tableStyleElement type="wholeTable" dxfId="2764"/>
      <tableStyleElement type="headerRow" dxfId="2763"/>
    </tableStyle>
  </tableStyles>
  <extLst>
    <ext xmlns:x14="http://schemas.microsoft.com/office/spreadsheetml/2009/9/main" uri="{46F421CA-312F-682f-3DD2-61675219B42D}">
      <x14:dxfs count="4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New">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Light1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4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9" tint="0.39997558519241921"/>
              <bgColor theme="9"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9" tint="0.59999389629810485"/>
              </stop>
              <stop position="1">
                <color theme="9"/>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9"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6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onnections" Target="connections.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microsoft.com/office/2007/relationships/slicerCache" Target="slicerCaches/slicerCache2.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11/relationships/timelineCache" Target="timelineCaches/timelineCache2.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23" Type="http://schemas.microsoft.com/office/2006/relationships/vbaProject" Target="vbaProject.bin"/><Relationship Id="rId10" Type="http://schemas.microsoft.com/office/2011/relationships/timelineCache" Target="timelineCaches/timelineCache1.xml"/><Relationship Id="rId19" Type="http://schemas.openxmlformats.org/officeDocument/2006/relationships/customXml" Target="../customXml/item3.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tyles" Target="styles.xml"/><Relationship Id="rId22" Type="http://schemas.openxmlformats.org/officeDocument/2006/relationships/customXml" Target="../customXml/item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[Colo Prevalidation Read Only 2019-01-22.xlsm]Pivot Graph1!PivotTable3</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w="38100">
            <a:solidFill>
              <a:schemeClr val="bg1"/>
            </a:solidFill>
          </a:ln>
          <a:effectLst>
            <a:outerShdw blurRad="50800" dist="50800" dir="5400000" sx="1000" sy="1000" algn="ctr" rotWithShape="0">
              <a:srgbClr val="000000">
                <a:alpha val="43137"/>
              </a:srgbClr>
            </a:outerShdw>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tx2">
              <a:lumMod val="40000"/>
              <a:lumOff val="6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9"/>
        <c:spPr>
          <a:solidFill>
            <a:schemeClr val="accent6">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10"/>
        <c:spPr>
          <a:solidFill>
            <a:schemeClr val="accent2">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11"/>
        <c:spPr>
          <a:solidFill>
            <a:schemeClr val="accent4">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s>
    <c:plotArea>
      <c:layout>
        <c:manualLayout>
          <c:layoutTarget val="inner"/>
          <c:xMode val="edge"/>
          <c:yMode val="edge"/>
          <c:x val="7.2774417051772816E-2"/>
          <c:y val="9.6273254336169636E-2"/>
          <c:w val="0.8397490364082324"/>
          <c:h val="0.94517999596892388"/>
        </c:manualLayout>
      </c:layout>
      <c:doughnutChart>
        <c:varyColors val="1"/>
        <c:ser>
          <c:idx val="0"/>
          <c:order val="0"/>
          <c:tx>
            <c:strRef>
              <c:f>'Pivot Graph1'!$B$3</c:f>
              <c:strCache>
                <c:ptCount val="1"/>
                <c:pt idx="0">
                  <c:v>Total</c:v>
                </c:pt>
              </c:strCache>
            </c:strRef>
          </c:tx>
          <c:spPr>
            <a:ln w="38100">
              <a:solidFill>
                <a:schemeClr val="bg1"/>
              </a:solidFill>
            </a:ln>
            <a:effectLst>
              <a:outerShdw blurRad="50800" dist="50800" dir="5400000" sx="1000" sy="1000" algn="ctr" rotWithShape="0">
                <a:srgbClr val="000000">
                  <a:alpha val="43137"/>
                </a:srgbClr>
              </a:outerShdw>
              <a:softEdge rad="0"/>
            </a:effectLst>
          </c:spPr>
          <c:dPt>
            <c:idx val="0"/>
            <c:bubble3D val="0"/>
            <c:spPr>
              <a:solidFill>
                <a:schemeClr val="accent6">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1-3372-4EA8-9803-090507609A94}"/>
              </c:ext>
            </c:extLst>
          </c:dPt>
          <c:dPt>
            <c:idx val="1"/>
            <c:bubble3D val="0"/>
            <c:spPr>
              <a:solidFill>
                <a:schemeClr val="accent4">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3-3372-4EA8-9803-090507609A94}"/>
              </c:ext>
            </c:extLst>
          </c:dPt>
          <c:dPt>
            <c:idx val="2"/>
            <c:bubble3D val="0"/>
            <c:spPr>
              <a:solidFill>
                <a:schemeClr val="tx2">
                  <a:lumMod val="40000"/>
                  <a:lumOff val="6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5-3372-4EA8-9803-090507609A94}"/>
              </c:ext>
            </c:extLst>
          </c:dPt>
          <c:dPt>
            <c:idx val="3"/>
            <c:bubble3D val="0"/>
            <c:spPr>
              <a:solidFill>
                <a:schemeClr val="accent4"/>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7-3372-4EA8-9803-090507609A9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Graph1'!$A$4:$A$7</c:f>
              <c:strCache>
                <c:ptCount val="3"/>
                <c:pt idx="0">
                  <c:v>Prevalidated</c:v>
                </c:pt>
                <c:pt idx="1">
                  <c:v>Under Prevalidation</c:v>
                </c:pt>
                <c:pt idx="2">
                  <c:v>Dropped by Operator</c:v>
                </c:pt>
              </c:strCache>
            </c:strRef>
          </c:cat>
          <c:val>
            <c:numRef>
              <c:f>'Pivot Graph1'!$B$4:$B$7</c:f>
              <c:numCache>
                <c:formatCode>General</c:formatCode>
                <c:ptCount val="3"/>
                <c:pt idx="0">
                  <c:v>32</c:v>
                </c:pt>
                <c:pt idx="1">
                  <c:v>8</c:v>
                </c:pt>
                <c:pt idx="2">
                  <c:v>1</c:v>
                </c:pt>
              </c:numCache>
            </c:numRef>
          </c:val>
          <c:extLst>
            <c:ext xmlns:c16="http://schemas.microsoft.com/office/drawing/2014/chart" uri="{C3380CC4-5D6E-409C-BE32-E72D297353CC}">
              <c16:uniqueId val="{00000008-3372-4EA8-9803-090507609A94}"/>
            </c:ext>
          </c:extLst>
        </c:ser>
        <c:dLbls>
          <c:showLegendKey val="0"/>
          <c:showVal val="1"/>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[Colo Prevalidation Read Only 2019-01-22.xlsm]Sheet1!PivotTable2</c:name>
    <c:fmtId val="5"/>
  </c:pivotSource>
  <c:chart>
    <c:autoTitleDeleted val="1"/>
    <c:pivotFmts>
      <c:pivotFmt>
        <c:idx val="0"/>
        <c:spPr>
          <a:solidFill>
            <a:schemeClr val="accent1"/>
          </a:solidFill>
          <a:ln>
            <a:noFill/>
          </a:ln>
          <a:effectLst/>
        </c:spPr>
        <c:marker>
          <c:symbol val="none"/>
        </c:marker>
      </c:pivotFmt>
      <c:pivotFmt>
        <c:idx val="1"/>
        <c:spPr>
          <a:solidFill>
            <a:schemeClr val="accent3">
              <a:lumMod val="60000"/>
              <a:lumOff val="40000"/>
            </a:schemeClr>
          </a:solidFill>
          <a:ln>
            <a:noFill/>
          </a:ln>
          <a:effectLst/>
        </c:spPr>
      </c:pivotFmt>
      <c:pivotFmt>
        <c:idx val="2"/>
        <c:spPr>
          <a:solidFill>
            <a:schemeClr val="accent6">
              <a:lumMod val="60000"/>
              <a:lumOff val="40000"/>
            </a:schemeClr>
          </a:solidFill>
          <a:ln>
            <a:noFill/>
          </a:ln>
          <a:effectLst/>
        </c:spPr>
      </c:pivotFmt>
      <c:pivotFmt>
        <c:idx val="3"/>
        <c:spPr>
          <a:solidFill>
            <a:schemeClr val="accent4">
              <a:lumMod val="60000"/>
              <a:lumOff val="40000"/>
            </a:schemeClr>
          </a:solidFill>
          <a:ln>
            <a:noFill/>
          </a:ln>
          <a:effectLst/>
        </c:spPr>
      </c:pivotFmt>
      <c:pivotFmt>
        <c:idx val="4"/>
        <c:spPr>
          <a:solidFill>
            <a:schemeClr val="accent6">
              <a:lumMod val="60000"/>
              <a:lumOff val="40000"/>
            </a:schemeClr>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4">
              <a:lumMod val="60000"/>
              <a:lumOff val="40000"/>
            </a:schemeClr>
          </a:solidFill>
          <a:ln>
            <a:noFill/>
          </a:ln>
          <a:effectLst/>
        </c:spPr>
        <c:marker>
          <c:symbol val="none"/>
        </c:marker>
      </c:pivotFmt>
      <c:pivotFmt>
        <c:idx val="7"/>
        <c:spPr>
          <a:solidFill>
            <a:schemeClr val="accent3">
              <a:lumMod val="60000"/>
              <a:lumOff val="40000"/>
            </a:schemeClr>
          </a:solidFill>
          <a:ln>
            <a:noFill/>
          </a:ln>
          <a:effectLst/>
        </c:spPr>
        <c:marker>
          <c:symbol val="none"/>
        </c:marker>
      </c:pivotFmt>
      <c:pivotFmt>
        <c:idx val="8"/>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pivotFmt>
      <c:pivotFmt>
        <c:idx val="10"/>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3">
              <a:lumMod val="60000"/>
              <a:lumOff val="40000"/>
            </a:schemeClr>
          </a:solidFill>
          <a:ln>
            <a:noFill/>
          </a:ln>
          <a:effectLst/>
        </c:spPr>
        <c:marker>
          <c:symbol val="none"/>
        </c:marker>
      </c:pivotFmt>
      <c:pivotFmt>
        <c:idx val="12"/>
        <c:spPr>
          <a:solidFill>
            <a:schemeClr val="accent1"/>
          </a:solidFill>
          <a:ln>
            <a:noFill/>
          </a:ln>
          <a:effectLst/>
        </c:spPr>
        <c:marker>
          <c:symbol val="none"/>
        </c:marker>
      </c:pivotFmt>
    </c:pivotFmts>
    <c:plotArea>
      <c:layout/>
      <c:barChart>
        <c:barDir val="bar"/>
        <c:grouping val="percentStacked"/>
        <c:varyColors val="0"/>
        <c:ser>
          <c:idx val="0"/>
          <c:order val="0"/>
          <c:tx>
            <c:strRef>
              <c:f>Sheet1!$B$3:$B$4</c:f>
              <c:strCache>
                <c:ptCount val="1"/>
                <c:pt idx="0">
                  <c:v>OK</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Sheet1!$A$5</c:f>
              <c:strCache>
                <c:ptCount val="1"/>
                <c:pt idx="0">
                  <c:v>Total</c:v>
                </c:pt>
              </c:strCache>
            </c:strRef>
          </c:cat>
          <c:val>
            <c:numRef>
              <c:f>Sheet1!$B$5</c:f>
              <c:numCache>
                <c:formatCode>General</c:formatCode>
                <c:ptCount val="1"/>
                <c:pt idx="0">
                  <c:v>8</c:v>
                </c:pt>
              </c:numCache>
            </c:numRef>
          </c:val>
          <c:extLst>
            <c:ext xmlns:c16="http://schemas.microsoft.com/office/drawing/2014/chart" uri="{C3380CC4-5D6E-409C-BE32-E72D297353CC}">
              <c16:uniqueId val="{00000000-49F4-439F-930D-7BE2821DBA0A}"/>
            </c:ext>
          </c:extLst>
        </c:ser>
        <c:dLbls>
          <c:dLblPos val="ctr"/>
          <c:showLegendKey val="0"/>
          <c:showVal val="1"/>
          <c:showCatName val="0"/>
          <c:showSerName val="0"/>
          <c:showPercent val="0"/>
          <c:showBubbleSize val="0"/>
        </c:dLbls>
        <c:gapWidth val="219"/>
        <c:overlap val="100"/>
        <c:axId val="2062798111"/>
        <c:axId val="947950351"/>
      </c:barChart>
      <c:catAx>
        <c:axId val="2062798111"/>
        <c:scaling>
          <c:orientation val="minMax"/>
        </c:scaling>
        <c:delete val="1"/>
        <c:axPos val="l"/>
        <c:numFmt formatCode="General" sourceLinked="1"/>
        <c:majorTickMark val="out"/>
        <c:minorTickMark val="none"/>
        <c:tickLblPos val="nextTo"/>
        <c:crossAx val="947950351"/>
        <c:crosses val="autoZero"/>
        <c:auto val="1"/>
        <c:lblAlgn val="ctr"/>
        <c:lblOffset val="100"/>
        <c:noMultiLvlLbl val="0"/>
      </c:catAx>
      <c:valAx>
        <c:axId val="947950351"/>
        <c:scaling>
          <c:orientation val="minMax"/>
          <c:max val="1"/>
          <c:min val="0"/>
        </c:scaling>
        <c:delete val="1"/>
        <c:axPos val="b"/>
        <c:numFmt formatCode="0%" sourceLinked="1"/>
        <c:majorTickMark val="out"/>
        <c:minorTickMark val="none"/>
        <c:tickLblPos val="nextTo"/>
        <c:crossAx val="20627981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[Colo Prevalidation Read Only 2019-01-22.xlsm]Pivot Graph1!PivotTable3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doughnutChart>
        <c:varyColors val="1"/>
        <c:ser>
          <c:idx val="0"/>
          <c:order val="0"/>
          <c:tx>
            <c:strRef>
              <c:f>'Pivot Graph1'!$B$3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99B-44D3-9130-BEA82366594B}"/>
              </c:ext>
            </c:extLst>
          </c:dPt>
          <c:dPt>
            <c:idx val="1"/>
            <c:bubble3D val="0"/>
            <c:spPr>
              <a:solidFill>
                <a:schemeClr val="accent2"/>
              </a:solidFill>
              <a:ln>
                <a:noFill/>
              </a:ln>
              <a:effectLst/>
            </c:spPr>
            <c:extLst>
              <c:ext xmlns:c16="http://schemas.microsoft.com/office/drawing/2014/chart" uri="{C3380CC4-5D6E-409C-BE32-E72D297353CC}">
                <c16:uniqueId val="{00000003-299B-44D3-9130-BEA82366594B}"/>
              </c:ext>
            </c:extLst>
          </c:dPt>
          <c:dPt>
            <c:idx val="2"/>
            <c:bubble3D val="0"/>
            <c:spPr>
              <a:solidFill>
                <a:schemeClr val="accent3"/>
              </a:solidFill>
              <a:ln>
                <a:noFill/>
              </a:ln>
              <a:effectLst/>
            </c:spPr>
            <c:extLst>
              <c:ext xmlns:c16="http://schemas.microsoft.com/office/drawing/2014/chart" uri="{C3380CC4-5D6E-409C-BE32-E72D297353CC}">
                <c16:uniqueId val="{00000005-299B-44D3-9130-BEA82366594B}"/>
              </c:ext>
            </c:extLst>
          </c:dPt>
          <c:dPt>
            <c:idx val="3"/>
            <c:bubble3D val="0"/>
            <c:spPr>
              <a:solidFill>
                <a:schemeClr val="accent4"/>
              </a:solidFill>
              <a:ln>
                <a:noFill/>
              </a:ln>
              <a:effectLst/>
            </c:spPr>
            <c:extLst>
              <c:ext xmlns:c16="http://schemas.microsoft.com/office/drawing/2014/chart" uri="{C3380CC4-5D6E-409C-BE32-E72D297353CC}">
                <c16:uniqueId val="{00000007-299B-44D3-9130-BEA82366594B}"/>
              </c:ext>
            </c:extLst>
          </c:dPt>
          <c:cat>
            <c:strRef>
              <c:f>'Pivot Graph1'!$A$4:$A$7</c:f>
              <c:strCache>
                <c:ptCount val="3"/>
                <c:pt idx="0">
                  <c:v>Prevalidated</c:v>
                </c:pt>
                <c:pt idx="1">
                  <c:v>Under Prevalidation</c:v>
                </c:pt>
                <c:pt idx="2">
                  <c:v>Dropped by Operator</c:v>
                </c:pt>
              </c:strCache>
            </c:strRef>
          </c:cat>
          <c:val>
            <c:numRef>
              <c:f>'Pivot Graph1'!$B$4:$B$7</c:f>
              <c:numCache>
                <c:formatCode>General</c:formatCode>
                <c:ptCount val="3"/>
                <c:pt idx="0">
                  <c:v>32</c:v>
                </c:pt>
                <c:pt idx="1">
                  <c:v>8</c:v>
                </c:pt>
                <c:pt idx="2">
                  <c:v>1</c:v>
                </c:pt>
              </c:numCache>
            </c:numRef>
          </c:val>
          <c:extLst>
            <c:ext xmlns:c16="http://schemas.microsoft.com/office/drawing/2014/chart" uri="{C3380CC4-5D6E-409C-BE32-E72D297353CC}">
              <c16:uniqueId val="{00000001-1C6F-43B3-A4DE-AD78DCD0CAE7}"/>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[Colo Prevalidation Read Only 2019-01-22.xlsm]Sheet1!PivotTable2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3">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c:spPr>
        <c:marker>
          <c:symbol val="none"/>
        </c:marker>
      </c:pivotFmt>
      <c:pivotFmt>
        <c:idx val="3"/>
        <c:spPr>
          <a:solidFill>
            <a:schemeClr val="accent4">
              <a:lumMod val="60000"/>
              <a:lumOff val="40000"/>
            </a:schemeClr>
          </a:solidFill>
          <a:ln>
            <a:noFill/>
          </a:ln>
          <a:effectLst/>
        </c:spPr>
        <c:marker>
          <c:symbol val="none"/>
        </c:marke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Sheet1!$B$3:$B$4</c:f>
              <c:strCache>
                <c:ptCount val="1"/>
                <c:pt idx="0">
                  <c:v>OK</c:v>
                </c:pt>
              </c:strCache>
            </c:strRef>
          </c:tx>
          <c:spPr>
            <a:solidFill>
              <a:schemeClr val="accent6">
                <a:lumMod val="60000"/>
                <a:lumOff val="40000"/>
              </a:schemeClr>
            </a:solidFill>
            <a:ln>
              <a:noFill/>
            </a:ln>
            <a:effectLst/>
          </c:spPr>
          <c:invertIfNegative val="0"/>
          <c:cat>
            <c:strRef>
              <c:f>Sheet1!$A$5</c:f>
              <c:strCache>
                <c:ptCount val="1"/>
                <c:pt idx="0">
                  <c:v>Total</c:v>
                </c:pt>
              </c:strCache>
            </c:strRef>
          </c:cat>
          <c:val>
            <c:numRef>
              <c:f>Sheet1!$B$5</c:f>
              <c:numCache>
                <c:formatCode>General</c:formatCode>
                <c:ptCount val="1"/>
                <c:pt idx="0">
                  <c:v>8</c:v>
                </c:pt>
              </c:numCache>
            </c:numRef>
          </c:val>
          <c:extLst>
            <c:ext xmlns:c16="http://schemas.microsoft.com/office/drawing/2014/chart" uri="{C3380CC4-5D6E-409C-BE32-E72D297353CC}">
              <c16:uniqueId val="{00000000-AD0A-4469-8C9C-FBDF7AD1941B}"/>
            </c:ext>
          </c:extLst>
        </c:ser>
        <c:dLbls>
          <c:showLegendKey val="0"/>
          <c:showVal val="0"/>
          <c:showCatName val="0"/>
          <c:showSerName val="0"/>
          <c:showPercent val="0"/>
          <c:showBubbleSize val="0"/>
        </c:dLbls>
        <c:gapWidth val="219"/>
        <c:overlap val="100"/>
        <c:axId val="2062798111"/>
        <c:axId val="947950351"/>
      </c:barChart>
      <c:catAx>
        <c:axId val="2062798111"/>
        <c:scaling>
          <c:orientation val="minMax"/>
        </c:scaling>
        <c:delete val="1"/>
        <c:axPos val="l"/>
        <c:numFmt formatCode="General" sourceLinked="1"/>
        <c:majorTickMark val="out"/>
        <c:minorTickMark val="none"/>
        <c:tickLblPos val="nextTo"/>
        <c:crossAx val="947950351"/>
        <c:crosses val="autoZero"/>
        <c:auto val="1"/>
        <c:lblAlgn val="ctr"/>
        <c:lblOffset val="100"/>
        <c:noMultiLvlLbl val="0"/>
      </c:catAx>
      <c:valAx>
        <c:axId val="947950351"/>
        <c:scaling>
          <c:orientation val="minMax"/>
          <c:min val="0"/>
        </c:scaling>
        <c:delete val="1"/>
        <c:axPos val="b"/>
        <c:numFmt formatCode="0%" sourceLinked="1"/>
        <c:majorTickMark val="out"/>
        <c:minorTickMark val="none"/>
        <c:tickLblPos val="nextTo"/>
        <c:crossAx val="20627981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165099</xdr:rowOff>
    </xdr:from>
    <xdr:to>
      <xdr:col>1</xdr:col>
      <xdr:colOff>6350</xdr:colOff>
      <xdr:row>16</xdr:row>
      <xdr:rowOff>41273</xdr:rowOff>
    </xdr:to>
    <mc:AlternateContent xmlns:mc="http://schemas.openxmlformats.org/markup-compatibility/2006" xmlns:a14="http://schemas.microsoft.com/office/drawing/2010/main">
      <mc:Choice Requires="a14">
        <xdr:graphicFrame macro="">
          <xdr:nvGraphicFramePr>
            <xdr:cNvPr id="9" name="Prevalidation Status">
              <a:extLst>
                <a:ext uri="{FF2B5EF4-FFF2-40B4-BE49-F238E27FC236}">
                  <a16:creationId xmlns:a16="http://schemas.microsoft.com/office/drawing/2014/main" id="{67A50D13-4692-4622-BCB2-D5730CCEB5BF}"/>
                </a:ext>
              </a:extLst>
            </xdr:cNvPr>
            <xdr:cNvGraphicFramePr/>
          </xdr:nvGraphicFramePr>
          <xdr:xfrm>
            <a:off x="0" y="0"/>
            <a:ext cx="0" cy="0"/>
          </xdr:xfrm>
          <a:graphic>
            <a:graphicData uri="http://schemas.microsoft.com/office/drawing/2010/slicer">
              <sle:slicer xmlns:sle="http://schemas.microsoft.com/office/drawing/2010/slicer" name="Prevalidation Status"/>
            </a:graphicData>
          </a:graphic>
        </xdr:graphicFrame>
      </mc:Choice>
      <mc:Fallback xmlns="">
        <xdr:sp macro="" textlink="">
          <xdr:nvSpPr>
            <xdr:cNvPr id="0" name=""/>
            <xdr:cNvSpPr>
              <a:spLocks noTextEdit="1"/>
            </xdr:cNvSpPr>
          </xdr:nvSpPr>
          <xdr:spPr>
            <a:xfrm>
              <a:off x="0" y="1000124"/>
              <a:ext cx="1911350" cy="2051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0</xdr:colOff>
      <xdr:row>3</xdr:row>
      <xdr:rowOff>1</xdr:rowOff>
    </xdr:from>
    <xdr:to>
      <xdr:col>5</xdr:col>
      <xdr:colOff>0</xdr:colOff>
      <xdr:row>24</xdr:row>
      <xdr:rowOff>0</xdr:rowOff>
    </xdr:to>
    <xdr:graphicFrame macro="">
      <xdr:nvGraphicFramePr>
        <xdr:cNvPr id="6" name="Chart 5">
          <a:extLst>
            <a:ext uri="{FF2B5EF4-FFF2-40B4-BE49-F238E27FC236}">
              <a16:creationId xmlns:a16="http://schemas.microsoft.com/office/drawing/2014/main" id="{09EFB90B-FD1E-46FB-80EE-A6F1B4A53D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657225</xdr:colOff>
      <xdr:row>2</xdr:row>
      <xdr:rowOff>66675</xdr:rowOff>
    </xdr:from>
    <xdr:to>
      <xdr:col>14</xdr:col>
      <xdr:colOff>657225</xdr:colOff>
      <xdr:row>11</xdr:row>
      <xdr:rowOff>0</xdr:rowOff>
    </xdr:to>
    <mc:AlternateContent xmlns:mc="http://schemas.openxmlformats.org/markup-compatibility/2006">
      <mc:Choice xmlns:tsle="http://schemas.microsoft.com/office/drawing/2012/timeslicer" Requires="tsle">
        <xdr:graphicFrame macro="">
          <xdr:nvGraphicFramePr>
            <xdr:cNvPr id="10" name="Request Date">
              <a:extLst>
                <a:ext uri="{FF2B5EF4-FFF2-40B4-BE49-F238E27FC236}">
                  <a16:creationId xmlns:a16="http://schemas.microsoft.com/office/drawing/2014/main" id="{E59D8F4A-D10D-4ABE-9AD7-3CD679C08CA1}"/>
                </a:ext>
              </a:extLst>
            </xdr:cNvPr>
            <xdr:cNvGraphicFramePr/>
          </xdr:nvGraphicFramePr>
          <xdr:xfrm>
            <a:off x="0" y="0"/>
            <a:ext cx="0" cy="0"/>
          </xdr:xfrm>
          <a:graphic>
            <a:graphicData uri="http://schemas.microsoft.com/office/drawing/2012/timeslicer">
              <tsle:timeslicer xmlns:tsle="http://schemas.microsoft.com/office/drawing/2012/timeslicer" name="Request Date"/>
            </a:graphicData>
          </a:graphic>
        </xdr:graphicFrame>
      </mc:Choice>
      <mc:Fallback>
        <xdr:sp macro="" textlink="">
          <xdr:nvSpPr>
            <xdr:cNvPr id="0" name=""/>
            <xdr:cNvSpPr>
              <a:spLocks noTextEdit="1"/>
            </xdr:cNvSpPr>
          </xdr:nvSpPr>
          <xdr:spPr>
            <a:xfrm>
              <a:off x="10560050" y="539750"/>
              <a:ext cx="3886200" cy="156527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10</xdr:col>
      <xdr:colOff>657225</xdr:colOff>
      <xdr:row>11</xdr:row>
      <xdr:rowOff>0</xdr:rowOff>
    </xdr:from>
    <xdr:to>
      <xdr:col>14</xdr:col>
      <xdr:colOff>657225</xdr:colOff>
      <xdr:row>19</xdr:row>
      <xdr:rowOff>0</xdr:rowOff>
    </xdr:to>
    <mc:AlternateContent xmlns:mc="http://schemas.openxmlformats.org/markup-compatibility/2006">
      <mc:Choice xmlns:tsle="http://schemas.microsoft.com/office/drawing/2012/timeslicer" Requires="tsle">
        <xdr:graphicFrame macro="">
          <xdr:nvGraphicFramePr>
            <xdr:cNvPr id="11" name="Close Date">
              <a:extLst>
                <a:ext uri="{FF2B5EF4-FFF2-40B4-BE49-F238E27FC236}">
                  <a16:creationId xmlns:a16="http://schemas.microsoft.com/office/drawing/2014/main" id="{100B6875-BA82-47CA-9F15-AC891FF7FA9F}"/>
                </a:ext>
              </a:extLst>
            </xdr:cNvPr>
            <xdr:cNvGraphicFramePr/>
          </xdr:nvGraphicFramePr>
          <xdr:xfrm>
            <a:off x="0" y="0"/>
            <a:ext cx="0" cy="0"/>
          </xdr:xfrm>
          <a:graphic>
            <a:graphicData uri="http://schemas.microsoft.com/office/drawing/2012/timeslicer">
              <tsle:timeslicer xmlns:tsle="http://schemas.microsoft.com/office/drawing/2012/timeslicer" name="Close Date"/>
            </a:graphicData>
          </a:graphic>
        </xdr:graphicFrame>
      </mc:Choice>
      <mc:Fallback>
        <xdr:sp macro="" textlink="">
          <xdr:nvSpPr>
            <xdr:cNvPr id="0" name=""/>
            <xdr:cNvSpPr>
              <a:spLocks noTextEdit="1"/>
            </xdr:cNvSpPr>
          </xdr:nvSpPr>
          <xdr:spPr>
            <a:xfrm>
              <a:off x="10560050" y="2105025"/>
              <a:ext cx="3886200" cy="14478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0</xdr:colOff>
      <xdr:row>13</xdr:row>
      <xdr:rowOff>0</xdr:rowOff>
    </xdr:from>
    <xdr:to>
      <xdr:col>1</xdr:col>
      <xdr:colOff>0</xdr:colOff>
      <xdr:row>24</xdr:row>
      <xdr:rowOff>0</xdr:rowOff>
    </xdr:to>
    <mc:AlternateContent xmlns:mc="http://schemas.openxmlformats.org/markup-compatibility/2006" xmlns:a14="http://schemas.microsoft.com/office/drawing/2010/main">
      <mc:Choice Requires="a14">
        <xdr:graphicFrame macro="">
          <xdr:nvGraphicFramePr>
            <xdr:cNvPr id="4" name="Operator">
              <a:extLst>
                <a:ext uri="{FF2B5EF4-FFF2-40B4-BE49-F238E27FC236}">
                  <a16:creationId xmlns:a16="http://schemas.microsoft.com/office/drawing/2014/main" id="{E6972B9F-13C1-4AF0-BB14-FA23D3D2B391}"/>
                </a:ext>
              </a:extLst>
            </xdr:cNvPr>
            <xdr:cNvGraphicFramePr/>
          </xdr:nvGraphicFramePr>
          <xdr:xfrm>
            <a:off x="0" y="0"/>
            <a:ext cx="0" cy="0"/>
          </xdr:xfrm>
          <a:graphic>
            <a:graphicData uri="http://schemas.microsoft.com/office/drawing/2010/slicer">
              <sle:slicer xmlns:sle="http://schemas.microsoft.com/office/drawing/2010/slicer" name="Operator"/>
            </a:graphicData>
          </a:graphic>
        </xdr:graphicFrame>
      </mc:Choice>
      <mc:Fallback xmlns="">
        <xdr:sp macro="" textlink="">
          <xdr:nvSpPr>
            <xdr:cNvPr id="0" name=""/>
            <xdr:cNvSpPr>
              <a:spLocks noTextEdit="1"/>
            </xdr:cNvSpPr>
          </xdr:nvSpPr>
          <xdr:spPr>
            <a:xfrm>
              <a:off x="0" y="2466975"/>
              <a:ext cx="1905000" cy="1990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22</xdr:row>
      <xdr:rowOff>19051</xdr:rowOff>
    </xdr:from>
    <xdr:to>
      <xdr:col>1</xdr:col>
      <xdr:colOff>3175</xdr:colOff>
      <xdr:row>31</xdr:row>
      <xdr:rowOff>28575</xdr:rowOff>
    </xdr:to>
    <mc:AlternateContent xmlns:mc="http://schemas.openxmlformats.org/markup-compatibility/2006">
      <mc:Choice xmlns:a14="http://schemas.microsoft.com/office/drawing/2010/main" Requires="a14">
        <xdr:graphicFrame macro="">
          <xdr:nvGraphicFramePr>
            <xdr:cNvPr id="2" name="Legacy">
              <a:extLst>
                <a:ext uri="{FF2B5EF4-FFF2-40B4-BE49-F238E27FC236}">
                  <a16:creationId xmlns:a16="http://schemas.microsoft.com/office/drawing/2014/main" id="{55BAA8D7-81F4-4B2F-9990-8C71886EB3EC}"/>
                </a:ext>
              </a:extLst>
            </xdr:cNvPr>
            <xdr:cNvGraphicFramePr/>
          </xdr:nvGraphicFramePr>
          <xdr:xfrm>
            <a:off x="0" y="0"/>
            <a:ext cx="0" cy="0"/>
          </xdr:xfrm>
          <a:graphic>
            <a:graphicData uri="http://schemas.microsoft.com/office/drawing/2010/slicer">
              <sle:slicer xmlns:sle="http://schemas.microsoft.com/office/drawing/2010/slicer" name="Legacy"/>
            </a:graphicData>
          </a:graphic>
        </xdr:graphicFrame>
      </mc:Choice>
      <mc:Fallback>
        <xdr:sp macro="" textlink="">
          <xdr:nvSpPr>
            <xdr:cNvPr id="0" name=""/>
            <xdr:cNvSpPr>
              <a:spLocks noTextEdit="1"/>
            </xdr:cNvSpPr>
          </xdr:nvSpPr>
          <xdr:spPr>
            <a:xfrm>
              <a:off x="0" y="4114801"/>
              <a:ext cx="1911350" cy="911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31</xdr:row>
      <xdr:rowOff>0</xdr:rowOff>
    </xdr:from>
    <xdr:to>
      <xdr:col>1</xdr:col>
      <xdr:colOff>0</xdr:colOff>
      <xdr:row>38</xdr:row>
      <xdr:rowOff>1</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926D5C93-9925-4C18-828D-6C4F301006F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000625"/>
              <a:ext cx="1905000" cy="12668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0</xdr:colOff>
      <xdr:row>3</xdr:row>
      <xdr:rowOff>0</xdr:rowOff>
    </xdr:from>
    <xdr:to>
      <xdr:col>10</xdr:col>
      <xdr:colOff>0</xdr:colOff>
      <xdr:row>12</xdr:row>
      <xdr:rowOff>0</xdr:rowOff>
    </xdr:to>
    <xdr:graphicFrame macro="">
      <xdr:nvGraphicFramePr>
        <xdr:cNvPr id="13" name="Chart 12">
          <a:extLst>
            <a:ext uri="{FF2B5EF4-FFF2-40B4-BE49-F238E27FC236}">
              <a16:creationId xmlns:a16="http://schemas.microsoft.com/office/drawing/2014/main" id="{74FB2372-18B6-4060-B917-BE2F3A0A67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409575</xdr:colOff>
      <xdr:row>0</xdr:row>
      <xdr:rowOff>120650</xdr:rowOff>
    </xdr:from>
    <xdr:to>
      <xdr:col>10</xdr:col>
      <xdr:colOff>104775</xdr:colOff>
      <xdr:row>15</xdr:row>
      <xdr:rowOff>149225</xdr:rowOff>
    </xdr:to>
    <xdr:graphicFrame macro="">
      <xdr:nvGraphicFramePr>
        <xdr:cNvPr id="2" name="Chart 1">
          <a:extLst>
            <a:ext uri="{FF2B5EF4-FFF2-40B4-BE49-F238E27FC236}">
              <a16:creationId xmlns:a16="http://schemas.microsoft.com/office/drawing/2014/main" id="{2A279595-FBAC-4184-A312-B57AE25E4B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0</xdr:colOff>
      <xdr:row>2</xdr:row>
      <xdr:rowOff>1</xdr:rowOff>
    </xdr:from>
    <xdr:to>
      <xdr:col>14</xdr:col>
      <xdr:colOff>0</xdr:colOff>
      <xdr:row>12</xdr:row>
      <xdr:rowOff>1</xdr:rowOff>
    </xdr:to>
    <xdr:graphicFrame macro="">
      <xdr:nvGraphicFramePr>
        <xdr:cNvPr id="2" name="Chart 1">
          <a:extLst>
            <a:ext uri="{FF2B5EF4-FFF2-40B4-BE49-F238E27FC236}">
              <a16:creationId xmlns:a16="http://schemas.microsoft.com/office/drawing/2014/main" id="{56A8C8C9-A775-4527-B8E3-A396DBD6C6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User" refreshedDate="43487.481918518519" createdVersion="6" refreshedVersion="6" minRefreshableVersion="3" recordCount="509" xr:uid="{53258328-3782-45BF-AEA8-B99880F9DA82}">
  <cacheSource type="worksheet">
    <worksheetSource name="_05preva_view43"/>
  </cacheSource>
  <cacheFields count="63">
    <cacheField name="Request ID" numFmtId="304">
      <sharedItems containsSemiMixedTypes="0" containsString="0" containsNumber="1" containsInteger="1" minValue="1" maxValue="3639"/>
    </cacheField>
    <cacheField name="Site ID" numFmtId="0">
      <sharedItems count="429">
        <s v="AAYW00001"/>
        <s v="ABAG00004"/>
        <s v="1-01-10018-001"/>
        <s v="1-01-10029-006"/>
        <s v="1-01-09022-002"/>
        <s v="1-01-05015-002"/>
        <s v="1-01-15013-009"/>
        <s v="1-01-15018-003"/>
        <s v="PBAG00032"/>
        <s v="1-01-04002-007"/>
        <s v="1-01-09021-002"/>
        <s v="1-01-05027-007"/>
        <s v="1-01-06001-002"/>
        <s v="PTNT00059"/>
        <s v="1-01-05027-016"/>
        <s v="1-01-01014-005"/>
        <s v="ANMD_0066"/>
        <s v="ANMD_0067"/>
        <s v="ANMD_0165"/>
        <s v="ANMD_0172"/>
        <s v="1-01-13039-001"/>
        <s v="ABAG00003"/>
        <s v="ANSG_0374"/>
        <s v="3-00-01014-001"/>
        <s v="ANMD_0236"/>
        <s v="1-01-15014-008"/>
        <s v="AYYN_0373"/>
        <s v="AYYN_0335"/>
        <s v="AYYN_0541"/>
        <s v="ACBA_0032"/>
        <s v="1-01-14003-002"/>
        <s v="ANMD_0220"/>
        <s v="1-01-05005-001"/>
        <s v="ANSG_0498"/>
        <s v="1-01-05027-001"/>
        <s v="ANSH_0034"/>
        <s v="1-01-17023-009"/>
        <s v="1-01-05005-002"/>
        <s v="1-01-05007-010"/>
        <s v="1-01-11002-003"/>
        <s v="1-01-17003-011"/>
        <s v="1-01-06005-005"/>
        <s v="1-01-14007-015"/>
        <s v="ACBA_0202"/>
        <s v="1-01-08008-001"/>
        <s v="1-01-01010-013"/>
        <s v="1-01-09018-009"/>
        <s v="1-01-05004-001"/>
        <s v="1-01-10003-004"/>
        <s v="1-01-10001-007"/>
        <s v="1-01-10003-012"/>
        <s v="1-01-10003-002"/>
        <s v="1-01-10003-013"/>
        <s v="ANMD_0166"/>
        <s v="ANMD_0004"/>
        <s v="1-01-15013-004"/>
        <s v="ANMG_0034"/>
        <s v="1-01-12016-011"/>
        <s v="ANKC_0024"/>
        <s v="1-01-10013-005"/>
        <s v="ANSG_0466"/>
        <s v="AYYN_0530"/>
        <s v="AYYN_0620"/>
        <s v="1-01-15009-006"/>
        <s v="1-01-15002-002"/>
        <s v="1-01-14007-013"/>
        <s v="AYYN_0284"/>
        <s v="AYYN_0575"/>
        <s v="AYYN_0403"/>
        <s v="AYYN_0570"/>
        <s v="ASMO_0207"/>
        <s v="ASMO_0199"/>
        <s v="1-01-14013-003"/>
        <s v="1-01-03007-002"/>
        <s v="1-03-01014-017"/>
        <s v="1-01-14007-014"/>
        <s v="1-01-01015-020"/>
        <s v="ASTN_0023"/>
        <s v="1-01-01010-012"/>
        <s v="ASMO_0155"/>
        <s v="ASKH_0007"/>
        <s v="ANNP_0222"/>
        <s v="3-00-01014-003"/>
        <s v="3-00-01014-002"/>
        <s v="1-01-01002-007"/>
        <s v="1-01-17008-014"/>
        <s v="1-01-17019-006"/>
        <s v="1-01-01008-016"/>
        <s v="1-01-10030-007"/>
        <s v="1-01-10024-004"/>
        <s v="1-01-01001-018"/>
        <s v="ANMG_0037"/>
        <s v="AYYN_0251"/>
        <s v="ANMD_0176"/>
        <s v="ANSG_0454"/>
        <s v="1-01-01004-001"/>
        <s v="1-01-15013-001"/>
        <s v="1-01-14007-016"/>
        <s v="1-01-10029-005"/>
        <s v="1-01-12007-001"/>
        <s v="1-01-03005-004"/>
        <s v="1-01-17026-003"/>
        <s v="1-01-17004-007"/>
        <s v="1-01-10020-003"/>
        <s v="1-01-14001-033"/>
        <s v="ACAY_0122"/>
        <s v="ANMD_0136"/>
        <s v="1-01-01010-003"/>
        <s v="ANKC_0017"/>
        <s v="1-01-14001-010"/>
        <s v="1-01-04007-009"/>
        <s v="1-01-10009-003"/>
        <s v="1-01-17007-005"/>
        <s v="1-01-02003-003"/>
        <s v="1-01-03001-001"/>
        <s v="1-01-09001-003"/>
        <s v="1-01-09017-004"/>
        <s v="1-01-05009-001"/>
        <s v="1-01-05015-004"/>
        <s v="1-01-16011-001"/>
        <s v="1-01-15012-004"/>
        <s v="1-01-15013-008"/>
        <s v="1-01-17016-011"/>
        <s v="1-01-17017-001"/>
        <s v="ANSG_0483"/>
        <s v="AYYN_0300"/>
        <s v="ANMD_0022"/>
        <s v="1-01-09022-005"/>
        <s v="1-01-17003-008"/>
        <s v="ANMD_0169"/>
        <s v="1-01-01009-002"/>
        <s v="ANMD_0195"/>
        <s v="AYYN_0225"/>
        <s v="1-01-17019-002"/>
        <s v="1-01-17011-006"/>
        <s v="1-03-06008-014"/>
        <s v="ANMD_0173"/>
        <s v="ANMD_0164"/>
        <s v="ANMD_0010"/>
        <s v="1-01-10006-004"/>
        <s v="1-01-10006-001"/>
        <s v="ANMD_0069"/>
        <s v="ANMD_0070"/>
        <s v="ANMD_0071"/>
        <s v="ANMD_0077"/>
        <s v="ANMD_0266"/>
        <s v="ANMD_0167"/>
        <s v="ANMD_0153"/>
        <s v="1-01-05012-001"/>
        <s v="1-01-05009-003"/>
        <s v="1-01-04002-004"/>
        <s v="1-01-08009-002"/>
        <s v="1-01-05010-002"/>
        <s v="1-01-05010-006"/>
        <s v="1-01-05007-006"/>
        <s v="1-01-11009-002"/>
        <s v="1-01-14001-015"/>
        <s v="1-01-14001-026"/>
        <s v="1-01-06002-003"/>
        <s v="1-01-13004-006"/>
        <s v="1-01-05007-011"/>
        <s v="1-01-05011-004"/>
        <s v="1-01-05010-004"/>
        <s v="1-01-01002-008"/>
        <s v="1-01-11007-003"/>
        <s v="1-01-16001-003"/>
        <s v="1-01-15012-002"/>
        <s v="1-01-06008-002"/>
        <s v="ANSG_0393"/>
        <s v="ANMD_3001"/>
        <s v="1-01-15013-007"/>
        <s v="1-01-14007-002"/>
        <s v="ANMD_0132"/>
        <s v="AYYN_0264"/>
        <s v="AYYN_0334"/>
        <s v="AYYN_0579"/>
        <s v="AYYN_0553"/>
        <s v="ASMO_0202"/>
        <s v="AYYN_0508"/>
        <s v="AYYN_0534"/>
        <s v="AYYN_0611"/>
        <s v="AYYN_0306"/>
        <s v="AYYN_0529"/>
        <s v="1-01-05027-009"/>
        <s v="1-01-15011-001"/>
        <s v="AYYN_0583"/>
        <s v="1-01-05027-008"/>
        <s v="1-01-04004-007"/>
        <s v="1-01-05005-006"/>
        <s v="1-01-17009-002"/>
        <s v="1-01-05027-002"/>
        <s v="1-01-10015-003"/>
        <s v="1-01-05027-006"/>
        <s v="1-01-05018-006"/>
        <s v="1-01-05030-010"/>
        <s v="1-01-14007-007"/>
        <s v="AYYN_0086"/>
        <s v="1-01-13004-003"/>
        <s v="ACBA_0053"/>
        <s v="ANSG_0463"/>
        <s v="ANSG_0485"/>
        <s v="1-01-09008-001"/>
        <s v="1-01-11003-002"/>
        <s v="ANSG_0343"/>
        <s v="1-01-14001-005"/>
        <s v="1-01-01009-013"/>
        <s v="1-01-14013-002"/>
        <s v="1-01-17019-003"/>
        <s v="1-01-05011-006"/>
        <s v="1-01-14008-002"/>
        <s v="1-01-14001-019"/>
        <s v="1-01-15010-002"/>
        <s v="1-01-08002-005"/>
        <s v="1-01-11009-003"/>
        <s v="1-01-14005-005"/>
        <s v="1-01-17016-004"/>
        <s v="1-01-13004-002"/>
        <s v="1-01-17008-022"/>
        <s v="AYYN_0609"/>
        <s v="ANNP_0256"/>
        <s v="ACAY_0154"/>
        <s v="ACAY_0056"/>
        <s v="ACAY_0138"/>
        <s v="ACBA_0256"/>
        <s v="ASMO_0161"/>
        <s v="ACBA_0104"/>
        <s v="ACBA_0099"/>
        <s v="ANMD_0011"/>
        <s v="ANMD_0097"/>
        <s v="AYYN_0021"/>
        <s v="1-01-05018-005"/>
        <s v="AYYN_0323"/>
        <s v="ANMG_0076"/>
        <s v="AYYN_0499"/>
        <s v="ASMO_0254"/>
        <s v="ANNP_0329"/>
        <s v="ANMD_0080"/>
        <s v="ANMD_0122"/>
        <s v="ANMD_0181"/>
        <s v="ANSH_0044"/>
        <s v="AYYN_0413"/>
        <s v="ANMD_0273"/>
        <s v="ANMD_0078"/>
        <s v="AYYN_0339"/>
        <s v="AYYN_0141"/>
        <s v="ACAY_3003"/>
        <s v="ASMO_0253"/>
        <s v="ANMG_0027"/>
        <s v="ANSH_0013"/>
        <s v="AYYN_0419"/>
        <s v="AYYN_0100"/>
        <s v="ANMD_0118"/>
        <s v="ANMD_0089"/>
        <s v="ANMG_0011"/>
        <s v="ANMG_0113"/>
        <s v="AYYN_0517"/>
        <s v="ANMD_0091"/>
        <s v="ANMD_0093"/>
        <s v="ANMD_0105"/>
        <s v="AYYN_0520"/>
        <s v="AYYN_0110"/>
        <s v="ANSG_0446"/>
        <s v="ANNP_0210"/>
        <s v="AYYN_0441"/>
        <s v="ANSG_0364"/>
        <s v="ACAY_0102"/>
        <s v="ASKH_3000"/>
        <s v="ANSG_0348"/>
        <s v="ANMD_0154"/>
        <s v="ANMG_0019"/>
        <s v="ANMG_0058"/>
        <s v="ANMG_0122"/>
        <s v="ANNP_0391"/>
        <s v="ANNP_0226"/>
        <s v="ANSG_0373"/>
        <s v="ACRK_0028"/>
        <s v="AYYN_0318"/>
        <s v="AYYN_0538"/>
        <s v="ACAY_0015"/>
        <s v="ASMO_0313"/>
        <s v="ASMO_0201"/>
        <s v="ACBA_0255"/>
        <s v="AYYN_0485"/>
        <s v="AYYN_0244"/>
        <s v="ACBA_0094"/>
        <s v="ACBA_0056"/>
        <s v="AYYN_0411"/>
        <s v="ASMO_0267"/>
        <s v="AYYN_0533"/>
        <s v="ASMO_0263"/>
        <s v="AYYN_0119"/>
        <s v="AYYN_0128"/>
        <s v="AYYN_0456"/>
        <s v="AYYN_0104"/>
        <s v="AYYN_0580"/>
        <s v="ACAY_0059"/>
        <s v="AYYN_0081"/>
        <s v="AYYN_0576"/>
        <s v="AYYN_0574"/>
        <s v="AYYN_0331"/>
        <s v="ACBA_0108"/>
        <s v="ASMO_0305"/>
        <s v="AYYN_0321"/>
        <s v="AYYN_0405"/>
        <s v="AYYN_0552"/>
        <s v="ASMO_0180"/>
        <s v="AYYN_0536"/>
        <s v="ASMO_0150"/>
        <s v="AYYN_0518"/>
        <s v="AYYN_0474"/>
        <s v="ACBA_0051"/>
        <s v="AYYN_0488"/>
        <s v="AYYN_0544"/>
        <s v="AYYN_0504"/>
        <s v="AYYN_0309"/>
        <s v="ACAY_0142"/>
        <s v="ACBA_0089"/>
        <s v="AYYN_0088"/>
        <s v="ACAY_0123"/>
        <s v="ASMO_0162"/>
        <s v="ASMO_0164"/>
        <s v="ASMO_0166"/>
        <s v="ASMO_0165"/>
        <s v="ASMO_0171"/>
        <s v="ACBA_0230"/>
        <s v="ASMO_0172"/>
        <s v="ACBA_0196"/>
        <s v="ACBA_0038"/>
        <s v="ACBA_0030"/>
        <s v="ACBA_0042"/>
        <s v="ACBA_0028"/>
        <s v="ACBA_0035"/>
        <s v="ACBA_0033"/>
        <s v="ACBA_0185"/>
        <s v="ACAY_0022"/>
        <s v="ACAY_0026"/>
        <s v="ACAY_0017"/>
        <s v="ASMO_0261"/>
        <s v="ANMD_0015"/>
        <s v="ANSG_0351"/>
        <s v="ANSG_0358"/>
        <s v="ANMD_0012"/>
        <s v="ANSG_0349"/>
        <s v="ANMD_0163"/>
        <s v="ANSG_0377"/>
        <s v="ACAY_0146"/>
        <s v="ANSG_0382"/>
        <s v="ANMD_0018"/>
        <s v="ANMD_0095"/>
        <s v="ANMD_0171"/>
        <s v="ACAY_0163"/>
        <s v="ANMG_0052"/>
        <s v="ANMG_0006"/>
        <s v="ANMG_0026"/>
        <s v="ANSG_0381"/>
        <s v="ANMG_0167"/>
        <s v="ANSG_0361"/>
        <s v="ANMD_0170"/>
        <s v="ANMG_0172"/>
        <s v="ANMG_0173"/>
        <s v="ANSH_0086"/>
        <s v="ANSG_0379"/>
        <s v="ANMD_0098"/>
        <s v="ANSG_0347"/>
        <s v="ANMD_0117"/>
        <s v="ANMD_0005"/>
        <s v="ANMD_0092"/>
        <s v="ANMD_0073"/>
        <s v="ANMD_0168"/>
        <s v="ANMG_0017"/>
        <s v="ANNP_0276"/>
        <s v="ANNP_0203"/>
        <s v="ANMD_0079"/>
        <s v="ASKH_0019"/>
        <s v="ASTN_0045"/>
        <s v="ASTN_0035"/>
        <s v="ASMO_0295"/>
        <s v="ACBA_0245"/>
        <s v="ACAY_0171"/>
        <s v="ANMG_0183"/>
        <s v="ANSG_0464"/>
        <s v="AYYN_0599"/>
        <s v="AYYN_0223"/>
        <s v="AYYN_0206"/>
        <s v="AYYN_0144"/>
        <s v="AYYN_0066"/>
        <s v="ASKA_0137"/>
        <s v="ANMD_0088"/>
        <s v="AYYN_0527"/>
        <s v="AYYN_0416"/>
        <s v="1-01-15010-001"/>
        <s v="ACBA_0052"/>
        <s v="ACBA_0118"/>
        <s v="ACBA_0075"/>
        <s v="ACBA_0073"/>
        <s v="ACBA_0067"/>
        <s v="ACBA_0124"/>
        <s v="ANNP_0243"/>
        <s v="ANNP_0241"/>
        <s v="ANMG_0024"/>
        <s v="ANMG_0187"/>
        <s v="AYYN_0135"/>
        <s v="ANNP_0252"/>
        <s v="ACRK_0023"/>
        <s v="ANKC_0015"/>
        <s v="ANMD_0065"/>
        <s v="ANMD_0119"/>
        <s v="ANMD_0148"/>
        <s v="ANMD_0174"/>
        <s v="ANSG_0344"/>
        <s v="ANSG_0363"/>
        <s v="ANSH_0006"/>
        <s v="ASKA_0150"/>
        <s v="ASMO_0275"/>
        <s v="AYYN_0095"/>
        <s v="AYYN_0121"/>
        <s v="AYYN_0148"/>
        <s v="AYYN_0153"/>
        <s v="AYYN_0363"/>
        <s v="AYYN_0389"/>
        <s v="AYYN_0396"/>
        <s v="AYYN_0269"/>
        <s v="AYYN_0171"/>
        <s v="ANSG_0355"/>
        <s v="AYYN_0099"/>
        <s v="ANMD_0224"/>
        <s v="ASMO_0163"/>
        <s v="AYYN_0338"/>
        <s v="ANSG_0380"/>
      </sharedItems>
    </cacheField>
    <cacheField name="Legacy" numFmtId="0">
      <sharedItems count="2">
        <s v="Apollo"/>
        <s v="Pan Asia"/>
      </sharedItems>
    </cacheField>
    <cacheField name="Region" numFmtId="0">
      <sharedItems count="3">
        <s v="Southern"/>
        <s v="Central"/>
        <s v="Northern"/>
      </sharedItems>
    </cacheField>
    <cacheField name="tenant id" numFmtId="0">
      <sharedItems/>
    </cacheField>
    <cacheField name="Operator" numFmtId="0">
      <sharedItems count="5">
        <s v="MPT"/>
        <s v="Amara"/>
        <s v="OML"/>
        <s v="Mytel"/>
        <s v="Telenor"/>
      </sharedItems>
    </cacheField>
    <cacheField name="Tenant Category" numFmtId="0">
      <sharedItems containsBlank="1"/>
    </cacheField>
    <cacheField name="Tenant Status" numFmtId="0">
      <sharedItems containsBlank="1"/>
    </cacheField>
    <cacheField name="Scope" numFmtId="0">
      <sharedItems containsBlank="1"/>
    </cacheField>
    <cacheField name="Colo Rev" numFmtId="0">
      <sharedItems containsBlank="1"/>
    </cacheField>
    <cacheField name="Request Date" numFmtId="14">
      <sharedItems containsSemiMixedTypes="0" containsNonDate="0" containsDate="1" containsString="0" minDate="2018-03-13T00:00:00" maxDate="2019-01-22T00:00:00" count="76">
        <d v="2019-01-21T00:00:00"/>
        <d v="2019-01-18T00:00:00"/>
        <d v="2019-01-17T00:00:00"/>
        <d v="2019-01-16T00:00:00"/>
        <d v="2019-01-15T00:00:00"/>
        <d v="2019-01-14T00:00:00"/>
        <d v="2019-01-11T00:00:00"/>
        <d v="2019-01-10T00:00:00"/>
        <d v="2019-01-09T00:00:00"/>
        <d v="2019-01-08T00:00:00"/>
        <d v="2019-01-07T00:00:00"/>
        <d v="2019-01-03T00:00:00"/>
        <d v="2019-01-02T00:00:00"/>
        <d v="2018-12-27T00:00:00"/>
        <d v="2018-12-26T00:00:00"/>
        <d v="2018-12-24T00:00:00"/>
        <d v="2018-12-20T00:00:00"/>
        <d v="2018-12-18T00:00:00"/>
        <d v="2018-12-17T00:00:00"/>
        <d v="2018-12-13T00:00:00"/>
        <d v="2018-12-12T00:00:00"/>
        <d v="2018-12-11T00:00:00"/>
        <d v="2018-12-10T00:00:00"/>
        <d v="2018-12-07T00:00:00"/>
        <d v="2018-12-06T00:00:00"/>
        <d v="2018-12-03T00:00:00"/>
        <d v="2018-11-30T00:00:00"/>
        <d v="2018-11-28T00:00:00"/>
        <d v="2018-11-27T00:00:00"/>
        <d v="2018-11-26T00:00:00"/>
        <d v="2018-11-20T00:00:00"/>
        <d v="2018-11-16T00:00:00"/>
        <d v="2018-11-15T00:00:00"/>
        <d v="2018-11-14T00:00:00"/>
        <d v="2018-11-13T00:00:00"/>
        <d v="2018-11-08T00:00:00"/>
        <d v="2018-11-07T00:00:00"/>
        <d v="2018-11-05T00:00:00"/>
        <d v="2018-11-01T00:00:00"/>
        <d v="2018-10-31T00:00:00"/>
        <d v="2018-10-30T00:00:00"/>
        <d v="2018-10-29T00:00:00"/>
        <d v="2018-10-18T00:00:00"/>
        <d v="2018-10-16T00:00:00"/>
        <d v="2018-10-15T00:00:00"/>
        <d v="2018-10-11T00:00:00"/>
        <d v="2018-09-10T00:00:00"/>
        <d v="2018-09-07T00:00:00"/>
        <d v="2018-08-15T00:00:00"/>
        <d v="2018-08-06T00:00:00"/>
        <d v="2018-07-26T00:00:00"/>
        <d v="2018-07-18T00:00:00"/>
        <d v="2018-07-17T00:00:00"/>
        <d v="2018-07-09T00:00:00"/>
        <d v="2018-07-05T00:00:00"/>
        <d v="2018-07-02T00:00:00"/>
        <d v="2018-06-26T00:00:00"/>
        <d v="2018-06-22T00:00:00"/>
        <d v="2018-06-16T00:00:00"/>
        <d v="2018-06-14T00:00:00"/>
        <d v="2018-06-12T00:00:00"/>
        <d v="2018-06-06T00:00:00"/>
        <d v="2018-05-30T00:00:00"/>
        <d v="2018-05-25T00:00:00"/>
        <d v="2018-05-17T00:00:00"/>
        <d v="2018-05-16T00:00:00"/>
        <d v="2018-05-14T00:00:00"/>
        <d v="2018-05-04T00:00:00"/>
        <d v="2018-05-03T00:00:00"/>
        <d v="2018-04-27T00:00:00"/>
        <d v="2018-04-12T00:00:00"/>
        <d v="2018-04-03T00:00:00"/>
        <d v="2018-04-02T00:00:00"/>
        <d v="2018-03-30T00:00:00"/>
        <d v="2018-03-22T00:00:00"/>
        <d v="2018-03-13T00:00:00"/>
      </sharedItems>
      <fieldGroup par="62" base="10">
        <rangePr groupBy="days" startDate="2018-03-13T00:00:00" endDate="2019-01-22T00:00:00"/>
        <groupItems count="368">
          <s v="&lt;2018-03-1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19-01-22"/>
        </groupItems>
      </fieldGroup>
    </cacheField>
    <cacheField name="Average Power Requested" numFmtId="301">
      <sharedItems containsString="0" containsBlank="1" containsNumber="1" minValue="0.58399999999999996" maxValue="3.8"/>
    </cacheField>
    <cacheField name="Peak Power Requested" numFmtId="301">
      <sharedItems containsString="0" containsBlank="1" containsNumber="1" minValue="0.879" maxValue="5.5259999999999998"/>
    </cacheField>
    <cacheField name="Capacity Requested" numFmtId="0">
      <sharedItems containsString="0" containsBlank="1" containsNumber="1" minValue="1" maxValue="11.26"/>
    </cacheField>
    <cacheField name="Capacity Model" numFmtId="0">
      <sharedItems/>
    </cacheField>
    <cacheField name="Lower Space Requested" numFmtId="300">
      <sharedItems containsBlank="1"/>
    </cacheField>
    <cacheField name="Upper Space Requested" numFmtId="300">
      <sharedItems containsBlank="1"/>
    </cacheField>
    <cacheField name="Prevalidation Status" numFmtId="0">
      <sharedItems count="7">
        <s v="Under Prevalidation"/>
        <s v="Prevalidated"/>
        <s v="Dropped by Operator"/>
        <s v="Prevalidation Rejected"/>
        <s v="Commercial Approval Pending"/>
        <s v="Commercial Approval Requested"/>
        <s v="Approved" u="1"/>
      </sharedItems>
    </cacheField>
    <cacheField name="General Remark" numFmtId="0">
      <sharedItems containsBlank="1"/>
    </cacheField>
    <cacheField name="LandLord" numFmtId="0">
      <sharedItems/>
    </cacheField>
    <cacheField name="LandLord Remarks" numFmtId="0">
      <sharedItems containsBlank="1" longText="1"/>
    </cacheField>
    <cacheField name="Community" numFmtId="0">
      <sharedItems count="4">
        <s v="OK"/>
        <s v="Not Required"/>
        <s v="Review"/>
        <s v="Rejected"/>
      </sharedItems>
    </cacheField>
    <cacheField name="Community Remarks" numFmtId="0">
      <sharedItems containsBlank="1"/>
    </cacheField>
    <cacheField name="Tower Space" numFmtId="0">
      <sharedItems containsBlank="1"/>
    </cacheField>
    <cacheField name="Tower Space Remarks" numFmtId="0">
      <sharedItems containsBlank="1"/>
    </cacheField>
    <cacheField name="Structural" numFmtId="0">
      <sharedItems containsBlank="1"/>
    </cacheField>
    <cacheField name="Tower Strengthening" numFmtId="4">
      <sharedItems containsNonDate="0" containsString="0" containsBlank="1"/>
    </cacheField>
    <cacheField name="Foundation Retrofit" numFmtId="4">
      <sharedItems containsNonDate="0" containsString="0" containsBlank="1"/>
    </cacheField>
    <cacheField name="Tower Extension" numFmtId="0">
      <sharedItems containsBlank="1"/>
    </cacheField>
    <cacheField name="Structural Remarks" numFmtId="0">
      <sharedItems containsBlank="1"/>
    </cacheField>
    <cacheField name="Power" numFmtId="0">
      <sharedItems containsBlank="1"/>
    </cacheField>
    <cacheField name="Power Forecast" numFmtId="14">
      <sharedItems containsBlank="1"/>
    </cacheField>
    <cacheField name="Power Average" numFmtId="164">
      <sharedItems containsNonDate="0" containsDate="1" containsString="0" containsBlank="1" minDate="1900-01-01T12:00:00" maxDate="1900-01-01T12:00:00"/>
    </cacheField>
    <cacheField name="Power Peak" numFmtId="164">
      <sharedItems containsNonDate="0" containsDate="1" containsString="0" containsBlank="1" minDate="1899-12-31T00:00:00" maxDate="1900-01-02T12:00:00"/>
    </cacheField>
    <cacheField name="Power Remarks" numFmtId="0">
      <sharedItems containsBlank="1"/>
    </cacheField>
    <cacheField name="Ground Space" numFmtId="0">
      <sharedItems containsBlank="1"/>
    </cacheField>
    <cacheField name="Slab Extension Needed" numFmtId="0">
      <sharedItems containsBlank="1"/>
    </cacheField>
    <cacheField name="Ground Space Remarks" numFmtId="0">
      <sharedItems containsBlank="1"/>
    </cacheField>
    <cacheField name="RM Review" numFmtId="0">
      <sharedItems containsBlank="1"/>
    </cacheField>
    <cacheField name="RM Remarks" numFmtId="0">
      <sharedItems containsNonDate="0" containsString="0" containsBlank="1"/>
    </cacheField>
    <cacheField name="PM Forecast" numFmtId="14">
      <sharedItems containsNonDate="0" containsString="0" containsBlank="1"/>
    </cacheField>
    <cacheField name="PM Review" numFmtId="0">
      <sharedItems containsBlank="1"/>
    </cacheField>
    <cacheField name="PM Remarks" numFmtId="0">
      <sharedItems containsNonDate="0" containsString="0" containsBlank="1"/>
    </cacheField>
    <cacheField name="AM Review" numFmtId="0">
      <sharedItems containsBlank="1"/>
    </cacheField>
    <cacheField name="AM Remarks" numFmtId="0">
      <sharedItems containsBlank="1"/>
    </cacheField>
    <cacheField name="Tower Space Time" numFmtId="14">
      <sharedItems containsNonDate="0" containsDate="1" containsString="0" containsBlank="1" minDate="2018-11-13T14:56:11" maxDate="2019-01-22T09:02:36"/>
    </cacheField>
    <cacheField name="Power Time" numFmtId="14">
      <sharedItems containsNonDate="0" containsDate="1" containsString="0" containsBlank="1" minDate="2018-11-13T16:09:11" maxDate="2019-01-21T18:05:09"/>
    </cacheField>
    <cacheField name="Structural Time" numFmtId="14">
      <sharedItems containsNonDate="0" containsDate="1" containsString="0" containsBlank="1" minDate="2018-11-13T16:19:19" maxDate="2019-01-21T15:54:08"/>
    </cacheField>
    <cacheField name="CW Time" numFmtId="14">
      <sharedItems containsNonDate="0" containsDate="1" containsString="0" containsBlank="1" minDate="2018-11-13T17:04:12" maxDate="2019-01-22T09:02:36"/>
    </cacheField>
    <cacheField name="LandLord Time" numFmtId="14">
      <sharedItems containsNonDate="0" containsDate="1" containsString="0" containsBlank="1" minDate="2018-11-13T16:30:56" maxDate="2019-01-15T17:34:26"/>
    </cacheField>
    <cacheField name="Community Time" numFmtId="14">
      <sharedItems containsNonDate="0" containsDate="1" containsString="0" containsBlank="1" minDate="2018-11-13T16:25:47" maxDate="2019-01-21T17:14:53"/>
    </cacheField>
    <cacheField name="Close Date" numFmtId="14">
      <sharedItems containsNonDate="0" containsDate="1" containsString="0" containsBlank="1" minDate="2018-03-13T00:00:00" maxDate="2019-01-22T10:22:21" count="122">
        <m/>
        <d v="2019-01-22T10:22:21"/>
        <d v="2019-01-21T22:32:44"/>
        <d v="2019-01-21T22:32:45"/>
        <d v="2019-01-21T16:39:00"/>
        <d v="2019-01-21T10:16:34"/>
        <d v="2019-01-21T09:40:13"/>
        <d v="2019-01-21T09:40:14"/>
        <d v="2019-01-21T17:21:55"/>
        <d v="2019-01-14T13:44:13"/>
        <d v="2019-01-16T09:54:05"/>
        <d v="2019-01-14T16:32:50"/>
        <d v="2019-01-11T16:37:47"/>
        <d v="2019-01-15T10:30:27"/>
        <d v="2019-01-16T09:54:04"/>
        <d v="2019-01-11T09:36:57"/>
        <d v="2019-01-16T15:07:53"/>
        <d v="2019-01-11T09:36:58"/>
        <d v="2019-01-10T17:30:04"/>
        <d v="2019-01-11T10:42:46"/>
        <d v="2019-01-10T17:30:05"/>
        <d v="2019-01-15T10:30:26"/>
        <d v="2019-01-15T13:51:38"/>
        <d v="2019-01-16T15:07:52"/>
        <d v="2019-01-07T16:12:08"/>
        <d v="2019-01-07T12:15:20"/>
        <d v="2019-01-08T15:47:17"/>
        <d v="2019-01-09T11:15:39"/>
        <d v="2019-01-15T11:07:00"/>
        <d v="2019-01-15T11:06:59"/>
        <d v="2019-01-11T16:48:13"/>
        <d v="2019-01-15T10:36:41"/>
        <d v="2018-12-19T15:55:55"/>
        <d v="2018-12-18T14:01:13"/>
        <d v="2018-12-18T16:54:30"/>
        <d v="2018-12-17T09:52:31"/>
        <d v="2018-12-14T17:28:15"/>
        <d v="2018-12-17T17:06:00"/>
        <d v="2018-12-13T10:12:38"/>
        <d v="2018-12-18T14:01:12"/>
        <d v="2018-12-11T17:09:05"/>
        <d v="2018-12-11T11:36:52"/>
        <d v="2018-12-11T14:08:02"/>
        <d v="2019-01-11T09:11:20"/>
        <d v="2018-12-11T16:22:35"/>
        <d v="2018-12-17T09:52:30"/>
        <d v="2019-01-17T18:09:04"/>
        <d v="2019-01-10T16:21:30"/>
        <d v="2019-01-10T16:53:24"/>
        <d v="2019-01-14T14:38:40"/>
        <d v="2018-12-07T09:21:13"/>
        <d v="2019-01-17T18:09:03"/>
        <d v="2018-12-07T10:04:29"/>
        <d v="2018-12-07T10:04:30"/>
        <d v="2018-12-05T15:13:12"/>
        <d v="2018-12-05T15:13:13"/>
        <d v="2018-11-30T10:19:15"/>
        <d v="2018-12-17T09:21:07"/>
        <d v="2018-11-29T13:24:49"/>
        <d v="2018-11-29T16:27:14"/>
        <d v="2018-11-26T20:14:58"/>
        <d v="2018-11-27T11:33:31"/>
        <d v="2018-11-27T13:51:26"/>
        <d v="2018-11-27T14:34:54"/>
        <d v="2018-12-17T09:21:06"/>
        <d v="2018-11-26T11:19:08"/>
        <d v="2018-12-13T15:45:58"/>
        <d v="2018-12-13T15:45:59"/>
        <d v="2018-11-20T08:50:55"/>
        <d v="2018-11-20T09:23:47"/>
        <d v="2018-12-13T13:21:55"/>
        <d v="2018-12-05T09:13:17"/>
        <d v="2018-11-23T17:11:58"/>
        <d v="2018-11-14T08:53:34"/>
        <d v="2018-11-08T00:00:00"/>
        <d v="2018-11-07T00:00:00"/>
        <d v="2018-11-05T00:00:00"/>
        <d v="2018-12-10T11:45:32"/>
        <d v="2018-11-01T00:00:00"/>
        <d v="2018-10-31T00:00:00"/>
        <d v="2018-11-30T09:52:06"/>
        <d v="2018-10-30T00:00:00"/>
        <d v="2018-10-29T00:00:00"/>
        <d v="2018-10-18T00:00:00"/>
        <d v="2018-10-16T00:00:00"/>
        <d v="2018-11-16T11:39:31"/>
        <d v="2018-10-15T00:00:00"/>
        <d v="2018-11-19T12:07:22"/>
        <d v="2018-10-11T00:00:00"/>
        <d v="2018-09-10T00:00:00"/>
        <d v="2018-09-07T00:00:00"/>
        <d v="2018-12-28T11:37:59"/>
        <d v="2018-08-15T00:00:00"/>
        <d v="2018-08-06T00:00:00"/>
        <d v="2018-07-26T00:00:00"/>
        <d v="2018-07-18T00:00:00"/>
        <d v="2018-07-09T00:00:00"/>
        <d v="2018-07-05T00:00:00"/>
        <d v="2018-07-02T00:00:00"/>
        <d v="2018-06-26T00:00:00"/>
        <d v="2018-06-22T00:00:00"/>
        <d v="2018-12-20T17:26:19"/>
        <d v="2018-06-14T00:00:00"/>
        <d v="2018-06-12T00:00:00"/>
        <d v="2018-05-30T00:00:00"/>
        <d v="2018-05-25T00:00:00"/>
        <d v="2018-05-17T00:00:00"/>
        <d v="2018-05-16T00:00:00"/>
        <d v="2018-12-19T09:05:45"/>
        <d v="2018-12-19T09:05:47"/>
        <d v="2018-12-19T09:05:48"/>
        <d v="2018-11-27T15:32:26"/>
        <d v="2018-05-14T00:00:00"/>
        <d v="2018-05-04T00:00:00"/>
        <d v="2018-05-03T00:00:00"/>
        <d v="2018-04-27T00:00:00"/>
        <d v="2018-04-12T00:00:00"/>
        <d v="2018-04-03T00:00:00"/>
        <d v="2018-04-02T00:00:00"/>
        <d v="2018-03-30T00:00:00"/>
        <d v="2018-03-22T00:00:00"/>
        <d v="2018-03-13T00:00:00"/>
      </sharedItems>
    </cacheField>
    <cacheField name="Prevalidation Leadtime" numFmtId="302">
      <sharedItems containsMixedTypes="1" containsNumber="1" minValue="0.57237233799969545" maxValue="251.48191597222467"/>
    </cacheField>
    <cacheField name="Crossover" numFmtId="0">
      <sharedItems containsSemiMixedTypes="0" containsString="0" containsNumber="1" containsInteger="1" minValue="0" maxValue="2"/>
    </cacheField>
    <cacheField name="Colo Application" numFmtId="0">
      <sharedItems/>
    </cacheField>
    <cacheField name="File Name" numFmtId="0">
      <sharedItems/>
    </cacheField>
    <cacheField name="Find Process &amp; Database" numFmtId="0">
      <sharedItems containsSemiMixedTypes="0" containsString="0" containsNumber="1" containsInteger="1" minValue="50" maxValue="50"/>
    </cacheField>
    <cacheField name="Folder Path1" numFmtId="164">
      <sharedItems/>
    </cacheField>
    <cacheField name="Folder Path2" numFmtId="164">
      <sharedItems/>
    </cacheField>
    <cacheField name="Folder Path3" numFmtId="164">
      <sharedItems/>
    </cacheField>
    <cacheField name="File Path" numFmtId="164">
      <sharedItems/>
    </cacheField>
    <cacheField name="Count Validated" numFmtId="164">
      <sharedItems containsNonDate="0" containsString="0" containsBlank="1"/>
    </cacheField>
    <cacheField name="Months" numFmtId="0" databaseField="0">
      <fieldGroup base="10">
        <rangePr groupBy="months" startDate="2018-03-13T00:00:00" endDate="2019-01-22T00:00:00"/>
        <groupItems count="14">
          <s v="&lt;2018-03-13"/>
          <s v="Jan"/>
          <s v="Feb"/>
          <s v="Mar"/>
          <s v="Apr"/>
          <s v="May"/>
          <s v="Jun"/>
          <s v="Jul"/>
          <s v="Aug"/>
          <s v="Sep"/>
          <s v="Oct"/>
          <s v="Nov"/>
          <s v="Dec"/>
          <s v="&gt;2019-01-22"/>
        </groupItems>
      </fieldGroup>
    </cacheField>
  </cacheFields>
  <extLst>
    <ext xmlns:x14="http://schemas.microsoft.com/office/spreadsheetml/2009/9/main" uri="{725AE2AE-9491-48be-B2B4-4EB974FC3084}">
      <x14:pivotCacheDefinition pivotCacheId="11244772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9">
  <r>
    <n v="3624"/>
    <x v="0"/>
    <x v="0"/>
    <x v="0"/>
    <s v="AWD01399"/>
    <x v="0"/>
    <s v="MPT Phase 2 B2S"/>
    <s v="Active"/>
    <s v="BTS"/>
    <s v="0"/>
    <x v="0"/>
    <n v="0.72"/>
    <n v="0.9"/>
    <n v="6"/>
    <s v="EPA"/>
    <s v="55"/>
    <s v="60"/>
    <x v="0"/>
    <m/>
    <s v="Not Required"/>
    <m/>
    <x v="0"/>
    <m/>
    <s v="OK"/>
    <s v=" MPT B2S Colo Application "/>
    <m/>
    <m/>
    <m/>
    <m/>
    <m/>
    <s v="Review"/>
    <s v="27-Jan-19"/>
    <m/>
    <m/>
    <s v="As per plan "/>
    <s v="OK"/>
    <s v="No"/>
    <s v="Need new slab "/>
    <m/>
    <m/>
    <m/>
    <m/>
    <m/>
    <m/>
    <m/>
    <d v="2019-01-22T09:02:34"/>
    <m/>
    <m/>
    <d v="2019-01-22T09:02:34"/>
    <m/>
    <d v="2019-01-21T17:14:52"/>
    <x v="0"/>
    <n v="1.4819159722246695"/>
    <n v="1"/>
    <s v="No File"/>
    <s v="AAYW00001 (AWD01399)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AYW00001 (AWD01399) Application Rev 0.xlsx"/>
    <m/>
  </r>
  <r>
    <n v="3625"/>
    <x v="1"/>
    <x v="0"/>
    <x v="1"/>
    <s v="BGW00450"/>
    <x v="0"/>
    <s v="MPT Phase 2 B2S"/>
    <s v="Active"/>
    <s v="BTS"/>
    <s v="0"/>
    <x v="0"/>
    <n v="2.16"/>
    <n v="2.7"/>
    <n v="6"/>
    <s v="EPA"/>
    <s v="40"/>
    <s v="45"/>
    <x v="0"/>
    <m/>
    <s v="Not Required"/>
    <m/>
    <x v="0"/>
    <m/>
    <s v="OK"/>
    <s v=" MPT B2S Colo Application "/>
    <m/>
    <m/>
    <m/>
    <m/>
    <m/>
    <s v="Review"/>
    <s v="31-Jan-19"/>
    <m/>
    <m/>
    <s v="As per plan "/>
    <s v="OK"/>
    <s v="No"/>
    <s v="Need new slab "/>
    <m/>
    <m/>
    <m/>
    <m/>
    <m/>
    <m/>
    <m/>
    <d v="2019-01-22T09:02:34"/>
    <m/>
    <m/>
    <d v="2019-01-22T09:02:34"/>
    <m/>
    <d v="2019-01-21T17:14:52"/>
    <x v="0"/>
    <n v="1.4819159722246695"/>
    <n v="1"/>
    <s v="No File"/>
    <s v="ABAG00004 (BGW00450)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BAG00004 (BGW00450) Application Rev 0.xlsx"/>
    <m/>
  </r>
  <r>
    <n v="3626"/>
    <x v="2"/>
    <x v="1"/>
    <x v="2"/>
    <s v="MDY00339"/>
    <x v="0"/>
    <s v="MPT  Phase 1b Colo"/>
    <s v="On Air"/>
    <s v="Exchange"/>
    <s v="3"/>
    <x v="0"/>
    <n v="1.399"/>
    <n v="2.1989999999999998"/>
    <n v="3.25"/>
    <s v="SQM"/>
    <s v="48"/>
    <s v="53"/>
    <x v="0"/>
    <m/>
    <s v="Not Required"/>
    <m/>
    <x v="0"/>
    <m/>
    <s v="OK"/>
    <s v="Existing on tower (Actual) - OML with 15.69 sqm/ MPT actual on tower -2.96 sqm - MPT previous colo apps - 3.09 Sqm  / TML - 3.47 sqm / Add 1 RRU "/>
    <m/>
    <m/>
    <m/>
    <m/>
    <m/>
    <s v="Review"/>
    <m/>
    <m/>
    <m/>
    <m/>
    <s v="OK"/>
    <s v="No"/>
    <s v="No action needed "/>
    <m/>
    <m/>
    <m/>
    <m/>
    <m/>
    <m/>
    <m/>
    <d v="2019-01-22T09:02:34"/>
    <m/>
    <m/>
    <d v="2019-01-22T09:02:34"/>
    <m/>
    <d v="2019-01-21T15:26:42"/>
    <x v="0"/>
    <n v="1.4819159722246695"/>
    <n v="1"/>
    <s v="No File"/>
    <s v="1-01-10018-001 (MDY00339)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0018-001 (MDY00339) Application Rev 3.xlsx"/>
    <m/>
  </r>
  <r>
    <n v="3627"/>
    <x v="3"/>
    <x v="1"/>
    <x v="2"/>
    <s v="MDY00358"/>
    <x v="0"/>
    <s v="MPT  Phase 1b Colo"/>
    <s v="On Air"/>
    <s v="Exchange"/>
    <s v="1"/>
    <x v="0"/>
    <n v="1.399"/>
    <n v="2.1989999999999998"/>
    <n v="5.13"/>
    <s v="SQM"/>
    <s v="48"/>
    <s v="53"/>
    <x v="0"/>
    <m/>
    <s v="Not Required"/>
    <m/>
    <x v="0"/>
    <m/>
    <s v="OK"/>
    <s v="Existing on tower (Actual) - OML with7.41 sqm/ MPT-4.97 Sqm  - Add 1 RRU "/>
    <m/>
    <m/>
    <m/>
    <m/>
    <m/>
    <s v="OK"/>
    <s v="04-Feb-19"/>
    <m/>
    <m/>
    <s v="DG cap expansion"/>
    <s v="OK"/>
    <s v="No"/>
    <s v="No action needed "/>
    <m/>
    <m/>
    <m/>
    <m/>
    <m/>
    <m/>
    <m/>
    <d v="2019-01-22T09:02:35"/>
    <d v="2019-01-21T18:05:05"/>
    <m/>
    <d v="2019-01-22T09:02:35"/>
    <m/>
    <d v="2019-01-21T15:26:42"/>
    <x v="0"/>
    <n v="1.4819159722246695"/>
    <n v="1"/>
    <s v="No File"/>
    <s v="1-01-10029-006 (MDY00358)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0029-006 (MDY00358) Application Rev 1.xlsx"/>
    <m/>
  </r>
  <r>
    <n v="3628"/>
    <x v="4"/>
    <x v="1"/>
    <x v="1"/>
    <s v="MGW00204"/>
    <x v="0"/>
    <s v="MPT  Phase 1b Colo"/>
    <s v="On Air"/>
    <s v="Exchange"/>
    <s v="1"/>
    <x v="0"/>
    <n v="1.399"/>
    <n v="2.1989999999999998"/>
    <n v="4.3600000000000003"/>
    <s v="SQM"/>
    <s v="48"/>
    <s v="53"/>
    <x v="0"/>
    <m/>
    <s v="Not Required"/>
    <m/>
    <x v="0"/>
    <s v="Require to inform Ei Shwe Zin (NPT) before site visit."/>
    <s v="OK"/>
    <s v="Existing on tower (Actual) - OML with 8.01 sqm/ MPT-4.20 Sqm /TML - 3.51 Sqm  - Add 1 RRU "/>
    <m/>
    <m/>
    <m/>
    <m/>
    <m/>
    <s v="OK"/>
    <s v="04-Feb-19"/>
    <m/>
    <m/>
    <s v="DG cap expansion"/>
    <s v="OK"/>
    <s v="No"/>
    <s v="No action needed "/>
    <m/>
    <m/>
    <m/>
    <m/>
    <m/>
    <m/>
    <m/>
    <d v="2019-01-22T09:02:35"/>
    <d v="2019-01-21T18:05:06"/>
    <m/>
    <d v="2019-01-22T09:02:35"/>
    <m/>
    <d v="2019-01-21T15:26:42"/>
    <x v="0"/>
    <n v="1.4819159722246695"/>
    <n v="1"/>
    <s v="No File"/>
    <s v="1-01-09022-002 (MGW00204)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22-002 (MGW00204) Application Rev 1.xlsx"/>
    <m/>
  </r>
  <r>
    <n v="3629"/>
    <x v="5"/>
    <x v="1"/>
    <x v="2"/>
    <s v="SGG00199"/>
    <x v="0"/>
    <s v="MPT  Phase 1b Colo"/>
    <s v="On Air"/>
    <s v="Exchange"/>
    <s v="1"/>
    <x v="0"/>
    <n v="1.399"/>
    <n v="2.1989999999999998"/>
    <n v="3.12"/>
    <s v="SQM"/>
    <s v="43"/>
    <s v="48"/>
    <x v="0"/>
    <m/>
    <s v="Not Required"/>
    <m/>
    <x v="0"/>
    <m/>
    <s v="OK"/>
    <s v="Existing on tower (Actual) - OML with 10.81 sqm/ MPT-3.07 Sqm / Op2 - 3.87 Sqm  - Add 1 RRU "/>
    <m/>
    <m/>
    <m/>
    <m/>
    <m/>
    <s v="OK"/>
    <s v="05-Feb-19"/>
    <m/>
    <m/>
    <s v="DG cap expansion"/>
    <s v="OK"/>
    <s v="No"/>
    <s v="No action needed "/>
    <m/>
    <m/>
    <m/>
    <m/>
    <m/>
    <m/>
    <m/>
    <d v="2019-01-22T09:02:35"/>
    <d v="2019-01-21T18:05:06"/>
    <m/>
    <d v="2019-01-22T09:02:35"/>
    <m/>
    <d v="2019-01-21T15:26:42"/>
    <x v="0"/>
    <n v="1.4819159722246695"/>
    <n v="1"/>
    <s v="No File"/>
    <s v="1-01-05015-002 (SGG00199)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5-002 (SGG00199) Application Rev 1.xlsx"/>
    <m/>
  </r>
  <r>
    <n v="3630"/>
    <x v="6"/>
    <x v="1"/>
    <x v="2"/>
    <s v="SHN00040"/>
    <x v="0"/>
    <s v="MPT  Phase 1b Colo"/>
    <s v="On Air"/>
    <s v="Exchange"/>
    <s v="2"/>
    <x v="0"/>
    <n v="1.399"/>
    <n v="2.2610000000000001"/>
    <m/>
    <s v="SQM"/>
    <s v="48"/>
    <s v="53"/>
    <x v="0"/>
    <m/>
    <s v="Not Required"/>
    <m/>
    <x v="0"/>
    <m/>
    <m/>
    <m/>
    <m/>
    <m/>
    <m/>
    <m/>
    <m/>
    <s v="OK"/>
    <s v="11-Feb-19"/>
    <m/>
    <m/>
    <s v="BB &amp; DG cap expansion"/>
    <m/>
    <m/>
    <m/>
    <m/>
    <m/>
    <m/>
    <m/>
    <m/>
    <m/>
    <m/>
    <m/>
    <d v="2019-01-21T18:05:06"/>
    <m/>
    <m/>
    <m/>
    <d v="2019-01-21T15:26:42"/>
    <x v="0"/>
    <n v="1.4819159722246695"/>
    <n v="1"/>
    <s v="No File"/>
    <s v="1-01-15013-009 (SHN0004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9 (SHN00040) Application Rev 2.xlsx"/>
    <m/>
  </r>
  <r>
    <n v="3631"/>
    <x v="7"/>
    <x v="1"/>
    <x v="2"/>
    <s v="SHN00063"/>
    <x v="0"/>
    <s v="MPT  Phase 1b Colo"/>
    <s v="On Air"/>
    <s v="Exchange"/>
    <s v="3"/>
    <x v="0"/>
    <n v="1.399"/>
    <n v="2.2610000000000001"/>
    <m/>
    <s v="SQM"/>
    <s v="48"/>
    <s v="53"/>
    <x v="0"/>
    <m/>
    <s v="Not Required"/>
    <m/>
    <x v="0"/>
    <m/>
    <m/>
    <m/>
    <m/>
    <m/>
    <m/>
    <m/>
    <m/>
    <s v="OK"/>
    <s v="05-Feb-19"/>
    <m/>
    <m/>
    <s v="DG cap expansion"/>
    <m/>
    <m/>
    <m/>
    <m/>
    <m/>
    <m/>
    <m/>
    <m/>
    <m/>
    <m/>
    <m/>
    <d v="2019-01-21T18:05:06"/>
    <m/>
    <m/>
    <m/>
    <d v="2019-01-21T15:26:42"/>
    <x v="0"/>
    <n v="1.4819159722246695"/>
    <n v="1"/>
    <s v="No File"/>
    <s v="1-01-15018-003 (SHN0006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8-003 (SHN00063) Application Rev 3.xlsx"/>
    <m/>
  </r>
  <r>
    <n v="3632"/>
    <x v="8"/>
    <x v="1"/>
    <x v="0"/>
    <s v="BGE00825"/>
    <x v="0"/>
    <s v="MPT Phase 2 B2S"/>
    <s v="Active"/>
    <s v="BTS"/>
    <s v="0"/>
    <x v="0"/>
    <n v="0.72"/>
    <n v="0.9"/>
    <m/>
    <s v="SQM"/>
    <s v="55"/>
    <s v="60"/>
    <x v="0"/>
    <m/>
    <s v="Not Required"/>
    <m/>
    <x v="0"/>
    <m/>
    <s v="OK"/>
    <s v=" MPT B2S Colo Application "/>
    <m/>
    <m/>
    <m/>
    <m/>
    <m/>
    <s v="OK"/>
    <m/>
    <m/>
    <m/>
    <m/>
    <s v="OK"/>
    <s v="No"/>
    <s v="Need new slab "/>
    <m/>
    <m/>
    <m/>
    <m/>
    <m/>
    <m/>
    <m/>
    <d v="2019-01-22T09:02:36"/>
    <d v="2019-01-21T18:05:07"/>
    <m/>
    <d v="2019-01-22T09:02:36"/>
    <m/>
    <d v="2019-01-21T17:14:52"/>
    <x v="0"/>
    <n v="1.4819159722246695"/>
    <n v="1"/>
    <s v="No File"/>
    <s v="PBAG00032 (BGE00825)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PBAG00032 (BGE00825) Application Rev 0.xlsx"/>
    <m/>
  </r>
  <r>
    <n v="3633"/>
    <x v="9"/>
    <x v="1"/>
    <x v="1"/>
    <s v="CHN00140"/>
    <x v="0"/>
    <s v="MPT  Phase 1b Colo"/>
    <s v="On Air"/>
    <s v="MS"/>
    <s v="3"/>
    <x v="0"/>
    <n v="3.548"/>
    <n v="5.5259999999999998"/>
    <m/>
    <s v="SQM"/>
    <s v="27.5"/>
    <s v="32.5"/>
    <x v="0"/>
    <m/>
    <s v="Not Required"/>
    <m/>
    <x v="0"/>
    <m/>
    <m/>
    <m/>
    <m/>
    <m/>
    <m/>
    <m/>
    <m/>
    <s v="OK"/>
    <m/>
    <m/>
    <m/>
    <m/>
    <m/>
    <m/>
    <m/>
    <m/>
    <m/>
    <m/>
    <m/>
    <m/>
    <m/>
    <m/>
    <m/>
    <d v="2019-01-21T18:05:07"/>
    <m/>
    <m/>
    <m/>
    <d v="2019-01-21T15:26:42"/>
    <x v="0"/>
    <n v="1.4819159722246695"/>
    <n v="1"/>
    <s v="No File"/>
    <s v="1-01-04002-007 (CHN0014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4002-007 (CHN00140) Application Rev 3.xlsx"/>
    <m/>
  </r>
  <r>
    <n v="3634"/>
    <x v="10"/>
    <x v="1"/>
    <x v="1"/>
    <s v="MGW00156"/>
    <x v="0"/>
    <s v="MPT  Phase 1b Colo"/>
    <s v="On Air"/>
    <s v="LTE"/>
    <s v="1"/>
    <x v="0"/>
    <n v="2.0590000000000002"/>
    <n v="3.5489999999999999"/>
    <m/>
    <s v="SQM"/>
    <s v="48"/>
    <s v="53"/>
    <x v="0"/>
    <m/>
    <s v="Not Required"/>
    <m/>
    <x v="0"/>
    <m/>
    <m/>
    <m/>
    <m/>
    <m/>
    <m/>
    <m/>
    <m/>
    <s v="OK"/>
    <s v="06-Feb-19"/>
    <m/>
    <m/>
    <s v="Add rectifier modules DG cap expansion"/>
    <m/>
    <m/>
    <m/>
    <m/>
    <m/>
    <m/>
    <m/>
    <m/>
    <m/>
    <m/>
    <m/>
    <d v="2019-01-21T18:05:07"/>
    <m/>
    <m/>
    <m/>
    <d v="2019-01-21T15:26:42"/>
    <x v="0"/>
    <n v="1.4819159722246695"/>
    <n v="1"/>
    <s v="No File"/>
    <s v="1-01-09021-002 (MGW00156)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21-002 (MGW00156) Application Rev 1.xlsx"/>
    <m/>
  </r>
  <r>
    <n v="3635"/>
    <x v="11"/>
    <x v="1"/>
    <x v="2"/>
    <s v="SGG00242"/>
    <x v="0"/>
    <s v="MPT  Phase 1b Colo"/>
    <s v="On Air"/>
    <s v="MS"/>
    <s v="1"/>
    <x v="0"/>
    <n v="2.1970000000000001"/>
    <n v="3.7970000000000002"/>
    <m/>
    <s v="SQM"/>
    <s v="43"/>
    <s v="48"/>
    <x v="0"/>
    <m/>
    <s v="Not Required"/>
    <m/>
    <x v="0"/>
    <m/>
    <m/>
    <m/>
    <m/>
    <m/>
    <m/>
    <m/>
    <m/>
    <s v="OK"/>
    <s v="16-Feb-19"/>
    <m/>
    <m/>
    <s v="PE upgrade "/>
    <m/>
    <m/>
    <m/>
    <m/>
    <m/>
    <m/>
    <m/>
    <m/>
    <m/>
    <m/>
    <m/>
    <d v="2019-01-21T18:05:07"/>
    <m/>
    <m/>
    <m/>
    <d v="2019-01-21T15:26:42"/>
    <x v="0"/>
    <n v="1.4819159722246695"/>
    <n v="1"/>
    <s v="No File"/>
    <s v="1-01-05027-007 (SGG00242)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7 (SGG00242) Application Rev 1.xlsx"/>
    <m/>
  </r>
  <r>
    <n v="3636"/>
    <x v="12"/>
    <x v="1"/>
    <x v="0"/>
    <s v="TNY00288"/>
    <x v="0"/>
    <s v="MPT  Phase 1b Colo"/>
    <s v="On Air"/>
    <s v="LTE_v1"/>
    <s v="5"/>
    <x v="0"/>
    <n v="1.92"/>
    <n v="4"/>
    <m/>
    <s v="SQM"/>
    <s v="21"/>
    <s v="26"/>
    <x v="0"/>
    <m/>
    <s v="Not Required"/>
    <m/>
    <x v="0"/>
    <m/>
    <m/>
    <m/>
    <m/>
    <m/>
    <m/>
    <m/>
    <m/>
    <s v="OK"/>
    <s v="17-Feb-19"/>
    <m/>
    <m/>
    <s v="PE upgrade "/>
    <m/>
    <m/>
    <m/>
    <m/>
    <m/>
    <m/>
    <m/>
    <m/>
    <m/>
    <m/>
    <m/>
    <d v="2019-01-21T18:05:08"/>
    <m/>
    <m/>
    <m/>
    <d v="2019-01-21T15:26:42"/>
    <x v="0"/>
    <n v="1.4819159722246695"/>
    <n v="1"/>
    <s v="No File"/>
    <s v="1-01-06001-002 (TNY00288) Application Rev 5.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1-002 (TNY00288) Application Rev 5.xlsx"/>
    <m/>
  </r>
  <r>
    <n v="3637"/>
    <x v="13"/>
    <x v="1"/>
    <x v="0"/>
    <s v="TNY00789"/>
    <x v="0"/>
    <s v="MPT Phase 2 B2S"/>
    <s v="Active"/>
    <s v="BTS"/>
    <s v="0"/>
    <x v="0"/>
    <n v="0.72"/>
    <n v="0.9"/>
    <m/>
    <s v="SQM"/>
    <s v="55"/>
    <s v="60"/>
    <x v="0"/>
    <m/>
    <s v="Not Required"/>
    <m/>
    <x v="0"/>
    <m/>
    <s v="OK"/>
    <s v=" MPT B2S Colo Application "/>
    <m/>
    <m/>
    <m/>
    <m/>
    <m/>
    <s v="OK"/>
    <m/>
    <m/>
    <m/>
    <m/>
    <s v="OK"/>
    <s v="No"/>
    <s v="Need new slab "/>
    <m/>
    <m/>
    <m/>
    <m/>
    <m/>
    <m/>
    <m/>
    <d v="2019-01-22T09:02:36"/>
    <d v="2019-01-21T18:05:09"/>
    <m/>
    <d v="2019-01-22T09:02:36"/>
    <m/>
    <d v="2019-01-21T17:14:53"/>
    <x v="0"/>
    <n v="1.4819159722246695"/>
    <n v="1"/>
    <s v="No File"/>
    <s v="PTNT00059 (TNY00789)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PTNT00059 (TNY00789) Application Rev 0.xlsx"/>
    <m/>
  </r>
  <r>
    <n v="3638"/>
    <x v="14"/>
    <x v="1"/>
    <x v="2"/>
    <s v="SGG00226"/>
    <x v="0"/>
    <s v="MPT  Phase 1b Colo"/>
    <s v="On Air"/>
    <s v="Exchange"/>
    <s v="2"/>
    <x v="0"/>
    <n v="1.399"/>
    <n v="2.2989999999999999"/>
    <m/>
    <s v="SQM"/>
    <s v="48"/>
    <s v="53"/>
    <x v="0"/>
    <m/>
    <s v="Not Required"/>
    <m/>
    <x v="0"/>
    <m/>
    <m/>
    <m/>
    <m/>
    <m/>
    <m/>
    <m/>
    <m/>
    <s v="OK"/>
    <s v="07-Feb-19"/>
    <m/>
    <m/>
    <s v="DG cap expansion"/>
    <m/>
    <m/>
    <m/>
    <m/>
    <m/>
    <m/>
    <m/>
    <m/>
    <m/>
    <m/>
    <m/>
    <d v="2019-01-21T18:05:09"/>
    <m/>
    <m/>
    <m/>
    <d v="2019-01-21T17:13:19"/>
    <x v="0"/>
    <n v="1.4819159722246695"/>
    <n v="1"/>
    <s v="No File"/>
    <s v="1-01-05027-016 (SGG00226)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16 (SGG00226) Application Rev 2.xlsx"/>
    <m/>
  </r>
  <r>
    <n v="3639"/>
    <x v="15"/>
    <x v="1"/>
    <x v="2"/>
    <s v="KCN00119"/>
    <x v="0"/>
    <s v="MPT  Phase 1b Colo"/>
    <s v="On Air"/>
    <s v="Expansion_L2100"/>
    <s v="5"/>
    <x v="0"/>
    <n v="1.399"/>
    <n v="2.1989999999999998"/>
    <m/>
    <s v="SQM"/>
    <s v="48"/>
    <s v="53"/>
    <x v="1"/>
    <m/>
    <s v="Not Required"/>
    <m/>
    <x v="1"/>
    <m/>
    <s v="Not Required"/>
    <m/>
    <s v="Not Required"/>
    <m/>
    <m/>
    <m/>
    <m/>
    <s v="OK"/>
    <s v="18-Feb-19"/>
    <m/>
    <m/>
    <s v="BB &amp; DG cap expansion"/>
    <s v="Not Required"/>
    <m/>
    <m/>
    <m/>
    <m/>
    <m/>
    <m/>
    <m/>
    <m/>
    <m/>
    <m/>
    <d v="2019-01-21T18:05:08"/>
    <m/>
    <m/>
    <m/>
    <m/>
    <x v="1"/>
    <n v="1.4321909721984412"/>
    <n v="0"/>
    <s v="No File"/>
    <s v="1-01-01014-005 (KCN00119) Application Rev 5.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4-005 (KCN00119) Application Rev 5.xlsx"/>
    <m/>
  </r>
  <r>
    <n v="3619"/>
    <x v="16"/>
    <x v="0"/>
    <x v="2"/>
    <s v="MDYAMPR011"/>
    <x v="1"/>
    <s v="Amara Colocation"/>
    <s v="New Tenant"/>
    <s v="Other"/>
    <s v="1"/>
    <x v="1"/>
    <m/>
    <n v="1.9"/>
    <n v="3"/>
    <s v="EPA"/>
    <s v="20"/>
    <s v="25"/>
    <x v="1"/>
    <m/>
    <s v="Not Required"/>
    <m/>
    <x v="1"/>
    <m/>
    <s v="OK"/>
    <s v="Existing on tower (Assume ) - TML 4.20 EPA / Amara Previous Colo apps - 3.097 EPA - Add 1 ODU"/>
    <s v="Not Required"/>
    <m/>
    <m/>
    <m/>
    <m/>
    <s v="Not Required"/>
    <m/>
    <m/>
    <m/>
    <m/>
    <s v="Not Required"/>
    <m/>
    <m/>
    <m/>
    <m/>
    <m/>
    <m/>
    <m/>
    <m/>
    <m/>
    <d v="2019-01-21T17:22:42"/>
    <m/>
    <m/>
    <m/>
    <m/>
    <m/>
    <x v="2"/>
    <n v="3.9393991898032255"/>
    <n v="0"/>
    <s v="No File"/>
    <s v="ANMD_0066 (MDYAMPR011)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66 (MDYAMPR011) Application Rev 1.xlsx"/>
    <m/>
  </r>
  <r>
    <n v="3620"/>
    <x v="17"/>
    <x v="0"/>
    <x v="2"/>
    <s v="MDYAMPR012"/>
    <x v="1"/>
    <s v="Amara Colocation"/>
    <s v="New Tenant"/>
    <s v="Other"/>
    <s v="1"/>
    <x v="1"/>
    <m/>
    <n v="2"/>
    <n v="3"/>
    <s v="EPA"/>
    <s v="20"/>
    <s v="25"/>
    <x v="1"/>
    <m/>
    <s v="Not Required"/>
    <m/>
    <x v="1"/>
    <m/>
    <s v="OK"/>
    <s v="Existing on tower (Assume ) - TML 4.26 EPA / Amara Previous Colo apps - 3.40 EPA - Add 1 ODU"/>
    <s v="Not Required"/>
    <m/>
    <m/>
    <m/>
    <m/>
    <s v="Not Required"/>
    <m/>
    <m/>
    <m/>
    <m/>
    <s v="Not Required"/>
    <m/>
    <m/>
    <m/>
    <m/>
    <m/>
    <m/>
    <m/>
    <m/>
    <m/>
    <d v="2019-01-21T17:22:42"/>
    <m/>
    <m/>
    <m/>
    <m/>
    <m/>
    <x v="2"/>
    <n v="3.9394037036981899"/>
    <n v="0"/>
    <s v="No File"/>
    <s v="ANMD_0067 (MDYAMPR012)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67 (MDYAMPR012) Application Rev 1.xlsx"/>
    <m/>
  </r>
  <r>
    <n v="3621"/>
    <x v="18"/>
    <x v="0"/>
    <x v="2"/>
    <s v="MDYPGTG033"/>
    <x v="1"/>
    <s v="Amara Colocation"/>
    <s v="New Tenant"/>
    <s v="Other"/>
    <s v="1"/>
    <x v="1"/>
    <m/>
    <n v="2"/>
    <n v="3"/>
    <s v="EPA"/>
    <s v="19"/>
    <s v="24"/>
    <x v="1"/>
    <m/>
    <s v="Not Required"/>
    <m/>
    <x v="1"/>
    <m/>
    <s v="OK"/>
    <s v="Existing on tower (Assume ) - TML 4.56EPA /Amara Previous Colo apps - 3.096 EPA - Increase Mw Dimesion and add 1 ODU"/>
    <s v="Not Required"/>
    <m/>
    <m/>
    <m/>
    <m/>
    <s v="Not Required"/>
    <m/>
    <m/>
    <m/>
    <m/>
    <s v="Not Required"/>
    <m/>
    <m/>
    <m/>
    <m/>
    <m/>
    <m/>
    <m/>
    <m/>
    <m/>
    <d v="2019-01-21T17:22:42"/>
    <m/>
    <m/>
    <m/>
    <m/>
    <m/>
    <x v="3"/>
    <n v="3.939407870399009"/>
    <n v="0"/>
    <s v="No File"/>
    <s v="ANMD_0165 (MDYPGTG033)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65 (MDYPGTG033) Application Rev 1.xlsx"/>
    <m/>
  </r>
  <r>
    <n v="3622"/>
    <x v="19"/>
    <x v="0"/>
    <x v="2"/>
    <s v="MDYPGTG039"/>
    <x v="1"/>
    <s v="Amara Colocation"/>
    <s v="New Tenant"/>
    <s v="Other"/>
    <s v="1"/>
    <x v="1"/>
    <m/>
    <n v="2"/>
    <n v="3"/>
    <s v="EPA"/>
    <s v="14"/>
    <s v="17"/>
    <x v="1"/>
    <m/>
    <s v="Not Required"/>
    <m/>
    <x v="1"/>
    <m/>
    <s v="OK"/>
    <s v="Existing on tower (Assume ) - TML 4.10EPA / MPT - 3.58EPA , Amara Previous Colo Apps - 3.09 EPA ,  Add 1 ODU"/>
    <s v="Not Required"/>
    <m/>
    <m/>
    <m/>
    <m/>
    <s v="Not Required"/>
    <m/>
    <m/>
    <m/>
    <m/>
    <s v="Not Required"/>
    <m/>
    <m/>
    <m/>
    <m/>
    <m/>
    <m/>
    <m/>
    <m/>
    <m/>
    <d v="2019-01-21T17:22:43"/>
    <m/>
    <m/>
    <m/>
    <m/>
    <m/>
    <x v="3"/>
    <n v="3.9394119213029626"/>
    <n v="0"/>
    <s v="No File"/>
    <s v="ANMD_0172 (MDYPGTG039)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72 (MDYPGTG039) Application Rev 1.xlsx"/>
    <m/>
  </r>
  <r>
    <n v="3623"/>
    <x v="20"/>
    <x v="1"/>
    <x v="1"/>
    <s v="YGNSNCG017_3"/>
    <x v="1"/>
    <s v="Amara Colocation"/>
    <s v="New Tenant"/>
    <s v="New Colocation"/>
    <s v="0"/>
    <x v="1"/>
    <m/>
    <n v="2"/>
    <n v="5"/>
    <s v="EPA"/>
    <s v="14"/>
    <s v="19"/>
    <x v="0"/>
    <m/>
    <s v="Not Required"/>
    <m/>
    <x v="0"/>
    <m/>
    <s v="Review"/>
    <s v="RT -OML Phase - Still awaiting feedback and confirmation from OML Project team "/>
    <m/>
    <m/>
    <m/>
    <m/>
    <m/>
    <s v="OK"/>
    <m/>
    <m/>
    <m/>
    <s v="AC connect"/>
    <s v="Review"/>
    <m/>
    <s v="RT -OML Phase - Still awaiting feedback and confirmation from OML Project team "/>
    <m/>
    <m/>
    <m/>
    <m/>
    <m/>
    <m/>
    <m/>
    <m/>
    <d v="2019-01-21T11:41:18"/>
    <m/>
    <m/>
    <m/>
    <d v="2019-01-21T09:44:48"/>
    <x v="0"/>
    <n v="4.4819159722246695"/>
    <n v="1"/>
    <s v="No File"/>
    <s v="1-01-13039-001 (YGNSNCG017_3)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3039-001 (YGNSNCG017_3) Application Rev 0.xlsx"/>
    <m/>
  </r>
  <r>
    <n v="3614"/>
    <x v="21"/>
    <x v="0"/>
    <x v="0"/>
    <s v="BGE00821"/>
    <x v="0"/>
    <s v="MPT Phase 2 B2S"/>
    <s v="Active"/>
    <s v="BTS"/>
    <s v="0"/>
    <x v="2"/>
    <n v="0.72"/>
    <n v="0.9"/>
    <n v="3.18"/>
    <s v="EPA"/>
    <s v="45"/>
    <s v="50"/>
    <x v="1"/>
    <m/>
    <s v="Not Required"/>
    <m/>
    <x v="0"/>
    <m/>
    <s v="OK"/>
    <s v="New Colo Apps Submission - MPT Phase 2 BTS "/>
    <s v="OK"/>
    <m/>
    <m/>
    <s v="No"/>
    <s v="Existing Tower: KSGM (NEW) = 34.3%"/>
    <s v="OK"/>
    <m/>
    <m/>
    <m/>
    <m/>
    <s v="OK"/>
    <s v="Yes"/>
    <s v="Need new slab "/>
    <m/>
    <m/>
    <m/>
    <m/>
    <m/>
    <m/>
    <m/>
    <d v="2019-01-17T15:41:53"/>
    <d v="2019-01-18T11:25:51"/>
    <d v="2019-01-21T15:54:08"/>
    <d v="2019-01-17T15:41:53"/>
    <m/>
    <d v="2019-01-18T11:19:16"/>
    <x v="4"/>
    <n v="4.6937519675993826"/>
    <n v="0"/>
    <s v="No File"/>
    <s v="ABAG00003 (BGE00821)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BAG00003 (BGE00821) Application Rev 0.xlsx"/>
    <m/>
  </r>
  <r>
    <n v="3615"/>
    <x v="22"/>
    <x v="0"/>
    <x v="2"/>
    <s v="SGG00338"/>
    <x v="0"/>
    <s v="MPT  Phase 1a Colo"/>
    <s v="On Air"/>
    <s v="LTE"/>
    <s v="2"/>
    <x v="2"/>
    <n v="2.5590000000000002"/>
    <n v="4.2910000000000004"/>
    <m/>
    <s v="EPA"/>
    <s v="43"/>
    <s v="48"/>
    <x v="0"/>
    <m/>
    <s v="Not Required"/>
    <m/>
    <x v="0"/>
    <m/>
    <s v="OK"/>
    <s v="Existing on tower (Assume ) - TML 4.74 EPA / OML - 8.30 BTS / MPT - 3.60 EPA / Mytel 2.39 EPA "/>
    <m/>
    <m/>
    <m/>
    <m/>
    <m/>
    <s v="OK"/>
    <m/>
    <m/>
    <m/>
    <m/>
    <s v="OK"/>
    <s v="No"/>
    <s v="No action needed "/>
    <m/>
    <m/>
    <m/>
    <m/>
    <m/>
    <m/>
    <m/>
    <d v="2019-01-17T15:41:53"/>
    <d v="2019-01-18T11:25:52"/>
    <m/>
    <d v="2019-01-17T15:41:53"/>
    <m/>
    <d v="2019-01-17T16:38:38"/>
    <x v="0"/>
    <n v="5.4819159722246695"/>
    <n v="1"/>
    <s v="No File"/>
    <s v="ANSG_0374 (SGG0033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374 (SGG00338) Application Rev 2.xlsx"/>
    <m/>
  </r>
  <r>
    <n v="3616"/>
    <x v="23"/>
    <x v="1"/>
    <x v="2"/>
    <s v="KCN00056"/>
    <x v="0"/>
    <s v="MPT  Phase 1b Colo"/>
    <s v="On Air"/>
    <s v="TS _ v1"/>
    <s v="3"/>
    <x v="2"/>
    <n v="1.054"/>
    <n v="1.46"/>
    <n v="3.52"/>
    <s v="SQM"/>
    <s v="48"/>
    <s v="53"/>
    <x v="1"/>
    <m/>
    <s v="Not Required"/>
    <m/>
    <x v="0"/>
    <m/>
    <s v="OK"/>
    <s v="Existing on tower (Actual) - MPT - 3.52 sqm - Add Mw and Odu as per the actual "/>
    <s v="OK"/>
    <m/>
    <m/>
    <s v="No"/>
    <s v="EXISTING TOWER (KSGM(OLD+NEW)):  80.03 %_x000a_EXISTING TOWER (KSGM(OLD)):  77.84 %"/>
    <s v="OK"/>
    <m/>
    <m/>
    <m/>
    <m/>
    <s v="OK"/>
    <s v="No"/>
    <s v="No action needed "/>
    <m/>
    <m/>
    <m/>
    <m/>
    <m/>
    <m/>
    <m/>
    <d v="2019-01-18T11:20:24"/>
    <d v="2019-01-18T11:25:52"/>
    <d v="2019-01-21T14:11:00"/>
    <d v="2019-01-18T11:20:24"/>
    <m/>
    <d v="2019-01-18T09:18:15"/>
    <x v="4"/>
    <n v="4.6937533564996556"/>
    <n v="0"/>
    <s v="No File"/>
    <s v="3-00-01014-001 (KCN00056)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3-00-01014-001 (KCN00056) Application Rev 3.xlsx"/>
    <m/>
  </r>
  <r>
    <n v="3617"/>
    <x v="24"/>
    <x v="0"/>
    <x v="2"/>
    <s v="MDY00844"/>
    <x v="0"/>
    <s v="MPT  Phase 1a Colo"/>
    <s v="On Air"/>
    <s v="TS _ v1"/>
    <s v="2"/>
    <x v="2"/>
    <n v="1.054"/>
    <n v="1.46"/>
    <n v="6"/>
    <s v="EPA"/>
    <s v="37"/>
    <s v="42"/>
    <x v="0"/>
    <m/>
    <s v="Not Required"/>
    <m/>
    <x v="0"/>
    <m/>
    <s v="OK"/>
    <s v="Existing on tower (Assume ) - TML 4.20 EPA / MPT 4.82 EPA - Add MW and Odu"/>
    <m/>
    <m/>
    <m/>
    <m/>
    <m/>
    <s v="OK"/>
    <m/>
    <m/>
    <m/>
    <m/>
    <s v="OK"/>
    <s v="No"/>
    <s v="No action needed "/>
    <m/>
    <m/>
    <m/>
    <m/>
    <m/>
    <m/>
    <m/>
    <d v="2019-01-18T11:20:24"/>
    <d v="2019-01-18T11:25:53"/>
    <m/>
    <d v="2019-01-18T11:20:24"/>
    <m/>
    <d v="2019-01-17T20:16:19"/>
    <x v="0"/>
    <n v="5.4819159722246695"/>
    <n v="1"/>
    <s v="No File"/>
    <s v="ANMD_0236 (MDY00844)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236 (MDY00844) Application Rev 2.xlsx"/>
    <m/>
  </r>
  <r>
    <n v="3618"/>
    <x v="25"/>
    <x v="1"/>
    <x v="2"/>
    <s v="SHN00175"/>
    <x v="0"/>
    <s v="MPT  Phase 1b Colo"/>
    <s v="On Air"/>
    <s v="UPG "/>
    <s v="1"/>
    <x v="2"/>
    <n v="1.6579999999999999"/>
    <n v="3.06"/>
    <n v="3.07"/>
    <s v="SQM"/>
    <s v="48"/>
    <s v="53"/>
    <x v="1"/>
    <m/>
    <s v="Not Required"/>
    <m/>
    <x v="0"/>
    <m/>
    <s v="OK"/>
    <s v="Existing on tower (Actual) - OML 7.02 sqm / MPT - 2.91 sqm - Add 1 ODU "/>
    <s v="OK"/>
    <m/>
    <m/>
    <s v="No"/>
    <s v="EXISTING TOWER(OML+TML+KSGM(OLD+NEW)):  93.4 %_x000a_EXISTING TOWER(OML+TML+KSGM(OLD)):  93.4%"/>
    <s v="OK"/>
    <m/>
    <m/>
    <m/>
    <m/>
    <s v="OK"/>
    <s v="No"/>
    <s v="No action needed "/>
    <m/>
    <m/>
    <m/>
    <m/>
    <m/>
    <m/>
    <m/>
    <d v="2019-01-18T11:20:24"/>
    <d v="2019-01-18T11:25:54"/>
    <d v="2019-01-21T14:11:00"/>
    <d v="2019-01-18T11:20:24"/>
    <m/>
    <d v="2019-01-18T09:18:16"/>
    <x v="4"/>
    <n v="4.6937545139007852"/>
    <n v="0"/>
    <s v="No File"/>
    <s v="1-01-15014-008 (SHN0017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4-008 (SHN00175) Application Rev 1.xlsx"/>
    <m/>
  </r>
  <r>
    <n v="3609"/>
    <x v="26"/>
    <x v="0"/>
    <x v="0"/>
    <s v="YAW4699"/>
    <x v="2"/>
    <s v="New Colocation"/>
    <s v="Active"/>
    <s v="New Colocation"/>
    <s v=""/>
    <x v="3"/>
    <n v="3"/>
    <n v="4"/>
    <n v="6"/>
    <s v="EPA"/>
    <s v="16"/>
    <s v="21"/>
    <x v="0"/>
    <m/>
    <s v="Not Required"/>
    <m/>
    <x v="0"/>
    <m/>
    <s v="Review"/>
    <s v="To determine base on TSS as there is limited space , Mytel was also requesting for colocation /  Existing on tower (Assume ) - TML 3.56 EPA / Mytel Colo apps - 6 EPA "/>
    <m/>
    <m/>
    <m/>
    <m/>
    <m/>
    <s v="OK"/>
    <m/>
    <m/>
    <m/>
    <s v="see above"/>
    <s v="Review"/>
    <s v="Yes"/>
    <s v="to be determine base on actual TSS as there is limited space on ground "/>
    <m/>
    <m/>
    <m/>
    <m/>
    <m/>
    <m/>
    <m/>
    <m/>
    <d v="2019-01-18T11:25:49"/>
    <m/>
    <m/>
    <m/>
    <d v="2019-01-16T16:34:19"/>
    <x v="0"/>
    <n v="6.4819159722246695"/>
    <n v="2"/>
    <s v="No File"/>
    <s v="AYYN_0373 (YAW4699) Application Rev .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73 (YAW4699) Application Rev .xlsx"/>
    <m/>
  </r>
  <r>
    <n v="3610"/>
    <x v="27"/>
    <x v="0"/>
    <x v="0"/>
    <s v="YAM7609"/>
    <x v="2"/>
    <s v="New Colocation"/>
    <s v="Active"/>
    <s v="New Colocation"/>
    <s v=""/>
    <x v="3"/>
    <n v="3"/>
    <n v="4"/>
    <n v="6"/>
    <s v="EPA"/>
    <s v="12"/>
    <s v="17"/>
    <x v="0"/>
    <m/>
    <s v="Not Required"/>
    <m/>
    <x v="0"/>
    <m/>
    <s v="Review"/>
    <s v="To determine base on TSS as there is limited space for the pole - Existing on tower (Assume ) - TML 4.20 EPA / MPT 0.74 EPA "/>
    <m/>
    <m/>
    <m/>
    <m/>
    <m/>
    <s v="OK"/>
    <m/>
    <m/>
    <m/>
    <m/>
    <s v="Review"/>
    <s v="Yes"/>
    <s v="to be determine base on actual TSS as there is limited space on ground "/>
    <m/>
    <m/>
    <m/>
    <m/>
    <m/>
    <m/>
    <m/>
    <m/>
    <d v="2019-01-18T11:25:49"/>
    <m/>
    <m/>
    <m/>
    <d v="2019-01-16T16:34:19"/>
    <x v="0"/>
    <n v="6.4819159722246695"/>
    <n v="1"/>
    <s v="No File"/>
    <s v="AYYN_0335 (YAM7609) Application Rev .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35 (YAM7609) Application Rev .xlsx"/>
    <m/>
  </r>
  <r>
    <n v="3611"/>
    <x v="28"/>
    <x v="0"/>
    <x v="0"/>
    <s v="YAW4695"/>
    <x v="2"/>
    <s v="New Colocation"/>
    <s v="Active"/>
    <s v="New Colocation"/>
    <s v=""/>
    <x v="3"/>
    <n v="3"/>
    <n v="4"/>
    <n v="6"/>
    <s v="EPA"/>
    <s v="11"/>
    <s v="16"/>
    <x v="0"/>
    <m/>
    <s v="Not Required"/>
    <m/>
    <x v="0"/>
    <m/>
    <s v="Review"/>
    <s v="To determine base on TSS as there is limited space for the pole , Existing on tower (Assume ) - TML 2.12EPA / Amara Colo apps  3.00 EPA "/>
    <m/>
    <m/>
    <m/>
    <m/>
    <m/>
    <s v="OK"/>
    <m/>
    <m/>
    <m/>
    <m/>
    <s v="Review"/>
    <s v="Yes"/>
    <s v="to be determine base on actual TSS as there is limited space on ground "/>
    <m/>
    <m/>
    <m/>
    <m/>
    <m/>
    <m/>
    <m/>
    <m/>
    <d v="2019-01-18T11:25:50"/>
    <m/>
    <m/>
    <m/>
    <d v="2019-01-16T16:34:19"/>
    <x v="0"/>
    <n v="6.4819159722246695"/>
    <n v="1"/>
    <s v="No File"/>
    <s v="AYYN_0541 (YAW4695) Application Rev .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41 (YAW4695) Application Rev .xlsx"/>
    <m/>
  </r>
  <r>
    <n v="3612"/>
    <x v="29"/>
    <x v="0"/>
    <x v="0"/>
    <s v="BAW5234"/>
    <x v="2"/>
    <s v="Colocation"/>
    <m/>
    <s v="New Colocation"/>
    <s v=""/>
    <x v="3"/>
    <n v="3"/>
    <n v="4"/>
    <n v="6"/>
    <s v="EPA"/>
    <s v="25"/>
    <s v="30"/>
    <x v="0"/>
    <m/>
    <s v="Not Required"/>
    <m/>
    <x v="0"/>
    <m/>
    <s v="OK"/>
    <s v="Existing on tower (Assume ) - TML 5.28 EPA / Mytel Colo apps  4.074 EPA "/>
    <s v="OK"/>
    <m/>
    <m/>
    <s v="No"/>
    <s v="Existing Tower:TML+MYTEL+OML(NEW) = 72.5%"/>
    <s v="OK"/>
    <m/>
    <m/>
    <m/>
    <m/>
    <s v="OK"/>
    <s v="Yes"/>
    <s v="Can share the existing slab "/>
    <m/>
    <m/>
    <m/>
    <m/>
    <m/>
    <m/>
    <m/>
    <d v="2019-01-17T14:59:37"/>
    <d v="2019-01-18T11:25:50"/>
    <d v="2019-01-21T14:58:53"/>
    <d v="2019-01-17T14:59:37"/>
    <m/>
    <d v="2019-01-16T16:34:19"/>
    <x v="0"/>
    <n v="6.4819159722246695"/>
    <n v="1"/>
    <s v="No File"/>
    <s v="ACBA_0032 (BAW5234) Application Rev .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2 (BAW5234) Application Rev .xlsx"/>
    <m/>
  </r>
  <r>
    <n v="3613"/>
    <x v="30"/>
    <x v="1"/>
    <x v="1"/>
    <s v="SHS00117"/>
    <x v="0"/>
    <s v="MPT  Phase 1b Colo"/>
    <s v="On Air"/>
    <s v="LTE"/>
    <s v="4"/>
    <x v="3"/>
    <n v="2.72"/>
    <n v="3.4"/>
    <m/>
    <s v="SQM"/>
    <s v="48"/>
    <s v="53"/>
    <x v="1"/>
    <m/>
    <s v="Not Required"/>
    <m/>
    <x v="1"/>
    <m/>
    <s v="Not Required"/>
    <m/>
    <s v="Not Required"/>
    <m/>
    <m/>
    <m/>
    <m/>
    <s v="OK"/>
    <m/>
    <m/>
    <m/>
    <m/>
    <s v="Not Required"/>
    <m/>
    <m/>
    <m/>
    <m/>
    <m/>
    <m/>
    <m/>
    <m/>
    <m/>
    <m/>
    <d v="2019-01-18T11:25:51"/>
    <m/>
    <m/>
    <m/>
    <m/>
    <x v="5"/>
    <n v="5.4281736111006467"/>
    <n v="0"/>
    <s v="No File"/>
    <s v="1-01-14003-002 (SHS00117)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3-002 (SHS00117) Application Rev 4.xlsx"/>
    <m/>
  </r>
  <r>
    <n v="3599"/>
    <x v="31"/>
    <x v="0"/>
    <x v="2"/>
    <s v="MDY00991"/>
    <x v="0"/>
    <s v="MPT  Phase 1a Colo"/>
    <s v="On Air"/>
    <s v="TS _ v1"/>
    <s v="2"/>
    <x v="4"/>
    <n v="1.079"/>
    <n v="1.4950000000000001"/>
    <n v="7.56"/>
    <s v="EPA"/>
    <s v="30"/>
    <s v="35"/>
    <x v="1"/>
    <m/>
    <s v="Not Required"/>
    <s v="15-Jan-19: Okay for upgrdation as MPT is already on-air from 28-Feb-17."/>
    <x v="0"/>
    <m/>
    <s v="OK"/>
    <s v="Existing on tower (Assume ) - TML 7.70 EPA / OML 21.17 EPA  / MPT 6.63 EPA /Mytel Colo apps 4.074 EPA   -  Add MW and ODU "/>
    <s v="OK"/>
    <m/>
    <m/>
    <s v="No"/>
    <s v="Existing Tower: OML+TML+MYTEL+KSGM(OLD+NEW) = 66.4%"/>
    <s v="OK"/>
    <m/>
    <m/>
    <m/>
    <m/>
    <s v="OK"/>
    <s v="No"/>
    <s v="No action needed "/>
    <m/>
    <m/>
    <m/>
    <m/>
    <m/>
    <m/>
    <m/>
    <d v="2019-01-17T14:59:36"/>
    <d v="2019-01-16T08:46:12"/>
    <d v="2019-01-18T13:27:55"/>
    <d v="2019-01-17T14:59:36"/>
    <d v="2019-01-15T17:09:00"/>
    <d v="2019-01-15T14:54:22"/>
    <x v="6"/>
    <n v="6.4029321759007871"/>
    <n v="0"/>
    <s v="No File"/>
    <s v="ANMD_0220 (MDY00991)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220 (MDY00991) Application Rev 2.xlsx"/>
    <m/>
  </r>
  <r>
    <n v="3600"/>
    <x v="32"/>
    <x v="1"/>
    <x v="2"/>
    <s v="SGG00218"/>
    <x v="0"/>
    <s v="MPT  Phase 1b Colo"/>
    <s v="On Air"/>
    <s v="TS _ v1"/>
    <s v="1"/>
    <x v="4"/>
    <n v="1.1080000000000001"/>
    <n v="1.52"/>
    <n v="4.62"/>
    <s v="SQM"/>
    <s v="48"/>
    <s v="53"/>
    <x v="1"/>
    <m/>
    <s v="Not Required"/>
    <m/>
    <x v="0"/>
    <m/>
    <s v="OK"/>
    <s v="Existing on tower (Actual) - OML with 8.34 sqm / MPT - 5.86 / TML - 4.50 Sqm /add MW and Odu"/>
    <s v="OK"/>
    <m/>
    <m/>
    <s v="No"/>
    <s v="EXISTING TOWER(OML+TML+KSGM(OLD+NEW)): 104 %_x000a_EXISTING TOWER(OML+TML+KSGM(OLD)):100.9%"/>
    <s v="OK"/>
    <m/>
    <m/>
    <m/>
    <s v="DG EOL swap "/>
    <s v="OK"/>
    <s v="No"/>
    <s v="No action needed "/>
    <m/>
    <m/>
    <m/>
    <m/>
    <m/>
    <m/>
    <m/>
    <d v="2019-01-17T14:59:36"/>
    <d v="2019-01-16T08:46:12"/>
    <d v="2019-01-18T16:42:05"/>
    <d v="2019-01-17T14:59:36"/>
    <m/>
    <d v="2019-01-15T14:54:18"/>
    <x v="7"/>
    <n v="6.4029343750007683"/>
    <n v="0"/>
    <s v="No File"/>
    <s v="1-01-05005-001 (SGG00218)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5-001 (SGG00218) Application Rev 1.xlsx"/>
    <m/>
  </r>
  <r>
    <n v="3601"/>
    <x v="33"/>
    <x v="0"/>
    <x v="2"/>
    <s v="SGG00255"/>
    <x v="0"/>
    <s v="MPT  Phase 1a Colo"/>
    <s v="On Air"/>
    <s v="TS _ v1"/>
    <s v="2"/>
    <x v="4"/>
    <n v="1"/>
    <n v="1.4"/>
    <n v="5.83"/>
    <s v="EPA"/>
    <s v="27"/>
    <s v="32"/>
    <x v="1"/>
    <m/>
    <s v="Not Required"/>
    <s v="15-Jan-19: Okay for upgrdation as MPT is already on-air from 25-Feb-16."/>
    <x v="0"/>
    <m/>
    <s v="OK"/>
    <s v="Existing on tower (Assume ) - TML 3.84 EPA / OML 13.18 EPA  / MPT 6.27 EPA  -  Change height within reserved area "/>
    <s v="OK"/>
    <m/>
    <m/>
    <s v="Yes"/>
    <s v="Strengthened Tower: OML+TML+MYTEL+KSGM(OLD+NEW) = 87.2% (Strengthening and Retrofitting are not completed 100% yet. However, it was considered in this analysis by following the design.)_x000a_% strengthening done 80%_x000a_% Retrofitting  done 70%"/>
    <s v="OK"/>
    <m/>
    <m/>
    <m/>
    <m/>
    <s v="OK"/>
    <s v="No"/>
    <s v="No action needed "/>
    <m/>
    <m/>
    <m/>
    <m/>
    <m/>
    <m/>
    <m/>
    <d v="2019-01-17T14:59:36"/>
    <d v="2019-01-16T08:46:12"/>
    <d v="2019-01-21T10:16:58"/>
    <d v="2019-01-17T14:59:36"/>
    <d v="2019-01-15T17:09:00"/>
    <d v="2019-01-15T14:54:22"/>
    <x v="8"/>
    <n v="6.7235480324015953"/>
    <n v="0"/>
    <s v="No File"/>
    <s v="ANSG_0498 (SGG0025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98 (SGG00255) Application Rev 2.xlsx"/>
    <m/>
  </r>
  <r>
    <n v="3602"/>
    <x v="34"/>
    <x v="1"/>
    <x v="2"/>
    <s v="SGG00562"/>
    <x v="0"/>
    <s v="MPT  Phase 1b Colo"/>
    <s v="On Air"/>
    <s v="MS _ v1"/>
    <s v="2"/>
    <x v="4"/>
    <n v="1"/>
    <n v="1.4"/>
    <n v="2.5"/>
    <s v="SQM"/>
    <s v="33"/>
    <s v="38"/>
    <x v="1"/>
    <m/>
    <s v="Not Required"/>
    <m/>
    <x v="0"/>
    <s v="As per conversation with LL, site access ok to proceed."/>
    <s v="OK"/>
    <s v="Existing on tower (Actual) - OML with 10.81 sqm / MPT - 2.50 sqm / TML - 3.37 Sqm / Change MW height "/>
    <s v="OK"/>
    <m/>
    <m/>
    <s v="No"/>
    <s v="EXISTING TOWER(OP1+OP4+OP3(OLD+NEW)): 72.2  %_x000a_EXISTING TOWER(OP1+OP4+OP3(OLD)):  72.2 %"/>
    <s v="OK"/>
    <m/>
    <m/>
    <m/>
    <m/>
    <s v="OK"/>
    <s v="No"/>
    <s v="No action needed "/>
    <m/>
    <m/>
    <m/>
    <m/>
    <m/>
    <m/>
    <m/>
    <d v="2019-01-17T14:59:36"/>
    <d v="2019-01-16T08:46:12"/>
    <d v="2019-01-18T16:42:05"/>
    <d v="2019-01-17T14:59:36"/>
    <m/>
    <d v="2019-01-15T15:04:50"/>
    <x v="7"/>
    <n v="6.4029377315018792"/>
    <n v="0"/>
    <s v="No File"/>
    <s v="1-01-05027-001 (SGG0056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1 (SGG00562) Application Rev 2.xlsx"/>
    <m/>
  </r>
  <r>
    <n v="3603"/>
    <x v="35"/>
    <x v="0"/>
    <x v="2"/>
    <s v="SHN00207"/>
    <x v="0"/>
    <s v="MPT  Phase 1a Colo"/>
    <s v="On Air"/>
    <s v="LTE _ v1"/>
    <s v="2"/>
    <x v="4"/>
    <n v="2.5950000000000002"/>
    <n v="3.7069999999999999"/>
    <n v="6.0579999999999998"/>
    <s v="EPA"/>
    <s v="20"/>
    <s v="25"/>
    <x v="1"/>
    <m/>
    <s v="Not Required"/>
    <s v="15-Jan-19: Okay for upgrdation as MPT is already on-air from 26-Feb-16."/>
    <x v="0"/>
    <m/>
    <s v="OK"/>
    <s v="Existing on tower (Assume ) - TML 3.93 EPA / MPT 3.74 EPA -Add RRU "/>
    <s v="OK"/>
    <m/>
    <m/>
    <s v="No"/>
    <s v="Existing Tower:TML+KSGM(OLD+NEW) = 63.8%"/>
    <s v="OK"/>
    <m/>
    <m/>
    <m/>
    <m/>
    <s v="OK"/>
    <s v="No"/>
    <s v="No action needed "/>
    <m/>
    <m/>
    <m/>
    <m/>
    <m/>
    <m/>
    <m/>
    <d v="2019-01-17T14:59:36"/>
    <d v="2019-01-16T08:57:45"/>
    <d v="2019-01-21T11:49:48"/>
    <d v="2019-01-17T14:59:36"/>
    <d v="2019-01-15T17:09:00"/>
    <d v="2019-01-15T14:54:22"/>
    <x v="8"/>
    <n v="6.7235488426013035"/>
    <n v="0"/>
    <s v="No File"/>
    <s v="ANSH_0034 (SHN0020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H_0034 (SHN00207) Application Rev 2.xlsx"/>
    <m/>
  </r>
  <r>
    <n v="3604"/>
    <x v="36"/>
    <x v="1"/>
    <x v="0"/>
    <s v="AWD01309"/>
    <x v="0"/>
    <s v="MPT Phase 2 Colo"/>
    <s v="RFI"/>
    <s v="Relocation"/>
    <s v="1"/>
    <x v="4"/>
    <n v="2.64"/>
    <n v="3.3"/>
    <n v="4.8499999999999996"/>
    <s v="SQM"/>
    <s v="48"/>
    <s v="53"/>
    <x v="1"/>
    <m/>
    <s v="Not Required"/>
    <m/>
    <x v="0"/>
    <m/>
    <s v="OK"/>
    <s v="Existing on tower (Actual) - OML with 11.02 sqm / MPT - 4.44 sqm / TML - 2.97 Sqm / Increase RF dimension and Decrease MW dimesion "/>
    <s v="OK"/>
    <m/>
    <m/>
    <s v="No"/>
    <s v="EXISTING TOWER(OML+TML+KSGM(OLD+NEW)):  103.2%_x000a_EXISTING TOWER(OML+TML+KSGM(OLD)):  99%"/>
    <s v="OK"/>
    <m/>
    <m/>
    <m/>
    <m/>
    <s v="OK"/>
    <s v="No"/>
    <s v="No action needed "/>
    <m/>
    <m/>
    <m/>
    <m/>
    <m/>
    <m/>
    <m/>
    <d v="2019-01-17T14:59:36"/>
    <d v="2019-01-16T08:57:45"/>
    <d v="2019-01-21T10:08:34"/>
    <d v="2019-01-17T14:59:36"/>
    <m/>
    <d v="2019-01-15T14:54:19"/>
    <x v="8"/>
    <n v="6.7235496528010117"/>
    <n v="0"/>
    <s v="No File"/>
    <s v="1-01-17023-009 (AWD01309)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23-009 (AWD01309) Application Rev 1.xlsx"/>
    <m/>
  </r>
  <r>
    <n v="3605"/>
    <x v="37"/>
    <x v="1"/>
    <x v="2"/>
    <s v="SGG00219"/>
    <x v="0"/>
    <s v="MPT  Phase 1b Colo"/>
    <s v="On Air"/>
    <s v="Exchange"/>
    <s v="3"/>
    <x v="4"/>
    <n v="1.399"/>
    <n v="2.2610000000000001"/>
    <n v="4.2"/>
    <s v="SQM"/>
    <s v="48"/>
    <s v="53"/>
    <x v="1"/>
    <m/>
    <s v="Not Required"/>
    <m/>
    <x v="0"/>
    <m/>
    <s v="OK"/>
    <s v="Existing on tower (Actual) - OML with 7.72 sqm / MPT - 4.16 sqm / TML - 4.04 Sqm / Add 1 RRU "/>
    <s v="OK"/>
    <m/>
    <m/>
    <s v="No"/>
    <s v="EXISTING TOWER(OP1+OP4+OP3(OLD+NEW)): 99.4  %_x000a_EXISTING TOWER(OP1+OP4+OP3(OLD)):   99.4 %"/>
    <s v="OK"/>
    <m/>
    <m/>
    <m/>
    <m/>
    <s v="OK"/>
    <s v="No"/>
    <s v="No action needed "/>
    <m/>
    <m/>
    <m/>
    <m/>
    <m/>
    <m/>
    <m/>
    <d v="2019-01-17T14:59:36"/>
    <d v="2019-01-16T08:46:12"/>
    <d v="2019-01-18T16:42:06"/>
    <d v="2019-01-17T14:59:36"/>
    <m/>
    <d v="2019-01-15T14:54:19"/>
    <x v="7"/>
    <n v="6.4029408564965706"/>
    <n v="0"/>
    <s v="No File"/>
    <s v="1-01-05005-002 (SGG00219)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5-002 (SGG00219) Application Rev 3.xlsx"/>
    <m/>
  </r>
  <r>
    <n v="3606"/>
    <x v="38"/>
    <x v="1"/>
    <x v="2"/>
    <s v="SGG00223"/>
    <x v="0"/>
    <s v="MPT  Phase 1b Colo"/>
    <s v="On Air"/>
    <s v="Exchange"/>
    <s v="1"/>
    <x v="4"/>
    <n v="1.4530000000000001"/>
    <n v="2.3210000000000002"/>
    <n v="3.95"/>
    <s v="SQM"/>
    <s v="48"/>
    <s v="53"/>
    <x v="1"/>
    <m/>
    <s v="Not Required"/>
    <m/>
    <x v="0"/>
    <m/>
    <s v="OK"/>
    <s v="Existing on tower (Actual) - OML with 9.47 sqm / MPT - 3.04 sqm / TML - 3.87 Sqm / Decrease MW dimesion and add RRU "/>
    <s v="OK"/>
    <m/>
    <m/>
    <s v="No"/>
    <s v="EXISTING TOWER(OP1+OP4+OP3(OLD+NEW)): 96.9  %_x000a_EXISTING TOWER(OP1+OP4+OP3(OLD)):  95.8  %"/>
    <s v="OK"/>
    <m/>
    <m/>
    <m/>
    <m/>
    <s v="OK"/>
    <s v="No"/>
    <s v="No action needed "/>
    <m/>
    <m/>
    <m/>
    <m/>
    <m/>
    <m/>
    <m/>
    <d v="2019-01-17T14:59:36"/>
    <d v="2019-01-16T08:46:12"/>
    <d v="2019-01-18T16:42:06"/>
    <d v="2019-01-17T14:59:36"/>
    <m/>
    <d v="2019-01-15T14:54:19"/>
    <x v="7"/>
    <n v="6.4029420138977002"/>
    <n v="0"/>
    <s v="No File"/>
    <s v="1-01-05007-010 (SGG00223)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7-010 (SGG00223) Application Rev 1.xlsx"/>
    <m/>
  </r>
  <r>
    <n v="3607"/>
    <x v="39"/>
    <x v="1"/>
    <x v="0"/>
    <s v="MON00623"/>
    <x v="0"/>
    <s v="New Colocation"/>
    <s v="Active"/>
    <s v="TS"/>
    <s v="0"/>
    <x v="4"/>
    <n v="0.72"/>
    <n v="0.9"/>
    <n v="2.2509999999999999"/>
    <s v="SQM"/>
    <s v="37"/>
    <s v="42"/>
    <x v="0"/>
    <m/>
    <s v="Not Required"/>
    <m/>
    <x v="0"/>
    <m/>
    <s v="OK"/>
    <s v="Existing on tower (Actual) - OML with 9.75 sqm / MPT - 4.43 sqm / New Colocation "/>
    <s v="Rejected"/>
    <m/>
    <m/>
    <s v="No"/>
    <s v="WIND ZONE CHANGE:_x000a_Strengthened Tower(OML+MYTEL+KSGM(NEW)):  93.7  % (old wind zone 130 kPH)_x000a_Strengthened  Tower(OML+MYTEL+KSGM(NEW)): 138.4 % (new wind zone 160 kPH)_x000a_Estimated Strengthening(Tower steel weight: 3141.647kg ,Foundation Conc; weight 5.1m3 )"/>
    <s v="OK"/>
    <m/>
    <m/>
    <m/>
    <m/>
    <s v="OK"/>
    <s v="Yes"/>
    <s v="Need new slab "/>
    <m/>
    <m/>
    <m/>
    <m/>
    <m/>
    <m/>
    <m/>
    <d v="2019-01-17T14:59:37"/>
    <d v="2019-01-16T08:46:13"/>
    <m/>
    <d v="2019-01-17T14:59:37"/>
    <m/>
    <d v="2019-01-15T14:57:08"/>
    <x v="0"/>
    <n v="7.4819159722246695"/>
    <n v="1"/>
    <s v="No File"/>
    <s v="1-01-11002-003 (MON00623)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1002-003 (MON00623) Application Rev 0.xlsx"/>
    <m/>
  </r>
  <r>
    <n v="3608"/>
    <x v="40"/>
    <x v="1"/>
    <x v="0"/>
    <s v="AYY0291"/>
    <x v="3"/>
    <s v="Mytel Phase 1b Colo"/>
    <s v="RFI"/>
    <s v="Other"/>
    <s v="1"/>
    <x v="4"/>
    <n v="2"/>
    <n v="2"/>
    <n v="6"/>
    <s v="SQM"/>
    <s v="37"/>
    <s v="42"/>
    <x v="0"/>
    <m/>
    <s v="Not Required"/>
    <m/>
    <x v="2"/>
    <s v="Ongoing DG noise issue and Mytel team delivered DG without inform PAT and village. Currently, community againsts new DG and Mytel colo. (off grid area)."/>
    <s v="Not Required"/>
    <m/>
    <s v="Not Required"/>
    <m/>
    <m/>
    <m/>
    <m/>
    <s v="OK"/>
    <s v="25-Jan-19"/>
    <m/>
    <m/>
    <s v="Review DG capacity due to community issue swap TBA"/>
    <s v="Not Required"/>
    <m/>
    <m/>
    <m/>
    <m/>
    <m/>
    <m/>
    <m/>
    <m/>
    <m/>
    <m/>
    <d v="2019-01-16T08:46:13"/>
    <m/>
    <m/>
    <m/>
    <m/>
    <x v="0"/>
    <n v="7.4819159722246695"/>
    <n v="1"/>
    <s v="No File"/>
    <s v="1-01-17003-011 (AYY0291)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7003-011 (AYY0291) Application Rev 1.xlsx"/>
    <m/>
  </r>
  <r>
    <n v="3597"/>
    <x v="41"/>
    <x v="1"/>
    <x v="0"/>
    <s v="TN0624"/>
    <x v="4"/>
    <s v="TML Phase 1 Colo"/>
    <s v="RFI"/>
    <s v="Add Equipment"/>
    <s v="1"/>
    <x v="5"/>
    <m/>
    <m/>
    <m/>
    <s v="SQM"/>
    <s v="42.5"/>
    <s v="47.5"/>
    <x v="1"/>
    <m/>
    <s v="Not Required"/>
    <m/>
    <x v="0"/>
    <m/>
    <s v="Not Required"/>
    <s v=" For VSAT ground space "/>
    <s v="Not Required"/>
    <m/>
    <m/>
    <m/>
    <m/>
    <s v="Not Required"/>
    <m/>
    <m/>
    <m/>
    <m/>
    <s v="OK"/>
    <s v="No"/>
    <s v="Commercial team to advise if VSAT foundation to be constructed by PAT or TML team ."/>
    <m/>
    <m/>
    <m/>
    <m/>
    <m/>
    <m/>
    <m/>
    <m/>
    <m/>
    <m/>
    <d v="2019-01-14T13:41:46"/>
    <m/>
    <d v="2019-01-14T09:48:57"/>
    <x v="9"/>
    <n v="0.57237233799969545"/>
    <n v="0"/>
    <s v="No File"/>
    <s v="1-01-06005-005 (TN0624) Application Rev 1.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06005-005 (TN0624) Application Rev 1.xlsx"/>
    <m/>
  </r>
  <r>
    <n v="3598"/>
    <x v="42"/>
    <x v="1"/>
    <x v="2"/>
    <s v="KCN00508"/>
    <x v="0"/>
    <s v="MPT  Phase 1b Colo"/>
    <s v="On Air"/>
    <s v="Multisector"/>
    <s v="2"/>
    <x v="5"/>
    <n v="2.1970000000000001"/>
    <n v="3.7970000000000002"/>
    <n v="5.6920000000000002"/>
    <s v="SQM"/>
    <s v="41.5-46.5"/>
    <s v="59-60"/>
    <x v="1"/>
    <m/>
    <s v="Not Required"/>
    <m/>
    <x v="0"/>
    <m/>
    <s v="OK"/>
    <s v="Existing on tower (Actual) - OML with 9.01 sqm , MPT actual 4.93 sqm / Latest Colo Apps - 5.07 sqm / TML - 3.94 sqm - Increase 1 RF dimension , add RRU and change leg on MW "/>
    <s v="OK"/>
    <m/>
    <m/>
    <s v="No"/>
    <s v="Strengthened Tower(OML+TML+KSGM(OLD+NEW)): 93.36 %_x000a_Strengthened Tower(OML+TML+KSGM(OLD)): 93.22 %"/>
    <s v="OK"/>
    <m/>
    <m/>
    <m/>
    <m/>
    <s v="OK"/>
    <s v="No"/>
    <s v="No action needed "/>
    <m/>
    <m/>
    <m/>
    <m/>
    <m/>
    <m/>
    <m/>
    <d v="2019-01-14T16:39:47"/>
    <d v="2019-01-16T08:57:44"/>
    <d v="2019-01-15T15:55:02"/>
    <d v="2019-01-14T16:39:47"/>
    <m/>
    <d v="2019-01-14T14:59:39"/>
    <x v="6"/>
    <n v="7.4029305556032341"/>
    <n v="0"/>
    <s v="No File"/>
    <s v="1-01-14007-015 (KCN0050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15 (KCN00508) Application Rev 2.xlsx"/>
    <m/>
  </r>
  <r>
    <n v="3587"/>
    <x v="43"/>
    <x v="0"/>
    <x v="0"/>
    <s v="BGE00446"/>
    <x v="0"/>
    <s v="New Colocation"/>
    <s v="Active"/>
    <s v="TS"/>
    <s v="0"/>
    <x v="6"/>
    <n v="1.52"/>
    <n v="1.9"/>
    <n v="3.43"/>
    <s v="EPA"/>
    <s v="36"/>
    <s v="41"/>
    <x v="0"/>
    <m/>
    <s v="Not Required"/>
    <m/>
    <x v="0"/>
    <m/>
    <s v="OK"/>
    <s v="Existing on tower (Assume ) - TML 4.20 EPA -New Colocation "/>
    <s v="Rejected"/>
    <m/>
    <m/>
    <s v="No"/>
    <s v="Existing Tower: TML+KSGM (OLD+NEW) ; Tower = 81.9% but FDN unstable due to soil condition is submerged_x000a_(Estimate volume of concrete = 6 cb.m;  exten pad of foundation from 6.5m to 7.5m)_x000a_Existing Tower: TML(OLD) ; Tower = 74.4% but FDN unstable"/>
    <s v="OK"/>
    <m/>
    <m/>
    <m/>
    <m/>
    <s v="OK"/>
    <s v="No"/>
    <s v="sharing on the existing slab "/>
    <m/>
    <m/>
    <m/>
    <m/>
    <m/>
    <m/>
    <m/>
    <d v="2019-01-14T13:36:39"/>
    <d v="2019-01-16T08:46:11"/>
    <m/>
    <d v="2019-01-14T13:36:39"/>
    <m/>
    <d v="2019-01-14T10:50:26"/>
    <x v="0"/>
    <n v="11.48191597222467"/>
    <n v="1"/>
    <s v="No File"/>
    <s v="ACBA_0202 (BGE00446)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CBA_0202 (BGE00446) Application Rev 0.xlsx"/>
    <m/>
  </r>
  <r>
    <n v="3588"/>
    <x v="44"/>
    <x v="1"/>
    <x v="1"/>
    <s v="BGW00539"/>
    <x v="0"/>
    <s v="New Colocation"/>
    <s v="Active"/>
    <s v="TS"/>
    <s v="0"/>
    <x v="6"/>
    <n v="0.72"/>
    <n v="0.9"/>
    <m/>
    <s v="SQM"/>
    <s v="42.5"/>
    <s v="47.5"/>
    <x v="1"/>
    <m/>
    <s v="OK"/>
    <m/>
    <x v="0"/>
    <m/>
    <s v="OK"/>
    <s v="Existing on tower (Actual) - OML with 9.75 sqm , TML - 3.56 Sqm   -New Colocation"/>
    <s v="OK"/>
    <m/>
    <m/>
    <s v="No"/>
    <s v="EXISTING TOWER(OML+TML+KSGM(NEW)): 67.3%"/>
    <s v="OK"/>
    <m/>
    <m/>
    <m/>
    <m/>
    <s v="OK"/>
    <s v="Yes"/>
    <s v="Need new slab "/>
    <m/>
    <m/>
    <m/>
    <m/>
    <m/>
    <m/>
    <m/>
    <d v="2019-01-14T13:36:39"/>
    <d v="2019-01-16T08:57:43"/>
    <d v="2019-01-15T11:33:30"/>
    <d v="2019-01-14T13:36:39"/>
    <d v="2019-01-15T17:34:26"/>
    <d v="2019-01-14T09:48:16"/>
    <x v="10"/>
    <n v="5.412556597199"/>
    <n v="0"/>
    <s v="No File"/>
    <s v="1-01-08008-001 (BGW00539)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8008-001 (BGW00539) Application Rev 0.xlsx"/>
    <m/>
  </r>
  <r>
    <n v="3589"/>
    <x v="45"/>
    <x v="1"/>
    <x v="2"/>
    <s v="KCN00442"/>
    <x v="0"/>
    <s v="MPT  Phase 1b Colo"/>
    <s v="RFI"/>
    <s v="TS"/>
    <s v="1"/>
    <x v="6"/>
    <n v="1.621"/>
    <n v="3.6989999999999998"/>
    <m/>
    <s v="SQM"/>
    <s v="16"/>
    <s v="21"/>
    <x v="1"/>
    <m/>
    <s v="OK"/>
    <s v="Rental increase of 100k/month was granted which took effect last 16-Dec-18 (400k-500k)"/>
    <x v="0"/>
    <m/>
    <s v="OK"/>
    <s v="Existing on tower (Actual) - OML with 6.41 sqm , MPT - 5.10 Sqm / Increase RF dimension and add RRU and ODU"/>
    <s v="OK"/>
    <m/>
    <m/>
    <s v="No"/>
    <s v="EXISTING TOWER(OML+KSGM(OLD+NEW)): 57.2 %_x000a_EXISTING TOWER(OML+KSGM(OLD)):59.4 %"/>
    <s v="OK"/>
    <m/>
    <m/>
    <m/>
    <m/>
    <s v="OK"/>
    <s v="No"/>
    <s v="No action needed "/>
    <m/>
    <m/>
    <m/>
    <m/>
    <m/>
    <m/>
    <m/>
    <d v="2019-01-14T13:36:40"/>
    <d v="2019-01-16T08:57:43"/>
    <d v="2019-01-15T11:33:30"/>
    <d v="2019-01-14T13:36:40"/>
    <d v="2019-01-15T17:34:26"/>
    <d v="2019-01-14T09:48:16"/>
    <x v="10"/>
    <n v="5.4125570601972868"/>
    <n v="0"/>
    <s v="No File"/>
    <s v="1-01-01010-013 (KCN00442)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0-013 (KCN00442) Application Rev 1.xlsx"/>
    <m/>
  </r>
  <r>
    <n v="3590"/>
    <x v="46"/>
    <x v="1"/>
    <x v="1"/>
    <s v="MGW00506"/>
    <x v="0"/>
    <s v="MPT  Phase 1b Colo"/>
    <s v="On Air"/>
    <s v="LTE"/>
    <s v="4"/>
    <x v="6"/>
    <n v="1.9890000000000001"/>
    <n v="3.5489999999999999"/>
    <m/>
    <s v="SQM"/>
    <s v="48"/>
    <s v="53"/>
    <x v="1"/>
    <m/>
    <s v="OK"/>
    <m/>
    <x v="0"/>
    <m/>
    <s v="OK"/>
    <s v="Existing on tower (Actual) - OML with 7.56 sqm , MPT - 3.92 Sqm , TML - 2.84 sqm / Increase RF dimension and add RRU and ODU"/>
    <s v="OK"/>
    <m/>
    <m/>
    <s v="No"/>
    <s v="Existing Tower: OML+TML+KSGM(OLD+NEW) = 99.5%_x000a_Existing Tower: OML+TML+KSGM(OLD) = 98.0%"/>
    <s v="OK"/>
    <m/>
    <m/>
    <m/>
    <s v="Review PE system capacity after actual site load confirmed "/>
    <s v="OK"/>
    <s v="No"/>
    <s v="No action needed "/>
    <m/>
    <m/>
    <m/>
    <m/>
    <m/>
    <m/>
    <m/>
    <d v="2019-01-14T13:36:40"/>
    <d v="2019-01-16T08:57:43"/>
    <d v="2019-01-15T10:35:05"/>
    <d v="2019-01-14T13:36:40"/>
    <d v="2019-01-15T17:34:26"/>
    <d v="2019-01-14T09:48:16"/>
    <x v="10"/>
    <n v="5.4125582175984164"/>
    <n v="0"/>
    <s v="No File"/>
    <s v="1-01-09018-009 (MGW00506)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18-009 (MGW00506) Application Rev 4.xlsx"/>
    <m/>
  </r>
  <r>
    <n v="3591"/>
    <x v="47"/>
    <x v="1"/>
    <x v="2"/>
    <s v="SGG00208"/>
    <x v="0"/>
    <s v="MPT  Phase 1b Colo"/>
    <s v="On Air"/>
    <s v="Exchange"/>
    <s v="2"/>
    <x v="6"/>
    <n v="1.399"/>
    <n v="2.2989999999999999"/>
    <m/>
    <s v="SQM"/>
    <s v="48"/>
    <s v="53"/>
    <x v="1"/>
    <m/>
    <s v="OK"/>
    <m/>
    <x v="0"/>
    <m/>
    <s v="OK"/>
    <s v="Existing on tower (Actual) - OML with 11.73 sqm , MPT - 4.16 Sqm , TML - 3.79 sqm -Change MW height ( 0.5m difference ) - add ODU "/>
    <s v="OK"/>
    <m/>
    <m/>
    <s v="No"/>
    <s v="EXISTING TOWER(OML+TML+KSGM(OLD+NEW)): 103.2 %_x000a_EXISTING TOWER(OML+TML+KSGM(OLD)):103.3%"/>
    <s v="OK"/>
    <m/>
    <m/>
    <m/>
    <s v="DG SOH to be confirmed "/>
    <s v="OK"/>
    <s v="No"/>
    <s v="No action needed "/>
    <m/>
    <m/>
    <m/>
    <m/>
    <m/>
    <m/>
    <m/>
    <d v="2019-01-14T13:36:41"/>
    <d v="2019-01-16T08:57:43"/>
    <d v="2019-01-15T11:33:30"/>
    <d v="2019-01-14T13:36:41"/>
    <d v="2019-01-15T17:34:26"/>
    <d v="2019-01-14T09:48:16"/>
    <x v="10"/>
    <n v="5.4125589120012592"/>
    <n v="0"/>
    <s v="No File"/>
    <s v="1-01-05004-001 (SGG0020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4-001 (SGG00208) Application Rev 2.xlsx"/>
    <m/>
  </r>
  <r>
    <n v="3592"/>
    <x v="48"/>
    <x v="1"/>
    <x v="2"/>
    <s v="MDYMHAM044"/>
    <x v="1"/>
    <s v="Amara Colocation"/>
    <s v="New Tenant"/>
    <s v="New Colocation"/>
    <s v="0"/>
    <x v="6"/>
    <n v="2"/>
    <m/>
    <n v="5"/>
    <s v="EPA"/>
    <s v="25"/>
    <s v="30"/>
    <x v="0"/>
    <m/>
    <s v="OK"/>
    <m/>
    <x v="0"/>
    <m/>
    <s v="OK"/>
    <s v="Existing on tower (Actual) - OML with 7.31 sqm- New Colocation RTT  "/>
    <m/>
    <m/>
    <m/>
    <m/>
    <m/>
    <s v="OK"/>
    <s v="1-2 weeks after approval"/>
    <m/>
    <m/>
    <s v="AC connect"/>
    <s v="OK"/>
    <s v="Yes"/>
    <s v="Need new slab "/>
    <m/>
    <m/>
    <m/>
    <m/>
    <m/>
    <m/>
    <m/>
    <d v="2019-01-14T13:36:41"/>
    <d v="2019-01-18T10:29:11"/>
    <m/>
    <d v="2019-01-14T13:36:41"/>
    <d v="2019-01-15T17:34:26"/>
    <d v="2019-01-14T09:48:16"/>
    <x v="0"/>
    <n v="11.48191597222467"/>
    <n v="1"/>
    <s v="No File"/>
    <s v="1-01-10003-004 (MDYMHAM044)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0003-004 (MDYMHAM044) Application Rev 0.xlsx"/>
    <m/>
  </r>
  <r>
    <n v="3593"/>
    <x v="49"/>
    <x v="1"/>
    <x v="2"/>
    <s v="MDYAMTZ004"/>
    <x v="1"/>
    <s v="Amara Colocation"/>
    <s v="New Tenant"/>
    <s v="New Colocation"/>
    <s v="0"/>
    <x v="6"/>
    <n v="2"/>
    <m/>
    <n v="5"/>
    <s v="EPA"/>
    <s v="17.35"/>
    <s v="22.35"/>
    <x v="0"/>
    <m/>
    <s v="OK"/>
    <m/>
    <x v="0"/>
    <m/>
    <s v="OK"/>
    <s v="Existing on tower (Actual) - OML with 7.12 sqm- New Colocation RTT  "/>
    <m/>
    <m/>
    <m/>
    <m/>
    <m/>
    <s v="OK"/>
    <s v="1-2 weeks after approval"/>
    <m/>
    <m/>
    <s v="AC connect"/>
    <s v="OK"/>
    <s v="Yes"/>
    <s v="Need new slab "/>
    <m/>
    <m/>
    <m/>
    <m/>
    <m/>
    <m/>
    <m/>
    <d v="2019-01-14T13:36:42"/>
    <d v="2019-01-18T10:29:11"/>
    <m/>
    <d v="2019-01-14T13:36:42"/>
    <d v="2019-01-15T17:34:26"/>
    <d v="2019-01-14T09:48:17"/>
    <x v="0"/>
    <n v="11.48191597222467"/>
    <n v="1"/>
    <s v="No File"/>
    <s v="1-01-10001-007 (MDYAMTZ004)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0001-007 (MDYAMTZ004) Application Rev 0.xlsx"/>
    <m/>
  </r>
  <r>
    <n v="3594"/>
    <x v="50"/>
    <x v="1"/>
    <x v="2"/>
    <s v="MDYCMTN064"/>
    <x v="1"/>
    <s v="Amara Colocation"/>
    <s v="New Tenant"/>
    <s v="New Colocation"/>
    <s v="0"/>
    <x v="6"/>
    <n v="2"/>
    <m/>
    <n v="5"/>
    <s v="EPA"/>
    <s v="14.7"/>
    <s v="19.7"/>
    <x v="0"/>
    <m/>
    <s v="OK"/>
    <m/>
    <x v="0"/>
    <m/>
    <s v="OK"/>
    <s v="Existing on tower (Actual) - OML with 7.52 sqm- New Colocation RTT  "/>
    <m/>
    <m/>
    <m/>
    <m/>
    <m/>
    <s v="OK"/>
    <s v="1-2 weeks after approval"/>
    <m/>
    <m/>
    <s v="AC connect"/>
    <s v="OK"/>
    <s v="Yes"/>
    <s v="Need new slab "/>
    <m/>
    <m/>
    <m/>
    <m/>
    <m/>
    <m/>
    <m/>
    <d v="2019-01-14T13:36:42"/>
    <d v="2019-01-18T10:29:11"/>
    <m/>
    <d v="2019-01-14T13:36:42"/>
    <d v="2019-01-15T17:34:26"/>
    <d v="2019-01-14T09:48:17"/>
    <x v="0"/>
    <n v="11.48191597222467"/>
    <n v="1"/>
    <s v="No File"/>
    <s v="1-01-10003-012 (MDYCMTN064)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0003-012 (MDYCMTN064) Application Rev 0.xlsx"/>
    <m/>
  </r>
  <r>
    <n v="3595"/>
    <x v="51"/>
    <x v="1"/>
    <x v="2"/>
    <s v="MDYCMTN040"/>
    <x v="1"/>
    <s v="Amara Colocation"/>
    <s v="New Tenant"/>
    <s v="New Colocation"/>
    <s v="0"/>
    <x v="6"/>
    <n v="2"/>
    <m/>
    <n v="5"/>
    <s v="EPA"/>
    <s v="16"/>
    <s v="21"/>
    <x v="0"/>
    <m/>
    <s v="Not Required"/>
    <m/>
    <x v="0"/>
    <m/>
    <s v="OK"/>
    <s v="Existing on tower (Actual) - OML with 7.52 sqm- New Colocation RTT  "/>
    <m/>
    <m/>
    <m/>
    <m/>
    <m/>
    <s v="OK"/>
    <s v="1-2 weeks after approval"/>
    <m/>
    <m/>
    <s v="AC connect"/>
    <s v="OK"/>
    <s v="Yes"/>
    <s v="Need new slab "/>
    <m/>
    <m/>
    <m/>
    <m/>
    <m/>
    <m/>
    <m/>
    <d v="2019-01-14T13:36:42"/>
    <d v="2019-01-18T10:29:11"/>
    <m/>
    <d v="2019-01-14T13:36:42"/>
    <m/>
    <d v="2019-01-14T09:48:17"/>
    <x v="0"/>
    <n v="11.48191597222467"/>
    <n v="1"/>
    <s v="No File"/>
    <s v="1-01-10003-002 (MDYCMTN040)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0003-002 (MDYCMTN040) Application Rev 0.xlsx"/>
    <m/>
  </r>
  <r>
    <n v="3596"/>
    <x v="52"/>
    <x v="1"/>
    <x v="2"/>
    <s v="MDYMHAM065"/>
    <x v="1"/>
    <s v="Amara Colocation"/>
    <s v="New Tenant"/>
    <s v="New Colocation"/>
    <s v="0"/>
    <x v="6"/>
    <n v="2"/>
    <m/>
    <n v="5"/>
    <s v="EPA"/>
    <m/>
    <m/>
    <x v="0"/>
    <m/>
    <s v="Not Required"/>
    <m/>
    <x v="0"/>
    <m/>
    <s v="OK"/>
    <s v="Existing on tower (Actual) - OML with 3.85 sqm- New Colocation RTT  "/>
    <m/>
    <m/>
    <m/>
    <m/>
    <m/>
    <s v="OK"/>
    <s v="1-2 weeks after approval"/>
    <m/>
    <m/>
    <s v="AC connect"/>
    <s v="OK"/>
    <s v="Yes"/>
    <s v="Need new slab "/>
    <m/>
    <m/>
    <m/>
    <m/>
    <m/>
    <m/>
    <m/>
    <d v="2019-01-14T13:36:42"/>
    <d v="2019-01-18T10:29:11"/>
    <m/>
    <d v="2019-01-14T13:36:42"/>
    <m/>
    <d v="2019-01-14T09:48:17"/>
    <x v="0"/>
    <n v="11.48191597222467"/>
    <n v="1"/>
    <s v="No File"/>
    <s v="1-01-10003-013 (MDYMHAM065)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0003-013 (MDYMHAM065) Application Rev 0.xlsx"/>
    <m/>
  </r>
  <r>
    <n v="3573"/>
    <x v="53"/>
    <x v="0"/>
    <x v="2"/>
    <s v="MDYAMPR003"/>
    <x v="1"/>
    <s v="Amara Colocation"/>
    <s v="New Tenant"/>
    <s v="New Colocation"/>
    <s v=""/>
    <x v="7"/>
    <n v="2"/>
    <m/>
    <n v="5"/>
    <s v="EPA"/>
    <s v="20"/>
    <s v="25"/>
    <x v="1"/>
    <m/>
    <s v="OK"/>
    <s v="10-Jan-19: Okay for TI installation as GBT site and single opco."/>
    <x v="0"/>
    <m/>
    <s v="OK"/>
    <s v="Existing on tower (Assume ) - TML 5.74 EPA - New Colocation "/>
    <s v="OK"/>
    <m/>
    <m/>
    <m/>
    <s v="Total EPA is 5.74+5 =10.74 &lt; 18 EPA Design - OK (Preliminaly Tower Assessment)"/>
    <s v="OK"/>
    <s v="1-2 weeks"/>
    <m/>
    <m/>
    <s v="AC connect"/>
    <s v="OK"/>
    <s v="No"/>
    <s v="sharing on the existing slab "/>
    <m/>
    <m/>
    <m/>
    <m/>
    <m/>
    <m/>
    <m/>
    <d v="2019-01-11T10:48:40"/>
    <d v="2019-01-14T15:26:15"/>
    <d v="2019-01-14T09:22:39"/>
    <d v="2019-01-11T10:48:40"/>
    <d v="2019-01-10T15:31:12"/>
    <d v="2019-01-10T23:10:21"/>
    <x v="11"/>
    <n v="4.6894686343002832"/>
    <n v="0"/>
    <s v="No File"/>
    <s v="ANMD_0166 (MDYAMPR003) Application Rev .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66 (MDYAMPR003) Application Rev .xlsx"/>
    <m/>
  </r>
  <r>
    <n v="3574"/>
    <x v="54"/>
    <x v="0"/>
    <x v="2"/>
    <s v="MDYAMTZ010"/>
    <x v="1"/>
    <s v="Amara Colocation"/>
    <s v="New Tenant"/>
    <s v="New Colocation"/>
    <s v=""/>
    <x v="7"/>
    <n v="2"/>
    <m/>
    <n v="5"/>
    <s v="EPA"/>
    <s v="23"/>
    <s v="28"/>
    <x v="0"/>
    <m/>
    <s v="Not Required"/>
    <m/>
    <x v="0"/>
    <m/>
    <s v="OK"/>
    <s v="RT - Existing on tower (Assume ) - TML 4.10 EPA - New Colocation - To double check with TSSR if remaining 2 free pole are still available . "/>
    <m/>
    <m/>
    <m/>
    <m/>
    <s v="RT Site: Need TSSR and BA for STR validated"/>
    <s v="OK"/>
    <s v="1-2 weeks after approval"/>
    <m/>
    <m/>
    <s v="AC connect"/>
    <s v="OK"/>
    <s v="No"/>
    <s v="to be determine base on actual TSS as this is RT"/>
    <m/>
    <m/>
    <m/>
    <m/>
    <m/>
    <m/>
    <m/>
    <d v="2019-01-11T10:48:40"/>
    <d v="2019-01-18T10:29:10"/>
    <m/>
    <d v="2019-01-11T10:48:40"/>
    <m/>
    <d v="2019-01-10T23:10:21"/>
    <x v="0"/>
    <n v="12.48191597222467"/>
    <n v="1"/>
    <s v="No File"/>
    <s v="ANMD_0004 (MDYAMTZ010) Application Rev .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04 (MDYAMTZ010) Application Rev .xlsx"/>
    <m/>
  </r>
  <r>
    <n v="3581"/>
    <x v="2"/>
    <x v="1"/>
    <x v="2"/>
    <s v="MDY00339"/>
    <x v="0"/>
    <s v="MPT  Phase 1b Colo"/>
    <s v="On Air"/>
    <s v="TS _ v1"/>
    <s v="2"/>
    <x v="7"/>
    <n v="1"/>
    <n v="1.4"/>
    <m/>
    <s v="SQM"/>
    <s v="48"/>
    <s v="53"/>
    <x v="1"/>
    <m/>
    <s v="OK"/>
    <m/>
    <x v="0"/>
    <m/>
    <s v="OK"/>
    <s v="Existing on tower (Actual) - OML with 15.69 sqm , MPT  - 3.09 Sqm , TML with 3.40 Sqm   - MW height change as per actual "/>
    <s v="OK"/>
    <m/>
    <m/>
    <s v="No"/>
    <s v="EXISTING TOWER(OML+TML+KSGM(OLD+NEW)): 104.8 %_x000a_EXISTING TOWER(OML+TML+KSGM(OLD)):    104.8 %"/>
    <s v="OK"/>
    <m/>
    <m/>
    <m/>
    <m/>
    <s v="OK"/>
    <s v="No"/>
    <s v="No action needed "/>
    <m/>
    <m/>
    <m/>
    <m/>
    <m/>
    <m/>
    <m/>
    <d v="2019-01-11T10:48:41"/>
    <d v="2019-01-16T08:57:42"/>
    <d v="2019-01-14T15:45:01"/>
    <d v="2019-01-11T10:48:41"/>
    <d v="2019-01-15T17:34:25"/>
    <d v="2019-01-10T23:20:59"/>
    <x v="10"/>
    <n v="6.4125533565020305"/>
    <n v="1"/>
    <s v="No File"/>
    <s v="1-01-10018-001 (MDY00339)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0018-001 (MDY00339) Application Rev 2.xlsx"/>
    <m/>
  </r>
  <r>
    <n v="3582"/>
    <x v="6"/>
    <x v="1"/>
    <x v="2"/>
    <s v="SHN00040"/>
    <x v="0"/>
    <s v="MPT  Phase 1b Colo"/>
    <s v="On Air"/>
    <s v="TS _ v1"/>
    <s v="1"/>
    <x v="7"/>
    <n v="1.054"/>
    <n v="1.522"/>
    <m/>
    <s v="SQM"/>
    <s v="48"/>
    <s v="53"/>
    <x v="1"/>
    <m/>
    <s v="OK"/>
    <m/>
    <x v="0"/>
    <m/>
    <s v="OK"/>
    <s v="Existing on tower (Actual) - OML with 10.64 sqm , MPT  - 2.71 Sqm , TML with 3.51 Sqm   - Add MW "/>
    <s v="OK"/>
    <m/>
    <m/>
    <s v="No"/>
    <s v="EXISTING TOWER(OML+TML+KSGM(OLD+NEW)): 100.9 %_x000a_EXISTING TOWER(OML+TML+KSGM(OLD)):97.7%"/>
    <s v="OK"/>
    <m/>
    <m/>
    <m/>
    <m/>
    <s v="OK"/>
    <s v="No"/>
    <s v="No action needed "/>
    <m/>
    <m/>
    <m/>
    <m/>
    <m/>
    <m/>
    <m/>
    <d v="2019-01-11T10:48:41"/>
    <d v="2019-01-16T08:57:42"/>
    <d v="2019-01-14T15:45:02"/>
    <d v="2019-01-11T11:20:41"/>
    <d v="2019-01-15T17:34:25"/>
    <d v="2019-01-10T23:20:59"/>
    <x v="10"/>
    <n v="6.4125542823967407"/>
    <n v="1"/>
    <s v="No File"/>
    <s v="1-01-15013-009 (SHN00040)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9 (SHN00040) Application Rev 1.xlsx"/>
    <m/>
  </r>
  <r>
    <n v="3583"/>
    <x v="55"/>
    <x v="1"/>
    <x v="2"/>
    <s v="SHN00327"/>
    <x v="0"/>
    <s v="MPT  Phase 1b Colo"/>
    <s v="On Air"/>
    <s v="Exchange"/>
    <s v="3"/>
    <x v="7"/>
    <n v="1.399"/>
    <n v="2.1989999999999998"/>
    <m/>
    <s v="SQM"/>
    <s v="46"/>
    <s v="51"/>
    <x v="1"/>
    <m/>
    <s v="OK"/>
    <m/>
    <x v="0"/>
    <m/>
    <s v="OK"/>
    <s v="Existing on tower (Actual) - OML with 11.76 sqm , MPT  - 3.56 Sqm    - Add 1 RRU "/>
    <s v="OK"/>
    <m/>
    <m/>
    <s v="No"/>
    <s v="Strengthened Tower(OP1+OP3(OLD+NEW)): 95.1 %_x000a_Strengthened Tower(OP1+OP3(OLD)): 95.1 %"/>
    <s v="OK"/>
    <m/>
    <m/>
    <m/>
    <m/>
    <s v="OK"/>
    <s v="No"/>
    <s v="No action needed "/>
    <m/>
    <m/>
    <m/>
    <m/>
    <m/>
    <m/>
    <m/>
    <d v="2019-01-11T10:48:41"/>
    <d v="2019-01-16T08:57:43"/>
    <d v="2019-01-14T16:56:24"/>
    <d v="2019-01-11T11:20:41"/>
    <d v="2019-01-15T17:34:25"/>
    <d v="2019-01-10T23:21:00"/>
    <x v="10"/>
    <n v="6.4125553241028683"/>
    <n v="0"/>
    <s v="No File"/>
    <s v="1-01-15013-004 (SHN00327)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4 (SHN00327) Application Rev 3.xlsx"/>
    <m/>
  </r>
  <r>
    <n v="3572"/>
    <x v="56"/>
    <x v="0"/>
    <x v="1"/>
    <s v="MGW00303"/>
    <x v="0"/>
    <s v="MPT  Phase 1a Colo"/>
    <s v="On Air"/>
    <s v="LTE"/>
    <s v="2"/>
    <x v="8"/>
    <n v="1.9890000000000001"/>
    <n v="3.5489999999999999"/>
    <n v="6"/>
    <s v="EPA"/>
    <s v="30"/>
    <s v="35"/>
    <x v="1"/>
    <m/>
    <s v="OK"/>
    <s v="10-Jan-19: Okay for upgrdation as MPT is already on-air from 23-Dec-15"/>
    <x v="0"/>
    <m/>
    <s v="OK"/>
    <s v="Existing on tower (Assume ) - TML 5.68 EPA / OML - 10.61 EPA / MPT - 3.75 EPA  - Increase RF Dimension and add RRU "/>
    <s v="OK"/>
    <m/>
    <m/>
    <s v="No"/>
    <s v="Existing Tower: OML+TML+KSGM (OLD+NEW) = 56.8%"/>
    <s v="OK"/>
    <m/>
    <m/>
    <m/>
    <m/>
    <s v="OK"/>
    <s v="No"/>
    <s v="No action needed "/>
    <m/>
    <m/>
    <m/>
    <m/>
    <m/>
    <m/>
    <m/>
    <d v="2019-01-11T10:48:40"/>
    <d v="2019-01-15T13:37:35"/>
    <d v="2019-01-14T16:56:23"/>
    <d v="2019-01-11T10:48:40"/>
    <d v="2019-01-10T15:31:11"/>
    <d v="2019-01-10T23:10:20"/>
    <x v="10"/>
    <n v="7.4125526619973243"/>
    <n v="0"/>
    <s v="No File"/>
    <s v="ANMG_0034 (MGW0030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G_0034 (MGW00303) Application Rev 2.xlsx"/>
    <m/>
  </r>
  <r>
    <n v="3559"/>
    <x v="57"/>
    <x v="1"/>
    <x v="1"/>
    <s v="RA0021"/>
    <x v="4"/>
    <s v="TML Phase 1 Colo"/>
    <s v="On Air"/>
    <s v="Move Equipment"/>
    <s v="2"/>
    <x v="9"/>
    <m/>
    <m/>
    <n v="4.46"/>
    <s v="SQM"/>
    <s v="46"/>
    <s v="51"/>
    <x v="1"/>
    <m/>
    <s v="Not Required"/>
    <m/>
    <x v="1"/>
    <m/>
    <s v="OK"/>
    <s v="Existing on tower actual - OML - 8.69 Sqm / TML on tower 2.32 Or TML previous Colo Apps 4.41 Sqm - Add 1 ODU "/>
    <s v="OK"/>
    <m/>
    <m/>
    <s v="No"/>
    <s v="EXISTING TOWER(OML+TML(OLD+NEW)):  103.8 %_x000a_EXISTING TOWER(OML+TML(OLD)): 98.8 %"/>
    <s v="Not Required"/>
    <m/>
    <m/>
    <m/>
    <m/>
    <s v="OK"/>
    <s v="No"/>
    <s v="No action needed "/>
    <m/>
    <m/>
    <m/>
    <m/>
    <m/>
    <m/>
    <m/>
    <d v="2019-01-08T11:27:58"/>
    <m/>
    <d v="2019-01-11T15:54:01"/>
    <d v="2019-01-08T11:27:58"/>
    <m/>
    <m/>
    <x v="12"/>
    <n v="3.6929034721979406"/>
    <n v="0"/>
    <s v="No File"/>
    <s v="1-01-12016-011 (RA0021) Application Rev 2.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12016-011 (RA0021) Application Rev 2.xlsx"/>
    <m/>
  </r>
  <r>
    <n v="3560"/>
    <x v="58"/>
    <x v="0"/>
    <x v="2"/>
    <s v="KCN00341"/>
    <x v="0"/>
    <s v="MPT  Phase 1a Colo"/>
    <s v="On Air"/>
    <s v="Exchange"/>
    <s v="2"/>
    <x v="9"/>
    <n v="1.399"/>
    <n v="2.2610000000000001"/>
    <n v="5.76"/>
    <s v="EPA"/>
    <s v="37"/>
    <s v="42"/>
    <x v="1"/>
    <m/>
    <s v="OK"/>
    <s v="10-Jan-19: Okay for upgrdation as MPT is already on-air from 23-Mar-16"/>
    <x v="0"/>
    <m/>
    <s v="OK"/>
    <s v="Existing on tower (Assume ) - TML 6.73 EPA / MPT - 4.82 EPA /Mytel 8.09 EPA - Decrease RF Dimension and add RRU "/>
    <s v="OK"/>
    <m/>
    <m/>
    <s v="No"/>
    <s v="Existing Tower: TML+MYTEL+KSGM (OLD+NEW) = 62.3%"/>
    <s v="OK"/>
    <m/>
    <m/>
    <m/>
    <m/>
    <s v="OK"/>
    <s v="No"/>
    <s v="No action needed "/>
    <m/>
    <m/>
    <m/>
    <m/>
    <m/>
    <m/>
    <m/>
    <d v="2019-01-09T12:01:10"/>
    <d v="2019-01-14T17:39:04"/>
    <d v="2019-01-10T11:38:18"/>
    <d v="2019-01-09T12:01:10"/>
    <d v="2019-01-10T15:31:08"/>
    <d v="2019-01-08T17:25:13"/>
    <x v="13"/>
    <n v="7.4378131944031338"/>
    <n v="0"/>
    <s v="No File"/>
    <s v="ANKC_0024 (KCN00341)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KC_0024 (KCN00341) Application Rev 2.xlsx"/>
    <m/>
  </r>
  <r>
    <n v="3561"/>
    <x v="59"/>
    <x v="1"/>
    <x v="2"/>
    <s v="MDY01364"/>
    <x v="0"/>
    <s v="MPT Phase 2 Colo"/>
    <s v="RFI"/>
    <s v="TS"/>
    <s v="1"/>
    <x v="9"/>
    <n v="1.175"/>
    <n v="2.1389999999999998"/>
    <n v="3.4"/>
    <s v="SQM"/>
    <s v="26"/>
    <s v="31"/>
    <x v="1"/>
    <m/>
    <s v="OK"/>
    <s v="Rental increase of 50k/month was granted which took effect last 29-Nov-18 (250k-300k)"/>
    <x v="0"/>
    <m/>
    <s v="OK"/>
    <s v="Existing on tower actual - OML - 7.76 Sqm / MPT - 3.08 Sqm /TML 3.52 sqm /- Add 2 RRU "/>
    <s v="OK"/>
    <m/>
    <m/>
    <s v="No"/>
    <s v="Existing Tower: OML+TML+KSGM (OLD+NEW) = 97.0%_x000a_Existing Tower: OML+TML+KSGM (OLD) = 97.0%"/>
    <s v="OK"/>
    <s v="31-Jan-19"/>
    <m/>
    <m/>
    <s v="New PE system I&amp;C in planning part of 41 site list"/>
    <s v="OK"/>
    <s v="No"/>
    <s v="No action needed "/>
    <m/>
    <m/>
    <m/>
    <m/>
    <m/>
    <m/>
    <m/>
    <d v="2019-01-09T12:01:10"/>
    <d v="2019-01-14T17:39:04"/>
    <d v="2019-01-10T17:26:50"/>
    <d v="2019-01-09T12:01:10"/>
    <d v="2019-01-15T17:34:24"/>
    <d v="2019-01-10T23:22:28"/>
    <x v="14"/>
    <n v="8.4125503472023411"/>
    <n v="0"/>
    <s v="No File"/>
    <s v="1-01-10013-005 (MDY01364)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0013-005 (MDY01364) Application Rev 1.xlsx"/>
    <m/>
  </r>
  <r>
    <n v="3562"/>
    <x v="60"/>
    <x v="0"/>
    <x v="2"/>
    <s v="SGG00230"/>
    <x v="0"/>
    <s v="MPT  Phase 1a Colo"/>
    <s v="On Air"/>
    <s v="Exchange"/>
    <s v="2"/>
    <x v="9"/>
    <n v="1.329"/>
    <n v="2.1989999999999998"/>
    <n v="5.53"/>
    <s v="EPA"/>
    <s v="35"/>
    <s v="40"/>
    <x v="1"/>
    <m/>
    <s v="OK"/>
    <s v="10-Jan-19: Okay for upgrdation as MPT is already on-air from 27-May-16"/>
    <x v="0"/>
    <m/>
    <s v="OK"/>
    <s v="Existing on tower (Assume ) - TML 5.28 EPA / MPT - 4.82 EPA  - Remove MW and add RRU "/>
    <s v="OK"/>
    <m/>
    <m/>
    <s v="No"/>
    <s v="Existing Tower: TML+KSGM (OLD+NEW) = 47.1%"/>
    <s v="OK"/>
    <m/>
    <m/>
    <m/>
    <m/>
    <s v="OK"/>
    <s v="Yes"/>
    <s v="No action needed "/>
    <m/>
    <m/>
    <m/>
    <m/>
    <m/>
    <m/>
    <m/>
    <d v="2019-01-09T12:01:10"/>
    <d v="2019-01-14T17:39:04"/>
    <d v="2019-01-10T14:23:31"/>
    <d v="2019-01-09T12:01:10"/>
    <d v="2019-01-10T15:31:09"/>
    <d v="2019-01-08T17:25:13"/>
    <x v="13"/>
    <n v="7.4378148148025502"/>
    <n v="0"/>
    <s v="No File"/>
    <s v="ANSG_0466 (SGG0023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66 (SGG00230) Application Rev 2.xlsx"/>
    <m/>
  </r>
  <r>
    <n v="3563"/>
    <x v="61"/>
    <x v="0"/>
    <x v="0"/>
    <s v="YGNDMNH014"/>
    <x v="1"/>
    <s v="Amara Phase 1"/>
    <s v="On Air"/>
    <s v="Remove Equipment"/>
    <s v="1"/>
    <x v="9"/>
    <n v="3.8"/>
    <m/>
    <n v="3"/>
    <s v="EPA"/>
    <s v="4.5"/>
    <m/>
    <x v="1"/>
    <m/>
    <s v="OK"/>
    <s v="10-Jan-19: Okay for upgrdation as Amara is already on-air from 29-Mar-18"/>
    <x v="0"/>
    <m/>
    <s v="OK"/>
    <s v="Require Colo Apps to update in prevalidation -  Existing on tower (Assume ) - TML 3.56 EPA / Amara previous Colo Apps 3.35 EPA  - Remove 1 MW (0.3 ) and Odu"/>
    <s v="OK"/>
    <m/>
    <m/>
    <m/>
    <s v="STR OK for MW0.6m removal"/>
    <s v="OK"/>
    <s v="1-2 weeks"/>
    <m/>
    <m/>
    <s v="AC connect"/>
    <s v="OK"/>
    <s v="No"/>
    <s v="No action needed "/>
    <m/>
    <m/>
    <m/>
    <m/>
    <m/>
    <s v="OK"/>
    <s v="removing equiptments so not require power comment"/>
    <d v="2019-01-09T12:01:11"/>
    <d v="2019-01-14T17:39:04"/>
    <d v="2019-01-10T14:07:08"/>
    <d v="2019-01-09T12:01:11"/>
    <d v="2019-01-10T15:31:09"/>
    <d v="2019-01-08T17:25:13"/>
    <x v="15"/>
    <n v="3.4006628471979639"/>
    <n v="0"/>
    <s v="No File"/>
    <s v="AYYN_0530 (YGNDMNH014)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530 (YGNDMNH014) Application Rev 1.xlsx"/>
    <m/>
  </r>
  <r>
    <n v="3564"/>
    <x v="62"/>
    <x v="0"/>
    <x v="0"/>
    <s v="YGNDMSH008"/>
    <x v="1"/>
    <s v="Amara Phase 1"/>
    <s v="On Air"/>
    <s v="Remove Equipment"/>
    <s v="1"/>
    <x v="9"/>
    <n v="2.5"/>
    <m/>
    <n v="3"/>
    <s v="EPA"/>
    <s v="15"/>
    <s v="20"/>
    <x v="1"/>
    <m/>
    <s v="OK"/>
    <s v="10-Jan-19: Okay for upgrdation as Amara is already on-air from 09-Feb-18"/>
    <x v="0"/>
    <m/>
    <s v="OK"/>
    <s v="Require Colo Apps to update in prevalidation -  Existing on tower (Assume ) - TML 4.11 EPA / OML - 12.15 EPA / MPT - 3.24 EPA / Mytel Colo Apps - 5.68 EPA /Amara previous Colo Apps 3.48 EPA  - Remove 2 MW (0.3 ) and Odu"/>
    <s v="OK"/>
    <m/>
    <m/>
    <m/>
    <s v="STR OK for MW0.6m removal"/>
    <s v="OK"/>
    <s v="1-2 weeks"/>
    <m/>
    <m/>
    <s v="AC connect"/>
    <s v="OK"/>
    <s v="No"/>
    <s v="No action needed "/>
    <m/>
    <m/>
    <m/>
    <m/>
    <m/>
    <s v="OK"/>
    <s v="removing equiptments so not require power comment"/>
    <d v="2019-01-09T12:01:11"/>
    <d v="2019-01-14T17:39:04"/>
    <d v="2019-01-10T14:07:08"/>
    <d v="2019-01-09T12:01:11"/>
    <d v="2019-01-10T15:31:10"/>
    <d v="2019-01-08T17:25:14"/>
    <x v="15"/>
    <n v="3.4006649306029431"/>
    <n v="0"/>
    <s v="No File"/>
    <s v="AYYN_0620 (YGNDMSH008)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620 (YGNDMSH008) Application Rev 1.xlsx"/>
    <m/>
  </r>
  <r>
    <n v="3565"/>
    <x v="63"/>
    <x v="1"/>
    <x v="2"/>
    <s v="SHN00051"/>
    <x v="0"/>
    <s v="MPT  Phase 1b Colo"/>
    <s v="On Air"/>
    <s v="LTE"/>
    <s v="4"/>
    <x v="9"/>
    <n v="1.9890000000000001"/>
    <n v="3.6110000000000002"/>
    <n v="5.21"/>
    <s v="SQM"/>
    <s v="46"/>
    <s v="51"/>
    <x v="1"/>
    <m/>
    <s v="OK"/>
    <m/>
    <x v="0"/>
    <m/>
    <s v="OK"/>
    <s v="Existing on tower actual - OML - 6.46 Sqm / MPT - 3.52 Sqm /TML 3.56 sqm / Decrease Dimension and add RRU "/>
    <s v="OK"/>
    <m/>
    <m/>
    <s v="No"/>
    <s v="EXISTING TOWER(OML+TML+KSGM(OLD+NEW)): 97.96 %_x000a_EXISTING TOWER(OML+TML+KSGM(OLD)):93.4 %"/>
    <s v="OK"/>
    <s v="31-Jan-19"/>
    <m/>
    <m/>
    <s v="New PE system I&amp;C in planning  part of 41 site list"/>
    <s v="OK"/>
    <s v="No"/>
    <s v="No action needed "/>
    <m/>
    <m/>
    <m/>
    <m/>
    <m/>
    <m/>
    <m/>
    <d v="2019-01-09T12:01:11"/>
    <d v="2019-01-14T17:39:04"/>
    <d v="2019-01-14T12:05:59"/>
    <d v="2019-01-09T12:01:11"/>
    <d v="2019-01-15T17:34:24"/>
    <d v="2019-01-10T23:22:29"/>
    <x v="14"/>
    <n v="8.4125510416997713"/>
    <n v="0"/>
    <s v="No File"/>
    <s v="1-01-15009-006 (SHN00051)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09-006 (SHN00051) Application Rev 4.xlsx"/>
    <m/>
  </r>
  <r>
    <n v="3566"/>
    <x v="64"/>
    <x v="1"/>
    <x v="2"/>
    <s v="SHN00062"/>
    <x v="0"/>
    <s v="MPT  Phase 1b Colo"/>
    <s v="On Air"/>
    <s v="LTE"/>
    <s v="1"/>
    <x v="9"/>
    <n v="1.9890000000000001"/>
    <n v="3.6110000000000002"/>
    <n v="4.7300000000000004"/>
    <s v="SQM"/>
    <s v="48"/>
    <s v="53"/>
    <x v="1"/>
    <m/>
    <s v="OK"/>
    <m/>
    <x v="0"/>
    <m/>
    <s v="OK"/>
    <s v="Existing on tower actual - OML - 8.09 Sqm / MPT - 3.07 Sqm /TML 4.50 sqm / Decrease Dimension and add RRU "/>
    <s v="OK"/>
    <m/>
    <m/>
    <s v="No"/>
    <s v="EXISTING TOWER(OML+TML+KSGM(OLD+NEW)): 99.7 %_x000a_EXISTING TOWER(OML+TML+KSGM(OLD)): 95.8  %"/>
    <s v="OK"/>
    <s v="15-Feb-19"/>
    <m/>
    <m/>
    <s v="PE capacity upgrade required confrim available stock"/>
    <s v="OK"/>
    <s v="No"/>
    <s v="No action needed "/>
    <m/>
    <m/>
    <m/>
    <m/>
    <m/>
    <m/>
    <m/>
    <d v="2019-01-09T12:01:11"/>
    <d v="2019-01-16T12:01:38"/>
    <d v="2019-01-14T12:05:59"/>
    <d v="2019-01-09T12:01:11"/>
    <d v="2019-01-15T17:34:24"/>
    <d v="2019-01-10T23:20:57"/>
    <x v="16"/>
    <n v="8.6304743056025472"/>
    <n v="0"/>
    <s v="No File"/>
    <s v="1-01-15002-002 (SHN00062)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02-002 (SHN00062) Application Rev 1.xlsx"/>
    <m/>
  </r>
  <r>
    <n v="3567"/>
    <x v="65"/>
    <x v="1"/>
    <x v="2"/>
    <s v="SHN00081"/>
    <x v="0"/>
    <s v="MPT  Phase 1b Colo"/>
    <s v="On Air"/>
    <s v="LTE"/>
    <s v="2"/>
    <x v="9"/>
    <n v="2.0590000000000002"/>
    <n v="3.6110000000000002"/>
    <n v="5.47"/>
    <s v="SQM"/>
    <s v="45-48"/>
    <s v="52-54"/>
    <x v="0"/>
    <m/>
    <s v="OK"/>
    <m/>
    <x v="0"/>
    <m/>
    <s v="OK"/>
    <s v="Existing on tower actual - OML - 7.90 Sqm / MPT - 2.69 Sqm /Mytel actual - 2.97 sqm - Mytel  colo apps 4.07 sqm / Decrease Dimension and add RRU "/>
    <s v="Rejected"/>
    <m/>
    <m/>
    <s v="No"/>
    <s v="Strengthened Tower: OML+MYTEL+KSGM (OLD+NEW) = 120.6% (Estimate modification weight = 140 kg)_x000a_Strengthened Tower: OML+MYTEL+KSGM (OLD) = 120.6%_x000a_Additional 2x0.9MWs (UE) and KSGM will change bigger antennas and add feedlines"/>
    <s v="OK"/>
    <s v="15-Feb-19"/>
    <m/>
    <m/>
    <s v="DG cap expan"/>
    <s v="OK"/>
    <s v="No"/>
    <s v="No action needed "/>
    <m/>
    <m/>
    <m/>
    <m/>
    <m/>
    <m/>
    <m/>
    <d v="2019-01-09T12:01:11"/>
    <d v="2019-01-16T12:01:38"/>
    <m/>
    <d v="2019-01-09T12:01:11"/>
    <d v="2019-01-15T17:34:25"/>
    <d v="2019-01-10T23:20:57"/>
    <x v="0"/>
    <n v="14.48191597222467"/>
    <n v="1"/>
    <s v="No File"/>
    <s v="1-01-14007-013 (SHN00081)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13 (SHN00081) Application Rev 2.xlsx"/>
    <m/>
  </r>
  <r>
    <n v="3568"/>
    <x v="66"/>
    <x v="0"/>
    <x v="0"/>
    <s v="YGNINSN005"/>
    <x v="1"/>
    <s v="Amara Phase 1"/>
    <s v="On Air"/>
    <s v="Remove Equipment"/>
    <s v="1"/>
    <x v="9"/>
    <n v="3.8"/>
    <m/>
    <n v="3"/>
    <s v="EPA"/>
    <s v="4.5"/>
    <m/>
    <x v="1"/>
    <m/>
    <s v="OK"/>
    <s v="10-Jan-19: Okay for upgrdation as Amara is already on-air from 08-Mar-18"/>
    <x v="0"/>
    <m/>
    <s v="OK"/>
    <s v="Require Colo Apps to update in prevalidation -  Existing on tower (Assume ) - TML -5.40 EPA/ Amara Previous Colo Apps 3.35 EPA  - Remove 2 MW (0.3 ) and Odu"/>
    <s v="OK"/>
    <m/>
    <m/>
    <m/>
    <s v="STR OK for MW0.6m removal"/>
    <s v="OK"/>
    <s v="1-2 weeks"/>
    <m/>
    <m/>
    <s v="AC connect"/>
    <s v="OK"/>
    <s v="No"/>
    <s v="No action needed "/>
    <m/>
    <m/>
    <m/>
    <m/>
    <m/>
    <s v="OK"/>
    <s v="removing equiptments so not require power comment"/>
    <d v="2019-01-09T12:01:11"/>
    <d v="2019-01-14T17:39:05"/>
    <d v="2019-01-10T14:07:09"/>
    <d v="2019-01-09T12:01:11"/>
    <d v="2019-01-10T15:31:10"/>
    <d v="2019-01-08T17:25:14"/>
    <x v="17"/>
    <n v="3.4006670138987829"/>
    <n v="0"/>
    <s v="No File"/>
    <s v="AYYN_0284 (YGNINSN005)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284 (YGNINSN005) Application Rev 1.xlsx"/>
    <m/>
  </r>
  <r>
    <n v="3569"/>
    <x v="67"/>
    <x v="0"/>
    <x v="0"/>
    <s v="YGNSPTR001"/>
    <x v="1"/>
    <s v="Amara Phase 1"/>
    <s v="On Air"/>
    <s v="Remove Equipment"/>
    <s v="1"/>
    <x v="9"/>
    <n v="2.5"/>
    <m/>
    <n v="3"/>
    <s v="EPA"/>
    <s v="23"/>
    <s v="28"/>
    <x v="1"/>
    <m/>
    <s v="OK"/>
    <s v="10-Jan-19: Okay for upgrdation as Amara is already on-air from 13-Mar-18"/>
    <x v="0"/>
    <m/>
    <s v="OK"/>
    <s v="Require Colo Apps to update in prevalidation -  Existing on tower (Assume ) - TML -2.57 EPA/ Amara Previous Colo Apps 3.40 EPA  - Remove 1 MW (0.6 ) and Odu"/>
    <s v="OK"/>
    <m/>
    <m/>
    <m/>
    <s v="STR OK for MW0.6m removal"/>
    <s v="OK"/>
    <s v="1-2 weeks"/>
    <m/>
    <m/>
    <s v="AC connect"/>
    <s v="OK"/>
    <s v="No"/>
    <s v="No action needed "/>
    <m/>
    <m/>
    <m/>
    <m/>
    <m/>
    <s v="OK"/>
    <s v="removing equiptments so not require power comment"/>
    <d v="2019-01-09T12:01:11"/>
    <d v="2019-01-14T17:39:05"/>
    <d v="2019-01-10T14:07:09"/>
    <d v="2019-01-09T12:01:11"/>
    <d v="2019-01-10T15:31:10"/>
    <d v="2019-01-08T17:25:14"/>
    <x v="17"/>
    <n v="3.4006688657027553"/>
    <n v="0"/>
    <s v="No File"/>
    <s v="AYYN_0575 (YGNSPTR001)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575 (YGNSPTR001) Application Rev 1.xlsx"/>
    <m/>
  </r>
  <r>
    <n v="3570"/>
    <x v="68"/>
    <x v="0"/>
    <x v="0"/>
    <s v="YGNTKTA002"/>
    <x v="1"/>
    <s v="Amara Phase 1"/>
    <s v="On Air"/>
    <s v="Remove Equipment"/>
    <s v="1"/>
    <x v="9"/>
    <n v="2.5"/>
    <m/>
    <n v="3"/>
    <s v="EPA"/>
    <s v="4.5"/>
    <m/>
    <x v="1"/>
    <m/>
    <s v="OK"/>
    <s v="10-Jan-19: Okay for upgrdation as Amara is already on-air from 06-Mar-18"/>
    <x v="0"/>
    <m/>
    <s v="OK"/>
    <s v="Require Colo Apps to update in prevalidation -  Existing on tower (Assume ) - TML -2.57 EPA/ Amara Previous Colo Apps 3.09 EPA  - Remove 1 MW (0.3 ) and Odu"/>
    <s v="OK"/>
    <m/>
    <m/>
    <m/>
    <s v="STR OK for MW0.6m removal"/>
    <s v="OK"/>
    <s v="1-2 weeks"/>
    <m/>
    <m/>
    <s v="AC connect"/>
    <s v="OK"/>
    <s v="No"/>
    <s v="No action needed "/>
    <m/>
    <m/>
    <m/>
    <m/>
    <m/>
    <s v="OK"/>
    <s v="removing equiptments so not require power comment"/>
    <d v="2019-01-09T12:01:12"/>
    <d v="2019-01-14T17:39:05"/>
    <d v="2019-01-10T14:07:09"/>
    <d v="2019-01-09T12:01:12"/>
    <d v="2019-01-10T15:31:11"/>
    <d v="2019-01-08T17:25:14"/>
    <x v="17"/>
    <n v="3.4006710648027365"/>
    <n v="0"/>
    <s v="No File"/>
    <s v="AYYN_0403 (YGNTKTA002)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403 (YGNTKTA002) Application Rev 1.xlsx"/>
    <m/>
  </r>
  <r>
    <n v="3571"/>
    <x v="69"/>
    <x v="0"/>
    <x v="0"/>
    <s v="YGNSPTR022"/>
    <x v="1"/>
    <s v="Amara Phase 1"/>
    <s v="On Air"/>
    <s v="Remove Equipment"/>
    <s v="1"/>
    <x v="9"/>
    <n v="1.1000000000000001"/>
    <m/>
    <n v="3"/>
    <s v="EPA"/>
    <s v="20"/>
    <s v="25"/>
    <x v="1"/>
    <m/>
    <s v="OK"/>
    <s v="10-Jan-19: Okay for upgrdation as Amara is already on-air from 22-Jun-18"/>
    <x v="0"/>
    <m/>
    <s v="OK"/>
    <s v="Require Colo Apps to update in prevalidation -  Existing on tower (Assume ) - TML -5.79 EPA/ MPT - 4.85 EPA / Mytel 5.68 EPA / Amara Previous Colo Apps 3.36 EPA  - Remove 1 MW (0.6 ) and Odu"/>
    <s v="OK"/>
    <m/>
    <m/>
    <m/>
    <s v="STR OK for MW0.6m removal"/>
    <s v="OK"/>
    <s v="1-2 weeks"/>
    <m/>
    <m/>
    <s v="AC connect"/>
    <s v="OK"/>
    <s v="No"/>
    <s v="No action needed "/>
    <m/>
    <m/>
    <m/>
    <m/>
    <m/>
    <s v="OK"/>
    <s v="removing equiptments so not require power comment"/>
    <d v="2019-01-09T12:01:12"/>
    <d v="2019-01-14T17:39:05"/>
    <d v="2019-01-10T14:07:09"/>
    <d v="2019-01-09T12:01:12"/>
    <d v="2019-01-10T15:31:11"/>
    <d v="2019-01-08T17:25:15"/>
    <x v="17"/>
    <n v="3.4006729167012963"/>
    <n v="0"/>
    <s v="No File"/>
    <s v="AYYN_0570 (YGNSPTR022)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570 (YGNSPTR022) Application Rev 1.xlsx"/>
    <m/>
  </r>
  <r>
    <n v="3551"/>
    <x v="70"/>
    <x v="0"/>
    <x v="0"/>
    <s v="MOW6137"/>
    <x v="2"/>
    <s v="Colo"/>
    <s v="Active"/>
    <s v="New Colocation"/>
    <s v=""/>
    <x v="10"/>
    <n v="3"/>
    <n v="4"/>
    <n v="6"/>
    <s v="SQM"/>
    <s v="37"/>
    <s v="42"/>
    <x v="0"/>
    <m/>
    <s v="OK"/>
    <m/>
    <x v="0"/>
    <m/>
    <s v="OK"/>
    <s v="Existing on tower (Assume ) - TML 6.01 EPA /  Awaiting Colo Apps Submission "/>
    <s v="OK"/>
    <m/>
    <m/>
    <s v="No"/>
    <s v="Total EPA is 6.01+6 =12.01 &lt; 25 EPA Design - OK (Preliminaly Tower Assessment), OML 6.0EPA Required"/>
    <s v="OK"/>
    <m/>
    <m/>
    <m/>
    <m/>
    <s v="OK"/>
    <s v="No"/>
    <s v="sharing on the existing slab "/>
    <m/>
    <m/>
    <m/>
    <m/>
    <m/>
    <m/>
    <m/>
    <d v="2019-01-07T15:49:12"/>
    <d v="2019-01-14T17:39:03"/>
    <d v="2019-01-09T11:26:10"/>
    <d v="2019-01-07T15:49:12"/>
    <d v="2019-01-07T16:14:27"/>
    <d v="2019-01-07T10:32:02"/>
    <x v="0"/>
    <n v="15.48191597222467"/>
    <n v="1"/>
    <s v="No File"/>
    <s v="ASMO_0207 (MOW6137) Application Rev .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07 (MOW6137) Application Rev .xlsx"/>
    <m/>
  </r>
  <r>
    <n v="3552"/>
    <x v="71"/>
    <x v="0"/>
    <x v="0"/>
    <s v="MOW6153"/>
    <x v="2"/>
    <s v="Colo"/>
    <s v="Active"/>
    <s v="New Colocation"/>
    <s v=""/>
    <x v="10"/>
    <n v="3"/>
    <n v="4"/>
    <n v="6"/>
    <s v="SQM"/>
    <s v="47"/>
    <s v="50"/>
    <x v="0"/>
    <m/>
    <s v="OK"/>
    <s v="7-Jan-2019: take note that there is a NS running issue with the DG at this time."/>
    <x v="0"/>
    <m/>
    <s v="OK"/>
    <s v=" Existing on tower (Assume ) - TML 3.93 EPA / MPT 3.51 EPA,  Awaiting Colo Apps Submission "/>
    <s v="OK"/>
    <m/>
    <m/>
    <s v="No"/>
    <s v="Total EPA is 7.44+6 =13.44 &lt; 25 EPA Design - OK (Preliminaly Tower Assessment), OML 6.0EPA Required"/>
    <s v="OK"/>
    <m/>
    <m/>
    <m/>
    <s v="monitor BB 12 Hrs NS "/>
    <s v="OK"/>
    <s v="No"/>
    <s v="sharing on the existing slab "/>
    <m/>
    <m/>
    <m/>
    <m/>
    <m/>
    <m/>
    <m/>
    <d v="2019-01-07T15:49:12"/>
    <d v="2019-01-14T17:39:03"/>
    <d v="2019-01-09T11:26:10"/>
    <d v="2019-01-07T15:49:12"/>
    <d v="2019-01-07T16:14:27"/>
    <d v="2019-01-07T10:32:02"/>
    <x v="0"/>
    <n v="15.48191597222467"/>
    <n v="1"/>
    <s v="No File"/>
    <s v="ASMO_0199 (MOW6153) Application Rev .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99 (MOW6153) Application Rev .xlsx"/>
    <m/>
  </r>
  <r>
    <n v="3553"/>
    <x v="26"/>
    <x v="0"/>
    <x v="0"/>
    <s v="YGN1424"/>
    <x v="3"/>
    <s v="Colocation"/>
    <s v="Active"/>
    <s v="New Colocation"/>
    <s v="1"/>
    <x v="10"/>
    <n v="2"/>
    <n v="2"/>
    <n v="3.5"/>
    <s v="EPA"/>
    <s v="17"/>
    <s v="21"/>
    <x v="0"/>
    <m/>
    <s v="OK"/>
    <s v="7-jan-2019: although there is no SAQ it is unlikely that there is enough space on site to accommodate another operator"/>
    <x v="0"/>
    <m/>
    <s v="OK"/>
    <s v="Existing on tower (Assume ) - TML 3.56 EPA /  New Colo Apps Submission "/>
    <m/>
    <m/>
    <m/>
    <m/>
    <s v="RT Site: Need TSSR and BA for STR validated"/>
    <s v="OK"/>
    <m/>
    <m/>
    <m/>
    <m/>
    <s v="OK"/>
    <s v="No"/>
    <s v="to be determine base on actual TSS"/>
    <m/>
    <m/>
    <m/>
    <m/>
    <m/>
    <s v="OK"/>
    <m/>
    <d v="2019-01-07T15:49:12"/>
    <d v="2019-01-14T17:39:04"/>
    <m/>
    <d v="2019-01-07T15:49:12"/>
    <d v="2019-01-07T16:14:27"/>
    <d v="2019-01-07T10:57:08"/>
    <x v="0"/>
    <n v="15.48191597222467"/>
    <n v="2"/>
    <s v="No File"/>
    <s v="AYYN_0373 (YGN1424)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373 (YGN1424) Application Rev 1.xlsx"/>
    <m/>
  </r>
  <r>
    <n v="3554"/>
    <x v="72"/>
    <x v="1"/>
    <x v="1"/>
    <s v="SHS00383"/>
    <x v="0"/>
    <s v="MPT  Phase 1b Colo"/>
    <s v="On Air"/>
    <s v="LTE"/>
    <s v="3"/>
    <x v="10"/>
    <n v="3.44"/>
    <n v="4.3"/>
    <n v="5.12"/>
    <s v="SQM"/>
    <s v="47.5"/>
    <s v="52.5"/>
    <x v="1"/>
    <m/>
    <s v="OK"/>
    <m/>
    <x v="0"/>
    <m/>
    <s v="OK"/>
    <s v="Existing on tower actual - OML - 9.23 Sqm / MPT -3.93 Sqm  / TML - 2.74 sqm / MYTEL - 5.00 Sqm - Increase RF Dimension , Add RRU "/>
    <s v="OK"/>
    <m/>
    <m/>
    <s v="No"/>
    <s v="Strengthened Tower(OML+TML+KSGM(OLD+NEW)): 92.4 %_x000a_Strengthened Tower(OML+TML+KSGM(OLD)): 84.7 %"/>
    <s v="OK"/>
    <s v="15-Feb-19"/>
    <m/>
    <m/>
    <s v="PE systems upgrade required"/>
    <s v="OK"/>
    <s v="No"/>
    <s v="No action needed "/>
    <m/>
    <m/>
    <m/>
    <m/>
    <m/>
    <m/>
    <m/>
    <d v="2019-01-07T15:49:12"/>
    <d v="2019-01-16T12:01:38"/>
    <d v="2019-01-10T11:11:49"/>
    <d v="2019-01-14T16:39:47"/>
    <d v="2019-01-07T15:45:50"/>
    <d v="2019-01-10T23:22:28"/>
    <x v="16"/>
    <n v="9.6304706017981516"/>
    <n v="0"/>
    <s v="No File"/>
    <s v="1-01-14013-003 (SHS0038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13-003 (SHS00383) Application Rev 3.xlsx"/>
    <m/>
  </r>
  <r>
    <n v="3555"/>
    <x v="73"/>
    <x v="1"/>
    <x v="0"/>
    <s v="KA3411"/>
    <x v="4"/>
    <s v="TML Phase 1 Colo"/>
    <s v="Active"/>
    <s v="New Colocation"/>
    <s v="0"/>
    <x v="10"/>
    <m/>
    <m/>
    <n v="2.81"/>
    <s v="SQM"/>
    <s v="42.5"/>
    <s v="47.5"/>
    <x v="1"/>
    <m/>
    <s v="Not Required"/>
    <m/>
    <x v="1"/>
    <m/>
    <s v="OK"/>
    <s v="Existing on tower actual - OML - 8.67 Sqm / MYTEL -4.07 Sqm - New Colocation"/>
    <s v="OK"/>
    <m/>
    <m/>
    <s v="No"/>
    <s v="EXISTING TOWER(OML+TML(NEW)):  91.7 % (old wind zone)_x000a_EXISTING TOWER(OML+TML(NEW)):  137.4 % (new wind zone)_STR later"/>
    <s v="Not Required"/>
    <m/>
    <m/>
    <m/>
    <m/>
    <s v="OK"/>
    <s v="Yes"/>
    <s v="Required New Slab"/>
    <m/>
    <m/>
    <m/>
    <m/>
    <m/>
    <s v="OK"/>
    <s v="OK to proceed, community will provide the feedback on 11 Jan 2019"/>
    <d v="2019-01-07T15:49:12"/>
    <m/>
    <d v="2019-01-10T17:10:32"/>
    <d v="2019-01-07T15:49:12"/>
    <m/>
    <m/>
    <x v="18"/>
    <n v="3.729218055603269"/>
    <n v="0"/>
    <s v="No File"/>
    <s v="1-01-03007-002 (KA3411) Application Rev 0.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03007-002 (KA3411) Application Rev 0.xlsx"/>
    <m/>
  </r>
  <r>
    <n v="3556"/>
    <x v="74"/>
    <x v="1"/>
    <x v="2"/>
    <s v="KC0459"/>
    <x v="4"/>
    <s v="TML Phase 1 Colo"/>
    <s v="Active"/>
    <s v="New Colocation"/>
    <s v="0"/>
    <x v="10"/>
    <m/>
    <m/>
    <n v="4.13"/>
    <s v="SQM"/>
    <s v="42.5"/>
    <s v="47.5"/>
    <x v="1"/>
    <m/>
    <s v="Not Required"/>
    <m/>
    <x v="0"/>
    <m/>
    <s v="OK"/>
    <s v="Existing on tower actual - MPT- 3.56 Sqm - New Colocation"/>
    <m/>
    <m/>
    <m/>
    <s v="No"/>
    <s v="STRENGTHENED TOWER(KSGM+MYTEL+TML(NEW)):  99.27 %"/>
    <s v="Not Required"/>
    <m/>
    <m/>
    <m/>
    <m/>
    <s v="OK"/>
    <s v="Yes"/>
    <s v="Required New Slab"/>
    <m/>
    <m/>
    <m/>
    <m/>
    <m/>
    <m/>
    <m/>
    <d v="2019-01-07T15:49:13"/>
    <m/>
    <d v="2019-01-11T10:37:25"/>
    <d v="2019-01-07T15:49:13"/>
    <m/>
    <d v="2019-01-10T23:22:28"/>
    <x v="19"/>
    <n v="4.4463650463003432"/>
    <n v="0"/>
    <s v="No File"/>
    <s v="1-03-01014-017 (KC0459) Application Rev 0.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3-01014-017 (KC0459) Application Rev 0.xlsx"/>
    <m/>
  </r>
  <r>
    <n v="3557"/>
    <x v="75"/>
    <x v="1"/>
    <x v="2"/>
    <s v="SH4020"/>
    <x v="4"/>
    <s v="TML Phase 1 Colo"/>
    <s v="Active"/>
    <s v="New Colocation"/>
    <s v="0"/>
    <x v="10"/>
    <m/>
    <m/>
    <n v="4.2699999999999996"/>
    <s v="SQM"/>
    <s v="42.5"/>
    <s v="47.5"/>
    <x v="1"/>
    <m/>
    <s v="Not Required"/>
    <m/>
    <x v="1"/>
    <m/>
    <s v="OK"/>
    <s v="Existing on tower actual - OML - 7.03Sqm / MPT - 3.72 Sqm - New Colocation"/>
    <s v="OK"/>
    <m/>
    <m/>
    <s v="No"/>
    <s v="EXISTING TOWER(OML+KSGM+TML(NEW)):  98.30 %"/>
    <s v="Not Required"/>
    <m/>
    <m/>
    <m/>
    <m/>
    <s v="OK"/>
    <s v="Yes"/>
    <s v="Required New Slab"/>
    <m/>
    <m/>
    <m/>
    <m/>
    <m/>
    <s v="OK"/>
    <s v="OK to proceed, community will provide the feedback on 11 Jan 2019"/>
    <d v="2019-01-07T15:49:13"/>
    <m/>
    <d v="2019-01-10T15:54:17"/>
    <d v="2019-01-07T15:49:13"/>
    <m/>
    <m/>
    <x v="18"/>
    <n v="3.7292186342965579"/>
    <n v="0"/>
    <s v="No File"/>
    <s v="1-01-14007-014 (SH4020) Application Rev 0.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14007-014 (SH4020) Application Rev 0.xlsx"/>
    <m/>
  </r>
  <r>
    <n v="3558"/>
    <x v="76"/>
    <x v="1"/>
    <x v="2"/>
    <s v="KC0091"/>
    <x v="4"/>
    <s v="TML Phase 1 Colo"/>
    <s v="Active"/>
    <s v="New Colocation"/>
    <s v="0"/>
    <x v="10"/>
    <m/>
    <m/>
    <n v="3.78"/>
    <s v="SQM"/>
    <s v="47"/>
    <s v="52"/>
    <x v="1"/>
    <m/>
    <s v="Not Required"/>
    <m/>
    <x v="1"/>
    <m/>
    <s v="OK"/>
    <s v="Existing on tower actual - OML - 8.10 Sqm / - New Colocation"/>
    <s v="OK"/>
    <m/>
    <m/>
    <s v="No"/>
    <s v="EXISTING TOWER(OML+TML(NEW)):  98.61 %"/>
    <s v="Not Required"/>
    <m/>
    <m/>
    <m/>
    <m/>
    <s v="OK"/>
    <s v="Yes"/>
    <s v="Required New Slab"/>
    <m/>
    <m/>
    <m/>
    <m/>
    <m/>
    <s v="OK"/>
    <s v="OK to proceed, community will provide the feedback on 11 Jan 2019"/>
    <d v="2019-01-07T15:49:13"/>
    <m/>
    <d v="2019-01-10T15:54:17"/>
    <d v="2019-01-07T15:49:13"/>
    <m/>
    <m/>
    <x v="20"/>
    <n v="3.7292189814979793"/>
    <n v="0"/>
    <s v="No File"/>
    <s v="1-01-01015-020 (KC0091) Application Rev 0.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01015-020 (KC0091) Application Rev 0.xlsx"/>
    <m/>
  </r>
  <r>
    <n v="3550"/>
    <x v="77"/>
    <x v="0"/>
    <x v="0"/>
    <s v="TNY00315"/>
    <x v="0"/>
    <s v="MPT  Phase 1a Colo"/>
    <s v="On Air"/>
    <s v="LTE"/>
    <s v="3"/>
    <x v="11"/>
    <n v="2.48"/>
    <n v="3.1"/>
    <n v="6.0839999999999996"/>
    <s v="EPA"/>
    <s v="39.5-42.5"/>
    <s v="45.5-47.5"/>
    <x v="0"/>
    <m/>
    <s v="OK"/>
    <m/>
    <x v="0"/>
    <m/>
    <s v="OK"/>
    <s v="Existing on tower (Assume ) - TML 4.29 EPA / MPT - 4.60 EPA /   Increase RF Dimension and add RRU . "/>
    <s v="Rejected"/>
    <m/>
    <m/>
    <s v="No"/>
    <s v="Existing Tower: TML+KSGM (OLD+NEW) = 129.2%_x000a_(Estimate modification steel weight = 1500 kg)_x000a_Existing Tower: TML+KSGM (OLD) = 124.7%"/>
    <s v="OK"/>
    <m/>
    <m/>
    <m/>
    <s v="As above site ID duplicated"/>
    <s v="OK"/>
    <s v="No"/>
    <s v="No action needed "/>
    <m/>
    <m/>
    <m/>
    <m/>
    <m/>
    <m/>
    <m/>
    <d v="2019-01-07T09:10:22"/>
    <d v="2019-01-14T17:39:03"/>
    <m/>
    <d v="2019-01-07T09:10:22"/>
    <d v="2019-01-07T15:45:50"/>
    <d v="2019-01-07T10:29:24"/>
    <x v="0"/>
    <n v="19.48191597222467"/>
    <n v="2"/>
    <s v="No File"/>
    <s v="ASTN_0023 (TNY00315)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STN_0023 (TNY00315) Application Rev 3.xlsx"/>
    <m/>
  </r>
  <r>
    <n v="3548"/>
    <x v="78"/>
    <x v="1"/>
    <x v="2"/>
    <s v="KCN00455"/>
    <x v="0"/>
    <s v="MPT  Phase 1b Colo"/>
    <s v="RFI"/>
    <s v="TS _ v1"/>
    <s v="2"/>
    <x v="12"/>
    <n v="1.621"/>
    <n v="3.6989999999999998"/>
    <n v="2.5099999999999998"/>
    <s v="SQM"/>
    <s v="21"/>
    <s v="26"/>
    <x v="1"/>
    <m/>
    <s v="OK"/>
    <m/>
    <x v="0"/>
    <m/>
    <s v="OK"/>
    <s v="Existing on tower actual - OML - 6.64 Sqm / MPT - 2.71 Sqm  / TML - 2.74 sqm / MYTEL - 2.03 Sqm - increase RF Dimension , Add RRU and ODU "/>
    <s v="OK"/>
    <m/>
    <m/>
    <s v="No"/>
    <s v="EXISTING TOWER(OML+TML+Mytel+KSGM(OLD+NEW)):  87.4 %_x000a_EXISTING TOWER(OML+TML+Mytel+KSGM(OLD)): 85.75 %"/>
    <s v="OK"/>
    <s v="2019-01-31"/>
    <m/>
    <m/>
    <s v="New PE system I&amp;C in planning part of 41 site list"/>
    <s v="OK"/>
    <s v="No"/>
    <s v="No action needed "/>
    <m/>
    <m/>
    <m/>
    <m/>
    <m/>
    <m/>
    <m/>
    <d v="2019-01-07T09:10:22"/>
    <d v="2019-01-14T17:39:03"/>
    <d v="2019-01-09T15:41:08"/>
    <d v="2019-01-07T09:10:22"/>
    <d v="2019-01-07T15:45:50"/>
    <d v="2019-01-02T14:17:15"/>
    <x v="13"/>
    <n v="13.437809953698888"/>
    <n v="0"/>
    <s v="No File"/>
    <s v="1-01-01010-012 (KCN0045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0-012 (KCN00455) Application Rev 2.xlsx"/>
    <m/>
  </r>
  <r>
    <n v="3549"/>
    <x v="79"/>
    <x v="0"/>
    <x v="0"/>
    <s v="MON00618"/>
    <x v="0"/>
    <s v="MPT Phase 2 Colo "/>
    <s v="Active"/>
    <s v="TS"/>
    <s v="0"/>
    <x v="12"/>
    <n v="0.72"/>
    <n v="0.9"/>
    <n v="3.18"/>
    <s v="EPA"/>
    <s v="39.5"/>
    <s v="44.5"/>
    <x v="1"/>
    <m/>
    <s v="OK"/>
    <m/>
    <x v="0"/>
    <m/>
    <s v="OK"/>
    <s v="Existing on tower (Assume ) - TML 9.08 EPA /  New Colo Apps Submission "/>
    <s v="OK"/>
    <m/>
    <m/>
    <s v="No"/>
    <s v="EXISTING TOWER: TML+KSGM(OLD+NEW)):  96.4%"/>
    <s v="OK"/>
    <m/>
    <m/>
    <m/>
    <m/>
    <s v="OK"/>
    <s v="No"/>
    <s v="sharing on the existing slab "/>
    <m/>
    <m/>
    <m/>
    <m/>
    <m/>
    <m/>
    <m/>
    <d v="2019-01-07T09:10:22"/>
    <d v="2019-01-14T17:39:03"/>
    <d v="2019-01-09T12:02:21"/>
    <d v="2019-01-07T09:10:22"/>
    <d v="2019-01-07T15:45:50"/>
    <d v="2019-01-03T14:46:34"/>
    <x v="13"/>
    <n v="13.437810648101731"/>
    <n v="0"/>
    <s v="No File"/>
    <s v="ASMO_0155 (MON00618)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SMO_0155 (MON00618) Application Rev 0.xlsx"/>
    <m/>
  </r>
  <r>
    <n v="3536"/>
    <x v="80"/>
    <x v="0"/>
    <x v="1"/>
    <s v="KYH00181"/>
    <x v="0"/>
    <s v="Tower Share"/>
    <s v="Active"/>
    <s v="TS"/>
    <s v="0"/>
    <x v="13"/>
    <n v="0.72"/>
    <n v="0.9"/>
    <n v="3.18"/>
    <s v="EPA"/>
    <s v="55"/>
    <s v="60"/>
    <x v="1"/>
    <m/>
    <s v="OK"/>
    <m/>
    <x v="0"/>
    <m/>
    <s v="OK"/>
    <s v="Existing on tower (Assume ) - TML 5.47 EPA / OML 12.22 EPA  /  New Colo Apps Submission "/>
    <s v="OK"/>
    <m/>
    <m/>
    <s v="No"/>
    <s v="Existing Tower: OML+TML+KSGM(NEW) = 59.5%"/>
    <s v="OK"/>
    <m/>
    <m/>
    <m/>
    <m/>
    <s v="OK"/>
    <s v="No"/>
    <s v="sharing on the existing slab "/>
    <m/>
    <m/>
    <m/>
    <m/>
    <m/>
    <m/>
    <m/>
    <d v="2018-12-27T10:57:08"/>
    <d v="2019-01-14T17:39:02"/>
    <d v="2019-01-11T16:33:34"/>
    <d v="2018-12-27T10:57:08"/>
    <d v="2019-01-07T15:45:49"/>
    <d v="2018-12-27T10:40:36"/>
    <x v="21"/>
    <n v="19.437805208297505"/>
    <n v="0"/>
    <s v="No File"/>
    <s v="ASKH_0007 (KYH00181)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SKH_0007 (KYH00181) Application Rev 0.xlsx"/>
    <m/>
  </r>
  <r>
    <n v="3537"/>
    <x v="81"/>
    <x v="0"/>
    <x v="1"/>
    <s v="NPT00514"/>
    <x v="0"/>
    <s v="Colocation"/>
    <s v="New Colocation"/>
    <s v="TS"/>
    <s v="0"/>
    <x v="13"/>
    <n v="0.72"/>
    <n v="0.9"/>
    <n v="3.18"/>
    <s v="EPA"/>
    <s v="48"/>
    <s v="53"/>
    <x v="1"/>
    <m/>
    <s v="OK"/>
    <m/>
    <x v="0"/>
    <m/>
    <s v="OK"/>
    <s v="Existing on tower (Assume ) - TML 4.29 EPA /New Colo Apps Submission "/>
    <s v="OK"/>
    <m/>
    <m/>
    <s v="No"/>
    <s v="Existing Tower: TML+KSGM (OLD+NEW) = 62.7%"/>
    <s v="OK"/>
    <m/>
    <m/>
    <m/>
    <m/>
    <s v="OK"/>
    <s v="No"/>
    <s v="sharing on the existing slab "/>
    <m/>
    <m/>
    <m/>
    <m/>
    <m/>
    <m/>
    <m/>
    <d v="2018-12-27T10:57:08"/>
    <d v="2019-01-14T17:39:02"/>
    <d v="2019-01-08T14:10:26"/>
    <d v="2018-12-27T10:57:08"/>
    <d v="2019-01-07T15:45:49"/>
    <d v="2018-12-27T10:40:36"/>
    <x v="21"/>
    <n v="19.437806597197778"/>
    <n v="0"/>
    <s v="No File"/>
    <s v="ANNP_0222 (NPT00514)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NP_0222 (NPT00514) Application Rev 0.xlsx"/>
    <m/>
  </r>
  <r>
    <n v="3538"/>
    <x v="82"/>
    <x v="1"/>
    <x v="2"/>
    <s v="KCN00120"/>
    <x v="0"/>
    <s v="MPT  Phase 1b Colo"/>
    <s v="On Air"/>
    <s v="TS _ v1"/>
    <s v="3"/>
    <x v="13"/>
    <n v="1.054"/>
    <n v="1.46"/>
    <n v="3.59"/>
    <s v="SQM"/>
    <s v="49"/>
    <s v="54"/>
    <x v="1"/>
    <m/>
    <s v="OK"/>
    <m/>
    <x v="0"/>
    <m/>
    <s v="OK"/>
    <s v="Existing on tower actual - MPT 3.52 Sqm - Add MW and RRU/ODU "/>
    <s v="OK"/>
    <m/>
    <m/>
    <s v="No"/>
    <s v="EXISTING TOWER(KSGM(OLD+NEW)):  82.9%_x000a_EXISTING TOWER(KSGM(OLD)):    79 %"/>
    <s v="Not Required"/>
    <m/>
    <m/>
    <m/>
    <s v="Confirm site ID"/>
    <s v="OK"/>
    <s v="No"/>
    <s v="No action needed "/>
    <m/>
    <m/>
    <m/>
    <m/>
    <m/>
    <m/>
    <m/>
    <d v="2018-12-27T11:37:55"/>
    <m/>
    <d v="2018-12-28T11:56:25"/>
    <d v="2018-12-27T11:37:55"/>
    <d v="2019-01-07T15:45:49"/>
    <d v="2018-12-27T10:32:24"/>
    <x v="22"/>
    <n v="19.577520717597508"/>
    <n v="0"/>
    <s v="No File"/>
    <s v="3-00-01014-003 (KCN0012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3-00-01014-003 (KCN00120) Application Rev 3.xlsx"/>
    <m/>
  </r>
  <r>
    <n v="3539"/>
    <x v="83"/>
    <x v="1"/>
    <x v="2"/>
    <s v="KCN00121"/>
    <x v="0"/>
    <s v="MPT  Phase 1b Colo"/>
    <s v="On Air"/>
    <s v="TS _ v1"/>
    <s v="3"/>
    <x v="13"/>
    <n v="1.1080000000000001"/>
    <n v="1.52"/>
    <n v="4.25"/>
    <s v="SQM"/>
    <s v="49"/>
    <s v="54"/>
    <x v="1"/>
    <m/>
    <s v="OK"/>
    <m/>
    <x v="0"/>
    <m/>
    <s v="OK"/>
    <s v="Existing on tower actual - MPT 4.16 Sqm / Mytel Colo Apps - 4.43 sqm -Add MW and Odu"/>
    <s v="OK"/>
    <m/>
    <m/>
    <s v="No"/>
    <s v="Strengthened Tower(OML+MYTEL+KSGM(OLD+NEW)): 103.67 %_x000a_Strengthened Tower(OML+MYTEL+KSGM(OLD)): 100.84 %"/>
    <s v="Not Required"/>
    <m/>
    <m/>
    <m/>
    <s v="Confirm site ID"/>
    <s v="OK"/>
    <s v="No"/>
    <s v="No action needed "/>
    <m/>
    <m/>
    <m/>
    <m/>
    <m/>
    <m/>
    <m/>
    <d v="2018-12-27T11:37:55"/>
    <m/>
    <d v="2018-12-28T16:50:45"/>
    <d v="2018-12-27T11:37:55"/>
    <d v="2019-01-07T15:45:49"/>
    <d v="2018-12-27T10:32:24"/>
    <x v="22"/>
    <n v="19.577521180603071"/>
    <n v="0"/>
    <s v="No File"/>
    <s v="3-00-01014-002 (KCN00121)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3-00-01014-002 (KCN00121) Application Rev 3.xlsx"/>
    <m/>
  </r>
  <r>
    <n v="3540"/>
    <x v="5"/>
    <x v="1"/>
    <x v="2"/>
    <s v="SGG00199"/>
    <x v="0"/>
    <s v="MPT  Phase 1b Colo"/>
    <s v="On Air"/>
    <s v="TS _ v1"/>
    <s v="3"/>
    <x v="13"/>
    <n v="1"/>
    <n v="1.4"/>
    <n v="3.61"/>
    <s v="SQM"/>
    <s v="43"/>
    <s v="48"/>
    <x v="1"/>
    <m/>
    <s v="OK"/>
    <m/>
    <x v="0"/>
    <m/>
    <s v="OK"/>
    <s v="Existing on tower actual - OML - 10.81 Sqm / MPT 3.07 Sqm  /Op2 - 3.87 sqm-Add MW "/>
    <s v="OK"/>
    <m/>
    <m/>
    <s v="No"/>
    <s v="Strengthened Tower(OML+OP2+KSGM(OLD+NEW)): 89.7 %_x000a_Strengthened Tower(OML+OP2+KSGM(OLD)): 91 %"/>
    <s v="OK"/>
    <m/>
    <m/>
    <m/>
    <m/>
    <s v="OK"/>
    <s v="No"/>
    <s v="No action needed "/>
    <m/>
    <m/>
    <m/>
    <m/>
    <m/>
    <m/>
    <m/>
    <d v="2018-12-27T11:37:55"/>
    <d v="2019-01-14T17:39:02"/>
    <d v="2019-01-02T11:37:14"/>
    <d v="2018-12-27T11:37:55"/>
    <d v="2019-01-07T15:45:49"/>
    <d v="2018-12-27T10:32:24"/>
    <x v="13"/>
    <n v="19.437808796297759"/>
    <n v="1"/>
    <s v="No File"/>
    <s v="1-01-05015-002 (SGG00199)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5-002 (SGG00199) Application Rev 3.xlsx"/>
    <m/>
  </r>
  <r>
    <n v="3541"/>
    <x v="84"/>
    <x v="1"/>
    <x v="2"/>
    <s v="KCN00293"/>
    <x v="0"/>
    <s v="MPT  Phase 1b Colo"/>
    <s v="On Air"/>
    <s v="LTE_ v1"/>
    <s v="3"/>
    <x v="13"/>
    <n v="2.2999999999999998"/>
    <n v="3.5"/>
    <n v="4.0599999999999996"/>
    <s v="SQM"/>
    <s v="33"/>
    <s v="38"/>
    <x v="1"/>
    <m/>
    <s v="OK"/>
    <m/>
    <x v="0"/>
    <m/>
    <s v="OK"/>
    <s v="Existing on tower actual - OML - 8.70 Sqm / MPT - 4.25 Sqm / TML - 3.30 sqm -Add RRU and ODU "/>
    <s v="OK"/>
    <m/>
    <m/>
    <s v="No"/>
    <s v="EXISTING TOWER(OML+TML+KSGM(OLD+NEW)):  99.2%_x000a_EXISTING TOWER(OML+TML+KSGM(OLD)): 99.2%"/>
    <s v="OK"/>
    <s v="15-Feb-19"/>
    <m/>
    <m/>
    <s v="PE systems upgrade required - BB DG "/>
    <s v="OK"/>
    <s v="No"/>
    <s v="No action needed "/>
    <m/>
    <m/>
    <m/>
    <m/>
    <m/>
    <m/>
    <m/>
    <d v="2018-12-27T16:51:51"/>
    <d v="2019-01-16T12:01:37"/>
    <d v="2019-01-02T14:50:44"/>
    <d v="2018-12-27T16:51:51"/>
    <d v="2019-01-07T15:45:49"/>
    <d v="2018-12-27T15:12:49"/>
    <x v="23"/>
    <n v="20.630462847198942"/>
    <n v="0"/>
    <s v="No File"/>
    <s v="1-01-01002-007 (KCN0029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2-007 (KCN00293) Application Rev 3.xlsx"/>
    <m/>
  </r>
  <r>
    <n v="3542"/>
    <x v="85"/>
    <x v="1"/>
    <x v="0"/>
    <s v="AYY0016"/>
    <x v="3"/>
    <s v="Mytel Phase 1b Colo"/>
    <s v="On Air"/>
    <s v="Add Equipment"/>
    <s v="2"/>
    <x v="13"/>
    <m/>
    <m/>
    <n v="4.6399999999999997"/>
    <s v="SQM"/>
    <s v="33"/>
    <s v="38"/>
    <x v="1"/>
    <m/>
    <s v="Not Required"/>
    <m/>
    <x v="1"/>
    <m/>
    <s v="OK"/>
    <s v="Existing on tower actual - OML - 6.88 Sqm / MYTEL - 3.39 Sqm - "/>
    <s v="OK"/>
    <m/>
    <m/>
    <s v="No"/>
    <s v="EXISTING TOWER(OML+Mytel(NEW)):  99 %"/>
    <s v="Not Required"/>
    <m/>
    <m/>
    <m/>
    <m/>
    <s v="Not Required"/>
    <m/>
    <m/>
    <s v="Not Required"/>
    <m/>
    <m/>
    <s v="Not Required"/>
    <m/>
    <s v="OK"/>
    <m/>
    <d v="2018-12-27T16:51:51"/>
    <m/>
    <d v="2019-01-07T16:12:08"/>
    <m/>
    <m/>
    <m/>
    <x v="24"/>
    <n v="11.675091666700609"/>
    <n v="0"/>
    <s v="No File"/>
    <s v="1-01-17008-014 (AYY0016) Application Rev 2.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7008-014 (AYY0016) Application Rev 2.xlsx"/>
    <m/>
  </r>
  <r>
    <n v="3543"/>
    <x v="86"/>
    <x v="1"/>
    <x v="0"/>
    <s v="AYY0333"/>
    <x v="3"/>
    <s v="Mytel Phase 1b Colo"/>
    <s v="On Air"/>
    <s v="Add Equipment"/>
    <s v="2"/>
    <x v="13"/>
    <n v="1.6"/>
    <n v="1.8"/>
    <n v="4.92"/>
    <s v="SQM"/>
    <s v="42.5"/>
    <s v="47.5"/>
    <x v="1"/>
    <m/>
    <s v="Not Required"/>
    <m/>
    <x v="1"/>
    <m/>
    <s v="OK"/>
    <s v="Existing on tower actual - OML - 11.73 Sqm / MPT - 3.33Sqm / TML - 3.02 Sqm / MYTEL - 4.07 Sqm - "/>
    <s v="OK"/>
    <m/>
    <m/>
    <s v="No"/>
    <s v="Strengthened Tower(OML+TML+KSGM+Mytel(NEW)):  103.1 %"/>
    <s v="Not Required"/>
    <m/>
    <m/>
    <m/>
    <m/>
    <s v="Not Required"/>
    <m/>
    <m/>
    <s v="Not Required"/>
    <m/>
    <m/>
    <s v="Not Required"/>
    <m/>
    <s v="OK"/>
    <m/>
    <d v="2018-12-27T16:51:51"/>
    <m/>
    <d v="2019-01-07T16:12:08"/>
    <m/>
    <m/>
    <m/>
    <x v="24"/>
    <n v="11.675092245401174"/>
    <n v="0"/>
    <s v="No File"/>
    <s v="1-01-17019-006 (AYY0333) Application Rev 2.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7019-006 (AYY0333) Application Rev 2.xlsx"/>
    <m/>
  </r>
  <r>
    <n v="3544"/>
    <x v="87"/>
    <x v="1"/>
    <x v="2"/>
    <s v="KCN0033"/>
    <x v="3"/>
    <s v="Mytel Phase 1b Colo"/>
    <s v="On Air"/>
    <s v="Add Equipment"/>
    <s v="2"/>
    <x v="13"/>
    <n v="1.5"/>
    <n v="1.7"/>
    <n v="4.07"/>
    <s v="SQM"/>
    <s v="33"/>
    <s v="38"/>
    <x v="1"/>
    <m/>
    <s v="Not Required"/>
    <m/>
    <x v="1"/>
    <m/>
    <s v="OK"/>
    <s v="Existing on tower actual - OML - 7.52 Sqm / MYTEL - 3.79 Sqm - "/>
    <s v="OK"/>
    <m/>
    <m/>
    <s v="No"/>
    <s v="EXISTING TOWER(OML+Mytel(NEW)):  93.5 %"/>
    <s v="Not Required"/>
    <m/>
    <m/>
    <m/>
    <m/>
    <s v="Not Required"/>
    <m/>
    <m/>
    <s v="Not Required"/>
    <m/>
    <m/>
    <s v="Not Required"/>
    <m/>
    <s v="OK"/>
    <m/>
    <d v="2018-12-27T16:51:51"/>
    <m/>
    <d v="2019-01-07T12:15:20"/>
    <m/>
    <m/>
    <m/>
    <x v="25"/>
    <n v="11.510648379597114"/>
    <n v="0"/>
    <s v="No File"/>
    <s v="1-01-01008-016 (KCN0033) Application Rev 2.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01008-016 (KCN0033) Application Rev 2.xlsx"/>
    <m/>
  </r>
  <r>
    <n v="3545"/>
    <x v="88"/>
    <x v="1"/>
    <x v="2"/>
    <s v="MDY0162"/>
    <x v="3"/>
    <s v="Mytel Phase 1b Colo"/>
    <s v="On Air"/>
    <s v="Add Equipment"/>
    <s v="2"/>
    <x v="13"/>
    <n v="1.6"/>
    <n v="1.8"/>
    <n v="4.99"/>
    <s v="SQM"/>
    <s v="33"/>
    <s v="38"/>
    <x v="1"/>
    <m/>
    <s v="Not Required"/>
    <m/>
    <x v="1"/>
    <m/>
    <s v="OK"/>
    <s v="Existing on tower actual - OML - 6.63 Sqm / TML - 3.41 sqm / MYTEL - 4.07 Sqm - "/>
    <s v="OK"/>
    <m/>
    <m/>
    <s v="No"/>
    <s v="Existing Tower: OML+TML+MYTEL (OLD+NEW) = 88.9%_x000a_Existing Tower: OML+TML+MYTEL (OLD) = 82.1%"/>
    <s v="Not Required"/>
    <m/>
    <m/>
    <m/>
    <m/>
    <s v="Not Required"/>
    <m/>
    <m/>
    <s v="Not Required"/>
    <m/>
    <m/>
    <s v="Not Required"/>
    <m/>
    <s v="OK"/>
    <m/>
    <d v="2018-12-27T16:51:51"/>
    <m/>
    <d v="2019-01-08T15:47:17"/>
    <m/>
    <m/>
    <m/>
    <x v="26"/>
    <n v="12.657833333301824"/>
    <n v="0"/>
    <s v="No File"/>
    <s v="1-01-10030-007 (MDY0162) Application Rev 2.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0030-007 (MDY0162) Application Rev 2.xlsx"/>
    <m/>
  </r>
  <r>
    <n v="3546"/>
    <x v="89"/>
    <x v="1"/>
    <x v="2"/>
    <s v="MDY0379"/>
    <x v="3"/>
    <s v="Mytel Phase 1b Colo"/>
    <s v="On Air"/>
    <s v="Add Equipment"/>
    <s v="2"/>
    <x v="13"/>
    <n v="1.6"/>
    <n v="1.7"/>
    <n v="4.3600000000000003"/>
    <s v="SQM"/>
    <s v="41.5"/>
    <s v="46.5"/>
    <x v="1"/>
    <m/>
    <s v="Not Required"/>
    <m/>
    <x v="1"/>
    <m/>
    <s v="OK"/>
    <s v="Existing on tower actual - OML - 8.44 Sqm / TML - 4.83 sqm / MYTEL - 4.07 Sqm - "/>
    <s v="OK"/>
    <m/>
    <m/>
    <s v="No"/>
    <s v="Existing Tower: OML+TML+MYTEL (OLD+NEW) = 99.0%"/>
    <s v="Not Required"/>
    <m/>
    <m/>
    <m/>
    <m/>
    <s v="Not Required"/>
    <m/>
    <m/>
    <s v="Not Required"/>
    <m/>
    <m/>
    <s v="Not Required"/>
    <m/>
    <s v="OK"/>
    <m/>
    <d v="2018-12-27T16:51:51"/>
    <m/>
    <d v="2019-01-09T11:15:39"/>
    <m/>
    <m/>
    <m/>
    <x v="27"/>
    <n v="13.469203240696515"/>
    <n v="0"/>
    <s v="No File"/>
    <s v="1-01-10024-004 (MDY0379) Application Rev 2.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0024-004 (MDY0379) Application Rev 2.xlsx"/>
    <m/>
  </r>
  <r>
    <n v="3547"/>
    <x v="90"/>
    <x v="1"/>
    <x v="2"/>
    <s v="KCN0063"/>
    <x v="3"/>
    <s v="Colocation"/>
    <s v="Active"/>
    <s v="Other"/>
    <s v="1"/>
    <x v="13"/>
    <n v="2"/>
    <n v="2"/>
    <n v="6"/>
    <s v="SQM"/>
    <s v="45"/>
    <s v="50"/>
    <x v="1"/>
    <m/>
    <s v="Not Required"/>
    <m/>
    <x v="1"/>
    <m/>
    <s v="Not Required"/>
    <m/>
    <s v="Not Required"/>
    <m/>
    <m/>
    <m/>
    <m/>
    <s v="OK"/>
    <s v="2-3 weeks"/>
    <m/>
    <m/>
    <s v="Add rect modules "/>
    <s v="Not Required"/>
    <m/>
    <m/>
    <s v="Not Required"/>
    <m/>
    <m/>
    <s v="Not Required"/>
    <m/>
    <s v="OK"/>
    <m/>
    <m/>
    <d v="2019-01-14T17:39:03"/>
    <m/>
    <m/>
    <m/>
    <m/>
    <x v="28"/>
    <n v="19.463188888898003"/>
    <n v="0"/>
    <s v="No File"/>
    <s v="1-01-01001-018 (KCN0063)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01001-018 (KCN0063) Application Rev 1.xlsx"/>
    <m/>
  </r>
  <r>
    <n v="3528"/>
    <x v="91"/>
    <x v="0"/>
    <x v="1"/>
    <s v="MGW00580"/>
    <x v="0"/>
    <s v="MPT  Phase 1a Colo"/>
    <s v="On Air"/>
    <s v="LTE"/>
    <s v="2"/>
    <x v="14"/>
    <n v="2.3050000000000002"/>
    <n v="4.07"/>
    <n v="6.81"/>
    <s v="EPA"/>
    <s v="18"/>
    <s v="23"/>
    <x v="1"/>
    <m/>
    <s v="OK"/>
    <s v="6-Jan-17: MPT on-air, okay for upgrdation"/>
    <x v="0"/>
    <m/>
    <s v="OK"/>
    <s v="Existing on tower (Assume ) -TML-8.01 EPA , Mytel 4.24 EPA , Amara - 3.42 EPA  , MPT 1.32 EPA - Need only power confirmation "/>
    <s v="OK"/>
    <m/>
    <m/>
    <s v="No"/>
    <s v="EXISTING TOWER: TML+OML+KSGM(NEW)):  86.79%"/>
    <s v="OK"/>
    <m/>
    <m/>
    <m/>
    <m/>
    <s v="OK"/>
    <s v="No"/>
    <s v="No action needed "/>
    <m/>
    <m/>
    <m/>
    <m/>
    <m/>
    <m/>
    <m/>
    <d v="2018-12-26T16:55:11"/>
    <d v="2019-01-14T17:39:01"/>
    <d v="2018-12-27T14:07:19"/>
    <d v="2018-12-26T16:55:11"/>
    <d v="2018-12-26T14:29:56"/>
    <d v="2018-12-26T10:58:23"/>
    <x v="21"/>
    <n v="20.437797106496873"/>
    <n v="0"/>
    <s v="No File"/>
    <s v="ANMG_0037 (MGW0058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G_0037 (MGW00580) Application Rev 2.xlsx"/>
    <m/>
  </r>
  <r>
    <n v="3529"/>
    <x v="92"/>
    <x v="0"/>
    <x v="0"/>
    <s v="YGN01769"/>
    <x v="0"/>
    <s v="MPT  Phase 1a Colo"/>
    <s v="On Air"/>
    <s v="TS"/>
    <s v="2"/>
    <x v="14"/>
    <n v="1.04"/>
    <n v="1.3"/>
    <n v="1.1479999999999999"/>
    <s v="EPA"/>
    <s v="16"/>
    <s v="21"/>
    <x v="1"/>
    <m/>
    <s v="OK"/>
    <s v="26-Dec-18: Okay for TI installtion"/>
    <x v="0"/>
    <m/>
    <s v="OK"/>
    <s v="Existing on tower actual -TML- 3.54 EPA , MPT - 1.32 EPA , Mytel - 4.24 EPA ,Amara - 3.42 EPA - Need Power Confirmation "/>
    <s v="OK"/>
    <m/>
    <m/>
    <s v="No"/>
    <s v="EXISTING TOWER: TML+Mytel+Amara+KSGM(OLD+NEW)):  104.2%"/>
    <s v="OK"/>
    <m/>
    <m/>
    <m/>
    <m/>
    <s v="OK"/>
    <s v="No"/>
    <s v="No action needed "/>
    <m/>
    <m/>
    <m/>
    <m/>
    <m/>
    <m/>
    <m/>
    <d v="2018-12-26T16:55:11"/>
    <d v="2019-01-14T17:39:01"/>
    <d v="2018-12-27T16:37:01"/>
    <d v="2018-12-26T16:55:11"/>
    <d v="2018-12-26T14:29:56"/>
    <d v="2018-12-26T10:58:23"/>
    <x v="21"/>
    <n v="20.437797916696582"/>
    <n v="0"/>
    <s v="No File"/>
    <s v="AYYN_0251 (YGN01769)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251 (YGN01769) Application Rev 2.xlsx"/>
    <m/>
  </r>
  <r>
    <n v="3530"/>
    <x v="93"/>
    <x v="0"/>
    <x v="2"/>
    <s v="MDY00350"/>
    <x v="0"/>
    <s v="MPT  Phase 1a Colo"/>
    <s v="On Air"/>
    <s v="LTE _ v1"/>
    <s v="2"/>
    <x v="14"/>
    <n v="1.8220000000000001"/>
    <n v="2.93"/>
    <n v="7.31"/>
    <s v="EPA"/>
    <s v="45"/>
    <s v="50"/>
    <x v="0"/>
    <m/>
    <s v="OK"/>
    <s v="26-Dec-18: Site on air from 30-Sep-15 no issue for any upgradation."/>
    <x v="0"/>
    <m/>
    <s v="OK"/>
    <s v="Existing on tower Assume -TML- 9.82 EPA , OML - 5.85 EPA , MPT - 3.40 EPA , Mytel - 2.81 EPA -Increase RF dimension and add RRU / ODU "/>
    <s v="Rejected"/>
    <m/>
    <m/>
    <s v="No"/>
    <s v="Strengthened Tower: OML+TML+MYTEL+KSGM (OLD+NEW) = 198.7% (Estimate steel weight 1700 kg)_x000a_Strengthened Tower: OML+MYTEL+KSGM (OLD) = 193.0%"/>
    <s v="OK"/>
    <m/>
    <m/>
    <m/>
    <m/>
    <s v="OK"/>
    <s v="No"/>
    <s v="No action needed "/>
    <m/>
    <m/>
    <m/>
    <m/>
    <m/>
    <m/>
    <m/>
    <d v="2018-12-26T16:55:11"/>
    <d v="2019-01-14T17:39:01"/>
    <m/>
    <d v="2018-12-26T16:55:11"/>
    <d v="2018-12-26T14:33:11"/>
    <d v="2018-12-27T09:54:35"/>
    <x v="0"/>
    <n v="27.48191597222467"/>
    <n v="1"/>
    <s v="No File"/>
    <s v="ANMD_0176 (MDY0035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76 (MDY00350) Application Rev 2.xlsx"/>
    <m/>
  </r>
  <r>
    <n v="3531"/>
    <x v="94"/>
    <x v="0"/>
    <x v="2"/>
    <s v="SGG00785"/>
    <x v="0"/>
    <s v="MPT  Phase 1a Colo"/>
    <s v="On Air"/>
    <s v="LTE"/>
    <s v="4"/>
    <x v="14"/>
    <n v="1.9890000000000001"/>
    <n v="3.5489999999999999"/>
    <n v="6.3"/>
    <s v="EPA"/>
    <s v="36"/>
    <s v="41"/>
    <x v="1"/>
    <m/>
    <s v="OK"/>
    <s v="26-Dec-18: Site on air from 28-Dec-16 no issue for any upgradation."/>
    <x v="0"/>
    <m/>
    <s v="OK"/>
    <s v="Existing on tower (Assume ) -TMl - 9.82 EPA / OML - 5.85 EPA / MPT - 3.40 EPA / Mytel 2.81 EPA -  Increase RF Dimension and Add RRU"/>
    <s v="OK"/>
    <m/>
    <m/>
    <s v="No"/>
    <s v="EXISTING TOWER: TML+KSGM(OLD+NEW)):  56.22%"/>
    <s v="OK"/>
    <m/>
    <m/>
    <m/>
    <s v="10 hrs NS monitor BB  "/>
    <s v="OK"/>
    <s v="No"/>
    <s v="No action needed "/>
    <m/>
    <m/>
    <m/>
    <m/>
    <m/>
    <m/>
    <m/>
    <d v="2018-12-27T10:57:07"/>
    <d v="2019-01-14T17:39:01"/>
    <d v="2019-01-07T11:31:22"/>
    <d v="2018-12-27T10:57:07"/>
    <d v="2018-12-26T14:33:11"/>
    <d v="2018-12-27T09:54:35"/>
    <x v="21"/>
    <n v="20.43779953700141"/>
    <n v="0"/>
    <s v="No File"/>
    <s v="ANSG_0454 (SGG00785)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54 (SGG00785) Application Rev 4.xlsx"/>
    <m/>
  </r>
  <r>
    <n v="3532"/>
    <x v="77"/>
    <x v="0"/>
    <x v="0"/>
    <s v="TNY00315"/>
    <x v="0"/>
    <s v="MPT  Phase 1a Colo"/>
    <s v="On Air"/>
    <s v="TS _ v1"/>
    <s v="2"/>
    <x v="14"/>
    <n v="1.44"/>
    <n v="1.8"/>
    <n v="3.21"/>
    <s v="EPA"/>
    <s v="39.5-42.5"/>
    <s v="45.5-47.5"/>
    <x v="0"/>
    <m/>
    <s v="OK"/>
    <s v="26-Dec-18: Site on air from 30-Apr-16 no issue for any upgradation."/>
    <x v="0"/>
    <m/>
    <s v="OK"/>
    <s v="Existing on tower (Assume ) - TML 4.29 EPA / MPT - 4.60 EPA /Add 1  Odu "/>
    <s v="Rejected"/>
    <m/>
    <m/>
    <s v="No"/>
    <s v="Existing Tower: TML+KSGM (OLD+NEW) = 124.7%_x000a_(Estimate modification steel weight = 1500 kg)_x000a_Existing Tower: TML+KSGM (OLD) = 124.7%"/>
    <s v="OK"/>
    <m/>
    <m/>
    <m/>
    <m/>
    <s v="OK"/>
    <s v="No"/>
    <s v="No action needed "/>
    <m/>
    <m/>
    <m/>
    <m/>
    <m/>
    <m/>
    <m/>
    <d v="2018-12-27T10:57:07"/>
    <d v="2019-01-14T17:39:01"/>
    <m/>
    <d v="2018-12-27T10:57:07"/>
    <d v="2018-12-26T14:33:11"/>
    <d v="2018-12-27T09:54:35"/>
    <x v="0"/>
    <n v="27.48191597222467"/>
    <n v="2"/>
    <s v="No File"/>
    <s v="ASTN_0023 (TNY0031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STN_0023 (TNY00315) Application Rev 2.xlsx"/>
    <m/>
  </r>
  <r>
    <n v="3533"/>
    <x v="95"/>
    <x v="1"/>
    <x v="2"/>
    <s v="KCN00148"/>
    <x v="0"/>
    <s v="MPT  Phase 1b Colo"/>
    <s v="On Air"/>
    <s v="UPG"/>
    <s v="2"/>
    <x v="14"/>
    <n v="1.712"/>
    <n v="3.0579999999999998"/>
    <n v="6.88"/>
    <s v="SQM"/>
    <s v="48"/>
    <s v="53"/>
    <x v="1"/>
    <m/>
    <s v="OK"/>
    <m/>
    <x v="0"/>
    <m/>
    <s v="OK"/>
    <s v="Existing on tower actual - OML - 7.31sqm , MPT 5.99 Sqm - add MW and add RRU / ODU "/>
    <s v="OK"/>
    <m/>
    <m/>
    <s v="No"/>
    <s v="EXISTING TOWER(OML+KSGM(OLD+NEW)):   96.2 %_x000a_EXISTING TOWER(OML+KSGM(OLD)):  92.2 %"/>
    <s v="OK"/>
    <s v="2-3 weeks"/>
    <m/>
    <m/>
    <s v="Confirm site load and PE condition no data available"/>
    <s v="OK"/>
    <s v="No"/>
    <s v="No action needed "/>
    <m/>
    <m/>
    <m/>
    <m/>
    <m/>
    <m/>
    <m/>
    <d v="2018-12-27T10:57:07"/>
    <d v="2019-01-14T17:39:01"/>
    <d v="2018-12-28T11:56:25"/>
    <d v="2018-12-27T10:57:07"/>
    <d v="2019-01-07T15:45:48"/>
    <d v="2018-12-27T10:32:24"/>
    <x v="21"/>
    <n v="20.43780138889997"/>
    <n v="0"/>
    <s v="No File"/>
    <s v="1-01-01004-001 (KCN0014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4-001 (KCN00148) Application Rev 2.xlsx"/>
    <m/>
  </r>
  <r>
    <n v="3534"/>
    <x v="96"/>
    <x v="1"/>
    <x v="2"/>
    <s v="SHN00055"/>
    <x v="0"/>
    <s v="MPT  Phase 1b Colo"/>
    <s v="On Air"/>
    <s v="LTE"/>
    <s v="1"/>
    <x v="14"/>
    <n v="2.0590000000000002"/>
    <n v="3.6110000000000002"/>
    <n v="7.84"/>
    <s v="SQM"/>
    <s v="48"/>
    <s v="53"/>
    <x v="1"/>
    <m/>
    <s v="OK"/>
    <m/>
    <x v="0"/>
    <s v="Previously, Gov Road construction department stopped tower due to our site is located at the road boundary area since long time ago.No More complain now and still alive tower."/>
    <s v="OK"/>
    <s v="Existing on tower actual - OML - 7.03sqm , MPT actual on tower 3.03 / previous Colo Apps  5.61 Sqm  , Add RRU and ODU "/>
    <s v="OK"/>
    <m/>
    <m/>
    <s v="No"/>
    <s v="EXISTING TOWER(OML+KSGM(OLD+NEW)):   94.3 %_x000a_EXISTING TOWER(OML+KSGM(OLD)):92.3 %"/>
    <s v="OK"/>
    <m/>
    <m/>
    <m/>
    <m/>
    <s v="OK"/>
    <s v="No"/>
    <s v="No action needed "/>
    <m/>
    <m/>
    <m/>
    <m/>
    <m/>
    <m/>
    <m/>
    <d v="2018-12-27T10:57:08"/>
    <d v="2019-01-14T17:39:01"/>
    <d v="2018-12-28T11:56:25"/>
    <d v="2018-12-27T10:57:08"/>
    <d v="2019-01-07T15:45:49"/>
    <d v="2018-12-27T10:32:24"/>
    <x v="21"/>
    <n v="20.437802893502521"/>
    <n v="0"/>
    <s v="No File"/>
    <s v="1-01-15013-001 (SHN0005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1 (SHN00055) Application Rev 1.xlsx"/>
    <m/>
  </r>
  <r>
    <n v="3535"/>
    <x v="97"/>
    <x v="1"/>
    <x v="2"/>
    <s v="SHN00079"/>
    <x v="0"/>
    <s v="MPT  Phase 1b Colo"/>
    <s v="On Air"/>
    <s v="Exchange"/>
    <s v="3"/>
    <x v="14"/>
    <n v="1.399"/>
    <n v="2.1989999999999998"/>
    <n v="5.13"/>
    <s v="SQM"/>
    <s v="48"/>
    <s v="53"/>
    <x v="1"/>
    <m/>
    <s v="OK"/>
    <m/>
    <x v="0"/>
    <m/>
    <s v="OK"/>
    <s v="Existing on tower actual - OML - 8.09 sqm , MPT 4.97 Sqm , TML -2.87 sqm -Add 1 Odu "/>
    <s v="OK"/>
    <m/>
    <m/>
    <s v="No"/>
    <s v="EXISTING TOWER(OML+TML+KSGM(OLD+NEW)):  97%_x000a_EXISTING TOWER(OML+TML+KSGM(OLD)): 96.8  %"/>
    <s v="OK"/>
    <m/>
    <m/>
    <m/>
    <m/>
    <s v="OK"/>
    <s v="No"/>
    <s v="No action needed "/>
    <m/>
    <m/>
    <m/>
    <m/>
    <m/>
    <m/>
    <m/>
    <d v="2018-12-27T10:57:08"/>
    <d v="2019-01-14T17:39:02"/>
    <d v="2018-12-28T11:56:25"/>
    <d v="2018-12-27T10:57:08"/>
    <d v="2019-01-07T15:45:49"/>
    <d v="2018-12-27T10:32:24"/>
    <x v="21"/>
    <n v="20.437804282402794"/>
    <n v="0"/>
    <s v="No File"/>
    <s v="1-01-14007-016 (SHN00079)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16 (SHN00079) Application Rev 3.xlsx"/>
    <m/>
  </r>
  <r>
    <n v="3522"/>
    <x v="98"/>
    <x v="1"/>
    <x v="2"/>
    <s v="MDY0382"/>
    <x v="3"/>
    <s v="Colocation"/>
    <s v="Active"/>
    <s v="Other"/>
    <s v="1"/>
    <x v="15"/>
    <n v="2"/>
    <n v="2"/>
    <n v="6"/>
    <s v="SQM"/>
    <s v="42.5"/>
    <s v="47.5"/>
    <x v="1"/>
    <m/>
    <s v="Not Required"/>
    <m/>
    <x v="1"/>
    <m/>
    <s v="Not Required"/>
    <m/>
    <s v="Not Required"/>
    <m/>
    <m/>
    <m/>
    <m/>
    <s v="OK"/>
    <s v="1-2 weeks"/>
    <m/>
    <m/>
    <s v="Add rectifier modules confirm DG SOH - DG NS"/>
    <s v="Not Required"/>
    <m/>
    <m/>
    <s v="Not Required"/>
    <m/>
    <m/>
    <s v="Not Required"/>
    <m/>
    <s v="OK"/>
    <m/>
    <m/>
    <d v="2019-01-14T17:39:00"/>
    <m/>
    <m/>
    <m/>
    <m/>
    <x v="29"/>
    <n v="22.463186226901598"/>
    <n v="0"/>
    <s v="No File"/>
    <s v="1-01-10029-005 (MDY0382)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0029-005 (MDY0382) Application Rev 1.xlsx"/>
    <m/>
  </r>
  <r>
    <n v="3523"/>
    <x v="99"/>
    <x v="1"/>
    <x v="1"/>
    <s v="RKE0013"/>
    <x v="3"/>
    <s v="Mytel Phase 1b Colo"/>
    <s v="RFI"/>
    <s v="Other"/>
    <s v="1"/>
    <x v="15"/>
    <n v="2"/>
    <n v="2"/>
    <n v="6"/>
    <s v="SQM"/>
    <s v="42.5"/>
    <s v="47.5"/>
    <x v="2"/>
    <m/>
    <s v="Not Required"/>
    <m/>
    <x v="1"/>
    <m/>
    <s v="Not Required"/>
    <m/>
    <s v="Not Required"/>
    <m/>
    <m/>
    <m/>
    <m/>
    <s v="OK"/>
    <s v="1-2 weeks"/>
    <m/>
    <m/>
    <s v="Confirm PE system status "/>
    <s v="Not Required"/>
    <m/>
    <m/>
    <s v="Not Required"/>
    <m/>
    <m/>
    <s v="Not Required"/>
    <m/>
    <s v="OK"/>
    <m/>
    <m/>
    <d v="2019-01-14T17:39:00"/>
    <m/>
    <m/>
    <m/>
    <m/>
    <x v="30"/>
    <n v="18.700147453702812"/>
    <n v="0"/>
    <s v="No File"/>
    <s v="1-01-12007-001 (RKE0013)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2007-001 (RKE0013) Application Rev 1.xlsx"/>
    <m/>
  </r>
  <r>
    <n v="3524"/>
    <x v="100"/>
    <x v="1"/>
    <x v="0"/>
    <s v="KYN0185"/>
    <x v="3"/>
    <s v="Mytel Phase 1b Colo"/>
    <s v="On Air"/>
    <s v="Other"/>
    <s v="1"/>
    <x v="15"/>
    <n v="2"/>
    <n v="2"/>
    <n v="6"/>
    <s v="SQM"/>
    <s v="42.5"/>
    <s v="47.5"/>
    <x v="1"/>
    <m/>
    <s v="Not Required"/>
    <m/>
    <x v="1"/>
    <m/>
    <s v="Not Required"/>
    <m/>
    <s v="Not Required"/>
    <m/>
    <m/>
    <m/>
    <m/>
    <s v="OK"/>
    <m/>
    <m/>
    <m/>
    <m/>
    <s v="Not Required"/>
    <m/>
    <m/>
    <s v="Not Required"/>
    <m/>
    <m/>
    <s v="Not Required"/>
    <m/>
    <s v="OK"/>
    <m/>
    <m/>
    <d v="2019-01-14T17:39:00"/>
    <m/>
    <m/>
    <m/>
    <m/>
    <x v="30"/>
    <n v="18.700148148098378"/>
    <n v="0"/>
    <s v="No File"/>
    <s v="1-01-03005-004 (KYN0185)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03005-004 (KYN0185) Application Rev 1.xlsx"/>
    <m/>
  </r>
  <r>
    <n v="3525"/>
    <x v="101"/>
    <x v="1"/>
    <x v="0"/>
    <s v="AYY0879"/>
    <x v="3"/>
    <s v="Mytel Phase 1b Colo"/>
    <s v="On Air"/>
    <s v="Other"/>
    <s v="1"/>
    <x v="15"/>
    <n v="2"/>
    <n v="2"/>
    <n v="6"/>
    <s v="SQM"/>
    <s v="42.5"/>
    <s v="47.5"/>
    <x v="1"/>
    <m/>
    <s v="Not Required"/>
    <m/>
    <x v="1"/>
    <m/>
    <s v="Not Required"/>
    <m/>
    <s v="Not Required"/>
    <m/>
    <m/>
    <m/>
    <m/>
    <s v="OK"/>
    <m/>
    <m/>
    <m/>
    <m/>
    <s v="Not Required"/>
    <m/>
    <m/>
    <s v="Not Required"/>
    <m/>
    <m/>
    <s v="Not Required"/>
    <m/>
    <s v="OK"/>
    <m/>
    <m/>
    <d v="2019-01-14T17:39:00"/>
    <m/>
    <m/>
    <m/>
    <m/>
    <x v="30"/>
    <n v="18.700148958298087"/>
    <n v="0"/>
    <s v="No File"/>
    <s v="1-01-17026-003 (AYY0879)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7026-003 (AYY0879) Application Rev 1.xlsx"/>
    <m/>
  </r>
  <r>
    <n v="3526"/>
    <x v="102"/>
    <x v="1"/>
    <x v="0"/>
    <s v="AYY0207"/>
    <x v="3"/>
    <s v="Mytel Phase 1b Colo"/>
    <s v="On Air"/>
    <s v="Other"/>
    <s v="1"/>
    <x v="15"/>
    <n v="2"/>
    <n v="2"/>
    <n v="6"/>
    <s v="SQM"/>
    <s v="42.5"/>
    <s v="47.5"/>
    <x v="1"/>
    <m/>
    <s v="Not Required"/>
    <m/>
    <x v="1"/>
    <m/>
    <s v="Not Required"/>
    <m/>
    <s v="Not Required"/>
    <m/>
    <m/>
    <m/>
    <m/>
    <s v="OK"/>
    <s v="1-2 weeks"/>
    <m/>
    <m/>
    <s v="DG SOH TBA"/>
    <s v="Not Required"/>
    <m/>
    <m/>
    <s v="Not Required"/>
    <m/>
    <m/>
    <s v="Not Required"/>
    <m/>
    <s v="OK"/>
    <m/>
    <m/>
    <d v="2019-01-14T17:39:00"/>
    <m/>
    <m/>
    <m/>
    <m/>
    <x v="29"/>
    <n v="22.463187615700008"/>
    <n v="0"/>
    <s v="No File"/>
    <s v="1-01-17004-007 (AYY0207)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7004-007 (AYY0207) Application Rev 1.xlsx"/>
    <m/>
  </r>
  <r>
    <n v="3521"/>
    <x v="103"/>
    <x v="1"/>
    <x v="2"/>
    <s v="MDY0280"/>
    <x v="3"/>
    <s v="Colocation"/>
    <s v="Active"/>
    <s v="New Colocation"/>
    <s v="0"/>
    <x v="16"/>
    <n v="2"/>
    <n v="2"/>
    <n v="6"/>
    <s v="SQM"/>
    <s v="36 - 39"/>
    <s v="40 - 42"/>
    <x v="0"/>
    <m/>
    <s v="OK"/>
    <m/>
    <x v="0"/>
    <m/>
    <s v="OK"/>
    <s v="Existing on tower actual -OML - 7.36sqm , MPT 2.71 Sqm , OP2 - 2.93 Sqm - New Colocation Colo Apps "/>
    <s v="OK"/>
    <m/>
    <m/>
    <s v="No"/>
    <s v="EXISTING TOWER(OML+OP2+KSGM+MYTEL(NEW)):  92.7%"/>
    <s v="OK"/>
    <s v="1-2 weeks"/>
    <m/>
    <m/>
    <s v="Add rectifier modules confirm DG SOH"/>
    <s v="OK"/>
    <s v="Yes"/>
    <s v="Need new slab "/>
    <m/>
    <m/>
    <m/>
    <m/>
    <m/>
    <s v="OK"/>
    <m/>
    <d v="2018-12-22T11:27:28"/>
    <d v="2019-01-14T17:39:00"/>
    <d v="2018-12-24T11:07:14"/>
    <d v="2018-12-22T11:27:28"/>
    <d v="2019-01-07T16:14:25"/>
    <d v="2018-12-27T10:32:23"/>
    <x v="0"/>
    <n v="33.48191597222467"/>
    <n v="1"/>
    <s v="No File"/>
    <s v="1-01-10020-003 (MDY0280) Application Rev 0.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0020-003 (MDY0280) Application Rev 0.xlsx"/>
    <m/>
  </r>
  <r>
    <n v="3516"/>
    <x v="104"/>
    <x v="1"/>
    <x v="1"/>
    <s v="SHS00466"/>
    <x v="0"/>
    <s v="MPT  Phase 1b Colo"/>
    <s v="On Air"/>
    <s v="Other"/>
    <s v=""/>
    <x v="17"/>
    <n v="1.68"/>
    <n v="2.1"/>
    <m/>
    <s v="SQM"/>
    <s v="48"/>
    <s v="53"/>
    <x v="1"/>
    <m/>
    <s v="Not Required"/>
    <m/>
    <x v="1"/>
    <m/>
    <s v="Not Required"/>
    <m/>
    <s v="Not Required"/>
    <m/>
    <m/>
    <m/>
    <m/>
    <s v="OK"/>
    <m/>
    <m/>
    <m/>
    <s v="Monitor BB performance DG 24/7 NS"/>
    <s v="Not Required"/>
    <m/>
    <m/>
    <m/>
    <m/>
    <m/>
    <m/>
    <m/>
    <m/>
    <m/>
    <m/>
    <d v="2019-01-14T17:38:59"/>
    <m/>
    <m/>
    <m/>
    <m/>
    <x v="31"/>
    <n v="28.442146759298339"/>
    <n v="0"/>
    <s v="No File"/>
    <s v="1-01-14001-033 (SHS00466)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33 (SHS00466) Application Rev .xlsx"/>
    <m/>
  </r>
  <r>
    <n v="3517"/>
    <x v="105"/>
    <x v="0"/>
    <x v="0"/>
    <s v="AWD00530"/>
    <x v="0"/>
    <s v="MPT  Phase 1a Colo"/>
    <s v="On Air"/>
    <s v="Refarming _ UL2100"/>
    <s v="3"/>
    <x v="17"/>
    <n v="2.16"/>
    <n v="2.7"/>
    <n v="6.0010000000000003"/>
    <s v="EPA"/>
    <s v="30"/>
    <s v="35"/>
    <x v="1"/>
    <m/>
    <s v="Not Required"/>
    <m/>
    <x v="1"/>
    <m/>
    <s v="OK"/>
    <s v="Existing on tower - ( Assume ) TML with 5.74 EPA , OML with 9.87 EPA , MPT with 4.69 EPA - Add RRU "/>
    <s v="Rejected"/>
    <m/>
    <m/>
    <s v="No"/>
    <s v="Existing Tower: OML+TML+KSGM (OLD+NEW) = FDN Unstale due to soil condition is submerged_x000a_(Estimate volume of concrete = 16 cb.m;  extend pad of foundation to 9.6m)"/>
    <s v="OK"/>
    <m/>
    <m/>
    <m/>
    <m/>
    <s v="OK"/>
    <s v="No"/>
    <s v="No action needed "/>
    <m/>
    <m/>
    <m/>
    <m/>
    <m/>
    <s v="Approved by Management"/>
    <s v="ACAY_0122 with MPT Colo App rev. 3 Reject because Foundation is unstable - As discussed specific case for your evaluation// email by mark //Wednesday, 9 January 2019 "/>
    <d v="2018-12-19T09:56:23"/>
    <d v="2019-01-15T13:37:34"/>
    <m/>
    <d v="2018-12-19T09:56:23"/>
    <m/>
    <m/>
    <x v="14"/>
    <n v="29.412547916697804"/>
    <n v="0"/>
    <s v="No File"/>
    <s v="ACAY_0122 (AWD0053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CAY_0122 (AWD00530) Application Rev 3.xlsx"/>
    <m/>
  </r>
  <r>
    <n v="3518"/>
    <x v="106"/>
    <x v="0"/>
    <x v="2"/>
    <s v="MDY01437"/>
    <x v="0"/>
    <s v="MPT  Phase 1a Colo"/>
    <s v="RFI"/>
    <s v="TS"/>
    <s v="2"/>
    <x v="17"/>
    <n v="1.175"/>
    <n v="2.1389999999999998"/>
    <n v="4.29"/>
    <s v="EPA"/>
    <s v="45"/>
    <s v="50"/>
    <x v="1"/>
    <m/>
    <s v="OK"/>
    <s v="26-Dec-18: Okay for survey and TI installtion"/>
    <x v="0"/>
    <m/>
    <s v="OK"/>
    <s v="Existing on tower - ( Assume ) TML with 7.74 EPA - Add 2 RRU"/>
    <s v="OK"/>
    <m/>
    <m/>
    <s v="No"/>
    <s v="Existing Tower: TML+KSGM (OLD+NEW) = 76.4%"/>
    <s v="OK"/>
    <m/>
    <m/>
    <m/>
    <m/>
    <s v="OK"/>
    <s v="No"/>
    <s v="No action needed "/>
    <m/>
    <m/>
    <m/>
    <m/>
    <m/>
    <m/>
    <m/>
    <d v="2018-12-19T09:56:23"/>
    <d v="2019-01-14T17:38:59"/>
    <d v="2018-12-19T15:55:06"/>
    <d v="2018-12-19T09:56:23"/>
    <d v="2018-12-26T14:29:56"/>
    <d v="2018-12-19T16:04:46"/>
    <x v="21"/>
    <n v="28.437795254598313"/>
    <n v="0"/>
    <s v="No File"/>
    <s v="ANMD_0136 (MDY0143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36 (MDY01437) Application Rev 2.xlsx"/>
    <m/>
  </r>
  <r>
    <n v="3519"/>
    <x v="107"/>
    <x v="1"/>
    <x v="2"/>
    <s v="KCN00441"/>
    <x v="0"/>
    <s v="MPT  Phase 1b Colo"/>
    <s v="RFI"/>
    <s v="TS"/>
    <s v="1"/>
    <x v="17"/>
    <n v="1.175"/>
    <n v="2.1389999999999998"/>
    <n v="5.64"/>
    <s v="SQM"/>
    <s v="36"/>
    <s v="41"/>
    <x v="1"/>
    <m/>
    <s v="OK"/>
    <m/>
    <x v="0"/>
    <m/>
    <s v="OK"/>
    <s v="Existing on tower Actual -9.17Sqm /  MPT prev colo apps - 5.32 Sqm / TML - 5.00 Sqm / Mytel 5.28 Sqm . Add 1 RRU "/>
    <s v="OK"/>
    <m/>
    <m/>
    <s v="No"/>
    <s v="Strengthened Tower(OML+TML+Mytel+KSGM(OLD+NEW)):  97.51 %_x000a_Strengthened Tower(OML+TML+Mytel+KSGM(OLD)): 97.51 %"/>
    <s v="OK"/>
    <m/>
    <m/>
    <m/>
    <s v="Monitor DG cap increase maybe required DG SOH TBA"/>
    <s v="OK"/>
    <s v="No"/>
    <s v="No action needed "/>
    <m/>
    <m/>
    <m/>
    <m/>
    <m/>
    <m/>
    <m/>
    <d v="2018-12-19T09:56:23"/>
    <d v="2019-01-14T17:39:00"/>
    <d v="2018-12-20T16:01:31"/>
    <d v="2018-12-19T09:56:23"/>
    <d v="2019-01-07T15:45:48"/>
    <d v="2018-12-18T17:33:05"/>
    <x v="21"/>
    <n v="28.437795833298878"/>
    <n v="0"/>
    <s v="No File"/>
    <s v="1-01-01010-003 (KCN00441)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0-003 (KCN00441) Application Rev 1.xlsx"/>
    <m/>
  </r>
  <r>
    <n v="3520"/>
    <x v="108"/>
    <x v="0"/>
    <x v="2"/>
    <s v="KCN00564"/>
    <x v="0"/>
    <s v="MPT  Phase 1a Colo"/>
    <s v="RFI"/>
    <s v="TS "/>
    <s v="2"/>
    <x v="17"/>
    <n v="1.175"/>
    <n v="2.1389999999999998"/>
    <n v="4.32"/>
    <s v="EPA"/>
    <s v="38"/>
    <s v="43"/>
    <x v="1"/>
    <m/>
    <s v="OK"/>
    <s v="26-Dec-18: Okay for survey and TI installtion"/>
    <x v="0"/>
    <m/>
    <s v="OK"/>
    <s v="Existing on tower - ( Assume ) TML with 3.84 EPA - MPT previous Colo Apps 3.924 EPA - Mytel Colo Apps - 5.46 EPA  - Add 2 RRU"/>
    <s v="OK"/>
    <m/>
    <m/>
    <s v="No"/>
    <s v="EXISTING TOWER: TML+MYTEL+KSGM(OLD+NEW)):  57.69%"/>
    <s v="OK"/>
    <m/>
    <m/>
    <m/>
    <m/>
    <s v="OK"/>
    <s v="No"/>
    <s v="No action needed "/>
    <m/>
    <m/>
    <m/>
    <m/>
    <m/>
    <m/>
    <m/>
    <d v="2018-12-19T09:56:23"/>
    <d v="2019-01-14T17:39:00"/>
    <d v="2018-12-20T16:01:31"/>
    <d v="2018-12-19T09:56:23"/>
    <d v="2018-12-26T14:29:56"/>
    <d v="2018-12-19T16:04:47"/>
    <x v="21"/>
    <n v="28.437796527803584"/>
    <n v="0"/>
    <s v="No File"/>
    <s v="ANKC_0017 (KCN00564)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KC_0017 (KCN00564) Application Rev 2.xlsx"/>
    <m/>
  </r>
  <r>
    <n v="3512"/>
    <x v="109"/>
    <x v="1"/>
    <x v="1"/>
    <s v="SHS00100"/>
    <x v="0"/>
    <s v="MPT  Phase 1b Colo"/>
    <s v="On Air"/>
    <s v="LTE"/>
    <s v="3"/>
    <x v="18"/>
    <n v="3.44"/>
    <n v="4.3"/>
    <n v="7.63"/>
    <s v="SQM"/>
    <s v="45"/>
    <s v="52"/>
    <x v="1"/>
    <m/>
    <s v="Not Required"/>
    <m/>
    <x v="0"/>
    <m/>
    <s v="OK"/>
    <s v="Existing on tower Actual - OML - 8.44 Sqm / MPT - 7.68 Sqm  - Increase Rf Dimension add RRU / Change MW dimesion and add ODU "/>
    <s v="OK"/>
    <m/>
    <m/>
    <s v="No"/>
    <s v="Strengthened Tower: OML+KSGM (OLD+NEW) = 97.2%_x000a_Strengthened Tower: OML+KSGM (OLD) = 91.1%"/>
    <s v="OK"/>
    <s v="31-Jan-19"/>
    <m/>
    <m/>
    <s v="PE cap incr BB UG - Dep on new PE ordered Dec18 - adjust FC accord"/>
    <s v="OK"/>
    <s v="No"/>
    <s v="No action needed "/>
    <m/>
    <m/>
    <m/>
    <m/>
    <m/>
    <m/>
    <m/>
    <d v="2018-12-18T10:33:03"/>
    <d v="2018-12-18T12:10:35"/>
    <d v="2018-12-18T16:08:08"/>
    <d v="2018-12-18T10:33:03"/>
    <m/>
    <d v="2018-12-17T17:30:34"/>
    <x v="32"/>
    <n v="2.6638353008966078"/>
    <n v="0"/>
    <s v="No File"/>
    <s v="1-01-14001-010 (SHS0010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10 (SHS00100) Application Rev 3.xlsx"/>
    <m/>
  </r>
  <r>
    <n v="3513"/>
    <x v="110"/>
    <x v="1"/>
    <x v="1"/>
    <s v="CHN00225"/>
    <x v="0"/>
    <s v="MPT Phase 2 Colo"/>
    <s v="RFI"/>
    <s v="Relo-TS"/>
    <s v="4"/>
    <x v="18"/>
    <n v="0.58399999999999996"/>
    <n v="0.879"/>
    <m/>
    <s v="SQM"/>
    <s v="42.5"/>
    <s v="47.5"/>
    <x v="1"/>
    <m/>
    <s v="Not Required"/>
    <m/>
    <x v="1"/>
    <m/>
    <s v="Not Required"/>
    <m/>
    <s v="Not Required"/>
    <m/>
    <m/>
    <m/>
    <m/>
    <s v="OK"/>
    <s v="ready"/>
    <m/>
    <m/>
    <m/>
    <s v="Not Required"/>
    <m/>
    <m/>
    <m/>
    <m/>
    <m/>
    <m/>
    <m/>
    <m/>
    <m/>
    <m/>
    <d v="2018-12-18T12:10:35"/>
    <m/>
    <m/>
    <m/>
    <m/>
    <x v="33"/>
    <n v="1.5841789351979969"/>
    <n v="0"/>
    <s v="No File"/>
    <s v="1-01-04007-009 (CHN00225)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4007-009 (CHN00225) Application Rev 4.xlsx"/>
    <m/>
  </r>
  <r>
    <n v="3514"/>
    <x v="111"/>
    <x v="1"/>
    <x v="2"/>
    <s v="MDY01362"/>
    <x v="0"/>
    <s v="MPT  Phase 1b Colo"/>
    <s v="RFI"/>
    <s v="Other"/>
    <s v="1"/>
    <x v="18"/>
    <n v="1"/>
    <n v="1.4"/>
    <m/>
    <s v="SQM"/>
    <s v="37"/>
    <s v="42"/>
    <x v="1"/>
    <m/>
    <s v="Not Required"/>
    <m/>
    <x v="1"/>
    <m/>
    <s v="Not Required"/>
    <m/>
    <s v="Not Required"/>
    <m/>
    <m/>
    <m/>
    <m/>
    <s v="OK"/>
    <s v="2019-01-30"/>
    <m/>
    <m/>
    <s v="DG &amp; BB upgrade"/>
    <s v="Not Required"/>
    <m/>
    <m/>
    <m/>
    <m/>
    <m/>
    <m/>
    <m/>
    <m/>
    <m/>
    <m/>
    <d v="2018-12-18T12:10:35"/>
    <m/>
    <m/>
    <m/>
    <m/>
    <x v="33"/>
    <n v="1.5841826389005291"/>
    <n v="0"/>
    <s v="No File"/>
    <s v="1-01-10009-003 (MDY01362)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0009-003 (MDY01362) Application Rev 1.xlsx"/>
    <m/>
  </r>
  <r>
    <n v="3515"/>
    <x v="97"/>
    <x v="1"/>
    <x v="2"/>
    <s v="SHN00079"/>
    <x v="0"/>
    <s v="MPT  Phase 1b Colo"/>
    <s v="On Air"/>
    <s v="TS_v1"/>
    <s v="2"/>
    <x v="18"/>
    <n v="1"/>
    <n v="1.4"/>
    <n v="4.97"/>
    <s v="SQM"/>
    <s v="48"/>
    <s v="53"/>
    <x v="1"/>
    <m/>
    <s v="Not Required"/>
    <m/>
    <x v="0"/>
    <m/>
    <s v="OK"/>
    <s v="Existing on tower Actual - OML - 8.09 Sqm / MPT - 4.97 Sqm / TML 2.87 sqm  - Same loading as before - Change height only "/>
    <s v="OK"/>
    <m/>
    <m/>
    <s v="No"/>
    <s v="EXISTING TOWER(OML+TML+KSGM(OLD+NEW)):  96.9%_x000a_EXISTING TOWER(OML+TML+KSGM(OLD)): 96.9  %"/>
    <s v="Not Required"/>
    <m/>
    <m/>
    <m/>
    <m/>
    <s v="OK"/>
    <s v="No"/>
    <s v="No action needed "/>
    <m/>
    <m/>
    <m/>
    <m/>
    <m/>
    <m/>
    <m/>
    <d v="2018-12-18T10:33:03"/>
    <m/>
    <d v="2018-12-18T15:28:33"/>
    <d v="2018-12-18T10:33:03"/>
    <m/>
    <d v="2018-12-17T17:26:58"/>
    <x v="34"/>
    <n v="1.7045194443999208"/>
    <n v="0"/>
    <s v="No File"/>
    <s v="1-01-14007-016 (SHN00079)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16 (SHN00079) Application Rev 2.xlsx"/>
    <m/>
  </r>
  <r>
    <n v="3498"/>
    <x v="112"/>
    <x v="1"/>
    <x v="0"/>
    <s v="AWD00484"/>
    <x v="0"/>
    <s v="MPT  Phase 1b Colo"/>
    <s v="On Air"/>
    <s v="Refarmaing_UL2100"/>
    <s v="4"/>
    <x v="19"/>
    <n v="1.68"/>
    <n v="2.1"/>
    <n v="2.9449999999999998"/>
    <s v="SQM"/>
    <s v="48"/>
    <s v="53"/>
    <x v="1"/>
    <m/>
    <s v="Not Required"/>
    <m/>
    <x v="0"/>
    <m/>
    <s v="OK"/>
    <s v="Existing on tower Actual - OML - 10.60 Sqm / MPT - 2.61 Sqm / Mytel 1.75 Sqm - Add MW and ODU "/>
    <s v="OK"/>
    <m/>
    <m/>
    <s v="No"/>
    <s v="Strengthened Tower: OML+MYTEL+KSGM (OLD+NEW) = 96.1%_x000a_Strengthened Tower: OML+MYTEL+KSGM (OLD) = 95.6%"/>
    <s v="OK"/>
    <s v="2019-04-05"/>
    <m/>
    <m/>
    <s v="PE UG - BB, DG"/>
    <s v="OK"/>
    <s v="No"/>
    <s v="No action needed "/>
    <m/>
    <m/>
    <m/>
    <m/>
    <m/>
    <m/>
    <m/>
    <d v="2018-12-13T18:06:56"/>
    <d v="2018-12-17T08:53:29"/>
    <d v="2018-12-14T11:26:21"/>
    <d v="2018-12-13T18:06:56"/>
    <m/>
    <d v="2018-12-13T17:10:04"/>
    <x v="35"/>
    <n v="4.4114646991001791"/>
    <n v="0"/>
    <s v="No File"/>
    <s v="1-01-17007-005 (AWD00484)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07-005 (AWD00484) Application Rev 4.xlsx"/>
    <m/>
  </r>
  <r>
    <n v="3499"/>
    <x v="113"/>
    <x v="1"/>
    <x v="1"/>
    <s v="KYH00055"/>
    <x v="0"/>
    <s v="MPT  Phase 1b Colo"/>
    <s v="On Air"/>
    <s v="Refarmaing_UL2100"/>
    <s v="2"/>
    <x v="19"/>
    <n v="2.16"/>
    <n v="2.7"/>
    <n v="4.45"/>
    <s v="SQM"/>
    <s v="48"/>
    <s v="53"/>
    <x v="1"/>
    <m/>
    <s v="Not Required"/>
    <m/>
    <x v="0"/>
    <m/>
    <s v="OK"/>
    <s v="Existing on tower Actual - OML - 8.44 Sqm / MPT latest Colo Apps - 4.09 Sqm /TML Colo Apps - 4.05 sqm/ Mytel  Colo Apps 4.07 Sqm - Add 3 RRU "/>
    <s v="OK"/>
    <m/>
    <m/>
    <s v="No"/>
    <s v="Strengthened Tower: OML+TML+MYTEL+KSGM (OLD+NEW) = 104.4%_x000a_Strengthened Tower: OML+TML+MYTEL+KSGM (OLD) = 104.4%"/>
    <s v="OK"/>
    <s v="2018-12-27"/>
    <m/>
    <m/>
    <s v="BB &amp; DG swaps/upgrade"/>
    <s v="OK"/>
    <s v="No"/>
    <s v="No action needed "/>
    <m/>
    <m/>
    <m/>
    <m/>
    <m/>
    <m/>
    <m/>
    <d v="2018-12-13T18:06:56"/>
    <d v="2018-12-17T08:53:29"/>
    <d v="2018-12-14T14:34:04"/>
    <d v="2018-12-13T18:06:56"/>
    <m/>
    <d v="2018-12-13T17:10:04"/>
    <x v="35"/>
    <n v="4.4114653935030219"/>
    <n v="0"/>
    <s v="No File"/>
    <s v="1-01-02003-003 (KYH0005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2003-003 (KYH00055) Application Rev 2.xlsx"/>
    <m/>
  </r>
  <r>
    <n v="3500"/>
    <x v="114"/>
    <x v="1"/>
    <x v="0"/>
    <s v="KYN00267"/>
    <x v="0"/>
    <s v="MPT  Phase 1b Colo"/>
    <s v="On Air"/>
    <s v="MS"/>
    <s v="2"/>
    <x v="19"/>
    <n v="3.36"/>
    <n v="4.8"/>
    <n v="4.8600000000000003"/>
    <s v="SQM"/>
    <s v="26"/>
    <s v="31"/>
    <x v="1"/>
    <m/>
    <s v="Not Required"/>
    <m/>
    <x v="0"/>
    <m/>
    <s v="OK"/>
    <s v="Existing on tower Actual - OML - 7.02 Sqm / MPT latest Colo Apps - 3.99 Sqm /TML  - 2.67 sqm/ - Increase RF Dimension "/>
    <s v="OK"/>
    <m/>
    <m/>
    <s v="No"/>
    <s v="Existing Tower: OML+TML+KSGM (OLD+NEW) = 102.9%_x000a_Existing Tower: OML+TML+KSGM (OLD) = 101.4%"/>
    <s v="OK"/>
    <s v="2019-01-18"/>
    <m/>
    <m/>
    <s v="PE cap incr BB UG - Dep on new PE ordered Dec18 - adjust FC accord"/>
    <s v="OK"/>
    <s v="No"/>
    <s v="No action needed "/>
    <m/>
    <m/>
    <m/>
    <m/>
    <m/>
    <m/>
    <m/>
    <d v="2018-12-13T18:06:57"/>
    <d v="2018-12-17T08:53:30"/>
    <d v="2018-12-14T16:29:24"/>
    <d v="2018-12-13T18:06:57"/>
    <m/>
    <d v="2018-12-18T13:22:48"/>
    <x v="33"/>
    <n v="5.584172800903616"/>
    <n v="0"/>
    <s v="No File"/>
    <s v="1-01-03001-001 (KYN0026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3001-001 (KYN00267) Application Rev 2.xlsx"/>
    <m/>
  </r>
  <r>
    <n v="3501"/>
    <x v="115"/>
    <x v="1"/>
    <x v="1"/>
    <s v="MGW00148"/>
    <x v="0"/>
    <s v="MPT  Phase 1b Colo"/>
    <s v="On Air"/>
    <s v="TS _ v1"/>
    <s v="1"/>
    <x v="19"/>
    <n v="1.054"/>
    <n v="1.522"/>
    <n v="4.6900000000000004"/>
    <s v="SQM"/>
    <s v="43"/>
    <s v="48"/>
    <x v="1"/>
    <m/>
    <s v="Not Required"/>
    <m/>
    <x v="0"/>
    <m/>
    <s v="OK"/>
    <s v="Existing on tower Actual - OML - 8.34 Sqm / MPT  - 4.69 Sqm - Add  MW and ODU as per actual "/>
    <s v="OK"/>
    <m/>
    <m/>
    <s v="No"/>
    <s v="EXISTING TOWER(OP1+OP3(OLD+NEW)):   93.8%_x000a_EXISTING TOWER(OP1+OP3(OLD)):   92.63%"/>
    <s v="OK"/>
    <m/>
    <m/>
    <m/>
    <m/>
    <s v="OK"/>
    <s v="No"/>
    <s v="No action needed "/>
    <m/>
    <m/>
    <m/>
    <m/>
    <m/>
    <m/>
    <m/>
    <d v="2018-12-13T18:06:57"/>
    <d v="2018-12-13T17:12:26"/>
    <d v="2018-12-14T13:57:38"/>
    <d v="2018-12-13T18:06:57"/>
    <m/>
    <d v="2018-12-13T17:10:04"/>
    <x v="36"/>
    <n v="1.7279564815034973"/>
    <n v="0"/>
    <s v="No File"/>
    <s v="1-01-09001-003 (MGW00148)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01-003 (MGW00148) Application Rev 1.xlsx"/>
    <m/>
  </r>
  <r>
    <n v="3502"/>
    <x v="116"/>
    <x v="1"/>
    <x v="1"/>
    <s v="MGW00413"/>
    <x v="0"/>
    <s v="MPT  Phase 1b Colo"/>
    <s v="On Air"/>
    <s v="LTE"/>
    <s v="1"/>
    <x v="19"/>
    <n v="2.3180000000000001"/>
    <n v="4.3479999999999999"/>
    <n v="3.56"/>
    <s v="SQM"/>
    <s v="43"/>
    <s v="48"/>
    <x v="1"/>
    <m/>
    <s v="Not Required"/>
    <m/>
    <x v="0"/>
    <m/>
    <s v="OK"/>
    <s v="Existing on tower Actual - OML - 8.34 Sqm / MPT Colo Apps - 4.29 Sqm - Add MW and ODU "/>
    <s v="OK"/>
    <m/>
    <m/>
    <s v="No"/>
    <s v="EXISTING TOWER(OP1+OP3(OLD+NEW)):   89.1%_x000a_EXISTING TOWER(OP1+OP3(OLD)):   85.7%"/>
    <s v="OK"/>
    <s v="2019-04-07"/>
    <m/>
    <m/>
    <s v="PE cap incr BB UG - Dep on new PE ordered Dec18 - adjust FC accord"/>
    <s v="OK"/>
    <s v="No"/>
    <s v="No action needed "/>
    <m/>
    <m/>
    <m/>
    <m/>
    <m/>
    <m/>
    <m/>
    <d v="2018-12-13T18:06:57"/>
    <d v="2018-12-17T08:53:30"/>
    <d v="2018-12-14T13:57:38"/>
    <d v="2018-12-13T18:06:57"/>
    <m/>
    <d v="2018-12-13T17:10:04"/>
    <x v="35"/>
    <n v="4.411466898098297"/>
    <n v="0"/>
    <s v="No File"/>
    <s v="1-01-09017-004 (MGW00413)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17-004 (MGW00413) Application Rev 1.xlsx"/>
    <m/>
  </r>
  <r>
    <n v="3503"/>
    <x v="117"/>
    <x v="1"/>
    <x v="2"/>
    <s v="SGG00235"/>
    <x v="0"/>
    <s v="MPT  Phase 1b Colo"/>
    <s v="On Air"/>
    <s v="Exchange"/>
    <s v="1"/>
    <x v="19"/>
    <n v="1.1080000000000001"/>
    <n v="1.52"/>
    <n v="3.11"/>
    <s v="SQM"/>
    <s v="48"/>
    <s v="53"/>
    <x v="1"/>
    <m/>
    <s v="Not Required"/>
    <m/>
    <x v="0"/>
    <m/>
    <s v="OK"/>
    <s v="Existing on tower Actual - OML - 9.26 Sqm / MPT Colo Apps - 2.29 Sqm - Add MW and ODU "/>
    <s v="OK"/>
    <m/>
    <m/>
    <s v="No"/>
    <s v="Strengthened Tower(OP1+OP5+OP3(OLD+NEW)): 91.4%_x000a_Strengthened Tower(OP1+OP5+OP3(OLD)): 90.6 %"/>
    <s v="OK"/>
    <s v="2019-04-08"/>
    <m/>
    <m/>
    <s v="PE cap incr BB UG - Dep on new PE ordered Dec18 - adjust FC accord"/>
    <s v="OK"/>
    <s v="No"/>
    <s v="No action needed "/>
    <m/>
    <m/>
    <m/>
    <m/>
    <m/>
    <m/>
    <m/>
    <d v="2018-12-13T18:06:57"/>
    <d v="2018-12-17T08:53:30"/>
    <d v="2018-12-14T13:57:38"/>
    <d v="2018-12-13T18:06:57"/>
    <m/>
    <d v="2018-12-13T17:10:05"/>
    <x v="35"/>
    <n v="4.4114677082980052"/>
    <n v="0"/>
    <s v="No File"/>
    <s v="1-01-05009-001 (SGG0023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9-001 (SGG00235) Application Rev 1.xlsx"/>
    <m/>
  </r>
  <r>
    <n v="3504"/>
    <x v="118"/>
    <x v="1"/>
    <x v="2"/>
    <s v="SGG00765"/>
    <x v="0"/>
    <s v="MPT  Phase 1b Colo"/>
    <s v="On Air"/>
    <s v="Exchange"/>
    <s v="1"/>
    <x v="19"/>
    <n v="1.399"/>
    <n v="2.1989999999999998"/>
    <n v="2.87"/>
    <s v="SQM"/>
    <s v="33"/>
    <s v="38"/>
    <x v="1"/>
    <m/>
    <s v="Not Required"/>
    <m/>
    <x v="0"/>
    <m/>
    <s v="OK"/>
    <s v="Existing on tower Actual - OML - 6.18 Sqm / MPT - 2.71 Sqm / TML 3.51 sqm  - Add 1 RRU "/>
    <s v="OK"/>
    <m/>
    <m/>
    <s v="No"/>
    <s v="EXISTING TOWER(OP1+OP4+OP3(OLD+NEW)):   81.6 %_x000a_EXISTING TOWER(OP1+OP4+OP3(OLD)):  82%"/>
    <s v="OK"/>
    <s v="2018-12-23"/>
    <m/>
    <m/>
    <s v="add rect modules - PE UG later "/>
    <s v="OK"/>
    <s v="No"/>
    <s v="No action needed "/>
    <m/>
    <m/>
    <m/>
    <m/>
    <m/>
    <m/>
    <m/>
    <d v="2018-12-13T18:06:57"/>
    <d v="2018-12-13T17:12:26"/>
    <d v="2018-12-17T13:17:28"/>
    <d v="2018-12-13T18:06:57"/>
    <m/>
    <d v="2018-12-13T17:10:05"/>
    <x v="37"/>
    <n v="4.712500462999742"/>
    <n v="0"/>
    <s v="No File"/>
    <s v="1-01-05015-004 (SGG0076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5-004 (SGG00765) Application Rev 1.xlsx"/>
    <m/>
  </r>
  <r>
    <n v="3505"/>
    <x v="119"/>
    <x v="1"/>
    <x v="1"/>
    <s v="SHE00089"/>
    <x v="0"/>
    <s v="MPT  Phase 1b Colo"/>
    <s v="On Air"/>
    <s v="Refarmaing_UL2100"/>
    <s v="6"/>
    <x v="19"/>
    <n v="3.44"/>
    <n v="4.3"/>
    <n v="4.55"/>
    <s v="SQM"/>
    <s v="48"/>
    <s v="53"/>
    <x v="1"/>
    <m/>
    <s v="Not Required"/>
    <m/>
    <x v="0"/>
    <m/>
    <s v="OK"/>
    <s v="Existing on tower Actual - OML - 6.43 Sqm / MPT prev colo apps - 4.55 Sqm / TML 3.23sqm  - NO Data Changed - Only need to checkwith  power team"/>
    <s v="OK"/>
    <m/>
    <m/>
    <s v="No"/>
    <s v="Existing Tower (OML+TML+KSGM(OLD)) = 101.3%"/>
    <s v="OK"/>
    <s v="2019-04-08"/>
    <m/>
    <m/>
    <s v="PE cap incr BB UG - Dep on new PE ordered Dec18 - adjust FC accord"/>
    <s v="OK"/>
    <s v="No"/>
    <s v="No action needed "/>
    <m/>
    <m/>
    <m/>
    <m/>
    <m/>
    <m/>
    <m/>
    <d v="2018-12-13T18:06:57"/>
    <d v="2018-12-17T08:53:30"/>
    <d v="2018-12-14T14:51:44"/>
    <d v="2018-12-13T18:06:57"/>
    <m/>
    <d v="2018-12-13T17:10:05"/>
    <x v="35"/>
    <n v="4.4114694443996996"/>
    <n v="0"/>
    <s v="No File"/>
    <s v="1-01-16011-001 (SHE00089) Application Rev 6.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6011-001 (SHE00089) Application Rev 6.xlsx"/>
    <m/>
  </r>
  <r>
    <n v="3506"/>
    <x v="120"/>
    <x v="1"/>
    <x v="2"/>
    <s v="SHN00053"/>
    <x v="0"/>
    <s v="MPT  Phase 1b Colo"/>
    <s v="On Air"/>
    <s v="LTE"/>
    <s v="4"/>
    <x v="19"/>
    <n v="1.1080000000000001"/>
    <n v="1.5820000000000001"/>
    <n v="5.87"/>
    <s v="SQM"/>
    <s v="44"/>
    <s v="49"/>
    <x v="1"/>
    <m/>
    <s v="Not Required"/>
    <m/>
    <x v="0"/>
    <m/>
    <s v="OK"/>
    <s v="Existing on tower Actual - OML - 11.46 Sqm / MPT prev colo apps - 5.42 Sqm /Decrease RF Dimension and add MW and Odu "/>
    <s v="OK"/>
    <m/>
    <m/>
    <s v="No"/>
    <s v="Strengthened Tower(OP1+OP3(OLD+NEW)): 91.3 %_x000a_Strengthened Tower(OP1+OP3(OLD)): 85.04 %"/>
    <s v="OK"/>
    <s v="2019-04-09"/>
    <m/>
    <m/>
    <s v="PE cap incr BB UG - Dep on new PE ordered Dec18 - adjust FC accord"/>
    <s v="OK"/>
    <s v="No"/>
    <s v="No action needed "/>
    <m/>
    <m/>
    <m/>
    <m/>
    <m/>
    <m/>
    <m/>
    <d v="2018-12-14T11:14:56"/>
    <d v="2018-12-17T08:53:30"/>
    <d v="2018-12-17T13:17:28"/>
    <d v="2018-12-14T11:14:56"/>
    <m/>
    <d v="2018-12-13T17:10:05"/>
    <x v="37"/>
    <n v="4.7125013889017282"/>
    <n v="0"/>
    <s v="No File"/>
    <s v="1-01-15012-004 (SHN00053)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2-004 (SHN00053) Application Rev 4.xlsx"/>
    <m/>
  </r>
  <r>
    <n v="3507"/>
    <x v="121"/>
    <x v="1"/>
    <x v="2"/>
    <s v="SHN00087"/>
    <x v="0"/>
    <s v="MPT  Phase 1b Colo"/>
    <s v="On Air"/>
    <s v="Exchange"/>
    <s v="1"/>
    <x v="19"/>
    <n v="1.399"/>
    <n v="2.2610000000000001"/>
    <n v="5.6059999999999999"/>
    <s v="SQM"/>
    <s v="48"/>
    <s v="53"/>
    <x v="1"/>
    <m/>
    <s v="Not Required"/>
    <m/>
    <x v="0"/>
    <m/>
    <s v="OK"/>
    <s v="Existing on tower Actual - OML - 14.06 Sqm / MPT prev colo apps - 8.15 Sqm / TML 4.93 sqm / Decrease RF and MW Dimension , add RRU and ODU ."/>
    <s v="OK"/>
    <m/>
    <m/>
    <s v="No"/>
    <s v="Strengthened Tower: OML+TML+KSGM (OLD+NEW) = 103.3%_x000a_Strengthened Tower: OML+TML+KSGM (OLD) = 104.2%"/>
    <s v="OK"/>
    <s v="2018-12-28"/>
    <m/>
    <m/>
    <s v="add rectifer modules UG DG "/>
    <s v="OK"/>
    <s v="No"/>
    <s v="No action needed "/>
    <m/>
    <m/>
    <m/>
    <m/>
    <m/>
    <m/>
    <m/>
    <d v="2018-12-14T11:14:56"/>
    <d v="2018-12-17T08:53:30"/>
    <d v="2018-12-17T15:20:50"/>
    <d v="2018-12-14T11:14:56"/>
    <m/>
    <d v="2018-12-13T17:10:05"/>
    <x v="37"/>
    <n v="4.7125021991014364"/>
    <n v="0"/>
    <s v="No File"/>
    <s v="1-01-15013-008 (SHN00087)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8 (SHN00087) Application Rev 1.xlsx"/>
    <m/>
  </r>
  <r>
    <n v="3508"/>
    <x v="122"/>
    <x v="1"/>
    <x v="0"/>
    <s v="AWD00293"/>
    <x v="0"/>
    <s v="MPT  Phase 1b Colo"/>
    <s v="On Air"/>
    <s v="LTE"/>
    <s v="2"/>
    <x v="19"/>
    <n v="2.48"/>
    <n v="3.1"/>
    <n v="3.86"/>
    <s v="SQM"/>
    <s v="48"/>
    <s v="53"/>
    <x v="1"/>
    <m/>
    <s v="Not Required"/>
    <m/>
    <x v="0"/>
    <m/>
    <s v="OK"/>
    <s v="Existing on tower Actual - OML - 7.56 Sqm / MPT - 2.86 Sqm / TML- 3.87sqm / Increase RF Dimension and add RRU "/>
    <s v="OK"/>
    <m/>
    <m/>
    <s v="No"/>
    <s v="Strengthened Tower: OML+TML+KSGM (OLD+NEW) = 94 %_x000a_Strengthened Tower: OML+TML+KSGM (OLD) = 92.6%"/>
    <s v="OK"/>
    <s v="2019-04-10"/>
    <m/>
    <m/>
    <s v="PE cap incr BB UG - Dep on new PE ordered Dec18 - adjust FC accord"/>
    <s v="OK"/>
    <s v="No"/>
    <s v="No action needed "/>
    <m/>
    <m/>
    <m/>
    <m/>
    <m/>
    <m/>
    <m/>
    <d v="2018-12-14T11:14:56"/>
    <d v="2018-12-17T08:53:30"/>
    <d v="2018-12-17T15:44:30"/>
    <d v="2018-12-14T11:14:56"/>
    <m/>
    <d v="2018-12-13T17:10:05"/>
    <x v="37"/>
    <n v="4.7125030093011446"/>
    <n v="0"/>
    <s v="No File"/>
    <s v="1-01-17016-011 (AWD0029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6-011 (AWD00293) Application Rev 2.xlsx"/>
    <m/>
  </r>
  <r>
    <n v="3509"/>
    <x v="123"/>
    <x v="1"/>
    <x v="0"/>
    <s v="AWD00871"/>
    <x v="0"/>
    <s v="MPT  Phase 1b Colo"/>
    <s v="On Air"/>
    <s v="MS"/>
    <s v="1"/>
    <x v="19"/>
    <n v="2.64"/>
    <n v="3.3"/>
    <n v="4.0949999999999998"/>
    <s v="SQM"/>
    <s v="42.5"/>
    <s v="47.5"/>
    <x v="1"/>
    <m/>
    <s v="Not Required"/>
    <m/>
    <x v="0"/>
    <m/>
    <s v="OK"/>
    <s v="Existing on tower Actual - OML - 10.88 Sqm / MPT Colo Apps  - 2.35 Sqm / Mytel - 6.13 sqm / Increase RF Dimension and add RRU "/>
    <s v="OK"/>
    <m/>
    <m/>
    <s v="No"/>
    <s v="Strengthened Tower: OML+MYTEL+KSGM (OLD+NEW) = 100.4%_x000a_Strengthened Tower: OML+MYTEL+KSGM (OLD) = 97.9%"/>
    <s v="OK"/>
    <s v="2019-04-11"/>
    <m/>
    <m/>
    <s v="PE cap incr BB UG - Dep on new PE ordered Dec18 - adjust FC accord"/>
    <s v="OK"/>
    <s v="No"/>
    <s v="No action needed "/>
    <m/>
    <m/>
    <m/>
    <m/>
    <m/>
    <m/>
    <m/>
    <d v="2018-12-14T11:14:56"/>
    <d v="2018-12-17T08:53:30"/>
    <d v="2018-12-17T09:31:53"/>
    <d v="2018-12-14T11:14:56"/>
    <m/>
    <d v="2018-12-13T17:10:06"/>
    <x v="35"/>
    <n v="4.4114726851985324"/>
    <n v="0"/>
    <s v="No File"/>
    <s v="1-01-17017-001 (AWD00871)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7-001 (AWD00871) Application Rev 1.xlsx"/>
    <m/>
  </r>
  <r>
    <n v="3510"/>
    <x v="15"/>
    <x v="1"/>
    <x v="2"/>
    <s v="KCN00119"/>
    <x v="0"/>
    <s v="MPT  Phase 1b Colo"/>
    <s v="On Air"/>
    <s v="UPG _ v1"/>
    <s v="4"/>
    <x v="19"/>
    <n v="1.1080000000000001"/>
    <n v="1.52"/>
    <n v="3.1070000000000002"/>
    <s v="SQM"/>
    <s v="48"/>
    <s v="53"/>
    <x v="1"/>
    <m/>
    <s v="Not Required"/>
    <m/>
    <x v="0"/>
    <m/>
    <s v="OK"/>
    <s v="Existing on tower Actual - OML - 8.43 Sqm / MPT  - 3.03 Sqm / Mytel - 4.99 sqm / add RRU "/>
    <s v="OK"/>
    <m/>
    <m/>
    <s v="No"/>
    <s v="Strengthened Tower: OML+MYTEL+KSGM (OLD+NEW) = 92.4%_x000a_Strengthened Tower: OML+MYTEL+KSGM (OLD) = 91.7%"/>
    <s v="Not Required"/>
    <s v="N/A"/>
    <m/>
    <m/>
    <m/>
    <s v="OK"/>
    <s v="No"/>
    <s v="No action needed "/>
    <m/>
    <m/>
    <m/>
    <m/>
    <m/>
    <m/>
    <m/>
    <d v="2018-12-14T11:14:57"/>
    <m/>
    <d v="2018-12-17T13:27:23"/>
    <d v="2018-12-14T11:14:57"/>
    <m/>
    <d v="2018-12-13T17:10:09"/>
    <x v="37"/>
    <n v="4.7125037036967115"/>
    <n v="0"/>
    <s v="No File"/>
    <s v="1-01-01014-005 (KCN00119)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4-005 (KCN00119) Application Rev 4.xlsx"/>
    <m/>
  </r>
  <r>
    <n v="3511"/>
    <x v="15"/>
    <x v="1"/>
    <x v="2"/>
    <s v="KCN00119"/>
    <x v="0"/>
    <s v="MPT  Phase 1b Colo"/>
    <s v="On Air"/>
    <s v="Expansion_L2100"/>
    <s v="5"/>
    <x v="19"/>
    <n v="1.399"/>
    <n v="2.1989999999999998"/>
    <n v="3.2650000000000001"/>
    <s v="SQM"/>
    <s v="48"/>
    <s v="53"/>
    <x v="1"/>
    <m/>
    <s v="Not Required"/>
    <m/>
    <x v="0"/>
    <m/>
    <s v="OK"/>
    <s v="Existing on tower Actual - OML - 8.43 Sqm / MPT  - 3.03 Sqm / Mytel - 4.99 sqm / Add 1 RRU "/>
    <s v="OK"/>
    <m/>
    <m/>
    <s v="No"/>
    <s v="Strengthened Tower: OML+MYTEL+KSGM (OLD+NEW) = 92.5%_x000a_Strengthened Tower: OML+MYTEL+KSGM (OLD) = 92.4"/>
    <s v="Not Required"/>
    <s v="N/A"/>
    <m/>
    <m/>
    <m/>
    <s v="OK"/>
    <s v="No"/>
    <s v="No action needed "/>
    <m/>
    <m/>
    <m/>
    <m/>
    <m/>
    <m/>
    <m/>
    <d v="2018-12-14T11:14:57"/>
    <m/>
    <d v="2018-12-17T13:27:23"/>
    <d v="2018-12-14T11:14:57"/>
    <m/>
    <d v="2018-12-13T17:10:09"/>
    <x v="37"/>
    <n v="4.7125043982014176"/>
    <n v="0"/>
    <s v="No File"/>
    <s v="1-01-01014-005 (KCN00119) Application Rev 5.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4-005 (KCN00119) Application Rev 5.xlsx"/>
    <m/>
  </r>
  <r>
    <n v="3496"/>
    <x v="124"/>
    <x v="0"/>
    <x v="2"/>
    <s v="SGG00406"/>
    <x v="0"/>
    <s v="MPT  Phase 1a Colo"/>
    <s v="On Air"/>
    <s v="TS _ v1"/>
    <s v="0"/>
    <x v="20"/>
    <n v="1"/>
    <n v="1.4"/>
    <n v="6.52"/>
    <s v="EPA"/>
    <s v="36"/>
    <s v="41"/>
    <x v="1"/>
    <m/>
    <s v="Not Required"/>
    <m/>
    <x v="0"/>
    <m/>
    <s v="OK"/>
    <s v="Existing on tower - ( Assume ) TML with 5.65 EPA , MPT with 4.84 EPA - Add RRUand ODU"/>
    <s v="OK"/>
    <m/>
    <m/>
    <s v="No"/>
    <s v="Existing Tower: TML+MYTEL+KSGM (OLD+NEW) = 74.9%"/>
    <s v="OK"/>
    <m/>
    <m/>
    <m/>
    <m/>
    <s v="OK"/>
    <s v="No"/>
    <s v="No action needed "/>
    <m/>
    <m/>
    <m/>
    <m/>
    <m/>
    <m/>
    <m/>
    <d v="2018-12-12T13:52:41"/>
    <d v="2018-12-13T17:12:25"/>
    <d v="2018-12-13T10:09:25"/>
    <d v="2018-12-12T13:52:41"/>
    <m/>
    <d v="2018-12-12T13:01:19"/>
    <x v="36"/>
    <n v="2.7279530093001085"/>
    <n v="0"/>
    <s v="No File"/>
    <s v="ANSG_0483 (SGG00406)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83 (SGG00406) Application Rev 0.xlsx"/>
    <m/>
  </r>
  <r>
    <n v="3497"/>
    <x v="125"/>
    <x v="0"/>
    <x v="0"/>
    <s v="YGN00953"/>
    <x v="0"/>
    <s v="MPT  Phase 1a Colo"/>
    <s v="On Air"/>
    <s v="MS _ v1"/>
    <s v="0"/>
    <x v="20"/>
    <n v="2.16"/>
    <n v="2.7"/>
    <n v="5.41"/>
    <s v="EPA"/>
    <s v="18"/>
    <s v="23"/>
    <x v="1"/>
    <m/>
    <s v="Not Required"/>
    <m/>
    <x v="0"/>
    <m/>
    <s v="OK"/>
    <s v="Existing on tower - ( Assume ) TML with 5.67 EPA , OML with 9.80 EPA , MPT with 6.13 EPA -, Mytel with 2.91 EPA  , Amara  with 2.88 EPA ( Increase RF dimension and add RRU )"/>
    <s v="OK"/>
    <m/>
    <m/>
    <s v="No"/>
    <s v="EXISTING TOWER: TML+OML+KSGM+MYTEL+Amara(NEW)):  69.33%"/>
    <s v="OK"/>
    <m/>
    <m/>
    <m/>
    <m/>
    <s v="OK"/>
    <s v="No"/>
    <s v="No action needed "/>
    <m/>
    <m/>
    <m/>
    <m/>
    <m/>
    <m/>
    <m/>
    <d v="2018-12-12T13:52:41"/>
    <d v="2018-12-13T17:12:25"/>
    <d v="2018-12-13T15:07:07"/>
    <d v="2018-12-12T13:52:41"/>
    <m/>
    <d v="2018-12-13T15:23:16"/>
    <x v="36"/>
    <n v="2.7279540508970967"/>
    <n v="0"/>
    <s v="No File"/>
    <s v="AYYN_0300 (YGN00953)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300 (YGN00953) Application Rev 0.xlsx"/>
    <m/>
  </r>
  <r>
    <n v="3493"/>
    <x v="126"/>
    <x v="0"/>
    <x v="2"/>
    <s v="MDY00913"/>
    <x v="0"/>
    <s v="MPT  Phase 1a Colo"/>
    <s v="On Air"/>
    <s v="Refarming UL2100"/>
    <s v="0"/>
    <x v="21"/>
    <n v="1.399"/>
    <n v="2.1989999999999998"/>
    <n v="4.13"/>
    <s v="EPA"/>
    <s v="19"/>
    <s v="24"/>
    <x v="1"/>
    <m/>
    <s v="Not Required"/>
    <m/>
    <x v="0"/>
    <m/>
    <s v="OK"/>
    <s v="Existing on tower - ( Assume ) TML with 4.80 EPA , OML with 11.81 EPA , MPT with 3.58 EPA - Add RRU"/>
    <s v="OK"/>
    <m/>
    <m/>
    <s v="No"/>
    <s v="EXISTING TOWER: TML+OML+KSGM(OLD+NEW)):   86.85 %"/>
    <s v="OK"/>
    <m/>
    <m/>
    <m/>
    <m/>
    <s v="OK"/>
    <s v="No"/>
    <s v="No action needed "/>
    <m/>
    <m/>
    <m/>
    <m/>
    <m/>
    <m/>
    <m/>
    <d v="2018-12-12T11:20:36"/>
    <d v="2018-12-11T15:21:02"/>
    <d v="2018-12-12T14:40:41"/>
    <d v="2018-12-12T11:20:36"/>
    <m/>
    <d v="2018-12-11T10:25:40"/>
    <x v="38"/>
    <n v="2.4254366898021544"/>
    <n v="0"/>
    <s v="No File"/>
    <s v="ANMD_0022 (MDY00913)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022 (MDY00913) Application Rev 0.xlsx"/>
    <m/>
  </r>
  <r>
    <n v="3494"/>
    <x v="94"/>
    <x v="0"/>
    <x v="2"/>
    <s v="SGG00785"/>
    <x v="0"/>
    <s v="MPT  Phase 1a Colo"/>
    <s v="On Air"/>
    <s v="TS _ v1"/>
    <s v="2"/>
    <x v="21"/>
    <n v="1"/>
    <n v="1.4"/>
    <n v="4.51"/>
    <s v="EPA"/>
    <s v="36"/>
    <s v="41"/>
    <x v="1"/>
    <m/>
    <s v="Not Required"/>
    <m/>
    <x v="0"/>
    <m/>
    <s v="OK"/>
    <s v="Existing on tower - ( Assume ) TML with 7.55 EPA , MPT with 4.20 EPA - Add RRU"/>
    <s v="OK"/>
    <m/>
    <m/>
    <s v="No"/>
    <s v="Existing Tower: TML+KSGM (OLD+NEW) = 64.0%"/>
    <s v="OK"/>
    <m/>
    <m/>
    <m/>
    <m/>
    <s v="OK"/>
    <s v="No"/>
    <s v="No action needed "/>
    <m/>
    <m/>
    <m/>
    <m/>
    <m/>
    <m/>
    <m/>
    <d v="2018-12-12T11:20:36"/>
    <d v="2018-12-11T15:21:02"/>
    <d v="2018-12-12T14:10:44"/>
    <d v="2018-12-12T11:20:36"/>
    <m/>
    <d v="2018-12-18T12:19:41"/>
    <x v="39"/>
    <n v="7.5841695601993706"/>
    <n v="0"/>
    <s v="No File"/>
    <s v="ANSG_0454 (SGG0078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54 (SGG00785) Application Rev 2.xlsx"/>
    <m/>
  </r>
  <r>
    <n v="3495"/>
    <x v="127"/>
    <x v="1"/>
    <x v="1"/>
    <s v="MGW00780"/>
    <x v="0"/>
    <s v="MPT  Phase 1b Colo"/>
    <s v="RFI"/>
    <s v="Other"/>
    <s v="0"/>
    <x v="21"/>
    <n v="1"/>
    <n v="1.462"/>
    <m/>
    <s v="SQM"/>
    <s v="48"/>
    <s v="53"/>
    <x v="1"/>
    <m/>
    <s v="Not Required"/>
    <m/>
    <x v="1"/>
    <m/>
    <s v="Not Required"/>
    <m/>
    <s v="Not Required"/>
    <m/>
    <m/>
    <m/>
    <m/>
    <s v="OK"/>
    <m/>
    <m/>
    <m/>
    <m/>
    <s v="Not Required"/>
    <m/>
    <m/>
    <m/>
    <m/>
    <m/>
    <m/>
    <m/>
    <m/>
    <m/>
    <m/>
    <d v="2018-12-11T15:21:02"/>
    <m/>
    <m/>
    <m/>
    <m/>
    <x v="40"/>
    <n v="0.71463587960170116"/>
    <n v="0"/>
    <s v="No File"/>
    <s v="1-01-09022-005 (MGW00780)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22-005 (MGW00780) Application Rev 0.xlsx"/>
    <m/>
  </r>
  <r>
    <n v="3487"/>
    <x v="78"/>
    <x v="1"/>
    <x v="2"/>
    <s v="KCN00455"/>
    <x v="0"/>
    <s v="MPT  Phase 1b Colo"/>
    <s v="RFI"/>
    <s v="TS"/>
    <s v="1"/>
    <x v="22"/>
    <n v="1"/>
    <n v="1.462"/>
    <m/>
    <s v="SQM"/>
    <s v="21"/>
    <s v="26"/>
    <x v="1"/>
    <m/>
    <s v="Not Required"/>
    <m/>
    <x v="1"/>
    <m/>
    <s v="Not Required"/>
    <m/>
    <s v="Not Required"/>
    <m/>
    <m/>
    <m/>
    <m/>
    <s v="OK"/>
    <s v="1-2 weeks"/>
    <m/>
    <m/>
    <s v="upgrade DG to 20Kva"/>
    <s v="Not Required"/>
    <m/>
    <m/>
    <m/>
    <m/>
    <m/>
    <m/>
    <m/>
    <m/>
    <m/>
    <m/>
    <d v="2018-12-10T16:19:50"/>
    <m/>
    <m/>
    <m/>
    <m/>
    <x v="41"/>
    <n v="1.4839348379973671"/>
    <n v="0"/>
    <s v="No File"/>
    <s v="1-01-01010-012 (KCN0045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0-012 (KCN00455) Application Rev 1.xlsx"/>
    <m/>
  </r>
  <r>
    <n v="3488"/>
    <x v="128"/>
    <x v="1"/>
    <x v="0"/>
    <s v="AY0830"/>
    <x v="4"/>
    <s v="TML Phase 1 Colo"/>
    <s v="On Air"/>
    <s v="Add Equipment"/>
    <s v="1"/>
    <x v="22"/>
    <m/>
    <m/>
    <n v="4.6100000000000003"/>
    <s v="SQM"/>
    <s v="46"/>
    <s v="51"/>
    <x v="1"/>
    <m/>
    <s v="Not Required"/>
    <m/>
    <x v="1"/>
    <m/>
    <s v="OK"/>
    <s v="Existing on tower actual - OML - 9.82 sqm / TML - 4.50 Sqm - Decrease MW dimension "/>
    <s v="OK"/>
    <m/>
    <m/>
    <s v="No"/>
    <s v="Strengthened Tower(OP1+OP4(OLD+NEW)):   94.75%_x000a_Strengthened Tower(OP1+OP4(OLD)): 95.8  %"/>
    <s v="Not Required"/>
    <m/>
    <m/>
    <m/>
    <m/>
    <s v="OK"/>
    <s v="No"/>
    <s v="No action needed "/>
    <m/>
    <m/>
    <m/>
    <m/>
    <m/>
    <m/>
    <m/>
    <d v="2018-12-10T14:26:08"/>
    <m/>
    <d v="2018-12-10T16:49:35"/>
    <d v="2018-12-10T14:26:08"/>
    <m/>
    <m/>
    <x v="42"/>
    <n v="1.5889107639013673"/>
    <n v="0"/>
    <s v="No File"/>
    <s v="1-01-17003-008 (AY0830) Application Rev 1.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17003-008 (AY0830) Application Rev 1.xlsx"/>
    <m/>
  </r>
  <r>
    <n v="3489"/>
    <x v="45"/>
    <x v="1"/>
    <x v="2"/>
    <s v="KCN00442"/>
    <x v="0"/>
    <s v="MPT  Phase 1b Colo"/>
    <s v="RFI"/>
    <s v="Other"/>
    <s v="0"/>
    <x v="22"/>
    <n v="1"/>
    <n v="1.462"/>
    <m/>
    <s v="SQM"/>
    <s v="16"/>
    <s v="21"/>
    <x v="1"/>
    <m/>
    <s v="Not Required"/>
    <m/>
    <x v="1"/>
    <m/>
    <s v="Not Required"/>
    <m/>
    <s v="Not Required"/>
    <m/>
    <m/>
    <m/>
    <m/>
    <s v="OK"/>
    <s v="1-2 weeks"/>
    <m/>
    <m/>
    <s v="Add rectifier modules upgrade DG to 20Kva"/>
    <s v="Not Required"/>
    <m/>
    <m/>
    <m/>
    <m/>
    <m/>
    <m/>
    <m/>
    <m/>
    <m/>
    <m/>
    <d v="2018-12-10T16:19:50"/>
    <m/>
    <m/>
    <m/>
    <m/>
    <x v="41"/>
    <n v="1.4839356481024879"/>
    <n v="0"/>
    <s v="No File"/>
    <s v="1-01-01010-013 (KCN00442)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0-013 (KCN00442) Application Rev 0.xlsx"/>
    <m/>
  </r>
  <r>
    <n v="3490"/>
    <x v="129"/>
    <x v="0"/>
    <x v="2"/>
    <s v="MDYPGTG007ML"/>
    <x v="1"/>
    <s v="Amara Colocation"/>
    <s v="New Tenant"/>
    <s v="New Colocation"/>
    <s v="0"/>
    <x v="22"/>
    <m/>
    <n v="2"/>
    <n v="3"/>
    <s v="EPA"/>
    <s v="5"/>
    <s v="10"/>
    <x v="1"/>
    <m/>
    <s v="OK"/>
    <s v="26-Dec-18: Already 4 opco at site (TN/MPT/OML/Mytel) possible for lease hike during TI installtion "/>
    <x v="0"/>
    <m/>
    <s v="OK"/>
    <s v="Existing on tower - ( Assume ) TML with 4.96 EPA , OML with 8.95 EPA , MPT with 1.02 EPA , Mytel colo apps 4.07 EPA "/>
    <s v="OK"/>
    <m/>
    <m/>
    <s v="No"/>
    <s v="EXISTING TOWER: TML+OML+KSGM+MYTEL+Amara(NEW)):  86.79%"/>
    <s v="OK"/>
    <s v="1 week"/>
    <m/>
    <m/>
    <s v="AC connect"/>
    <s v="OK"/>
    <s v="Yes"/>
    <s v="If Amara can share the existing slab , no need to construct new slab- Space to reconfirm base on TSS "/>
    <m/>
    <m/>
    <m/>
    <m/>
    <m/>
    <m/>
    <m/>
    <d v="2018-12-10T14:26:08"/>
    <d v="2018-12-10T16:19:51"/>
    <d v="2018-12-11T16:31:14"/>
    <d v="2018-12-10T14:26:08"/>
    <d v="2018-12-26T14:29:55"/>
    <d v="2018-12-10T16:02:20"/>
    <x v="43"/>
    <n v="32.38287083330215"/>
    <n v="0"/>
    <s v="No File"/>
    <s v="ANMD_0169 (MDYPGTG007ML)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69 (MDYPGTG007ML) Application Rev 0.xlsx"/>
    <m/>
  </r>
  <r>
    <n v="3491"/>
    <x v="130"/>
    <x v="1"/>
    <x v="2"/>
    <s v="KCN00139"/>
    <x v="0"/>
    <s v="MPT  Phase 1b Colo"/>
    <s v="On Air"/>
    <s v="Other"/>
    <s v="1"/>
    <x v="22"/>
    <n v="1.39"/>
    <n v="1.7949999999999999"/>
    <m/>
    <s v="SQM"/>
    <s v="45"/>
    <s v="50"/>
    <x v="1"/>
    <m/>
    <s v="Not Required"/>
    <m/>
    <x v="1"/>
    <m/>
    <s v="Not Required"/>
    <m/>
    <s v="Not Required"/>
    <m/>
    <m/>
    <m/>
    <m/>
    <s v="OK"/>
    <s v="1-2 weeks"/>
    <m/>
    <m/>
    <s v="Add rectifier modules upgrade DG to 20Kva"/>
    <s v="Not Required"/>
    <m/>
    <m/>
    <m/>
    <m/>
    <m/>
    <m/>
    <m/>
    <m/>
    <m/>
    <m/>
    <d v="2018-12-10T16:19:51"/>
    <m/>
    <m/>
    <m/>
    <m/>
    <x v="41"/>
    <n v="1.4839370370027609"/>
    <n v="0"/>
    <s v="No File"/>
    <s v="1-01-01009-002 (KCN00139)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9-002 (KCN00139) Application Rev 1.xlsx"/>
    <m/>
  </r>
  <r>
    <n v="3492"/>
    <x v="131"/>
    <x v="0"/>
    <x v="2"/>
    <s v="MDY00607"/>
    <x v="0"/>
    <s v="MPT  Phase 1a Colo"/>
    <s v="On Air"/>
    <s v="Refarming UL2100"/>
    <s v="0"/>
    <x v="22"/>
    <n v="1.399"/>
    <n v="2.1989999999999998"/>
    <n v="4.13"/>
    <s v="EPA"/>
    <s v="45"/>
    <s v="50"/>
    <x v="1"/>
    <m/>
    <s v="Not Required"/>
    <m/>
    <x v="0"/>
    <m/>
    <s v="OK"/>
    <s v="Existing on tower - ( Assume ) TML with 5.75 EPA , MPT with 3.74 EPA , MPT with 1.02 EPA - Add RRU "/>
    <s v="OK"/>
    <m/>
    <m/>
    <s v="No"/>
    <s v="Existing Tower: TML+KSGM (OLD+NEW) = 90.2%"/>
    <s v="OK"/>
    <m/>
    <m/>
    <m/>
    <s v="Monitor battery back up,  BB @ EoL swap"/>
    <s v="OK"/>
    <s v="No"/>
    <s v="No action needed "/>
    <m/>
    <m/>
    <m/>
    <m/>
    <m/>
    <m/>
    <m/>
    <d v="2018-12-12T11:20:36"/>
    <d v="2018-12-11T15:21:02"/>
    <d v="2018-12-12T13:00:37"/>
    <d v="2018-12-12T11:20:36"/>
    <m/>
    <d v="2018-12-11T10:25:40"/>
    <x v="38"/>
    <n v="3.4254353009018814"/>
    <n v="0"/>
    <s v="No File"/>
    <s v="ANMD_0195 (MDY00607)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95 (MDY00607) Application Rev 0.xlsx"/>
    <m/>
  </r>
  <r>
    <n v="3483"/>
    <x v="132"/>
    <x v="0"/>
    <x v="0"/>
    <s v="YGN00526"/>
    <x v="0"/>
    <s v="MPT  Phase 1a Colo"/>
    <s v="On Air"/>
    <s v="MW Exp"/>
    <s v="1"/>
    <x v="23"/>
    <n v="3.28"/>
    <n v="4.0999999999999996"/>
    <n v="5"/>
    <s v="EPA"/>
    <s v="34"/>
    <s v="39"/>
    <x v="1"/>
    <m/>
    <s v="Not Required"/>
    <m/>
    <x v="1"/>
    <m/>
    <s v="OK"/>
    <s v="Existing on tower - ( Assume ) TML with 4.73 EPA , MPT with 5.34EPA , Mytel with 2.55EPA ( Decrease MW Dimension ) "/>
    <s v="OK"/>
    <m/>
    <m/>
    <s v="No"/>
    <s v="Total EPA is 4.86+2.55+4.73 =12.09 &lt; 25 EPA Design - OK (Preliminaly Tower Assessment), MPT is 4.86EPA Required"/>
    <s v="OK"/>
    <m/>
    <m/>
    <m/>
    <s v="Capacity available "/>
    <s v="OK"/>
    <s v="No"/>
    <s v="No action needed "/>
    <m/>
    <m/>
    <m/>
    <m/>
    <m/>
    <m/>
    <m/>
    <d v="2018-12-09T22:19:22"/>
    <d v="2018-12-10T16:19:49"/>
    <d v="2018-12-11T14:23:01"/>
    <d v="2018-12-09T22:19:22"/>
    <m/>
    <m/>
    <x v="44"/>
    <n v="4.6823525462968973"/>
    <n v="0"/>
    <s v="No File"/>
    <s v="AYYN_0225 (YGN00526)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225 (YGN00526) Application Rev 1.xlsx"/>
    <m/>
  </r>
  <r>
    <n v="3484"/>
    <x v="133"/>
    <x v="1"/>
    <x v="0"/>
    <s v="AWD00413"/>
    <x v="0"/>
    <s v="MPT  Phase 1b Colo"/>
    <s v="On Air"/>
    <s v="LTE"/>
    <s v="2"/>
    <x v="23"/>
    <n v="2.96"/>
    <n v="3.7"/>
    <m/>
    <s v="SQM"/>
    <s v="33"/>
    <s v="38"/>
    <x v="1"/>
    <m/>
    <s v="Not Required"/>
    <m/>
    <x v="1"/>
    <m/>
    <s v="Not Required"/>
    <m/>
    <s v="Not Required"/>
    <m/>
    <m/>
    <m/>
    <m/>
    <s v="OK"/>
    <s v="1-2 weeks"/>
    <m/>
    <m/>
    <s v="PE capacity expansion PE system to be re ordered"/>
    <s v="Not Required"/>
    <m/>
    <m/>
    <m/>
    <m/>
    <m/>
    <m/>
    <m/>
    <m/>
    <m/>
    <m/>
    <d v="2018-12-10T16:19:49"/>
    <m/>
    <m/>
    <m/>
    <m/>
    <x v="41"/>
    <n v="4.4839324073982425"/>
    <n v="0"/>
    <s v="No File"/>
    <s v="1-01-17019-002 (AWD0041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9-002 (AWD00413) Application Rev 2.xlsx"/>
    <m/>
  </r>
  <r>
    <n v="3485"/>
    <x v="134"/>
    <x v="1"/>
    <x v="0"/>
    <s v="AWD00287"/>
    <x v="0"/>
    <s v="MPT  Phase 1b Colo"/>
    <s v="On Air"/>
    <s v="LTE"/>
    <s v="3"/>
    <x v="23"/>
    <n v="2.96"/>
    <n v="3.7"/>
    <m/>
    <s v="SQM"/>
    <s v="48"/>
    <s v="53"/>
    <x v="1"/>
    <m/>
    <s v="Not Required"/>
    <m/>
    <x v="1"/>
    <m/>
    <s v="Not Required"/>
    <m/>
    <s v="Not Required"/>
    <m/>
    <m/>
    <m/>
    <m/>
    <s v="OK"/>
    <s v="1-2 weeks"/>
    <m/>
    <m/>
    <s v="PE capacity expansion PE system to be re ordered"/>
    <s v="Not Required"/>
    <m/>
    <m/>
    <m/>
    <m/>
    <m/>
    <m/>
    <m/>
    <m/>
    <m/>
    <m/>
    <d v="2018-12-10T16:19:49"/>
    <m/>
    <m/>
    <m/>
    <m/>
    <x v="41"/>
    <n v="4.4839334490970941"/>
    <n v="0"/>
    <s v="No File"/>
    <s v="1-01-17011-006 (AWD00287)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1-006 (AWD00287) Application Rev 3.xlsx"/>
    <m/>
  </r>
  <r>
    <n v="3486"/>
    <x v="135"/>
    <x v="1"/>
    <x v="0"/>
    <s v="TNY00361"/>
    <x v="0"/>
    <s v="MPT  Phase 1b Colo"/>
    <s v="RFI"/>
    <s v="Other"/>
    <s v=""/>
    <x v="23"/>
    <n v="1.5"/>
    <m/>
    <m/>
    <s v="SQM"/>
    <s v="40"/>
    <s v="45"/>
    <x v="1"/>
    <m/>
    <s v="Not Required"/>
    <m/>
    <x v="1"/>
    <m/>
    <s v="Not Required"/>
    <m/>
    <s v="Not Required"/>
    <m/>
    <m/>
    <m/>
    <m/>
    <s v="OK"/>
    <s v="2019-01-12"/>
    <m/>
    <m/>
    <s v="Needs PE system none installed  on site "/>
    <s v="Not Required"/>
    <m/>
    <m/>
    <m/>
    <m/>
    <m/>
    <m/>
    <m/>
    <m/>
    <m/>
    <m/>
    <d v="2018-12-17T08:53:29"/>
    <m/>
    <m/>
    <m/>
    <m/>
    <x v="45"/>
    <n v="10.411462500000198"/>
    <n v="0"/>
    <s v="No File"/>
    <s v="1-03-06008-014 (TNY00361)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3-06008-014 (TNY00361) Application Rev .xlsx"/>
    <m/>
  </r>
  <r>
    <n v="3477"/>
    <x v="54"/>
    <x v="0"/>
    <x v="2"/>
    <s v="MDYAMTZ010"/>
    <x v="1"/>
    <s v="Amara Colocation"/>
    <s v="New Tenant"/>
    <s v="New Colocation"/>
    <s v="0"/>
    <x v="24"/>
    <m/>
    <n v="2"/>
    <n v="3"/>
    <s v="EPA"/>
    <s v="23"/>
    <s v="27"/>
    <x v="1"/>
    <m/>
    <s v="Not Required"/>
    <s v="26-Dec-18: Re-negotation has to be done with owner as we have to install new slab for Amara. Note: Mytel is already present on the same roof."/>
    <x v="0"/>
    <m/>
    <s v="OK"/>
    <s v="Existing on tower - ( Assume ) TML with 4.10 EPA "/>
    <s v="OK"/>
    <m/>
    <m/>
    <s v="No"/>
    <s v="Total EPA is 4.10+3 =7.10 &lt; 10.5 EPA Design - OK (Preliminaly Tower Assessment), Amara 3.0EPA Required"/>
    <s v="OK"/>
    <s v="1-2 weeks"/>
    <m/>
    <m/>
    <s v="AC connect"/>
    <s v="OK"/>
    <s v="No"/>
    <s v="sharing on the existing slab "/>
    <m/>
    <m/>
    <m/>
    <m/>
    <m/>
    <m/>
    <m/>
    <d v="2018-12-06T11:57:01"/>
    <d v="2018-12-10T16:19:47"/>
    <d v="2018-12-07T10:06:44"/>
    <d v="2018-12-06T11:57:01"/>
    <m/>
    <d v="2018-12-10T16:02:19"/>
    <x v="46"/>
    <n v="42.75629224540171"/>
    <n v="1"/>
    <s v="No File"/>
    <s v="ANMD_0004 (MDYAMTZ010)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04 (MDYAMTZ010) Application Rev 0.xlsx"/>
    <m/>
  </r>
  <r>
    <n v="3478"/>
    <x v="136"/>
    <x v="0"/>
    <x v="2"/>
    <s v="MDYPGTG007"/>
    <x v="1"/>
    <s v="Amara Colocation"/>
    <s v="New Tenant"/>
    <s v="New Colocation"/>
    <s v="0"/>
    <x v="24"/>
    <m/>
    <n v="2"/>
    <n v="3"/>
    <s v="EPA"/>
    <s v="18"/>
    <s v="23"/>
    <x v="1"/>
    <m/>
    <s v="OK"/>
    <s v="26-Dec-18: Already 4 opco at site (TN/MPT/OML/Mytel) possible for lease hike during TI installtion "/>
    <x v="0"/>
    <m/>
    <s v="OK"/>
    <s v="Existing on tower - ( Assume ) TML with 4.83 EPA , OML with 9.22 EPA , MPT with 3.48 EPA ,Mytel with 5.467 EPA"/>
    <s v="OK"/>
    <m/>
    <m/>
    <s v="No"/>
    <s v="Total EPA is 17.53+3 =20.53 &lt; 25 EPA Design - OK (Preliminaly Tower Assessment), Amara 3.0EPA Required"/>
    <s v="OK"/>
    <s v="1-2 weeks"/>
    <m/>
    <m/>
    <s v="AC connect"/>
    <s v="OK"/>
    <s v="No"/>
    <s v="sharing on the existing slab "/>
    <m/>
    <m/>
    <m/>
    <m/>
    <m/>
    <m/>
    <m/>
    <d v="2018-12-06T11:57:01"/>
    <d v="2018-12-10T16:19:47"/>
    <d v="2018-12-07T10:06:45"/>
    <d v="2018-12-06T11:57:01"/>
    <d v="2018-12-26T14:29:55"/>
    <d v="2018-12-10T16:02:19"/>
    <x v="47"/>
    <n v="35.681592013897898"/>
    <n v="0"/>
    <s v="No File"/>
    <s v="ANMD_0173 (MDYPGTG007)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73 (MDYPGTG007) Application Rev 0.xlsx"/>
    <m/>
  </r>
  <r>
    <n v="3479"/>
    <x v="137"/>
    <x v="0"/>
    <x v="2"/>
    <s v="MDYPGTG010"/>
    <x v="1"/>
    <s v="Amara Colocation"/>
    <s v="New Tenant"/>
    <s v="New Colocation"/>
    <s v="0"/>
    <x v="24"/>
    <m/>
    <n v="2"/>
    <n v="3"/>
    <s v="EPA"/>
    <s v="22"/>
    <s v="25"/>
    <x v="1"/>
    <m/>
    <s v="OK"/>
    <s v="26-Dec-18: Okay for survey and TI installtion"/>
    <x v="0"/>
    <m/>
    <s v="OK"/>
    <s v="Existing on tower - ( Assume ) TML with 4.74 EPA "/>
    <s v="OK"/>
    <m/>
    <m/>
    <s v="No"/>
    <s v="Total EPA is 4.74+3 =7.74 &lt; 18 EPA Design - OK (Preliminaly Tower Assessment), Amara 3.0EPA Required"/>
    <s v="OK"/>
    <s v="1-2 weeks"/>
    <m/>
    <m/>
    <s v="AC connect"/>
    <s v="OK"/>
    <s v="No"/>
    <s v="sharing on the existing slab "/>
    <m/>
    <m/>
    <m/>
    <m/>
    <m/>
    <m/>
    <m/>
    <d v="2018-12-06T11:57:01"/>
    <d v="2018-12-10T16:19:48"/>
    <d v="2018-12-07T10:06:45"/>
    <d v="2018-12-06T11:57:01"/>
    <d v="2018-12-26T14:29:55"/>
    <d v="2018-12-10T16:02:20"/>
    <x v="47"/>
    <n v="35.681592708300741"/>
    <n v="0"/>
    <s v="No File"/>
    <s v="ANMD_0164 (MDYPGTG010)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64 (MDYPGTG010) Application Rev 0.xlsx"/>
    <m/>
  </r>
  <r>
    <n v="3480"/>
    <x v="138"/>
    <x v="0"/>
    <x v="2"/>
    <s v="MDYMHAM065"/>
    <x v="1"/>
    <s v="Amara Colocation"/>
    <s v="New Tenant"/>
    <s v="New Colocation"/>
    <s v="0"/>
    <x v="24"/>
    <m/>
    <n v="2"/>
    <n v="3"/>
    <s v="EPA"/>
    <s v="15"/>
    <s v="18"/>
    <x v="2"/>
    <m/>
    <s v="Review"/>
    <s v="26-Dec-18: Amara want to share a pole with MPT or not any new operator/ISP will incur an additional cost of 300,000 MMK/month"/>
    <x v="0"/>
    <m/>
    <s v="OK"/>
    <s v="Existing on tower - ( Assume ) TML with 3.93 EPA "/>
    <m/>
    <m/>
    <m/>
    <m/>
    <s v="Waiting for review TSS report"/>
    <s v="OK"/>
    <s v="1-2 weeks"/>
    <m/>
    <m/>
    <s v="AC connect"/>
    <s v="OK"/>
    <s v="No"/>
    <s v="sharing on the existing slab "/>
    <m/>
    <m/>
    <m/>
    <m/>
    <m/>
    <m/>
    <m/>
    <d v="2018-12-06T11:57:01"/>
    <d v="2018-12-10T16:19:48"/>
    <m/>
    <d v="2018-12-06T11:57:01"/>
    <m/>
    <d v="2018-12-28T11:38:00"/>
    <x v="48"/>
    <n v="35.703753472196695"/>
    <n v="0"/>
    <s v="No File"/>
    <s v="ANMD_0010 (MDYMHAM065)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10 (MDYMHAM065) Application Rev 0.xlsx"/>
    <m/>
  </r>
  <r>
    <n v="3481"/>
    <x v="139"/>
    <x v="1"/>
    <x v="2"/>
    <s v="MDYAMPR005"/>
    <x v="1"/>
    <s v="Amara Colocation"/>
    <s v="New Tenant"/>
    <s v="New Colocation"/>
    <s v="0"/>
    <x v="24"/>
    <m/>
    <n v="2"/>
    <n v="3"/>
    <s v="EPA"/>
    <s v="25"/>
    <s v="30"/>
    <x v="1"/>
    <m/>
    <s v="OK"/>
    <m/>
    <x v="0"/>
    <m/>
    <s v="OK"/>
    <s v="Existing on tower actual - OML - 6.70 sqm "/>
    <s v="OK"/>
    <m/>
    <m/>
    <s v="No"/>
    <s v="EXISTING TOWER(OP1+OP6(NEW)):   71.8%"/>
    <s v="OK"/>
    <s v="1-2 weeks"/>
    <m/>
    <m/>
    <s v="AC connect"/>
    <s v="OK"/>
    <s v="Yes"/>
    <s v="Need new slab "/>
    <m/>
    <m/>
    <m/>
    <m/>
    <m/>
    <m/>
    <m/>
    <d v="2018-12-07T08:37:19"/>
    <d v="2018-12-10T16:19:48"/>
    <d v="2018-12-10T10:50:56"/>
    <d v="2018-12-07T08:37:19"/>
    <d v="2019-01-07T15:45:47"/>
    <d v="2019-01-14T09:48:14"/>
    <x v="49"/>
    <n v="39.610190277802758"/>
    <n v="0"/>
    <s v="No File"/>
    <s v="1-01-10006-004 (MDYAMPR005)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0006-004 (MDYAMPR005) Application Rev 0.xlsx"/>
    <m/>
  </r>
  <r>
    <n v="3482"/>
    <x v="140"/>
    <x v="1"/>
    <x v="2"/>
    <s v="MDYAMPR007"/>
    <x v="1"/>
    <s v="Amarra Colocation"/>
    <s v="New Tenant"/>
    <s v="New Colocation"/>
    <s v="0"/>
    <x v="24"/>
    <m/>
    <n v="2"/>
    <n v="3"/>
    <s v="EPA"/>
    <s v="25"/>
    <s v="30"/>
    <x v="0"/>
    <m/>
    <s v="OK"/>
    <m/>
    <x v="0"/>
    <m/>
    <s v="Rejected"/>
    <s v="Requested space 25 -30 m is occupied by other operator - Highest Window Availablities - 21.5 -16.5"/>
    <m/>
    <m/>
    <m/>
    <m/>
    <m/>
    <s v="OK"/>
    <s v="1-2 weeks after approval"/>
    <m/>
    <m/>
    <s v="AC connect"/>
    <s v="OK"/>
    <s v="Yes"/>
    <s v="Need new slab "/>
    <m/>
    <m/>
    <m/>
    <m/>
    <m/>
    <m/>
    <m/>
    <m/>
    <d v="2018-12-10T16:19:48"/>
    <m/>
    <d v="2018-12-06T17:34:01"/>
    <d v="2019-01-07T15:45:48"/>
    <d v="2019-01-14T09:48:14"/>
    <x v="0"/>
    <n v="47.48191597222467"/>
    <n v="1"/>
    <s v="No File"/>
    <s v="1-01-10006-001 (MDYAMPR007)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0006-001 (MDYAMPR007) Application Rev 0.xlsx"/>
    <m/>
  </r>
  <r>
    <n v="3462"/>
    <x v="141"/>
    <x v="0"/>
    <x v="2"/>
    <s v="MDYAMPR004"/>
    <x v="1"/>
    <s v="Amara Colocation"/>
    <s v="New Tenant"/>
    <s v="New Colocation"/>
    <s v="0"/>
    <x v="25"/>
    <m/>
    <n v="2"/>
    <n v="3"/>
    <s v="EPA"/>
    <s v="35"/>
    <s v="40"/>
    <x v="1"/>
    <m/>
    <s v="OK"/>
    <s v="4-Dec-18: Considering this site as GBT okay to go ahead."/>
    <x v="0"/>
    <m/>
    <s v="OK"/>
    <s v="Existing on tower - ( Assume ) TML with 8.18 EPA "/>
    <s v="OK"/>
    <m/>
    <m/>
    <s v="No"/>
    <s v="Total EPA is 8.18+3 =11.18 &lt; 25 EPA Design - OK (Preliminaly Tower Assessment), Amara 3.0EPA Required"/>
    <s v="OK"/>
    <s v="WK50"/>
    <m/>
    <m/>
    <s v="AC connect"/>
    <s v="OK"/>
    <s v="No"/>
    <s v="sharing on the existing slab "/>
    <m/>
    <m/>
    <m/>
    <m/>
    <m/>
    <m/>
    <m/>
    <d v="2018-12-03T17:19:26"/>
    <d v="2018-12-05T12:10:21"/>
    <d v="2018-12-04T16:37:08"/>
    <d v="2018-12-04T11:34:09"/>
    <d v="2018-12-04T17:43:47"/>
    <d v="2018-12-03T16:51:47"/>
    <x v="50"/>
    <n v="4.3897280093005975"/>
    <n v="0"/>
    <s v="No File"/>
    <s v="ANMD_0069 (MDYAMPR004)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69 (MDYAMPR004) Application Rev 0.xlsx"/>
    <m/>
  </r>
  <r>
    <n v="3463"/>
    <x v="16"/>
    <x v="0"/>
    <x v="2"/>
    <s v="MDYAMPR011"/>
    <x v="1"/>
    <s v="Amara Colocation"/>
    <s v="New Tenant"/>
    <s v="New Colocation"/>
    <s v="0"/>
    <x v="25"/>
    <m/>
    <n v="1.9"/>
    <n v="3"/>
    <s v="EPA"/>
    <s v="20"/>
    <s v="25"/>
    <x v="1"/>
    <m/>
    <s v="OK"/>
    <s v="4-Dec-18: Considering this site as GBT okay to go ahead."/>
    <x v="0"/>
    <m/>
    <s v="OK"/>
    <s v="Existing on tower - ( Assume ) TML with 4.20 EPA "/>
    <s v="OK"/>
    <m/>
    <m/>
    <s v="No"/>
    <s v="Total EPA is 4.2+3 =7.2 &lt; 25 EPA Design - OK (Preliminaly Tower Assessment), Amara 3.0EPA Required"/>
    <s v="OK"/>
    <s v="WK50"/>
    <m/>
    <m/>
    <s v="AC connect"/>
    <s v="OK"/>
    <s v="No"/>
    <s v="sharing on the existing slab "/>
    <m/>
    <m/>
    <m/>
    <m/>
    <m/>
    <m/>
    <m/>
    <d v="2018-12-03T17:19:26"/>
    <d v="2018-12-05T12:10:21"/>
    <d v="2018-12-04T16:37:08"/>
    <d v="2018-12-04T11:34:09"/>
    <d v="2018-12-04T17:43:47"/>
    <d v="2018-12-03T16:51:47"/>
    <x v="50"/>
    <n v="4.3897284721970209"/>
    <n v="0"/>
    <s v="No File"/>
    <s v="ANMD_0066 (MDYAMPR011)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66 (MDYAMPR011) Application Rev 0.xlsx"/>
    <m/>
  </r>
  <r>
    <n v="3464"/>
    <x v="17"/>
    <x v="0"/>
    <x v="2"/>
    <s v="MDYAMPR012"/>
    <x v="1"/>
    <s v="Amara Colocation"/>
    <s v="New Tenant"/>
    <s v="New Colocation"/>
    <s v="0"/>
    <x v="25"/>
    <m/>
    <n v="2.5"/>
    <n v="3"/>
    <s v="EPA"/>
    <s v="20"/>
    <s v="25"/>
    <x v="1"/>
    <m/>
    <s v="OK"/>
    <s v="4-Dec-18: Considering this site as GBT okay to go ahead."/>
    <x v="0"/>
    <m/>
    <s v="OK"/>
    <s v="Existing on tower - ( Assume ) TML with 4.26 EPA "/>
    <s v="OK"/>
    <m/>
    <m/>
    <s v="No"/>
    <s v="Total EPA is 4.26+3 =7.26 &lt; 18 EPA Design - OK (Preliminaly Tower Assessment), Amara 3.0EPA Required"/>
    <s v="OK"/>
    <s v="WK50"/>
    <m/>
    <m/>
    <s v="AC connect "/>
    <s v="OK"/>
    <s v="No"/>
    <s v="sharing on the existing slab "/>
    <m/>
    <m/>
    <m/>
    <m/>
    <m/>
    <m/>
    <m/>
    <d v="2018-12-03T17:19:26"/>
    <d v="2018-12-05T12:10:21"/>
    <d v="2018-12-04T16:37:08"/>
    <d v="2018-12-04T11:34:09"/>
    <d v="2018-12-04T17:43:47"/>
    <d v="2018-12-03T16:51:47"/>
    <x v="50"/>
    <n v="4.3897299769014353"/>
    <n v="0"/>
    <s v="No File"/>
    <s v="ANMD_0067 (MDYAMPR012)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67 (MDYAMPR012) Application Rev 0.xlsx"/>
    <m/>
  </r>
  <r>
    <n v="3465"/>
    <x v="142"/>
    <x v="0"/>
    <x v="2"/>
    <s v="MDYAMPR013"/>
    <x v="1"/>
    <s v="Amara Colocation"/>
    <s v="New Tenant"/>
    <s v="New Colocation"/>
    <s v="0"/>
    <x v="25"/>
    <m/>
    <n v="2.5"/>
    <n v="3"/>
    <s v="EPA"/>
    <s v="25"/>
    <s v="30"/>
    <x v="1"/>
    <m/>
    <s v="OK"/>
    <s v="4-Dec-18: Considering this site as GBT okay to go ahead. But lese hike may raise while TI installation as already 3 opco exisiting on site."/>
    <x v="0"/>
    <m/>
    <s v="OK"/>
    <s v="Existing on tower - ( Assume ) TML with 4.38 EPA ,OML with 11.43 EPA , MPT with 1.02EPA"/>
    <s v="OK"/>
    <m/>
    <m/>
    <s v="No"/>
    <s v="Total EPA is 16.82+3 =19.82 &lt; 25 EPA Design - OK (Preliminaly Tower Assessment), Amara 3.0EPA Required"/>
    <s v="OK"/>
    <s v="WK50"/>
    <m/>
    <m/>
    <s v="AC connect"/>
    <s v="OK"/>
    <s v="No"/>
    <s v="sharing on the existing slab "/>
    <m/>
    <m/>
    <m/>
    <m/>
    <m/>
    <m/>
    <m/>
    <d v="2018-12-04T11:34:09"/>
    <d v="2018-12-05T12:10:21"/>
    <d v="2018-12-04T16:37:08"/>
    <d v="2018-12-04T11:34:09"/>
    <d v="2018-12-04T17:43:48"/>
    <d v="2018-12-03T16:51:47"/>
    <x v="50"/>
    <n v="4.3897309028034215"/>
    <n v="0"/>
    <s v="No File"/>
    <s v="ANMD_0070 (MDYAMPR013)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70 (MDYAMPR013) Application Rev 0.xlsx"/>
    <m/>
  </r>
  <r>
    <n v="3466"/>
    <x v="143"/>
    <x v="0"/>
    <x v="2"/>
    <s v="MDYAMPR014"/>
    <x v="1"/>
    <s v="Amara Colocation"/>
    <s v="New Tenant"/>
    <s v="New Colocation"/>
    <s v="0"/>
    <x v="25"/>
    <m/>
    <n v="2"/>
    <n v="3"/>
    <s v="EPA"/>
    <s v="30"/>
    <s v="35"/>
    <x v="1"/>
    <m/>
    <s v="OK"/>
    <s v="4-Dec-18: Considering this site as GBT okay to go ahead. But lese hike may raise while TI installation as already 3 opco exisiting on site."/>
    <x v="0"/>
    <m/>
    <s v="OK"/>
    <s v="Existing on tower - ( Assume ) TML with 4.38 EPA ,OML with 11.07 EPA "/>
    <s v="OK"/>
    <m/>
    <m/>
    <s v="No"/>
    <s v="Total EPA is 15.45+3 =18.45 &lt; 25 EPA Design - OK (Preliminaly Tower Assessment), Amara 3.0EPA Required"/>
    <s v="OK"/>
    <s v="WK50"/>
    <m/>
    <m/>
    <s v="AC connect "/>
    <s v="OK"/>
    <s v="No"/>
    <s v="sharing on the existing slab "/>
    <m/>
    <m/>
    <m/>
    <m/>
    <m/>
    <m/>
    <m/>
    <d v="2018-12-04T11:34:10"/>
    <d v="2018-12-05T12:10:21"/>
    <d v="2018-12-04T16:37:08"/>
    <d v="2018-12-04T11:34:10"/>
    <d v="2018-12-04T17:43:48"/>
    <d v="2018-12-03T16:51:47"/>
    <x v="50"/>
    <n v="4.3897325231009745"/>
    <n v="0"/>
    <s v="No File"/>
    <s v="ANMD_0071 (MDYAMPR014)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71 (MDYAMPR014) Application Rev 0.xlsx"/>
    <m/>
  </r>
  <r>
    <n v="3467"/>
    <x v="144"/>
    <x v="0"/>
    <x v="2"/>
    <s v="MDYAMPR015"/>
    <x v="1"/>
    <s v="Amara Colocation"/>
    <s v="New Tenant"/>
    <s v="New Colocation"/>
    <s v="0"/>
    <x v="25"/>
    <m/>
    <n v="2.5"/>
    <n v="3"/>
    <s v="EPA"/>
    <s v="29"/>
    <s v="32"/>
    <x v="1"/>
    <m/>
    <s v="OK"/>
    <s v="4-Dec-18: Considering this site as GBT okay to go ahead. But lese hike may raise while TI installation as already 3 opco exisiting on site."/>
    <x v="0"/>
    <m/>
    <s v="OK"/>
    <s v="Existing on tower - ( Assume ) TML with 6.29 EPA ,OML with 9.22 EPA , Mytel 5.47 EPA"/>
    <s v="OK"/>
    <m/>
    <m/>
    <s v="No"/>
    <s v="Total EPA is 15.51+3 =18.51 &lt; 25 EPA Design - OK (Preliminaly Tower Assessment), Amara 3.0EPA Required"/>
    <s v="OK"/>
    <s v="WK50"/>
    <m/>
    <m/>
    <s v="AC connect"/>
    <s v="OK"/>
    <s v="No"/>
    <s v="sharing on the existing slab "/>
    <m/>
    <m/>
    <m/>
    <m/>
    <m/>
    <m/>
    <m/>
    <d v="2018-12-04T11:34:10"/>
    <d v="2018-12-05T12:10:21"/>
    <d v="2018-12-04T16:37:08"/>
    <d v="2018-12-04T11:34:10"/>
    <d v="2018-12-04T17:43:48"/>
    <d v="2018-12-03T16:51:47"/>
    <x v="50"/>
    <n v="4.3897332175984047"/>
    <n v="0"/>
    <s v="No File"/>
    <s v="ANMD_0077 (MDYAMPR015)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77 (MDYAMPR015) Application Rev 0.xlsx"/>
    <m/>
  </r>
  <r>
    <n v="3468"/>
    <x v="145"/>
    <x v="0"/>
    <x v="2"/>
    <s v="MDYPGTG020"/>
    <x v="1"/>
    <s v="Amara Colocation"/>
    <s v="New Tenant"/>
    <s v="New Colocation"/>
    <s v="0"/>
    <x v="25"/>
    <m/>
    <n v="2"/>
    <n v="3"/>
    <s v="EPA"/>
    <s v="29"/>
    <s v="34"/>
    <x v="1"/>
    <m/>
    <s v="OK"/>
    <s v="4-Dec-18: Considering this site as GBT okay to go ahead."/>
    <x v="0"/>
    <m/>
    <s v="OK"/>
    <s v="Existing on tower - ( Assume ) TML with 3.93 EPA "/>
    <s v="OK"/>
    <m/>
    <m/>
    <s v="No"/>
    <s v="Total EPA is 3.93+3 =6.93 &lt; 25 EPA Design - OK (Preliminaly Tower Assessment), Amara 3.0EPA Required"/>
    <s v="OK"/>
    <s v="WK50"/>
    <m/>
    <m/>
    <s v="AC connect "/>
    <s v="OK"/>
    <s v="No"/>
    <s v="sharing on the existing slab "/>
    <m/>
    <m/>
    <m/>
    <m/>
    <m/>
    <m/>
    <m/>
    <d v="2018-12-04T11:34:10"/>
    <d v="2018-12-05T12:10:21"/>
    <d v="2018-12-04T16:37:09"/>
    <d v="2018-12-04T11:34:10"/>
    <d v="2018-12-04T17:43:49"/>
    <d v="2018-12-03T16:51:47"/>
    <x v="50"/>
    <n v="4.3897347222009557"/>
    <n v="0"/>
    <s v="No File"/>
    <s v="ANMD_0266 (MDYPGTG020)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266 (MDYPGTG020) Application Rev 0.xlsx"/>
    <m/>
  </r>
  <r>
    <n v="3469"/>
    <x v="18"/>
    <x v="0"/>
    <x v="2"/>
    <s v="MDYPGTG033"/>
    <x v="1"/>
    <s v="Amara Colocation"/>
    <s v="New Tenant"/>
    <s v="New Colocation"/>
    <s v="0"/>
    <x v="25"/>
    <m/>
    <n v="2"/>
    <n v="3"/>
    <s v="EPA"/>
    <s v="19"/>
    <s v="24"/>
    <x v="1"/>
    <m/>
    <s v="OK"/>
    <s v="4-Dec-18: Considering this site as GBT okay to go ahead."/>
    <x v="0"/>
    <m/>
    <s v="OK"/>
    <s v="Existing on tower - ( Assume ) TML with 4.56 EPA "/>
    <s v="OK"/>
    <m/>
    <m/>
    <s v="No"/>
    <s v="Total EPA is 4.56+3 =7.56 &lt; 18 EPA Design - OK (Preliminaly Tower Assessment), Amara 3.0EPA Required"/>
    <s v="OK"/>
    <s v="WK50"/>
    <m/>
    <m/>
    <s v="AC connect "/>
    <s v="OK"/>
    <s v="No"/>
    <s v="sharing on the existing slab "/>
    <m/>
    <m/>
    <m/>
    <m/>
    <m/>
    <m/>
    <m/>
    <d v="2018-12-04T11:34:10"/>
    <d v="2018-12-05T12:10:21"/>
    <d v="2018-12-04T16:37:09"/>
    <d v="2018-12-04T11:34:10"/>
    <d v="2018-12-04T17:43:49"/>
    <d v="2018-12-03T16:51:47"/>
    <x v="50"/>
    <n v="4.3897363426003722"/>
    <n v="0"/>
    <s v="No File"/>
    <s v="ANMD_0165 (MDYPGTG033)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65 (MDYPGTG033) Application Rev 0.xlsx"/>
    <m/>
  </r>
  <r>
    <n v="3470"/>
    <x v="146"/>
    <x v="0"/>
    <x v="2"/>
    <s v="MDYPGTG036"/>
    <x v="1"/>
    <s v="Amara Colocation"/>
    <s v="New Tenant"/>
    <s v="New Colocation"/>
    <s v="0"/>
    <x v="25"/>
    <m/>
    <n v="2"/>
    <n v="3"/>
    <s v="EPA"/>
    <s v="19"/>
    <s v="24"/>
    <x v="1"/>
    <m/>
    <s v="OK"/>
    <s v="4-Dec-18: Considering this site as GBT okay to go ahead."/>
    <x v="0"/>
    <m/>
    <s v="OK"/>
    <s v="Existing on tower - ( Assume ) TML with 6.77 EPA "/>
    <s v="OK"/>
    <m/>
    <m/>
    <s v="No"/>
    <s v="Total EPA is 6.77+3 =9.77 &lt; 18 EPA Design - OK (Preliminaly Tower Assessment), Amara 3.0EPA Required"/>
    <s v="OK"/>
    <s v="WK50"/>
    <m/>
    <m/>
    <s v="AC connect "/>
    <s v="OK"/>
    <s v="No"/>
    <s v="sharing on the existing slab "/>
    <m/>
    <m/>
    <m/>
    <m/>
    <m/>
    <m/>
    <m/>
    <d v="2018-12-04T11:34:10"/>
    <d v="2018-12-05T12:10:22"/>
    <d v="2018-12-04T16:37:09"/>
    <d v="2018-12-04T11:34:10"/>
    <d v="2018-12-04T17:43:49"/>
    <d v="2018-12-03T16:51:47"/>
    <x v="50"/>
    <n v="4.3897370370032149"/>
    <n v="0"/>
    <s v="No File"/>
    <s v="ANMD_0167 (MDYPGTG036)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67 (MDYPGTG036) Application Rev 0.xlsx"/>
    <m/>
  </r>
  <r>
    <n v="3471"/>
    <x v="19"/>
    <x v="0"/>
    <x v="2"/>
    <s v="MDYPGTG039"/>
    <x v="1"/>
    <s v="Amara Colocation"/>
    <s v="New Tenant"/>
    <s v="New Colocation"/>
    <s v="0"/>
    <x v="25"/>
    <m/>
    <n v="2.5"/>
    <n v="5"/>
    <s v="EPA"/>
    <s v="14"/>
    <s v="17"/>
    <x v="1"/>
    <m/>
    <s v="OK"/>
    <s v="4-Dec-18: Considering this site as GBT okay to go ahead."/>
    <x v="0"/>
    <m/>
    <s v="OK"/>
    <s v="Existing on tower - ( Assume ) TML with 5.10 EPA "/>
    <s v="OK"/>
    <m/>
    <m/>
    <s v="No"/>
    <s v="Total EPA is 8.69+5 =13.69 &lt; 18 EPA Design - OK (Preliminaly Tower Assessment), Amara 5.0EPA Required"/>
    <s v="OK"/>
    <s v="WK50"/>
    <m/>
    <m/>
    <s v="AC connect "/>
    <s v="OK"/>
    <s v="No"/>
    <s v="sharing on the existing slab "/>
    <m/>
    <m/>
    <m/>
    <m/>
    <m/>
    <m/>
    <m/>
    <d v="2018-12-04T11:34:10"/>
    <d v="2018-12-05T12:10:22"/>
    <d v="2018-12-04T16:37:09"/>
    <d v="2018-12-04T11:34:10"/>
    <d v="2018-12-04T17:43:49"/>
    <d v="2018-12-03T16:51:47"/>
    <x v="50"/>
    <n v="4.3897377315006452"/>
    <n v="0"/>
    <s v="No File"/>
    <s v="ANMD_0172 (MDYPGTG039)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72 (MDYPGTG039) Application Rev 0.xlsx"/>
    <m/>
  </r>
  <r>
    <n v="3472"/>
    <x v="105"/>
    <x v="0"/>
    <x v="0"/>
    <s v="AWD00530"/>
    <x v="0"/>
    <s v="MPT  Phase 1a Colo"/>
    <s v="On Air"/>
    <s v="TS _v1"/>
    <s v="2"/>
    <x v="25"/>
    <n v="1.44"/>
    <n v="1.8"/>
    <m/>
    <s v="EPA"/>
    <s v="30"/>
    <s v="35"/>
    <x v="1"/>
    <m/>
    <s v="OK"/>
    <s v="12-Dec-18: Okay for MPT upgrdation program as we don’t have any issue any site._x000a_4-Dec-18: MPT is already on air from 27-Feb-17, then why again its repeated for pre-validation"/>
    <x v="0"/>
    <m/>
    <s v="OK"/>
    <s v="Existing on tower - ( Assume ) TML with 5.74 EPA / OML with 9.87 EPA / MPT with 4.69 EPA - add ODU as per the actual on tower "/>
    <s v="OK"/>
    <m/>
    <m/>
    <s v="No"/>
    <s v="Existing Tower: OML+TML+KSGM (OLD+NEW) = FDN Unstale due to soil condition is submerged (Estimate volume of concrete = 16 cb.m;  exten pad of foundation to 9.6m)_x000a__x000a_Approved By Rudy per email on 17-Dec-2018."/>
    <s v="OK"/>
    <s v="WK50"/>
    <m/>
    <m/>
    <s v="AC connect"/>
    <s v="OK"/>
    <s v="No"/>
    <s v="No action needed "/>
    <m/>
    <m/>
    <m/>
    <m/>
    <m/>
    <m/>
    <m/>
    <d v="2018-12-04T11:34:10"/>
    <d v="2018-12-06T16:29:58"/>
    <d v="2018-12-17T15:36:47"/>
    <d v="2018-12-04T11:34:10"/>
    <d v="2018-12-10T11:37:46"/>
    <d v="2018-12-03T16:51:48"/>
    <x v="37"/>
    <n v="14.712499189801747"/>
    <n v="0"/>
    <s v="No File"/>
    <s v="ACAY_0122 (AWD0053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CAY_0122 (AWD00530) Application Rev 2.xlsx"/>
    <m/>
  </r>
  <r>
    <n v="3473"/>
    <x v="147"/>
    <x v="0"/>
    <x v="2"/>
    <s v="MDYPTGI008"/>
    <x v="1"/>
    <s v="Amara Colocation"/>
    <s v="New Tenant"/>
    <s v="New Colocation"/>
    <s v="0"/>
    <x v="25"/>
    <m/>
    <n v="2.5"/>
    <n v="3"/>
    <s v="EPA"/>
    <s v="15"/>
    <s v="20"/>
    <x v="1"/>
    <m/>
    <s v="Not Required"/>
    <s v="4-Dec-18: Has to reverifiy with owner and lease area and space._x000a_27-June-18: Lease hike approved by ATF by Managment for Mytel only_x000a_4-June-18: No reduction..the difficulty here is its a phase 1 site on which we have very little litigation leverage._x000a_16-May-18: owner on three occasions but he is adamant and resists any form of contract or mandate explanation. He demands an additional 300,000 MMK/M for Mytel only"/>
    <x v="0"/>
    <m/>
    <s v="OK"/>
    <s v="Existing on tower - ( Assume ) TML with 6.55 EPA "/>
    <s v="OK"/>
    <m/>
    <m/>
    <s v="No"/>
    <s v="Total EPA is 6.55+3 =9.55 &lt; 18 EPA Design - OK (Preliminaly Tower Assessment), Amara 3.0EPA Required"/>
    <s v="OK"/>
    <s v="WK50"/>
    <m/>
    <m/>
    <s v="AC connect"/>
    <s v="OK"/>
    <s v="No"/>
    <s v="sharing on the existing slab "/>
    <m/>
    <m/>
    <m/>
    <m/>
    <m/>
    <m/>
    <m/>
    <d v="2018-12-04T11:34:10"/>
    <d v="2018-12-06T16:29:58"/>
    <d v="2018-12-04T16:37:09"/>
    <d v="2018-12-04T11:34:10"/>
    <m/>
    <d v="2018-12-03T16:51:48"/>
    <x v="51"/>
    <n v="45.756289814802585"/>
    <n v="0"/>
    <s v="No File"/>
    <s v="ANMD_0153 (MDYPTGI008)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53 (MDYPTGI008) Application Rev 0.xlsx"/>
    <m/>
  </r>
  <r>
    <n v="3474"/>
    <x v="148"/>
    <x v="1"/>
    <x v="2"/>
    <s v="SGG00200"/>
    <x v="0"/>
    <s v="MPT  Phase 1b Colo"/>
    <s v="On Air"/>
    <s v="Exchange"/>
    <s v="3"/>
    <x v="25"/>
    <n v="1.329"/>
    <n v="2.1989999999999998"/>
    <m/>
    <s v="SQM"/>
    <s v="46.5-48.5"/>
    <s v="53-56"/>
    <x v="1"/>
    <m/>
    <s v="OK"/>
    <s v="Based on history, no issues noted"/>
    <x v="0"/>
    <m/>
    <s v="OK"/>
    <s v="Existing on tower actual - OML - 8.63 sqm  / MPT - 4.73 Sqm / TML - 3.51 Sqm /  / Added 1 RRU"/>
    <s v="OK"/>
    <m/>
    <m/>
    <s v="No"/>
    <s v="Strengthened Tower(OP1+OP4+OP3(OLD+NEW)): 100.6%_x000a_Strengthened Tower(OP1+OP4+OP3(OLD)): 98.6 %"/>
    <s v="OK"/>
    <s v="2018-12-31"/>
    <m/>
    <m/>
    <s v="Add rectifier modules, BB SOH check, monitor DG performance"/>
    <s v="OK"/>
    <s v="No"/>
    <s v="No action needed "/>
    <m/>
    <m/>
    <m/>
    <m/>
    <m/>
    <m/>
    <m/>
    <d v="2018-12-04T11:34:10"/>
    <d v="2018-12-17T08:53:29"/>
    <d v="2018-12-07T13:52:07"/>
    <d v="2018-12-04T11:34:10"/>
    <d v="2018-12-04T15:27:40"/>
    <d v="2018-12-03T16:40:44"/>
    <x v="45"/>
    <n v="14.411460879600781"/>
    <n v="0"/>
    <s v="No File"/>
    <s v="1-01-05012-001 (SGG0020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2-001 (SGG00200) Application Rev 3.xlsx"/>
    <m/>
  </r>
  <r>
    <n v="3475"/>
    <x v="149"/>
    <x v="1"/>
    <x v="2"/>
    <s v="SGG00236"/>
    <x v="0"/>
    <s v="MPT  Phase 1b Colo"/>
    <s v="On Air"/>
    <s v="LTE"/>
    <s v="3"/>
    <x v="25"/>
    <n v="2.673"/>
    <n v="4.556"/>
    <m/>
    <s v="SQM"/>
    <s v="46"/>
    <s v="51"/>
    <x v="1"/>
    <m/>
    <s v="OK"/>
    <s v="Based on history, no issues noted"/>
    <x v="0"/>
    <m/>
    <s v="OK"/>
    <s v="Existing on tower actual - OML - 7.72 sqm  / MPT - 4.67 Sqm actual and 7.24 sqm on previous colo apps  - Added RRU . "/>
    <s v="OK"/>
    <m/>
    <m/>
    <s v="No"/>
    <s v="EXISTING TOWER(OP1+OP3(OLD+NEW)):   89.1%_x000a_EXISTING TOWER(OP1+OP3(OLD)): 89.2  %"/>
    <s v="OK"/>
    <s v="2019-04-17"/>
    <m/>
    <m/>
    <s v="PE capacity expansion"/>
    <s v="OK"/>
    <s v="No"/>
    <s v="No action needed "/>
    <m/>
    <m/>
    <m/>
    <m/>
    <m/>
    <m/>
    <m/>
    <d v="2018-12-04T11:34:11"/>
    <d v="2018-12-17T08:53:29"/>
    <d v="2018-12-07T13:52:07"/>
    <d v="2018-12-04T11:34:11"/>
    <d v="2018-12-04T15:27:40"/>
    <d v="2018-12-03T16:40:45"/>
    <x v="45"/>
    <n v="14.41146168980049"/>
    <n v="0"/>
    <s v="No File"/>
    <s v="1-01-05009-003 (SGG00236)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9-003 (SGG00236) Application Rev 3.xlsx"/>
    <m/>
  </r>
  <r>
    <n v="3453"/>
    <x v="150"/>
    <x v="1"/>
    <x v="1"/>
    <s v="CHN00147"/>
    <x v="0"/>
    <s v="MPT  Phase 1b Colo"/>
    <s v="On Air"/>
    <s v="MW Exp"/>
    <s v="1"/>
    <x v="26"/>
    <n v="1"/>
    <n v="1.44"/>
    <n v="2.82"/>
    <s v="SQM"/>
    <s v="48"/>
    <s v="53"/>
    <x v="1"/>
    <m/>
    <s v="OK"/>
    <s v="Based on history, no issues noted"/>
    <x v="0"/>
    <m/>
    <s v="OK"/>
    <s v="Existing on tower actual - OML - 6.63 sqm  / MPT - 2.41 Sqm actual and 3.18sqm for Colo Apps  /Decrease MW Dimension "/>
    <s v="OK"/>
    <m/>
    <m/>
    <s v="No"/>
    <s v="Strengthened Tower(OP1+OP3(OLD+NEW)): 92.4%_x000a_Strengthened Tower(OP1+OP3(OLD)): 95.1 %"/>
    <s v="OK"/>
    <m/>
    <m/>
    <m/>
    <m/>
    <s v="OK"/>
    <s v="No"/>
    <s v="No action needed "/>
    <m/>
    <m/>
    <m/>
    <m/>
    <m/>
    <m/>
    <m/>
    <d v="2018-12-03T14:46:27"/>
    <d v="2018-12-05T15:19:16"/>
    <d v="2018-12-06T16:55:54"/>
    <d v="2018-12-03T14:46:27"/>
    <d v="2018-12-04T15:27:38"/>
    <d v="2018-11-30T16:11:53"/>
    <x v="52"/>
    <n v="7.4197810184996342"/>
    <n v="0"/>
    <s v="No File"/>
    <s v="1-01-04002-004 (CHN00147)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4002-004 (CHN00147) Application Rev 1.xlsx"/>
    <m/>
  </r>
  <r>
    <n v="3454"/>
    <x v="151"/>
    <x v="1"/>
    <x v="1"/>
    <s v="MGW00400"/>
    <x v="0"/>
    <s v="MPT  Phase 1b Colo"/>
    <s v="On Air"/>
    <s v="TS _ v1"/>
    <s v="2"/>
    <x v="26"/>
    <n v="1"/>
    <n v="1.4"/>
    <n v="3.59"/>
    <s v="SQM"/>
    <s v="41.5"/>
    <s v="46.5"/>
    <x v="1"/>
    <m/>
    <s v="OK"/>
    <s v="Based on history, no issues noted"/>
    <x v="0"/>
    <m/>
    <s v="OK"/>
    <s v="Existing on tower actual - OML - 8.34 sqm  / MPT - 3.59 Sqm / Change MW and RF height "/>
    <s v="OK"/>
    <m/>
    <m/>
    <s v="No"/>
    <s v="EXISTING TOWER(OP1+OP3(OLD+NEW)):   83.1%_x000a_EXISTING TOWER(OP1+OP3(OLD)):    83.1 %"/>
    <s v="OK"/>
    <s v="2019-01-10"/>
    <m/>
    <m/>
    <s v="Add Rect mods, increase BB cap, DG UG"/>
    <s v="OK"/>
    <s v="No"/>
    <s v="No action needed "/>
    <m/>
    <m/>
    <m/>
    <m/>
    <m/>
    <m/>
    <m/>
    <d v="2018-12-03T14:46:27"/>
    <d v="2018-12-17T08:53:29"/>
    <d v="2018-12-06T11:51:54"/>
    <d v="2018-12-03T14:46:27"/>
    <d v="2018-12-04T15:27:38"/>
    <d v="2018-11-30T16:11:53"/>
    <x v="45"/>
    <n v="17.41145844910352"/>
    <n v="0"/>
    <s v="No File"/>
    <s v="1-01-08009-002 (MGW0040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8009-002 (MGW00400) Application Rev 2.xlsx"/>
    <m/>
  </r>
  <r>
    <n v="3455"/>
    <x v="116"/>
    <x v="1"/>
    <x v="1"/>
    <s v="MGW00413"/>
    <x v="0"/>
    <s v="MPT  Phase 1b Colo"/>
    <s v="On Air"/>
    <s v="TS _ v1"/>
    <s v="1"/>
    <x v="26"/>
    <n v="1"/>
    <n v="1.4"/>
    <n v="4.29"/>
    <s v="SQM"/>
    <s v="43"/>
    <s v="48"/>
    <x v="1"/>
    <m/>
    <s v="OK"/>
    <s v="Based on history, no issues noted"/>
    <x v="0"/>
    <m/>
    <s v="OK"/>
    <s v="Existing on tower actual - OML - 8.34 sqm  / MPT - 3.52 Sqm / change MW and ODU height "/>
    <s v="OK"/>
    <m/>
    <m/>
    <s v="No"/>
    <s v="EXISTING TOWER(OP1+OP3(OLD+NEW)):   88.7%_x000a_EXISTING TOWER(OP1+OP3(OLD)):   89.1%"/>
    <s v="OK"/>
    <m/>
    <m/>
    <m/>
    <m/>
    <s v="OK"/>
    <s v="No"/>
    <s v="No action needed "/>
    <m/>
    <m/>
    <m/>
    <m/>
    <m/>
    <m/>
    <m/>
    <d v="2018-12-03T14:46:27"/>
    <d v="2018-12-06T10:16:22"/>
    <d v="2018-12-06T11:51:55"/>
    <d v="2018-12-03T14:46:27"/>
    <d v="2018-12-04T15:27:38"/>
    <d v="2018-11-30T16:11:53"/>
    <x v="52"/>
    <n v="7.4197822916976293"/>
    <n v="0"/>
    <s v="No File"/>
    <s v="1-01-09017-004 (MGW00413)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17-004 (MGW00413) Application Rev 1.xlsx"/>
    <m/>
  </r>
  <r>
    <n v="3456"/>
    <x v="152"/>
    <x v="1"/>
    <x v="2"/>
    <s v="SGG00209"/>
    <x v="0"/>
    <s v="MPT  Phase 1b Colo"/>
    <s v="On Air"/>
    <s v="LTE"/>
    <s v="2"/>
    <x v="26"/>
    <n v="2.0590000000000002"/>
    <n v="3.5489999999999999"/>
    <n v="5.56"/>
    <s v="SQM"/>
    <s v="48"/>
    <s v="53"/>
    <x v="1"/>
    <m/>
    <s v="OK"/>
    <s v="Based on history, no issues noted"/>
    <x v="0"/>
    <m/>
    <s v="OK"/>
    <s v="Existing on tower actual - OML - 7.23 sqm  / MPT - 3.70 Sqm / Increase RF dimension and add RRU "/>
    <s v="OK"/>
    <m/>
    <m/>
    <s v="No"/>
    <s v="EXISTING TOWER(OP1+OP4+OP3(OLD+NEW)):   92.7%_x000a_EXISTING TOWER(OP1+OP4+OP3(OLD)):   91.4 %"/>
    <s v="OK"/>
    <s v="Wk52"/>
    <m/>
    <m/>
    <s v="Add rectifier modules, Swap DG, BB SOH check "/>
    <s v="OK"/>
    <s v="No"/>
    <s v="No action needed "/>
    <m/>
    <m/>
    <m/>
    <m/>
    <m/>
    <m/>
    <m/>
    <d v="2018-12-03T14:46:27"/>
    <d v="2018-12-06T10:16:22"/>
    <d v="2018-12-06T16:55:55"/>
    <d v="2018-12-03T14:46:27"/>
    <d v="2018-12-04T15:27:38"/>
    <d v="2018-11-30T16:11:54"/>
    <x v="52"/>
    <n v="7.419782986100472"/>
    <n v="0"/>
    <s v="No File"/>
    <s v="1-01-05010-002 (SGG00209)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0-002 (SGG00209) Application Rev 2.xlsx"/>
    <m/>
  </r>
  <r>
    <n v="3457"/>
    <x v="37"/>
    <x v="1"/>
    <x v="2"/>
    <s v="SGG00219"/>
    <x v="0"/>
    <s v="MPT  Phase 1b Colo"/>
    <s v="On Air"/>
    <s v="TS _ v1"/>
    <s v="2"/>
    <x v="26"/>
    <n v="1"/>
    <n v="1.462"/>
    <n v="4.24"/>
    <s v="SQM"/>
    <s v="48"/>
    <s v="53"/>
    <x v="1"/>
    <m/>
    <s v="OK"/>
    <s v="Based on history, no issues noted"/>
    <x v="0"/>
    <m/>
    <s v="OK"/>
    <s v="Existing on tower actual - OML - 7.72 sqm  / MPT - 4.16 Sqm / TML 2.83 /  Change RF and MW height "/>
    <s v="OK"/>
    <m/>
    <m/>
    <s v="No"/>
    <s v="EXISTING TOWER(OP1+OP4+OP3(OLD+NEW)):   102.3%_x000a_EXISTING TOWER(OP1+OP4+OP3(OLD)):   102.5 %"/>
    <s v="OK"/>
    <m/>
    <m/>
    <m/>
    <m/>
    <s v="OK"/>
    <s v="No"/>
    <s v="No action needed "/>
    <m/>
    <m/>
    <m/>
    <m/>
    <m/>
    <m/>
    <m/>
    <d v="2018-12-03T14:46:28"/>
    <d v="2018-12-06T16:29:56"/>
    <d v="2018-12-06T16:55:55"/>
    <d v="2018-12-03T14:46:28"/>
    <d v="2018-12-04T15:27:38"/>
    <d v="2018-11-30T16:11:54"/>
    <x v="52"/>
    <n v="7.4197839120024582"/>
    <n v="0"/>
    <s v="No File"/>
    <s v="1-01-05005-002 (SGG00219)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5-002 (SGG00219) Application Rev 2.xlsx"/>
    <m/>
  </r>
  <r>
    <n v="3458"/>
    <x v="153"/>
    <x v="1"/>
    <x v="2"/>
    <s v="SGG00232"/>
    <x v="0"/>
    <s v="MPT  Phase 1b Colo"/>
    <s v="On Air"/>
    <s v="LTE"/>
    <s v="3"/>
    <x v="26"/>
    <n v="2.0590000000000002"/>
    <n v="3.649"/>
    <n v="11.26"/>
    <s v="SQM"/>
    <s v="45.5"/>
    <s v="53.5"/>
    <x v="1"/>
    <m/>
    <s v="OK"/>
    <s v="Based on history, no issues noted"/>
    <x v="0"/>
    <m/>
    <s v="OK"/>
    <s v="Existing on tower actual - OML - 10.25 sqm  / MPT - 9.26 Sqm / Increase RF Dimension and "/>
    <s v="OK"/>
    <m/>
    <m/>
    <s v="No"/>
    <s v="EXISTING TOWER(OP1+OP3(OLD+NEW)):   103.1%_x000a_EXISTING TOWER(OP1+OP3(OLD)):  102.8%"/>
    <s v="OK"/>
    <s v="Wk52"/>
    <d v="1900-01-01T12:00:00"/>
    <m/>
    <s v="Add rectifier modules, BB SOH check "/>
    <s v="OK"/>
    <s v="No"/>
    <s v="No action needed "/>
    <m/>
    <m/>
    <m/>
    <m/>
    <m/>
    <m/>
    <m/>
    <d v="2018-12-03T14:46:28"/>
    <d v="2018-12-06T16:29:56"/>
    <d v="2018-12-05T16:58:47"/>
    <d v="2018-12-03T14:46:28"/>
    <d v="2018-12-04T15:27:39"/>
    <d v="2018-11-30T16:11:54"/>
    <x v="52"/>
    <n v="7.4197846064998885"/>
    <n v="0"/>
    <s v="No File"/>
    <s v="1-01-05010-006 (SGG00232)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0-006 (SGG00232) Application Rev 3.xlsx"/>
    <m/>
  </r>
  <r>
    <n v="3459"/>
    <x v="154"/>
    <x v="1"/>
    <x v="2"/>
    <s v="SGG00780"/>
    <x v="0"/>
    <s v="MPT  Phase 1b Colo"/>
    <s v="On Air"/>
    <s v="TS _ v1"/>
    <s v="2"/>
    <x v="26"/>
    <n v="1"/>
    <n v="1.4"/>
    <n v="3.56"/>
    <s v="SQM"/>
    <s v="48"/>
    <s v="53"/>
    <x v="1"/>
    <m/>
    <s v="OK"/>
    <s v="Based on history, no issues noted"/>
    <x v="0"/>
    <m/>
    <s v="OK"/>
    <s v="Existing on tower actual - OML - 10.25 sqm  / MPT - 3.56 Sqm / TML - 3.90 sqm- Change RF and MW height "/>
    <s v="OK"/>
    <m/>
    <m/>
    <s v="No"/>
    <s v="EXISTING TOWER(OP1+OP4+OP3(OLD+NEW)):   99.5%_x000a_EXISTING TOWER(OP1+OP4+OP3(OLD)):    92   %"/>
    <s v="OK"/>
    <m/>
    <m/>
    <m/>
    <m/>
    <s v="OK"/>
    <s v="No"/>
    <s v="No action needed "/>
    <m/>
    <m/>
    <m/>
    <m/>
    <m/>
    <m/>
    <m/>
    <d v="2018-12-03T14:46:28"/>
    <d v="2018-12-06T16:29:57"/>
    <d v="2018-12-05T16:58:47"/>
    <d v="2018-12-03T14:46:28"/>
    <d v="2018-12-04T15:27:39"/>
    <d v="2018-11-30T16:11:54"/>
    <x v="52"/>
    <n v="7.4197855324018747"/>
    <n v="0"/>
    <s v="No File"/>
    <s v="1-01-05007-006 (SGG0078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7-006 (SGG00780) Application Rev 2.xlsx"/>
    <m/>
  </r>
  <r>
    <n v="3460"/>
    <x v="63"/>
    <x v="1"/>
    <x v="2"/>
    <s v="SHN00051"/>
    <x v="0"/>
    <s v="MPT  Phase 1b Colo"/>
    <s v="On Air"/>
    <s v="TS _ v1"/>
    <s v="3"/>
    <x v="26"/>
    <n v="1"/>
    <n v="1.462"/>
    <n v="3.56"/>
    <s v="SQM"/>
    <s v="46"/>
    <s v="51"/>
    <x v="1"/>
    <m/>
    <s v="OK"/>
    <s v="Based on history, no issues noted"/>
    <x v="0"/>
    <m/>
    <s v="OK"/>
    <s v="Existing on tower actual - OML - 6.46 sqm  / MPT - 3.56 Sqm / TML - 3.51 sqm . Change RF and MW height "/>
    <s v="OK"/>
    <m/>
    <m/>
    <s v="No"/>
    <s v="EXISTING TOWER(OP1+OP4+OP3(OLD+NEW)):   93.7%_x000a_EXISTING TOWER(OP1+OP4+OP3(OLD)):    93.8  %"/>
    <s v="OK"/>
    <s v="2018-12-27"/>
    <m/>
    <m/>
    <s v="Add rectifier modules, BB SOH check, monitor DG performance"/>
    <s v="OK"/>
    <s v="No"/>
    <s v="No action needed "/>
    <m/>
    <m/>
    <m/>
    <m/>
    <m/>
    <m/>
    <m/>
    <d v="2018-12-03T14:46:29"/>
    <d v="2018-12-17T08:53:29"/>
    <d v="2018-12-05T16:58:47"/>
    <d v="2018-12-03T14:46:29"/>
    <d v="2018-12-04T15:27:39"/>
    <d v="2018-11-30T16:11:54"/>
    <x v="45"/>
    <n v="17.411459259303228"/>
    <n v="0"/>
    <s v="No File"/>
    <s v="1-01-15009-006 (SHN00051)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09-006 (SHN00051) Application Rev 3.xlsx"/>
    <m/>
  </r>
  <r>
    <n v="3461"/>
    <x v="120"/>
    <x v="1"/>
    <x v="2"/>
    <s v="SHN00053"/>
    <x v="0"/>
    <s v="MPT  Phase 1b Colo"/>
    <s v="On Air"/>
    <s v="TS _ v1"/>
    <s v="3"/>
    <x v="26"/>
    <n v="1"/>
    <n v="1.462"/>
    <n v="4.1900000000000004"/>
    <s v="SQM"/>
    <s v="44"/>
    <s v="49"/>
    <x v="1"/>
    <m/>
    <s v="OK"/>
    <s v="Based on history, no issues noted"/>
    <x v="0"/>
    <m/>
    <s v="OK"/>
    <s v="Existing on tower actual - OML - 11.16 sqm  / MPT - 3.52 Sqm Actual and 5.42 ( Colo Apps ) / Increase RF Dimension "/>
    <s v="OK"/>
    <m/>
    <m/>
    <s v="No"/>
    <s v="Strengthened Tower(OP1+OP3(OLD+NEW)): 95.3%_x000a_Strengthened Tower(OP1+OP3(OLD)): 99.9 %"/>
    <s v="OK"/>
    <s v="Wk52"/>
    <m/>
    <m/>
    <m/>
    <s v="OK"/>
    <s v="No"/>
    <s v="No action needed "/>
    <m/>
    <m/>
    <m/>
    <m/>
    <m/>
    <m/>
    <m/>
    <d v="2018-12-03T14:46:29"/>
    <d v="2018-12-06T16:29:57"/>
    <d v="2018-12-06T11:51:55"/>
    <d v="2018-12-03T14:46:29"/>
    <d v="2018-12-04T15:27:39"/>
    <d v="2018-11-30T16:11:54"/>
    <x v="53"/>
    <n v="7.4197872685035691"/>
    <n v="0"/>
    <s v="No File"/>
    <s v="1-01-15012-004 (SHN0005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2-004 (SHN00053) Application Rev 3.xlsx"/>
    <m/>
  </r>
  <r>
    <n v="3446"/>
    <x v="55"/>
    <x v="1"/>
    <x v="2"/>
    <s v="SHN00327"/>
    <x v="0"/>
    <s v="MPT  Phase 1b Colo"/>
    <s v="On Air"/>
    <s v="TS _ v1"/>
    <s v="2"/>
    <x v="27"/>
    <n v="1"/>
    <n v="1.4"/>
    <n v="3.56"/>
    <s v="SQM"/>
    <s v="46"/>
    <s v="51"/>
    <x v="1"/>
    <m/>
    <s v="OK"/>
    <s v="Based on history, no issues noted"/>
    <x v="0"/>
    <m/>
    <s v="OK"/>
    <s v="Existing on tower actual - OML - 11.75 sqm  / MPT - 3.56 Sqm / Change RF Height 49.5 to 50 m "/>
    <s v="OK"/>
    <m/>
    <m/>
    <s v="No"/>
    <s v="Strengthened Tower(OP1+OP3(OLD+NEW)): 95.1%_x000a_Strengthened Tower(OP1+OP3(OLD)): 95.1 %"/>
    <s v="OK"/>
    <m/>
    <m/>
    <m/>
    <s v="Site on grid - DG capacity UG to be confirmed grid avail to be monitored"/>
    <s v="OK"/>
    <s v="No"/>
    <s v="No action needed "/>
    <m/>
    <m/>
    <m/>
    <m/>
    <m/>
    <m/>
    <m/>
    <d v="2018-11-29T16:18:48"/>
    <d v="2018-11-29T15:03:12"/>
    <d v="2018-11-30T17:20:57"/>
    <d v="2018-11-29T16:18:48"/>
    <d v="2018-12-04T15:27:37"/>
    <d v="2018-11-29T11:20:33"/>
    <x v="54"/>
    <n v="7.6341701389028458"/>
    <n v="0"/>
    <s v="No File"/>
    <s v="1-01-15013-004 (SHN0032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4 (SHN00327) Application Rev 2.xlsx"/>
    <m/>
  </r>
  <r>
    <n v="3447"/>
    <x v="155"/>
    <x v="1"/>
    <x v="0"/>
    <s v="MON00311"/>
    <x v="0"/>
    <s v="MPT  Phase 1b Colo"/>
    <s v="On Air"/>
    <s v="LTE _ v1"/>
    <s v="1"/>
    <x v="27"/>
    <n v="3.36"/>
    <n v="4.2"/>
    <n v="3.98"/>
    <s v="SQM"/>
    <s v="4"/>
    <s v="9"/>
    <x v="1"/>
    <m/>
    <s v="OK"/>
    <s v="Based on history, no issues noted"/>
    <x v="0"/>
    <m/>
    <s v="OK"/>
    <s v="Existing on tower actual - OML - 8.01 sqm  / MPT - 2.56 Sqm / Increase RF dimension and add RRU ."/>
    <s v="OK"/>
    <m/>
    <m/>
    <s v="No"/>
    <s v="EXISTING TOWER(OP1+OP4+OP3(OLD+NEW)):    97%_x000a_EXISTING TOWER(OP1+OP4+OP3(OLD)):  94.4%"/>
    <s v="OK"/>
    <s v="2019-04-14"/>
    <m/>
    <m/>
    <s v="PE system upgrade - Dep on new PE ordered Dec18 - adjust FC accord"/>
    <s v="OK"/>
    <s v="No"/>
    <s v="No action needed "/>
    <m/>
    <m/>
    <m/>
    <m/>
    <m/>
    <m/>
    <m/>
    <d v="2018-11-29T16:18:48"/>
    <d v="2018-12-17T08:53:28"/>
    <d v="2018-11-30T17:20:57"/>
    <d v="2018-11-29T16:18:48"/>
    <d v="2018-12-04T15:27:37"/>
    <d v="2018-11-29T11:20:33"/>
    <x v="45"/>
    <n v="19.411454282402701"/>
    <n v="0"/>
    <s v="No File"/>
    <s v="1-01-11009-002 (MON00311)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1009-002 (MON00311) Application Rev 1.xlsx"/>
    <m/>
  </r>
  <r>
    <n v="3448"/>
    <x v="156"/>
    <x v="1"/>
    <x v="1"/>
    <s v="SHS00057"/>
    <x v="0"/>
    <s v="MPT  Phase 1b Colo"/>
    <s v="On Air"/>
    <s v="LTE _ v1"/>
    <s v="5"/>
    <x v="27"/>
    <n v="3.12"/>
    <n v="3.9"/>
    <n v="4.21"/>
    <s v="SQM"/>
    <s v="33"/>
    <s v="38"/>
    <x v="1"/>
    <m/>
    <s v="OK"/>
    <s v="Based on history, no issues noted"/>
    <x v="0"/>
    <m/>
    <s v="OK"/>
    <s v="Existing on tower actual - OML - 9.84 sqm  / MPT - 3.50 Sqm / TML - 3.00Sqm / Mytel Actual 1.73 - Colo apps 4.73 Sqm Increase RF dimension "/>
    <s v="OK"/>
    <m/>
    <m/>
    <s v="No"/>
    <s v="Strengthened Tower(OP1+OP4+OP5+OP3(OLD+NEW)): 99.4%_x000a_Strengthened Tower(OP1+OP4+OP5+OP3(OLD)): 99.5%"/>
    <s v="OK"/>
    <s v="2019-04-18"/>
    <m/>
    <m/>
    <s v="PE cap incr BB UG - Dep on new PE ordered Dec18 - adjust FC accord"/>
    <s v="OK"/>
    <s v="No"/>
    <s v="No action needed "/>
    <m/>
    <m/>
    <m/>
    <m/>
    <m/>
    <m/>
    <m/>
    <d v="2018-11-29T16:18:49"/>
    <d v="2018-12-17T08:53:28"/>
    <d v="2018-11-30T17:20:57"/>
    <d v="2018-11-29T16:18:49"/>
    <d v="2018-12-04T15:27:37"/>
    <d v="2018-11-29T11:20:33"/>
    <x v="45"/>
    <n v="19.411455208297411"/>
    <n v="0"/>
    <s v="No File"/>
    <s v="1-01-14001-015 (SHS00057) Application Rev 5.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15 (SHS00057) Application Rev 5.xlsx"/>
    <m/>
  </r>
  <r>
    <n v="3449"/>
    <x v="157"/>
    <x v="1"/>
    <x v="1"/>
    <s v="SHS00070"/>
    <x v="0"/>
    <s v="MPT  Phase 1b Colo"/>
    <s v="On Air"/>
    <s v="MS _ v1"/>
    <s v="4"/>
    <x v="27"/>
    <n v="2.3199999999999998"/>
    <n v="2.9"/>
    <n v="2.88"/>
    <s v="SQM"/>
    <s v="48"/>
    <s v="53"/>
    <x v="1"/>
    <m/>
    <s v="OK"/>
    <s v="Based on history, no issues noted"/>
    <x v="0"/>
    <m/>
    <s v="OK"/>
    <s v="Existing on tower actual - OML - 7.99 sqm  / MPT - 2.61 Sqm / Increase RF dimension and add RRU"/>
    <s v="OK"/>
    <m/>
    <m/>
    <s v="No"/>
    <s v="Strengthened Tower: OML+KSGM (OLD+NEW) = 100.3%_x000a_Strengthened Tower: OML+KSGM (OLD) = 95.8%"/>
    <s v="OK"/>
    <m/>
    <m/>
    <m/>
    <s v="existing load slpit 1.5KW "/>
    <s v="OK"/>
    <s v="No"/>
    <s v="No action needed "/>
    <m/>
    <m/>
    <m/>
    <m/>
    <m/>
    <m/>
    <m/>
    <d v="2018-11-29T16:18:49"/>
    <d v="2018-11-29T15:03:12"/>
    <d v="2018-11-30T10:41:46"/>
    <d v="2018-11-29T16:18:49"/>
    <d v="2018-12-04T15:27:38"/>
    <d v="2018-11-29T11:20:33"/>
    <x v="55"/>
    <n v="7.6341743055963889"/>
    <n v="0"/>
    <s v="No File"/>
    <s v="1-01-14001-026 (SHS00070)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26 (SHS00070) Application Rev 4.xlsx"/>
    <m/>
  </r>
  <r>
    <n v="3450"/>
    <x v="158"/>
    <x v="1"/>
    <x v="0"/>
    <s v="TNY00206"/>
    <x v="0"/>
    <s v="MPT  Phase 1b Colo"/>
    <s v="On Air"/>
    <s v="LTE _ v1"/>
    <s v="4"/>
    <x v="27"/>
    <n v="3.28"/>
    <n v="4.0999999999999996"/>
    <n v="4.42"/>
    <s v="SQM"/>
    <s v="44"/>
    <s v="49"/>
    <x v="1"/>
    <m/>
    <s v="OK"/>
    <s v="Based on history, no issues noted"/>
    <x v="0"/>
    <m/>
    <s v="OK"/>
    <s v="Existing on tower actual - OML - 7.16 sqm  / MPT - 3.14 Sqm / Mytel -1.47 actual . 4.07 Colo Apps - Increase RF Dimension and add RRU"/>
    <s v="OK"/>
    <m/>
    <m/>
    <s v="No"/>
    <s v="Existing Tower: OML+MYTEL+KSGM (OLD+NEW) = 96.0%_x000a_Existing Tower: OML+MYTEL+KSGM (OLD) = 91.5%"/>
    <s v="OK"/>
    <s v="2019-04-20"/>
    <m/>
    <m/>
    <s v="PE cap incr BB UG - Dep on new PE ordered Dec18 - adjust FC accord"/>
    <s v="OK"/>
    <s v="No"/>
    <s v="No action needed "/>
    <m/>
    <m/>
    <m/>
    <m/>
    <m/>
    <m/>
    <m/>
    <d v="2018-11-29T16:18:50"/>
    <d v="2018-12-17T08:53:28"/>
    <d v="2018-11-30T13:52:24"/>
    <d v="2018-11-29T16:18:50"/>
    <d v="2018-12-04T15:27:38"/>
    <d v="2018-11-29T11:20:33"/>
    <x v="45"/>
    <n v="19.411456481502682"/>
    <n v="0"/>
    <s v="No File"/>
    <s v="1-01-06002-003 (TNY00206)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2-003 (TNY00206) Application Rev 4.xlsx"/>
    <m/>
  </r>
  <r>
    <n v="3451"/>
    <x v="12"/>
    <x v="1"/>
    <x v="0"/>
    <s v="TNY00288"/>
    <x v="0"/>
    <s v="MPT  Phase 1b Colo"/>
    <s v="On Air"/>
    <s v="MS _ v1"/>
    <s v="4"/>
    <x v="27"/>
    <n v="1.92"/>
    <n v="2.4"/>
    <n v="3.72"/>
    <s v="SQM"/>
    <s v="21"/>
    <s v="26"/>
    <x v="1"/>
    <m/>
    <s v="OK"/>
    <s v="Based on history, no issues noted"/>
    <x v="0"/>
    <m/>
    <s v="OK"/>
    <s v="Existing on tower actual - OML - 6.00 sqm  / MPT - 2.90 Sqm - Add RRU "/>
    <s v="OK"/>
    <m/>
    <m/>
    <s v="No"/>
    <s v="Existing Tower: OML+KSGM (OLD+NEW) = 53.7%_x000a_Existing Tower: OML+KSGM (OLD) = 51.9%"/>
    <s v="OK"/>
    <s v="2019-04-15"/>
    <m/>
    <m/>
    <s v="PE capacity increase needed"/>
    <s v="OK"/>
    <s v="No"/>
    <s v="No action needed "/>
    <m/>
    <m/>
    <m/>
    <m/>
    <m/>
    <m/>
    <m/>
    <d v="2018-11-29T16:18:50"/>
    <d v="2018-12-17T08:53:28"/>
    <d v="2018-11-30T15:06:14"/>
    <d v="2018-11-29T16:18:50"/>
    <d v="2018-12-04T15:27:38"/>
    <d v="2018-11-29T11:20:33"/>
    <x v="45"/>
    <n v="19.411457754598814"/>
    <n v="1"/>
    <s v="No File"/>
    <s v="1-01-06001-002 (TNY00288)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1-002 (TNY00288) Application Rev 4.xlsx"/>
    <m/>
  </r>
  <r>
    <n v="3452"/>
    <x v="159"/>
    <x v="1"/>
    <x v="0"/>
    <s v="YGN00927"/>
    <x v="0"/>
    <s v="MPT  Phase 1b Colo"/>
    <s v="On Air"/>
    <s v="MS _ v1"/>
    <s v="2"/>
    <x v="27"/>
    <n v="2.16"/>
    <n v="2.7"/>
    <n v="3.47"/>
    <s v="SQM"/>
    <s v="33"/>
    <s v="38"/>
    <x v="1"/>
    <m/>
    <s v="OK"/>
    <s v="Based on history, no issues noted"/>
    <x v="0"/>
    <m/>
    <s v="OK"/>
    <s v="Existing on tower actual - OML - 7.44 sqm  / MPT - 2.56 Sqm / TML -3.30 actual -Increase RF Dimension and add  RRU ."/>
    <s v="OK"/>
    <m/>
    <m/>
    <s v="No"/>
    <s v="Existing Tower: OML+TML+KSGM (OLD+NEW) = 65.5%_x000a_Existing Tower: OML+TML+KSGM (OLD) = 62.0%"/>
    <s v="OK"/>
    <m/>
    <m/>
    <m/>
    <s v="Site on grid - DG capacity UG to be confirmed grid avail to be monitored"/>
    <s v="OK"/>
    <s v="No"/>
    <s v="No action needed "/>
    <m/>
    <m/>
    <m/>
    <m/>
    <m/>
    <m/>
    <m/>
    <d v="2018-11-29T16:18:51"/>
    <d v="2018-11-29T15:03:12"/>
    <d v="2018-11-30T17:12:35"/>
    <d v="2018-11-29T16:18:51"/>
    <d v="2018-12-04T15:27:38"/>
    <d v="2018-11-29T11:20:33"/>
    <x v="55"/>
    <n v="7.6341788193967659"/>
    <n v="0"/>
    <s v="No File"/>
    <s v="1-01-13004-006 (YGN0092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3004-006 (YGN00927) Application Rev 2.xlsx"/>
    <m/>
  </r>
  <r>
    <n v="3445"/>
    <x v="160"/>
    <x v="1"/>
    <x v="2"/>
    <s v="SG1093"/>
    <x v="4"/>
    <s v="TML Phase 1 Colo"/>
    <s v="On Air"/>
    <s v="Move Equipment"/>
    <s v="1"/>
    <x v="28"/>
    <m/>
    <m/>
    <n v="4.8"/>
    <s v="SQM"/>
    <s v="42.5"/>
    <s v="47.5"/>
    <x v="1"/>
    <m/>
    <s v="Not Required"/>
    <m/>
    <x v="0"/>
    <s v="OK"/>
    <s v="OK"/>
    <s v="Existing on tower actual - OML - 8.92sqm  / MPT - 4.49 Sqm / TML 3.23 Sqm / Decrease MW dimension "/>
    <s v="OK"/>
    <m/>
    <m/>
    <s v="No"/>
    <s v="EXISTING TOWER(OP1+OP3+OP4(OLD+NEW)):    103.5%_x000a_EXISTING TOWER(OP1+OP3+OP4(OLD)):  102.2%"/>
    <s v="Not Required"/>
    <m/>
    <m/>
    <m/>
    <m/>
    <s v="OK"/>
    <s v="No"/>
    <s v="No action needed "/>
    <m/>
    <m/>
    <m/>
    <m/>
    <m/>
    <m/>
    <m/>
    <d v="2018-11-27T15:09:04"/>
    <m/>
    <d v="2018-11-30T10:19:15"/>
    <d v="2018-11-27T15:09:04"/>
    <m/>
    <d v="2018-11-27T15:32:30"/>
    <x v="56"/>
    <n v="3.4300329860998318"/>
    <n v="0"/>
    <s v="No File"/>
    <s v="1-01-05007-011 (SG1093) Application Rev 1.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05007-011 (SG1093) Application Rev 1.xlsx"/>
    <m/>
  </r>
  <r>
    <n v="3435"/>
    <x v="161"/>
    <x v="1"/>
    <x v="2"/>
    <s v="SGG00215"/>
    <x v="0"/>
    <s v="MPT  Phase 1b Colo"/>
    <s v="On Air"/>
    <s v="LTE"/>
    <s v="1"/>
    <x v="29"/>
    <n v="2.0179999999999998"/>
    <n v="3.22"/>
    <n v="6.0659999999999998"/>
    <s v="SQM"/>
    <s v="48"/>
    <s v="53"/>
    <x v="1"/>
    <m/>
    <s v="OK"/>
    <s v="There should be no rental increase as PAT already granted rental increase sometime in Nov-14"/>
    <x v="0"/>
    <m/>
    <s v="OK"/>
    <s v="Existing on tower actual - OML - 9.75 Sqm / MPT - 3.68 Sqm / TML - 4.78 Sqm  - Increase RF dimension and Add MW and ODU , RRU "/>
    <s v="OK"/>
    <m/>
    <m/>
    <s v="No"/>
    <s v="EXISTING TOWER(OP1+OP4+OP3(OLD+NEW)):    98.5%_x000a_EXISTING TOWER(OP1+OP4+OP3(OLD)):  97.1%"/>
    <s v="OK"/>
    <s v="2019-01-20"/>
    <m/>
    <m/>
    <s v="PE system upgrade"/>
    <s v="OK"/>
    <s v="No"/>
    <s v="No action needed "/>
    <m/>
    <m/>
    <m/>
    <m/>
    <m/>
    <m/>
    <m/>
    <d v="2018-11-26T17:31:11"/>
    <d v="2018-12-17T08:53:28"/>
    <d v="2018-11-29T14:41:14"/>
    <d v="2018-11-26T17:31:11"/>
    <d v="2018-11-26T11:55:13"/>
    <d v="2018-11-26T20:15:00"/>
    <x v="57"/>
    <n v="21.389660300897958"/>
    <n v="0"/>
    <s v="No File"/>
    <s v="1-01-05011-004 (SGG0021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1-004 (SGG00215) Application Rev 1.xlsx"/>
    <m/>
  </r>
  <r>
    <n v="3436"/>
    <x v="162"/>
    <x v="1"/>
    <x v="2"/>
    <s v="SGG00233"/>
    <x v="0"/>
    <s v="MPT  Phase 1b Colo"/>
    <s v="On Air"/>
    <s v="Exchange"/>
    <s v="3"/>
    <x v="29"/>
    <n v="1.399"/>
    <n v="2.2610000000000001"/>
    <n v="2.87"/>
    <s v="SQM"/>
    <s v="48"/>
    <s v="53"/>
    <x v="1"/>
    <m/>
    <s v="OK"/>
    <s v="Based on history, no issues noted"/>
    <x v="0"/>
    <m/>
    <s v="OK"/>
    <s v="Existing on tower actual - OML - 9.49 Sqm / MPT - 2.69 Sqm / Mytel Colo Apps - 5.20Sqm  - add one RRU "/>
    <s v="OK"/>
    <m/>
    <m/>
    <s v="No"/>
    <s v="EXISTING TOWER(OP1+OP3(OLD+NEW)):   93.7%_x000a_EXISTING TOWER(OP1+OP3(OLD)):   93.7%"/>
    <s v="OK"/>
    <s v="2019-01-07"/>
    <m/>
    <m/>
    <s v="PE system upgrade"/>
    <s v="OK"/>
    <s v="No"/>
    <s v="No action needed "/>
    <m/>
    <m/>
    <m/>
    <m/>
    <m/>
    <m/>
    <m/>
    <d v="2018-11-26T17:31:11"/>
    <d v="2018-12-17T08:53:28"/>
    <d v="2018-11-29T09:59:34"/>
    <d v="2018-11-26T17:31:11"/>
    <d v="2018-11-26T11:55:13"/>
    <d v="2018-11-26T20:15:00"/>
    <x v="57"/>
    <n v="21.389661458299088"/>
    <n v="0"/>
    <s v="No File"/>
    <s v="1-01-05010-004 (SGG0023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0-004 (SGG00233) Application Rev 3.xlsx"/>
    <m/>
  </r>
  <r>
    <n v="3437"/>
    <x v="163"/>
    <x v="1"/>
    <x v="2"/>
    <s v="KCN00372"/>
    <x v="0"/>
    <s v="MPT  Phase 1b Colo"/>
    <s v="On Air"/>
    <s v="LTE"/>
    <s v="3"/>
    <x v="29"/>
    <n v="1.9890000000000001"/>
    <n v="3.5489999999999999"/>
    <n v="4.54"/>
    <s v="SQM"/>
    <s v="45"/>
    <s v="50"/>
    <x v="1"/>
    <m/>
    <s v="OK"/>
    <s v="Based on history, no issues noted"/>
    <x v="0"/>
    <m/>
    <s v="OK"/>
    <s v="Existing on tower actual - OML - 13.53 Sqm ( UE Top and Down - OML area 59.60 - 48 .60 )  / MPT - 3.07 Sqm / Mytel -1.74 Sqm  - Increase RF dimension and add RRU "/>
    <s v="OK"/>
    <m/>
    <m/>
    <s v="No"/>
    <s v="STR TOWER(OP1+OP5+OP3(OLD+NEW)): 95.95%_x000a_STR TOWER(OP1+OP5+OP3(OLD)):  91.6 %"/>
    <s v="OK"/>
    <s v="2019-01-08"/>
    <m/>
    <m/>
    <s v="PE system upgrade"/>
    <s v="OK"/>
    <s v="No"/>
    <s v="No action needed "/>
    <m/>
    <m/>
    <m/>
    <m/>
    <m/>
    <m/>
    <m/>
    <d v="2018-11-27T08:28:12"/>
    <d v="2018-12-17T08:53:28"/>
    <d v="2018-11-29T09:59:34"/>
    <d v="2018-11-27T08:28:12"/>
    <d v="2018-11-27T16:24:56"/>
    <d v="2018-11-26T20:15:01"/>
    <x v="57"/>
    <n v="21.389662268498796"/>
    <n v="0"/>
    <s v="No File"/>
    <s v="1-01-01002-008 (KCN00372)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2-008 (KCN00372) Application Rev 3.xlsx"/>
    <m/>
  </r>
  <r>
    <n v="3439"/>
    <x v="164"/>
    <x v="1"/>
    <x v="0"/>
    <s v="MON00275"/>
    <x v="0"/>
    <s v="MPT  Phase 1b Colo"/>
    <s v="On Air"/>
    <s v="UPG"/>
    <s v="3"/>
    <x v="29"/>
    <n v="1.68"/>
    <n v="2.1"/>
    <n v="4.59"/>
    <s v="SQM"/>
    <s v="46"/>
    <s v="51"/>
    <x v="1"/>
    <m/>
    <s v="OK"/>
    <s v="Based on history, no issues noted"/>
    <x v="0"/>
    <m/>
    <s v="OK"/>
    <s v="Existing on tower actual - OML - 9.33sqm  / MPT - 4.69 Sqm  - Decrease RF dimension and add RRU "/>
    <s v="OK"/>
    <m/>
    <m/>
    <s v="No"/>
    <s v="EXISTING TOWER(OP1+OP3(OLD+NEW)):   90.9%_x000a_EXISTING TOWER(OP1+OP3(OLD)):   91.3%"/>
    <s v="OK"/>
    <s v="2019-01-08"/>
    <m/>
    <m/>
    <s v="PE system upgrade"/>
    <s v="OK"/>
    <s v="No"/>
    <s v="No action needed "/>
    <m/>
    <m/>
    <m/>
    <m/>
    <m/>
    <m/>
    <m/>
    <d v="2018-11-27T08:28:12"/>
    <d v="2018-12-17T08:53:28"/>
    <d v="2018-11-29T09:59:34"/>
    <d v="2018-11-27T08:28:12"/>
    <d v="2018-11-27T16:24:56"/>
    <d v="2018-11-26T20:15:01"/>
    <x v="57"/>
    <n v="21.389663425899926"/>
    <n v="0"/>
    <s v="No File"/>
    <s v="1-01-11007-003 (MON00275)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1007-003 (MON00275) Application Rev 3.xlsx"/>
    <m/>
  </r>
  <r>
    <n v="3440"/>
    <x v="165"/>
    <x v="1"/>
    <x v="1"/>
    <s v="SHE00021"/>
    <x v="0"/>
    <s v="MPT  Phase 1b Colo"/>
    <s v="On Air"/>
    <s v="LTE"/>
    <s v="3"/>
    <x v="29"/>
    <n v="3.44"/>
    <n v="4.3"/>
    <n v="4.55"/>
    <s v="SQM"/>
    <s v="33"/>
    <s v="38"/>
    <x v="1"/>
    <m/>
    <s v="OK"/>
    <s v="Based on history, no issues noted"/>
    <x v="0"/>
    <m/>
    <s v="OK"/>
    <s v="Existing on tower actual - OML - 7.76sqm  / MPT - 2.61 Sqm  - Increase RF dimension and add RRU "/>
    <s v="OK"/>
    <m/>
    <m/>
    <s v="No"/>
    <s v="STR TOWER(OP1+OP3(OLD+NEW)): 84.8%_x000a_STR TOWER(OP1+OP3(OLD)): 80.5%"/>
    <s v="OK"/>
    <s v="2019-01-21"/>
    <m/>
    <m/>
    <s v="Site will require PE system capacity increase adding load will max current system, BB cap increase required"/>
    <s v="OK"/>
    <s v="No"/>
    <s v="No action needed "/>
    <m/>
    <m/>
    <m/>
    <m/>
    <m/>
    <m/>
    <m/>
    <d v="2018-11-27T09:22:12"/>
    <d v="2018-12-17T08:53:28"/>
    <d v="2018-11-29T14:41:15"/>
    <d v="2018-11-27T09:22:12"/>
    <d v="2018-11-27T16:24:56"/>
    <d v="2018-11-26T20:15:02"/>
    <x v="57"/>
    <n v="21.389664467598777"/>
    <n v="0"/>
    <s v="No File"/>
    <s v="1-01-16001-003 (SHE00021)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6001-003 (SHE00021) Application Rev 3.xlsx"/>
    <m/>
  </r>
  <r>
    <n v="3441"/>
    <x v="166"/>
    <x v="1"/>
    <x v="2"/>
    <s v="SHN00218"/>
    <x v="0"/>
    <s v="MPT  Phase 1b Colo"/>
    <s v="On Air"/>
    <s v="LTE"/>
    <s v="2"/>
    <x v="29"/>
    <n v="1.9890000000000001"/>
    <n v="3.6110000000000002"/>
    <n v="4.45"/>
    <s v="SQM"/>
    <s v="48"/>
    <s v="53"/>
    <x v="1"/>
    <m/>
    <s v="Not Required"/>
    <s v="Rental increase was granted sometime in August 2016, which doubled the initial agreed rate; LL/Lessor recently asking for 100k/month on top of the current rate of 400k/month"/>
    <x v="0"/>
    <m/>
    <s v="OK"/>
    <s v="Existing on tower actual - OML - 7.20sqm  / MPT - 2.61 Sqm  - Increase RF dimension and add RRU "/>
    <s v="OK"/>
    <m/>
    <m/>
    <s v="No"/>
    <s v="Strengthened Tower: OML+TML+MYTEL+KSGM (OLD+NEW) = 100.6%_x000a_Strengthened Tower: OML+TML+MYTEL+KSGM (OLD) = 90.8%"/>
    <s v="OK"/>
    <s v="2018-12-31"/>
    <m/>
    <m/>
    <s v="Okay short term DG 12Hrs NS, DG&amp;BB capacity increase required"/>
    <s v="OK"/>
    <s v="No"/>
    <s v="No action needed "/>
    <m/>
    <m/>
    <m/>
    <m/>
    <m/>
    <m/>
    <m/>
    <d v="2018-11-27T09:22:12"/>
    <d v="2018-12-17T08:53:28"/>
    <d v="2018-11-28T11:49:52"/>
    <d v="2018-11-27T09:22:12"/>
    <m/>
    <d v="2018-12-18T16:13:50"/>
    <x v="34"/>
    <n v="22.704516782403516"/>
    <n v="0"/>
    <s v="No File"/>
    <s v="1-01-15012-002 (SHN0021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2-002 (SHN00218) Application Rev 2.xlsx"/>
    <m/>
  </r>
  <r>
    <n v="3442"/>
    <x v="167"/>
    <x v="1"/>
    <x v="0"/>
    <s v="TNY00033"/>
    <x v="0"/>
    <s v="MPT  Phase 1b Colo"/>
    <s v="On Air"/>
    <s v="MS"/>
    <s v="5"/>
    <x v="29"/>
    <n v="2.64"/>
    <n v="3.3"/>
    <n v="4.4400000000000004"/>
    <s v="SQM"/>
    <s v="48"/>
    <s v="53"/>
    <x v="1"/>
    <m/>
    <s v="OK"/>
    <s v="Based on history, no issues noted"/>
    <x v="0"/>
    <m/>
    <s v="OK"/>
    <s v="Existing on tower actual - OML - 7.35sqm  / MPT - 4.10 Sqm / TML 4.64 Sqm / Mytel - 2.33 sqm - Increase RF dimension and add RRU "/>
    <s v="OK"/>
    <m/>
    <m/>
    <s v="No"/>
    <s v="Strengthened Tower: OML+TML+MYTEL+KSGM (OLD+NEW) = 98.1%_x000a_Strengthened Tower: OML+TML+MYTEL+KSGM (OLD) = 100.5%"/>
    <s v="OK"/>
    <s v="2019-04-01"/>
    <m/>
    <m/>
    <s v="PE system upgrade - Dep on new PE ordered Dec18 - adjust FC accord"/>
    <s v="OK"/>
    <s v="No"/>
    <s v="No action needed "/>
    <m/>
    <m/>
    <m/>
    <m/>
    <m/>
    <m/>
    <m/>
    <d v="2018-11-27T09:22:12"/>
    <d v="2018-12-17T08:53:28"/>
    <d v="2018-11-28T16:30:45"/>
    <d v="2018-11-27T09:22:12"/>
    <d v="2018-11-27T16:24:56"/>
    <d v="2018-11-26T20:15:03"/>
    <x v="57"/>
    <n v="21.38966631940275"/>
    <n v="0"/>
    <s v="No File"/>
    <s v="1-01-06008-002 (TNY00033) Application Rev 5.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8-002 (TNY00033) Application Rev 5.xlsx"/>
    <m/>
  </r>
  <r>
    <n v="3443"/>
    <x v="168"/>
    <x v="0"/>
    <x v="2"/>
    <s v="SGG00203"/>
    <x v="0"/>
    <s v="MPT  Phase 1a Colo"/>
    <s v="On Air"/>
    <s v="LTE"/>
    <s v="2"/>
    <x v="29"/>
    <n v="2.097"/>
    <n v="3.669"/>
    <n v="9.01"/>
    <s v="EPA"/>
    <s v="30"/>
    <s v="35"/>
    <x v="1"/>
    <m/>
    <s v="OK"/>
    <s v="Based on records, no issues noted"/>
    <x v="0"/>
    <s v="OK"/>
    <s v="OK"/>
    <s v="Existing on tower ( Assume ) - TML - 5.92 EPA  / MPT - 3.34 EPA / TML 4.64 Sqm / Mytel -5.47 EPA  - Increase RF dimension and add MW and RRU "/>
    <s v="OK"/>
    <m/>
    <m/>
    <s v="No"/>
    <s v="Existing Tower: TML+MYTEL+KSGM (OLD+NEW) = 68.6%"/>
    <s v="OK"/>
    <m/>
    <m/>
    <m/>
    <m/>
    <s v="OK"/>
    <s v="No"/>
    <s v="No action needed "/>
    <m/>
    <m/>
    <m/>
    <m/>
    <m/>
    <m/>
    <m/>
    <d v="2018-11-27T09:22:12"/>
    <d v="2018-11-27T17:50:08"/>
    <d v="2018-11-29T13:24:49"/>
    <d v="2018-11-27T15:09:04"/>
    <d v="2018-11-27T16:24:56"/>
    <d v="2018-11-27T15:32:30"/>
    <x v="58"/>
    <n v="3.5589003471977776"/>
    <n v="0"/>
    <s v="No File"/>
    <s v="ANSG_0393 (SGG0020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393 (SGG00203) Application Rev 2.xlsx"/>
    <m/>
  </r>
  <r>
    <n v="3444"/>
    <x v="169"/>
    <x v="0"/>
    <x v="2"/>
    <s v="MDY01695"/>
    <x v="0"/>
    <s v="MPT  Phase 1a B2S"/>
    <s v="RFI"/>
    <s v="BTS"/>
    <s v="0"/>
    <x v="29"/>
    <n v="0.98299999999999998"/>
    <n v="1.6779999999999999"/>
    <n v="3.91"/>
    <s v="EPA"/>
    <s v="45"/>
    <s v="50"/>
    <x v="1"/>
    <m/>
    <s v="OK"/>
    <s v="Based on records, no issues noted"/>
    <x v="0"/>
    <m/>
    <s v="OK"/>
    <s v="MPT BTS New Colo Application - For Regional Team - RF Pole to install and MW pole not require "/>
    <s v="OK"/>
    <m/>
    <m/>
    <s v="No"/>
    <s v="Existing Tower: KSGM (NEW) = 93.4%"/>
    <s v="OK"/>
    <m/>
    <m/>
    <m/>
    <m/>
    <s v="OK"/>
    <s v="Yes"/>
    <s v="Required to construct the Slab "/>
    <m/>
    <m/>
    <m/>
    <m/>
    <m/>
    <m/>
    <m/>
    <d v="2018-11-27T09:22:12"/>
    <d v="2018-11-27T17:50:09"/>
    <d v="2018-11-29T16:27:14"/>
    <d v="2018-11-27T09:22:12"/>
    <d v="2018-11-27T16:24:56"/>
    <d v="2018-11-26T19:55:45"/>
    <x v="59"/>
    <n v="3.6855792823989759"/>
    <n v="0"/>
    <s v="No File"/>
    <s v="ANMD_3001 (MDY01695)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3001 (MDY01695) Application Rev 0.xlsx"/>
    <m/>
  </r>
  <r>
    <n v="3429"/>
    <x v="152"/>
    <x v="1"/>
    <x v="2"/>
    <s v="SGG00209"/>
    <x v="0"/>
    <s v="MPT  Phase 1b Colo"/>
    <s v="On Air"/>
    <s v="TS _ v1"/>
    <s v="1"/>
    <x v="30"/>
    <n v="1"/>
    <n v="1.4"/>
    <n v="3.7429999999999999"/>
    <s v="SQM"/>
    <s v="48"/>
    <s v="53"/>
    <x v="1"/>
    <m/>
    <s v="OK"/>
    <s v="Based on history, no issues noted"/>
    <x v="0"/>
    <m/>
    <s v="OK"/>
    <s v="Existing on tower actual - OML - 7.23 Sqm / MPT - 3.70Sqm / TML Colo Apps - 3.90 Sqm  change RF and RRU height 51 to 51.5 as per actual "/>
    <s v="OK"/>
    <m/>
    <m/>
    <s v="No"/>
    <s v="Existing Tower: OML+TML+KSGM (OLD+NEW) = 88.3%_x000a_Existing Tower: OML+TML+KSGM (OLD) = 88.2%"/>
    <s v="OK"/>
    <m/>
    <m/>
    <m/>
    <s v="Monitor BB confirm EoL swap "/>
    <s v="OK"/>
    <s v="No"/>
    <s v="No action needed "/>
    <m/>
    <m/>
    <m/>
    <m/>
    <m/>
    <m/>
    <m/>
    <d v="2018-11-20T16:40:19"/>
    <d v="2018-11-20T16:45:28"/>
    <d v="2018-11-26T16:19:28"/>
    <d v="2018-11-20T16:40:19"/>
    <d v="2018-11-26T11:55:11"/>
    <d v="2018-11-26T20:14:58"/>
    <x v="60"/>
    <n v="6.843723842597683"/>
    <n v="0"/>
    <s v="No File"/>
    <s v="1-01-05010-002 (SGG00209)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0-002 (SGG00209) Application Rev 1.xlsx"/>
    <m/>
  </r>
  <r>
    <n v="3430"/>
    <x v="153"/>
    <x v="1"/>
    <x v="2"/>
    <s v="SGG00232"/>
    <x v="0"/>
    <s v="MPT  Phase 1b Colo"/>
    <s v="On Air"/>
    <s v="TS _ v1"/>
    <s v="2"/>
    <x v="30"/>
    <n v="1.1619999999999999"/>
    <n v="1.68"/>
    <n v="10.129"/>
    <s v="SQM"/>
    <s v="45.5"/>
    <s v="53.5"/>
    <x v="1"/>
    <m/>
    <s v="OK"/>
    <s v="Based on history, no issues noted"/>
    <x v="0"/>
    <m/>
    <s v="OK"/>
    <s v="Existing on tower actual -  OML 10.25 Sqm / MPT - 9.25 Sqm  - Add MW ( 2x0.6) and change RF and RRU height "/>
    <s v="OK"/>
    <m/>
    <m/>
    <s v="No"/>
    <s v="Existing Tower: OML+KSGM (OLD+NEW) = 100.7%_x000a_Existing Tower: OML+KSGM (OLD) = 101.0%"/>
    <s v="OK"/>
    <m/>
    <m/>
    <m/>
    <s v="Monitor BB confirm EoL swap "/>
    <s v="OK"/>
    <s v="No"/>
    <s v="No action needed "/>
    <m/>
    <m/>
    <m/>
    <m/>
    <m/>
    <m/>
    <m/>
    <d v="2018-11-20T16:40:19"/>
    <d v="2018-11-20T16:45:28"/>
    <d v="2018-11-27T11:33:31"/>
    <d v="2018-11-20T16:40:19"/>
    <d v="2018-11-26T11:55:11"/>
    <d v="2018-11-26T20:14:58"/>
    <x v="61"/>
    <n v="7.4816129629980423"/>
    <n v="0"/>
    <s v="No File"/>
    <s v="1-01-05010-006 (SGG0023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0-006 (SGG00232) Application Rev 2.xlsx"/>
    <m/>
  </r>
  <r>
    <n v="3431"/>
    <x v="149"/>
    <x v="1"/>
    <x v="2"/>
    <s v="SGG00236"/>
    <x v="0"/>
    <s v="MPT  Phase 1b Colo"/>
    <s v="On Air"/>
    <s v="TS _ v1"/>
    <s v="2"/>
    <x v="30"/>
    <n v="1"/>
    <n v="1.4"/>
    <n v="4.6900000000000004"/>
    <s v="SQM"/>
    <s v="46"/>
    <s v="51"/>
    <x v="1"/>
    <m/>
    <s v="OK"/>
    <s v="There should be no rental increase as PAT already granted rental increase sometime in Feb-17"/>
    <x v="0"/>
    <m/>
    <s v="OK"/>
    <s v="Existing on tower actual -  OML 7.72 Sqm / MPT - 4.67 actual   - Removed 1.8 MW ( the actual on tower )"/>
    <s v="OK"/>
    <m/>
    <m/>
    <s v="No"/>
    <s v="Existing Tower: OML+KSGM (OLD+NEW) = 87.6%_x000a_Existing Tower: OML+KSGM (OLD) = 87.9%"/>
    <s v="OK"/>
    <m/>
    <m/>
    <m/>
    <s v="Monitor BB confirm EoL swap "/>
    <s v="OK"/>
    <s v="No"/>
    <s v="No action needed "/>
    <m/>
    <m/>
    <m/>
    <m/>
    <m/>
    <m/>
    <m/>
    <d v="2018-11-20T16:40:19"/>
    <d v="2018-11-20T16:45:29"/>
    <d v="2018-11-27T13:51:26"/>
    <d v="2018-11-20T16:40:19"/>
    <d v="2018-11-26T11:55:12"/>
    <d v="2018-11-26T20:14:59"/>
    <x v="62"/>
    <n v="7.5773879629996372"/>
    <n v="0"/>
    <s v="No File"/>
    <s v="1-01-05009-003 (SGG00236)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9-003 (SGG00236) Application Rev 2.xlsx"/>
    <m/>
  </r>
  <r>
    <n v="3432"/>
    <x v="75"/>
    <x v="1"/>
    <x v="2"/>
    <s v="SHN00080"/>
    <x v="0"/>
    <s v="MPT  Phase 1b Colo"/>
    <s v="On Air"/>
    <s v="TS _ v1"/>
    <s v="2"/>
    <x v="30"/>
    <n v="1"/>
    <n v="1.462"/>
    <n v="3.72"/>
    <s v="SQM"/>
    <s v="48"/>
    <s v="53"/>
    <x v="1"/>
    <m/>
    <s v="OK"/>
    <s v="Based on history, no issues noted"/>
    <x v="0"/>
    <m/>
    <s v="OK"/>
    <s v="Existing on tower actual -   OML - 7.03sqm / KSGM -  3.72 sqm - Change RF and RRU height from 51 - 51.5"/>
    <s v="OK"/>
    <m/>
    <m/>
    <s v="No"/>
    <s v="EXISTING TOWER(OP1+OP3(OLD+NEW)):   93.2%_x000a_EXISTING TOWER(OP1+OP3(OLD)):   93.2%"/>
    <s v="OK"/>
    <m/>
    <m/>
    <m/>
    <s v="Monitor BB confirm EoL swap "/>
    <s v="OK"/>
    <s v="No"/>
    <s v="No action needed "/>
    <m/>
    <m/>
    <m/>
    <m/>
    <m/>
    <m/>
    <m/>
    <d v="2018-11-20T16:40:19"/>
    <d v="2018-11-20T16:45:29"/>
    <d v="2018-11-27T14:34:54"/>
    <d v="2018-11-20T16:40:19"/>
    <d v="2018-11-26T11:55:12"/>
    <d v="2018-11-26T20:14:59"/>
    <x v="63"/>
    <n v="7.6075696758998674"/>
    <n v="0"/>
    <s v="No File"/>
    <s v="1-01-14007-014 (SHN0008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14 (SHN00080) Application Rev 2.xlsx"/>
    <m/>
  </r>
  <r>
    <n v="3433"/>
    <x v="170"/>
    <x v="1"/>
    <x v="2"/>
    <s v="SHN00086"/>
    <x v="0"/>
    <s v="MPT  Phase 1b Colo"/>
    <s v="On Air"/>
    <s v="LTE"/>
    <s v="2"/>
    <x v="30"/>
    <n v="2.0590000000000002"/>
    <n v="3.6110000000000002"/>
    <n v="4.51"/>
    <s v="SQM"/>
    <s v="48"/>
    <s v="53"/>
    <x v="1"/>
    <m/>
    <s v="OK"/>
    <s v="Based on history, no issues noted"/>
    <x v="0"/>
    <m/>
    <s v="OK"/>
    <s v="Existing on tower actual -   OML - 11.02sqm ( UE Split -59.50 - 54.00 / 48.00 - 46.00 ) / KSGM -  3.80 sqm / TML 3.51 - Add RRU"/>
    <s v="OK"/>
    <m/>
    <m/>
    <s v="No"/>
    <s v="EXISTING TOWER(OP1+OP4+OP3(OLD+NEW)):  100.6%_x000a_EXISTING TOWER(OP1+OP4+OP3(OLD)):  100.6%"/>
    <s v="OK"/>
    <s v="2019-01-23"/>
    <m/>
    <m/>
    <s v="PE system upgrade"/>
    <s v="OK"/>
    <s v="No"/>
    <s v="No action needed "/>
    <m/>
    <m/>
    <m/>
    <m/>
    <m/>
    <m/>
    <m/>
    <d v="2018-11-20T16:40:20"/>
    <d v="2018-12-17T08:53:27"/>
    <d v="2018-11-27T14:34:54"/>
    <d v="2018-11-20T16:40:20"/>
    <d v="2018-11-26T11:55:12"/>
    <d v="2018-11-26T20:14:59"/>
    <x v="64"/>
    <n v="27.38965833329712"/>
    <n v="0"/>
    <s v="No File"/>
    <s v="1-01-15013-007 (SHN00086)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7 (SHN00086) Application Rev 2.xlsx"/>
    <m/>
  </r>
  <r>
    <n v="3434"/>
    <x v="171"/>
    <x v="1"/>
    <x v="1"/>
    <s v="SHS00093"/>
    <x v="0"/>
    <s v="MPT  Phase 1b Colo"/>
    <s v="On Air"/>
    <s v="Exchange"/>
    <s v="2"/>
    <x v="30"/>
    <n v="2.16"/>
    <n v="2.7"/>
    <n v="6.82"/>
    <s v="SQM"/>
    <s v="48"/>
    <s v="53"/>
    <x v="1"/>
    <m/>
    <s v="OK"/>
    <s v="There should be no rental increase as PAT already granted rental increase sometime in Nov-17"/>
    <x v="0"/>
    <m/>
    <s v="OK"/>
    <s v="Existing on tower actual -   OML - 11.02sqm ( UE Split -60.00 - 53.50 / 47.50 - 45.50 ) / KSGM -  4.36 sqm - Add MW ( 2 x 1.2 ) &amp; add RRU and ODU "/>
    <s v="OK"/>
    <m/>
    <m/>
    <s v="No"/>
    <s v="EXISTING TOWER(OP1+OP4+OP3(OLD+NEW)):    107.1%_x000a_EXISTING TOWER(OP1+OP4+OP3(OLD)):  104.3%"/>
    <s v="OK"/>
    <s v="2019-01-20"/>
    <m/>
    <m/>
    <s v="PE system upgrade"/>
    <s v="OK"/>
    <s v="Yes"/>
    <s v="No action needed "/>
    <m/>
    <m/>
    <m/>
    <m/>
    <m/>
    <m/>
    <m/>
    <d v="2018-11-20T16:40:20"/>
    <d v="2018-12-17T08:53:27"/>
    <d v="2018-11-27T14:34:54"/>
    <d v="2018-11-20T16:40:20"/>
    <d v="2018-11-26T11:55:13"/>
    <d v="2018-11-26T20:15:00"/>
    <x v="57"/>
    <n v="27.389659375003248"/>
    <n v="0"/>
    <s v="No File"/>
    <s v="1-01-14007-002 (SHS0009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02 (SHS00093) Application Rev 2.xlsx"/>
    <m/>
  </r>
  <r>
    <n v="3428"/>
    <x v="172"/>
    <x v="0"/>
    <x v="2"/>
    <s v="MDY00422"/>
    <x v="0"/>
    <s v="MPT  Phase 1a Colo"/>
    <s v="On Air"/>
    <s v="LTE"/>
    <s v="1"/>
    <x v="31"/>
    <n v="1.66"/>
    <n v="2.75"/>
    <n v="3.4"/>
    <s v="EPA"/>
    <s v="17"/>
    <s v="22"/>
    <x v="1"/>
    <m/>
    <s v="OK"/>
    <m/>
    <x v="0"/>
    <m/>
    <s v="OK"/>
    <s v="Existing on tower - ( Assume ) TML with 6.19 EPA/ OML with  12.24 EPA /   MPT with 3.86 EPA  ( Change 1 RF Bigger Dimension and add RRU )"/>
    <s v="OK"/>
    <m/>
    <m/>
    <s v="No"/>
    <s v="EXISTING TOWER(OML+TML+KSGM (OLD+NEW)): 89.26%"/>
    <s v="OK"/>
    <s v="N/A"/>
    <m/>
    <m/>
    <s v="Monitor PE poss candiate for PE upgrade"/>
    <s v="OK"/>
    <s v="No"/>
    <s v="No action needed "/>
    <m/>
    <m/>
    <m/>
    <m/>
    <m/>
    <m/>
    <m/>
    <d v="2018-11-19T12:07:25"/>
    <d v="2018-11-19T17:29:11"/>
    <d v="2018-11-26T11:19:08"/>
    <d v="2018-11-19T12:07:25"/>
    <d v="2018-11-20T08:50:55"/>
    <d v="2018-11-19T18:23:28"/>
    <x v="65"/>
    <n v="10.471621875003621"/>
    <n v="0"/>
    <s v="No File"/>
    <s v="ANMD_0132 (MDY00422)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32 (MDY00422) Application Rev 1.xlsx"/>
    <m/>
  </r>
  <r>
    <n v="3416"/>
    <x v="173"/>
    <x v="0"/>
    <x v="0"/>
    <s v="YGNINSN003"/>
    <x v="1"/>
    <s v="Amara Phase 1"/>
    <s v="On Air"/>
    <s v="Remove Equipment"/>
    <s v="1"/>
    <x v="32"/>
    <m/>
    <m/>
    <n v="3"/>
    <s v="SQM"/>
    <s v="18"/>
    <s v="23"/>
    <x v="1"/>
    <m/>
    <s v="Not Required"/>
    <m/>
    <x v="1"/>
    <m/>
    <s v="OK"/>
    <s v="Existing on tower - ( Assume ) TML with 4.93 EPA/ OML with 10.14 EPA / Mytel with 2.55 EPA/ Amara with 2.97 EPA  ( Remove MW )"/>
    <s v="Not Required"/>
    <m/>
    <m/>
    <s v="No"/>
    <s v="Strengthened Tower : OML+TML+MYTEL+AMARA (OLD+NEW) =  206.4%_x000a_GTL did not consider underground water in design strengthening calculation since this site has flood history that is the reason why the foundation is failing."/>
    <s v="Not Required"/>
    <m/>
    <m/>
    <m/>
    <m/>
    <s v="Not Required"/>
    <m/>
    <m/>
    <s v="Not Required"/>
    <m/>
    <m/>
    <s v="Not Required"/>
    <m/>
    <s v="OK"/>
    <m/>
    <d v="2018-11-15T17:36:57"/>
    <m/>
    <m/>
    <m/>
    <m/>
    <m/>
    <x v="66"/>
    <n v="28.656926504598232"/>
    <n v="0"/>
    <s v="No File"/>
    <s v="AYYN_0264 (YGNINSN003)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264 (YGNINSN003) Application Rev 1.xlsx"/>
    <m/>
  </r>
  <r>
    <n v="3417"/>
    <x v="174"/>
    <x v="0"/>
    <x v="0"/>
    <s v="YGNMYGE005"/>
    <x v="1"/>
    <s v="Amara Phase 1"/>
    <s v="On Air"/>
    <s v="Remove Equipment"/>
    <s v="1"/>
    <x v="32"/>
    <m/>
    <m/>
    <n v="3.1"/>
    <s v="SQM"/>
    <s v="17.4"/>
    <s v="22.4"/>
    <x v="1"/>
    <m/>
    <s v="Not Required"/>
    <m/>
    <x v="1"/>
    <m/>
    <s v="OK"/>
    <s v="Existing on tower - ( Assume ) TML with 4.02 EPA/  Amara Colo Apps with  EPA 3.19  ( Remove MW )"/>
    <s v="Not Required"/>
    <m/>
    <m/>
    <m/>
    <m/>
    <s v="Not Required"/>
    <m/>
    <m/>
    <m/>
    <m/>
    <s v="Not Required"/>
    <m/>
    <m/>
    <s v="Not Required"/>
    <m/>
    <m/>
    <s v="Not Required"/>
    <m/>
    <s v="OK"/>
    <m/>
    <d v="2018-11-15T17:36:57"/>
    <m/>
    <m/>
    <m/>
    <m/>
    <m/>
    <x v="67"/>
    <n v="28.656927777803503"/>
    <n v="0"/>
    <s v="No File"/>
    <s v="AYYN_0334 (YGNMYGE005)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334 (YGNMYGE005) Application Rev 1.xlsx"/>
    <m/>
  </r>
  <r>
    <n v="3418"/>
    <x v="175"/>
    <x v="0"/>
    <x v="0"/>
    <s v="YGNSPTR024"/>
    <x v="1"/>
    <s v="Amara Phase 1"/>
    <s v="On Air"/>
    <s v="Remove Equipment"/>
    <s v="1"/>
    <x v="32"/>
    <m/>
    <m/>
    <n v="2.97"/>
    <s v="SQM"/>
    <s v="31"/>
    <s v="35"/>
    <x v="1"/>
    <m/>
    <s v="Not Required"/>
    <m/>
    <x v="1"/>
    <m/>
    <s v="OK"/>
    <s v="Existing on tower - ( Assume ) TML with 4.96 EPA/ OML with 11.43 /   Amara Colo Apps with 3.35 EPA  ( Remove MW )"/>
    <s v="OK"/>
    <m/>
    <m/>
    <s v="Yes"/>
    <s v="Strengthened Tower : OML+TML+MYTEL+AMARA (OLD+NEW) = 88.2%_x000a_(FDN Retrofitting but it was not installed yet. However, it was considered in the analysis already)"/>
    <s v="Not Required"/>
    <m/>
    <m/>
    <m/>
    <m/>
    <s v="Not Required"/>
    <m/>
    <m/>
    <s v="Not Required"/>
    <m/>
    <m/>
    <s v="Not Required"/>
    <m/>
    <s v="OK"/>
    <m/>
    <d v="2018-11-15T17:36:57"/>
    <m/>
    <d v="2018-12-07T17:28:48"/>
    <m/>
    <m/>
    <m/>
    <x v="67"/>
    <n v="28.656928935197357"/>
    <n v="0"/>
    <s v="No File"/>
    <s v="AYYN_0579 (YGNSPTR024)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579 (YGNSPTR024) Application Rev 1.xlsx"/>
    <m/>
  </r>
  <r>
    <n v="3419"/>
    <x v="176"/>
    <x v="0"/>
    <x v="0"/>
    <s v="YGNTKTA010"/>
    <x v="1"/>
    <s v="Amara Phase 1"/>
    <s v="On Air"/>
    <s v="Remove Equipment"/>
    <s v="1"/>
    <x v="32"/>
    <m/>
    <m/>
    <n v="3"/>
    <s v="SQM"/>
    <m/>
    <s v="4.5"/>
    <x v="1"/>
    <m/>
    <s v="Not Required"/>
    <m/>
    <x v="1"/>
    <m/>
    <s v="OK"/>
    <s v="Existing on tower - ( Assume ) TML with 4.96 EPA/ OML with 11.43 /   Amara Colo Apps with 2.97 EPA  ( Remove MW )"/>
    <s v="Not Required"/>
    <m/>
    <m/>
    <m/>
    <m/>
    <s v="Not Required"/>
    <m/>
    <m/>
    <m/>
    <m/>
    <s v="Not Required"/>
    <m/>
    <m/>
    <s v="Not Required"/>
    <m/>
    <m/>
    <s v="Not Required"/>
    <m/>
    <s v="OK"/>
    <m/>
    <d v="2018-11-15T17:36:57"/>
    <m/>
    <m/>
    <m/>
    <m/>
    <m/>
    <x v="67"/>
    <n v="28.656929861099343"/>
    <n v="0"/>
    <s v="No File"/>
    <s v="AYYN_0553 (YGNTKTA010)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553 (YGNTKTA010) Application Rev 1.xlsx"/>
    <m/>
  </r>
  <r>
    <n v="3420"/>
    <x v="177"/>
    <x v="0"/>
    <x v="0"/>
    <s v="MOW6163"/>
    <x v="2"/>
    <s v="Colocation"/>
    <m/>
    <s v="New Colocation"/>
    <s v="1"/>
    <x v="32"/>
    <n v="3"/>
    <n v="3.6"/>
    <n v="4.5"/>
    <s v="EPA"/>
    <s v="49"/>
    <s v="54"/>
    <x v="3"/>
    <m/>
    <s v="OK"/>
    <s v="2-May-18:Regarding Power, OML Cannot be allowed this time as the site has 12 hrs. of long NS. Battery also cannot be upgraded as site has the maximum battery capacity already.   "/>
    <x v="0"/>
    <m/>
    <s v="OK"/>
    <s v="Requested OML EPA - 3.78 EPA ( Require Colo Apps for more details ) -  Existing on tower ( assume ) TML - 8.36 EPA / Mytel - 5.41 EPA "/>
    <s v="Rejected"/>
    <m/>
    <m/>
    <s v="No"/>
    <s v="Existing Tower: TML+MYTEL+OML (OLD+NEW) = 851.9% (Foundation is unstable)"/>
    <s v="Rejected"/>
    <s v="3-6 months"/>
    <m/>
    <m/>
    <s v="Grid connection only - 12 Hrs NS - Offgrid"/>
    <s v="OK"/>
    <s v="No"/>
    <s v="Can use the existing slab - Space to reconfirm base on TSS "/>
    <m/>
    <m/>
    <m/>
    <m/>
    <m/>
    <m/>
    <m/>
    <d v="2018-11-15T17:36:57"/>
    <m/>
    <m/>
    <d v="2018-11-15T17:36:57"/>
    <d v="2018-11-20T08:50:55"/>
    <d v="2018-11-15T15:47:15"/>
    <x v="68"/>
    <n v="5.3686880786990514"/>
    <n v="0"/>
    <s v="No File"/>
    <s v="ASMO_0202 (MOW6163)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02 (MOW6163) Application Rev 1.xlsx"/>
    <m/>
  </r>
  <r>
    <n v="3421"/>
    <x v="178"/>
    <x v="0"/>
    <x v="0"/>
    <s v="YAW7800"/>
    <x v="2"/>
    <s v="Colocation"/>
    <m/>
    <s v="New Colocation"/>
    <s v="1"/>
    <x v="32"/>
    <n v="3"/>
    <n v="3.6"/>
    <n v="4.5"/>
    <s v="EPA"/>
    <s v="21"/>
    <s v="26"/>
    <x v="3"/>
    <m/>
    <s v="OK"/>
    <s v="19-Nov-18: Okay with easy micro solution_x000a_16-July-18: Tower already strengthening without consider OML (Information from Alvin)_x000a_Records says, not possible for co-location due community not allowing the DG to run when grid is down during night time -TML hub site"/>
    <x v="0"/>
    <s v="Review"/>
    <s v="OK"/>
    <s v="Requested OML EPA - 3.78 EPA ( Require Colo Apps for more details ) -  Existing on tower ( assume ) TML - 4.66 EPA / Mytel - 2.55 EPA /Amara 3.42 EPA "/>
    <s v="Rejected"/>
    <m/>
    <m/>
    <s v="Yes"/>
    <s v=" Current  Existing Foundation Stress(TML+MYTEL+AMARA): 378.7%_x000a_(Because Leadcom not consider ground water level) "/>
    <s v="OK"/>
    <s v="1-2 weeks"/>
    <m/>
    <m/>
    <s v="Full K10 UG required - need to plan"/>
    <s v="OK"/>
    <s v="No"/>
    <s v="Can use the existing slab - Space to reconfirm base on TSS "/>
    <m/>
    <m/>
    <m/>
    <m/>
    <m/>
    <m/>
    <m/>
    <d v="2018-11-15T17:36:58"/>
    <d v="2018-11-16T09:37:50"/>
    <m/>
    <d v="2018-11-15T17:36:58"/>
    <d v="2018-11-20T09:23:47"/>
    <d v="2018-11-15T15:47:16"/>
    <x v="69"/>
    <n v="5.3915124999984982"/>
    <n v="0"/>
    <s v="No File"/>
    <s v="AYYN_0508 (YAW7800)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08 (YAW7800) Application Rev 1.xlsx"/>
    <m/>
  </r>
  <r>
    <n v="3422"/>
    <x v="179"/>
    <x v="0"/>
    <x v="0"/>
    <s v="YAW7825"/>
    <x v="2"/>
    <s v="Colocation"/>
    <m/>
    <s v="New Colocation"/>
    <s v="1"/>
    <x v="32"/>
    <n v="3"/>
    <n v="3.6"/>
    <n v="4.5"/>
    <s v="EPA"/>
    <s v="22"/>
    <s v="27"/>
    <x v="0"/>
    <m/>
    <s v="OK"/>
    <s v="19-Oct-18: Okay with easy micro solution_x000a_16-July-18: Tower already strengthening without consider OML (Information from Alvin)"/>
    <x v="0"/>
    <m/>
    <s v="Rejected"/>
    <s v="Proposed highest Available window - 30- 32 / 16 - 13 - Requested OML EPA - 3.78 EPA ( Require Colo Apps for more details )- Existing on tower ( assume ) TML - 3.22 EPA / MPT - 5.47 EPA / Mytel - 2.45 / Amara 3.60 EPA "/>
    <m/>
    <m/>
    <m/>
    <m/>
    <m/>
    <s v="OK"/>
    <s v="1 week"/>
    <m/>
    <m/>
    <s v="PE capacity ready"/>
    <s v="OK"/>
    <s v="No"/>
    <s v="Can use the existing slab - Space to reconfirm base on TSS "/>
    <m/>
    <m/>
    <m/>
    <m/>
    <m/>
    <m/>
    <m/>
    <m/>
    <d v="2018-11-16T09:37:50"/>
    <m/>
    <d v="2018-11-15T17:36:58"/>
    <d v="2018-11-20T08:50:55"/>
    <d v="2018-11-15T15:47:16"/>
    <x v="0"/>
    <n v="68.48191597222467"/>
    <n v="1"/>
    <s v="No File"/>
    <s v="AYYN_0534 (YAW7825)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34 (YAW7825) Application Rev 1.xlsx"/>
    <m/>
  </r>
  <r>
    <n v="3423"/>
    <x v="180"/>
    <x v="0"/>
    <x v="0"/>
    <s v="YAW4436"/>
    <x v="2"/>
    <s v="Colocation"/>
    <m/>
    <s v="New Colocation"/>
    <s v="1"/>
    <x v="32"/>
    <n v="3"/>
    <n v="3.6"/>
    <n v="4.5"/>
    <s v="EPA"/>
    <s v="15"/>
    <s v="20"/>
    <x v="3"/>
    <m/>
    <s v="OK"/>
    <s v="19-Nov-18: Okay with easy micro solution_x000a_16-July-18: EPA over design and rejected by Emilio. (Information from Alvin_x000a_Records says, not possible for co-locaton due to DG noise complaint, grid connection on hold because of high VCC"/>
    <x v="0"/>
    <m/>
    <s v="OK"/>
    <s v="Requested OML EPA - 3.78 EPA ( Require Colo Apps for more details ) -  Existing on tower ( assume ) TML - 5.42 EPA / Mytel Colo Apps- 5.45 EPA /MPT  4.66 EPA "/>
    <s v="Rejected"/>
    <m/>
    <m/>
    <s v="Yes"/>
    <s v=" Current  Existing Foundation Stress(TML+MYTEL+KSGM): 258.01%_x000a_(Foundation is unstable) "/>
    <s v="OK"/>
    <s v="1 week"/>
    <m/>
    <m/>
    <s v="grid connection complete - DCDB only"/>
    <s v="OK"/>
    <s v="No"/>
    <s v="Can use the existing slab - Space to reconfirm base on TSS "/>
    <m/>
    <m/>
    <m/>
    <m/>
    <m/>
    <m/>
    <m/>
    <d v="2018-11-15T17:36:58"/>
    <d v="2018-11-16T09:37:50"/>
    <m/>
    <d v="2018-11-15T17:36:58"/>
    <d v="2018-11-20T09:23:47"/>
    <d v="2018-11-15T15:47:16"/>
    <x v="69"/>
    <n v="5.3915137731019058"/>
    <n v="0"/>
    <s v="No File"/>
    <s v="AYYN_0611 (YAW4436)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611 (YAW4436) Application Rev 1.xlsx"/>
    <m/>
  </r>
  <r>
    <n v="3424"/>
    <x v="181"/>
    <x v="0"/>
    <x v="0"/>
    <s v="YAW7763"/>
    <x v="2"/>
    <s v="Colocation"/>
    <m/>
    <s v="New Colocation"/>
    <s v="1"/>
    <x v="32"/>
    <n v="3"/>
    <n v="3.6"/>
    <n v="4.5"/>
    <s v="EPA"/>
    <s v="10"/>
    <s v="15"/>
    <x v="1"/>
    <m/>
    <s v="OK"/>
    <s v="19-Nov-18: If structural team is okay then can go with easy micro soultion_x000a_6-July-17: Structural issue cant go for any co-location."/>
    <x v="0"/>
    <m/>
    <s v="OK"/>
    <s v="Requested OML EPA - 3.78 EPA ( Require Colo Apps for more details ) -  Existing on tower ( assume ) TML - 3.02 EPA"/>
    <s v="OK"/>
    <m/>
    <m/>
    <s v="No"/>
    <s v="Total EPA is 3.02+6 =9.02&lt; 18 EPA Design - OK (Preliminaly Tower Assessment), OML 6.0EPA Required"/>
    <s v="OK"/>
    <s v="1 week"/>
    <m/>
    <m/>
    <s v="DCDB only"/>
    <s v="OK"/>
    <s v="No"/>
    <s v="Can use the existing slab - Space to reconfirm base on TSS "/>
    <m/>
    <m/>
    <m/>
    <m/>
    <m/>
    <m/>
    <m/>
    <d v="2018-11-16T10:04:35"/>
    <d v="2018-11-16T09:37:51"/>
    <d v="2018-12-13T13:21:55"/>
    <d v="2018-11-15T17:36:58"/>
    <d v="2018-11-20T08:50:55"/>
    <d v="2018-11-15T15:47:16"/>
    <x v="70"/>
    <n v="28.556885532401793"/>
    <n v="0"/>
    <s v="No File"/>
    <s v="AYYN_0306 (YAW7763)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06 (YAW7763) Application Rev 1.xlsx"/>
    <m/>
  </r>
  <r>
    <n v="3425"/>
    <x v="182"/>
    <x v="0"/>
    <x v="0"/>
    <s v="YAW4447"/>
    <x v="2"/>
    <m/>
    <m/>
    <s v="New Colocation"/>
    <s v="1"/>
    <x v="32"/>
    <n v="3"/>
    <n v="3.6"/>
    <n v="4.5"/>
    <s v="EPA"/>
    <s v="22"/>
    <s v="27"/>
    <x v="3"/>
    <m/>
    <s v="Rejected"/>
    <s v="19-Nov-18: owner donest allow any additional equipment. We negotitated with additional payment for ACS but owner refused._x000a_OML dismantled because of higher power load required by OML._x000a_23-Jun-17: OML disconnected dismantled equipment today and On air date (22-Oct-15) removed._x000a_29-Mar-17: OML equipment will be dismantled and On air date will be deleted then._x000a_26-Sep-15: Site added in list as per OML tracker"/>
    <x v="0"/>
    <m/>
    <s v="OK"/>
    <s v="Requested OML EPA - 3.78 EPA ( Require Colo Apps for more details ) -  Existing on tower ( assume ) TML - 4.65 EPA / MPT- 4.70 EPA "/>
    <s v="OK"/>
    <m/>
    <m/>
    <s v="No"/>
    <s v="_x000a_Total EPA is 9.35  &lt; 10.5 EPA Design - OK (Preliminaly Tower Assessment)"/>
    <s v="OK"/>
    <m/>
    <m/>
    <m/>
    <s v="Ready perm power"/>
    <s v="OK"/>
    <s v="No"/>
    <s v="Can use the existing slab - Space to reconfirm base on TSS "/>
    <m/>
    <m/>
    <m/>
    <m/>
    <m/>
    <m/>
    <m/>
    <d v="2018-11-15T17:36:58"/>
    <d v="2018-11-16T09:37:51"/>
    <d v="2018-12-05T09:13:17"/>
    <d v="2018-11-15T17:36:58"/>
    <m/>
    <d v="2018-11-15T15:47:16"/>
    <x v="71"/>
    <n v="20.38421956019738"/>
    <n v="0"/>
    <s v="No File"/>
    <s v="AYYN_0529 (YAW4447)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29 (YAW4447) Application Rev 1.xlsx"/>
    <m/>
  </r>
  <r>
    <n v="3426"/>
    <x v="183"/>
    <x v="1"/>
    <x v="2"/>
    <s v="SGG00227"/>
    <x v="0"/>
    <s v="MPT  Phase 1b Colo"/>
    <s v="On Air"/>
    <s v="MS"/>
    <s v="3"/>
    <x v="32"/>
    <n v="2.1259999999999999"/>
    <n v="4.0149999999999997"/>
    <n v="3.3250000000000002"/>
    <s v="SQM"/>
    <s v="33"/>
    <s v="38"/>
    <x v="1"/>
    <m/>
    <s v="OK"/>
    <m/>
    <x v="1"/>
    <m/>
    <s v="OK"/>
    <s v="Existing on tower actual - OML 9.18 sqm /MPT - 2.69 sqm / TML - 3.20 sqm  ) change 1 RF to smaller dimension "/>
    <s v="OK"/>
    <m/>
    <m/>
    <s v="No"/>
    <s v="EXISTING TOWER(OP1+OP4+OP3(OLD+NEW)):    102.93%_x000a_EXISTING TOWER(OP1+OP4+OP3(OLD)):  103.77%"/>
    <s v="OK"/>
    <s v="2019-01-24"/>
    <m/>
    <d v="1900-01-01T07:12:00"/>
    <s v="PE system upgrade"/>
    <s v="OK"/>
    <s v="No"/>
    <s v="No action needed "/>
    <m/>
    <m/>
    <m/>
    <m/>
    <m/>
    <m/>
    <m/>
    <d v="2018-11-16T10:04:35"/>
    <d v="2018-12-17T08:53:27"/>
    <d v="2018-11-19T11:10:58"/>
    <d v="2018-11-16T10:04:35"/>
    <d v="2018-11-20T08:50:55"/>
    <m/>
    <x v="64"/>
    <n v="32.389657291700132"/>
    <n v="0"/>
    <s v="No File"/>
    <s v="1-01-05027-009 (SGG00227)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9 (SGG00227) Application Rev 3.xlsx"/>
    <m/>
  </r>
  <r>
    <n v="3427"/>
    <x v="184"/>
    <x v="1"/>
    <x v="2"/>
    <s v="SHN00043"/>
    <x v="0"/>
    <s v="MPT  Phase 1b Colo"/>
    <s v="On Air"/>
    <s v="LTE"/>
    <s v="3"/>
    <x v="32"/>
    <n v="1.9890000000000001"/>
    <n v="3.6110000000000002"/>
    <n v="4.37"/>
    <s v="SQM"/>
    <s v="33"/>
    <s v="38"/>
    <x v="1"/>
    <m/>
    <s v="OK"/>
    <m/>
    <x v="1"/>
    <m/>
    <s v="OK"/>
    <s v="Existing on tower actual - OML 6.29 sqm /MPT - 2.71 sqm  )- Increase 3 RF dimension and add RRU "/>
    <s v="OK"/>
    <m/>
    <m/>
    <s v="No"/>
    <s v="EXISTING TOWER(OP1+OP3(OLD+NEW)):     78%_x000a_EXISTING TOWER(OP1+OP3(OLD)):  77 %"/>
    <s v="OK"/>
    <s v="1-2 weeks"/>
    <m/>
    <d v="1899-12-31T12:00:00"/>
    <s v="DCDB for MPT tapping from OML integrated cabinet"/>
    <s v="OK"/>
    <s v="No"/>
    <s v="No action needed "/>
    <m/>
    <m/>
    <m/>
    <m/>
    <m/>
    <m/>
    <m/>
    <d v="2018-11-16T10:04:35"/>
    <d v="2018-11-16T13:19:54"/>
    <d v="2018-11-19T11:10:58"/>
    <d v="2018-11-16T10:04:35"/>
    <d v="2018-11-20T08:50:55"/>
    <m/>
    <x v="68"/>
    <n v="5.3686964119988261"/>
    <n v="0"/>
    <s v="No File"/>
    <s v="1-01-15011-001 (SHN0004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1-001 (SHN00043) Application Rev 3.xlsx"/>
    <m/>
  </r>
  <r>
    <n v="3415"/>
    <x v="185"/>
    <x v="0"/>
    <x v="0"/>
    <s v="YGNSPTR021"/>
    <x v="1"/>
    <s v="Amara Phase 1"/>
    <s v="On Air"/>
    <s v="r-remove"/>
    <s v="1"/>
    <x v="33"/>
    <m/>
    <m/>
    <n v="6"/>
    <s v="EPA"/>
    <s v="32"/>
    <s v="35"/>
    <x v="1"/>
    <m/>
    <s v="Not Required"/>
    <m/>
    <x v="1"/>
    <m/>
    <s v="OK"/>
    <s v="Existing on tower - ( Assume ) TML with 4.48 EPA/ OML with 7.13 EPA / MPT with 1.02 EPA /Mytel with 2.09 EPA/ Amara with 3.52 EPA  ( Remove MW )"/>
    <s v="OK"/>
    <m/>
    <m/>
    <s v="No"/>
    <s v="Existing Tower(TML+OML+MPT+MYTEL+AMARA) : 102.44%"/>
    <s v="Not Required"/>
    <m/>
    <m/>
    <m/>
    <m/>
    <s v="Not Required"/>
    <m/>
    <m/>
    <s v="Not Required"/>
    <m/>
    <m/>
    <s v="Not Required"/>
    <m/>
    <m/>
    <m/>
    <d v="2018-11-15T17:36:57"/>
    <m/>
    <d v="2018-11-23T17:11:58"/>
    <m/>
    <m/>
    <m/>
    <x v="72"/>
    <n v="9.7166425925970543"/>
    <n v="0"/>
    <s v="No File"/>
    <s v="AYYN_0583 (YGNSPTR021)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583 (YGNSPTR021) Application Rev 1.xlsx"/>
    <m/>
  </r>
  <r>
    <n v="3413"/>
    <x v="163"/>
    <x v="1"/>
    <x v="2"/>
    <s v="KCN00372"/>
    <x v="0"/>
    <s v="MPT  Phase 1b Colo"/>
    <s v="On Air"/>
    <s v="TS  _ v1"/>
    <s v="2"/>
    <x v="34"/>
    <m/>
    <m/>
    <n v="3.07"/>
    <s v="SQM"/>
    <s v="45"/>
    <s v="50"/>
    <x v="1"/>
    <m/>
    <s v="Not Required"/>
    <m/>
    <x v="1"/>
    <m/>
    <s v="OK"/>
    <s v="Existing on tower actual - OML 13.53 sqm ( UE Down 59.60 - 48.60 ) /MPT - 3.07 sqm / Mytel - 1.74 sqm  )- Changed Model name "/>
    <s v="Not Required"/>
    <m/>
    <m/>
    <m/>
    <m/>
    <s v="Review"/>
    <s v="120 days min"/>
    <m/>
    <d v="1899-12-31T14:24:00"/>
    <s v="PE upgrade required "/>
    <s v="OK"/>
    <s v="No"/>
    <s v="No action needed "/>
    <m/>
    <m/>
    <m/>
    <m/>
    <m/>
    <m/>
    <m/>
    <d v="2018-11-14T08:53:34"/>
    <m/>
    <m/>
    <d v="2018-11-14T08:53:34"/>
    <m/>
    <m/>
    <x v="73"/>
    <n v="1.3705266203978681"/>
    <n v="0"/>
    <s v="No File"/>
    <s v="1-01-01002-008 (KCN0037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2-008 (KCN00372) Application Rev 2.xlsx"/>
    <m/>
  </r>
  <r>
    <n v="3414"/>
    <x v="166"/>
    <x v="1"/>
    <x v="2"/>
    <s v="SHN00218"/>
    <x v="0"/>
    <s v="MPT  Phase 1b Colo"/>
    <s v="On Air"/>
    <s v="TS  _ v1"/>
    <s v="1"/>
    <x v="34"/>
    <m/>
    <m/>
    <n v="2.82"/>
    <s v="SQM"/>
    <s v="48"/>
    <s v="53"/>
    <x v="1"/>
    <m/>
    <s v="Not Required"/>
    <s v="Rental increase was granted sometime in August 2016, which doubled the initial agreed rate; LL/Lessor recently asking for 100k/month on top of the current rate of 400k/month"/>
    <x v="0"/>
    <m/>
    <s v="OK"/>
    <s v="Existing on tower actual - OML 7.20 sqm  /MPT - 2.50 sqm / TML 3.47 / Mytel - 1.53 sqm  )- Add 1 MW ( 0.6 ) and add 1 ODU ."/>
    <s v="OK"/>
    <m/>
    <m/>
    <s v="No"/>
    <s v="STR TOWER(OP1+OP4+OP5+OP3(OLD+NEW)): 104.84%_x000a_STR TOWER(OP1+OP4+OP5+OP3(OLD)):104.02%"/>
    <s v="OK"/>
    <s v="1-2 weeks"/>
    <m/>
    <d v="1899-12-31T14:24:00"/>
    <s v="DCDB for MPT tapping from OML integrated cabinet"/>
    <s v="OK"/>
    <s v="No"/>
    <s v="No action needed "/>
    <m/>
    <m/>
    <m/>
    <m/>
    <m/>
    <m/>
    <m/>
    <d v="2018-11-14T08:53:34"/>
    <d v="2018-11-15T18:03:33"/>
    <d v="2018-11-15T10:32:13"/>
    <d v="2018-11-14T08:53:34"/>
    <m/>
    <d v="2018-12-18T17:22:47"/>
    <x v="34"/>
    <n v="35.704516088000673"/>
    <n v="0"/>
    <s v="No File"/>
    <s v="1-01-15012-002 (SHN00218)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2-002 (SHN00218) Application Rev 1.xlsx"/>
    <m/>
  </r>
  <r>
    <n v="3411"/>
    <x v="186"/>
    <x v="1"/>
    <x v="2"/>
    <s v="SGG00158"/>
    <x v="0"/>
    <s v="MPT  Phase 1b Colo"/>
    <s v="On Air"/>
    <s v="_x000a_MS _v1"/>
    <s v="3"/>
    <x v="35"/>
    <m/>
    <n v="2.2999999999999998"/>
    <n v="3.113"/>
    <s v="SQM"/>
    <s v="16"/>
    <s v="21"/>
    <x v="1"/>
    <m/>
    <s v="Not Required"/>
    <m/>
    <x v="1"/>
    <m/>
    <s v="OK"/>
    <s v="Existing on tower actual - OML 6.91 sqm / MPT - 3.11 sqm )- Add ODU and RRU "/>
    <s v="OK"/>
    <m/>
    <m/>
    <s v="No"/>
    <s v="Existing Tower: OML+KSGM (OLD+NEW) = 62.9%_x000a_Existing Tower: OML+KSGM (OLD) = 62.9"/>
    <s v="Not Required"/>
    <m/>
    <m/>
    <m/>
    <m/>
    <m/>
    <m/>
    <m/>
    <m/>
    <m/>
    <m/>
    <m/>
    <m/>
    <m/>
    <m/>
    <m/>
    <m/>
    <m/>
    <m/>
    <m/>
    <m/>
    <x v="74"/>
    <s v="Not  Calculated"/>
    <n v="0"/>
    <s v="No File"/>
    <s v="1-01-05027-008 (SGG00158)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8 (SGG00158) Application Rev 3.xlsx"/>
    <m/>
  </r>
  <r>
    <n v="3412"/>
    <x v="184"/>
    <x v="1"/>
    <x v="2"/>
    <s v="SHN00043"/>
    <x v="0"/>
    <s v="MPT  Phase 1b Colo"/>
    <s v="On Air"/>
    <s v="TS _v1"/>
    <s v="2"/>
    <x v="35"/>
    <m/>
    <n v="1.462"/>
    <n v="2.714"/>
    <s v="SQM"/>
    <s v="33"/>
    <s v="38"/>
    <x v="1"/>
    <m/>
    <s v="Not Required"/>
    <m/>
    <x v="1"/>
    <m/>
    <s v="OK"/>
    <s v="Existing on tower actual - OML 6.29 sqm / MPT - 2.71 sqm )- change MW height to 33.5 - Same loading as before "/>
    <s v="OK"/>
    <m/>
    <m/>
    <s v="No"/>
    <s v="EXISTING TOWER(OP1+OP3(OLD+NEW)):     77%_x000a_EXISTING TOWER(OP1+OP3(OLD)):  77 %"/>
    <s v="Not Required"/>
    <m/>
    <m/>
    <m/>
    <m/>
    <m/>
    <m/>
    <m/>
    <m/>
    <m/>
    <m/>
    <m/>
    <m/>
    <m/>
    <m/>
    <m/>
    <m/>
    <m/>
    <m/>
    <m/>
    <m/>
    <x v="74"/>
    <s v="Not  Calculated"/>
    <n v="0"/>
    <s v="No File"/>
    <s v="1-01-15011-001 (SHN0004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1-001 (SHN00043) Application Rev 2.xlsx"/>
    <m/>
  </r>
  <r>
    <n v="3405"/>
    <x v="187"/>
    <x v="1"/>
    <x v="1"/>
    <s v="CHN00118"/>
    <x v="0"/>
    <s v="MPT  Phase 1b Colo"/>
    <s v="On Air"/>
    <s v="UPG"/>
    <s v="2"/>
    <x v="36"/>
    <m/>
    <n v="2.456"/>
    <n v="6.2130000000000001"/>
    <s v="SQM"/>
    <s v="42.5"/>
    <s v="47.5"/>
    <x v="1"/>
    <m/>
    <s v="Not Required"/>
    <m/>
    <x v="1"/>
    <m/>
    <s v="OK"/>
    <s v="Existing on tower actual - OML 6.38 sqm / MPT - 4.26 sqm )- Change RF Dimension and add RRU "/>
    <s v="OK"/>
    <m/>
    <m/>
    <s v="No"/>
    <s v="STRENGTHENED TOWER(OP1+OP3(OLD+NEW)): 99.5%_x000a_STRENGTHENED  TOWER(OP1+OP3(OLD)): 98.3%"/>
    <s v="Not Required"/>
    <m/>
    <m/>
    <m/>
    <m/>
    <m/>
    <m/>
    <m/>
    <m/>
    <m/>
    <m/>
    <m/>
    <m/>
    <m/>
    <m/>
    <m/>
    <m/>
    <m/>
    <m/>
    <m/>
    <m/>
    <x v="75"/>
    <s v="Not  Calculated"/>
    <n v="0"/>
    <s v="No File"/>
    <s v="1-01-04004-007 (CHN0011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4004-007 (CHN00118) Application Rev 2.xlsx"/>
    <m/>
  </r>
  <r>
    <n v="3406"/>
    <x v="188"/>
    <x v="1"/>
    <x v="2"/>
    <s v="SGG00246"/>
    <x v="0"/>
    <s v="MPT  Phase 1b Colo"/>
    <s v="On Air"/>
    <s v="LTE"/>
    <s v="3"/>
    <x v="36"/>
    <m/>
    <n v="3.6110000000000002"/>
    <n v="7.94"/>
    <s v="SQM"/>
    <s v="48"/>
    <s v="53"/>
    <x v="1"/>
    <m/>
    <s v="Not Required"/>
    <m/>
    <x v="1"/>
    <m/>
    <s v="OK"/>
    <s v="Existing on tower actual - OML 14.21 sqm / MPT - 6.37 sqm )- Change RF Dimension and add RRU "/>
    <s v="OK"/>
    <m/>
    <m/>
    <s v="No"/>
    <s v="Existing Tower: OML+1.2MW(UE)+KSGM (OLD+NEW) = 102.0%_x000a_Existing Tower: OML+1.2MW(UE)+KSGM (OLD) = 95.1%"/>
    <s v="Not Required"/>
    <m/>
    <m/>
    <m/>
    <m/>
    <m/>
    <m/>
    <m/>
    <m/>
    <m/>
    <m/>
    <m/>
    <m/>
    <m/>
    <m/>
    <m/>
    <m/>
    <m/>
    <m/>
    <m/>
    <m/>
    <x v="75"/>
    <s v="Not  Calculated"/>
    <n v="0"/>
    <s v="No File"/>
    <s v="1-01-05005-006 (SGG00246)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5-006 (SGG00246) Application Rev 3.xlsx"/>
    <m/>
  </r>
  <r>
    <n v="3407"/>
    <x v="104"/>
    <x v="1"/>
    <x v="1"/>
    <s v="SHS00466"/>
    <x v="0"/>
    <s v="MPT  Phase 1b Colo"/>
    <s v="On Air"/>
    <s v="EXC"/>
    <s v="3"/>
    <x v="36"/>
    <m/>
    <n v="2.1"/>
    <n v="2.91"/>
    <s v="SQM"/>
    <s v="48"/>
    <s v="53"/>
    <x v="1"/>
    <m/>
    <s v="Not Required"/>
    <m/>
    <x v="1"/>
    <m/>
    <s v="OK"/>
    <s v="Existing on tower actual - OML 9.85 sqm / MPT - 2.86 sqm / Mytel - 2.69sqm )- Change MW Dimension"/>
    <s v="OK"/>
    <m/>
    <m/>
    <s v="No"/>
    <s v="Strengthened Tower: OML+MYTEL+KSGM (OLD+NEW) = 77.9%_x000a_Strengthened Tower: OML+MYTEL+KSGM (OLD) = 77.5%"/>
    <s v="Not Required"/>
    <m/>
    <m/>
    <m/>
    <m/>
    <m/>
    <m/>
    <m/>
    <m/>
    <m/>
    <m/>
    <m/>
    <m/>
    <m/>
    <m/>
    <m/>
    <m/>
    <m/>
    <m/>
    <m/>
    <m/>
    <x v="75"/>
    <s v="Not  Calculated"/>
    <n v="0"/>
    <s v="No File"/>
    <s v="1-01-14001-033 (SHS00466)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33 (SHS00466) Application Rev 3.xlsx"/>
    <m/>
  </r>
  <r>
    <n v="3394"/>
    <x v="110"/>
    <x v="1"/>
    <x v="1"/>
    <s v="CHN00225"/>
    <x v="0"/>
    <s v="MPT Phase 2 Colo"/>
    <s v="RFI"/>
    <s v="Relo-TS"/>
    <s v="0"/>
    <x v="37"/>
    <m/>
    <n v="0.879"/>
    <n v="3.99"/>
    <s v="SQM"/>
    <s v="42.5"/>
    <s v="47.5"/>
    <x v="1"/>
    <m/>
    <s v="Not Required"/>
    <m/>
    <x v="1"/>
    <m/>
    <s v="OK"/>
    <s v="Existing on tower actual - OML 6.58 sqm /TML - 2.89sqm )- New Colo Application "/>
    <s v="OK"/>
    <m/>
    <m/>
    <s v="No"/>
    <s v="Strengthened Tower: OML+TML+KSGM (OLD+NEW) = 89.7%_x000a_Strengthened Tower: OML+TML+KSGM (OLD) = 80.67%"/>
    <s v="Not Required"/>
    <m/>
    <m/>
    <m/>
    <m/>
    <m/>
    <m/>
    <m/>
    <m/>
    <m/>
    <m/>
    <s v="OK"/>
    <m/>
    <m/>
    <m/>
    <m/>
    <m/>
    <m/>
    <m/>
    <m/>
    <m/>
    <x v="76"/>
    <s v="Not  Calculated"/>
    <n v="0"/>
    <s v="No File"/>
    <s v="1-01-04007-009 (CHN00225)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4007-009 (CHN00225) Application Rev 0.xlsx"/>
    <m/>
  </r>
  <r>
    <n v="3395"/>
    <x v="189"/>
    <x v="1"/>
    <x v="0"/>
    <s v="AWD00481"/>
    <x v="0"/>
    <s v="MPT  Phase 1b Colo"/>
    <s v="On Air"/>
    <s v="UPG _ v1"/>
    <s v="3"/>
    <x v="37"/>
    <m/>
    <n v="2.1"/>
    <n v="3.2469999999999999"/>
    <s v="SQM"/>
    <s v="42.5"/>
    <s v="47.5"/>
    <x v="1"/>
    <m/>
    <s v="Not Required"/>
    <m/>
    <x v="1"/>
    <m/>
    <s v="OK"/>
    <s v="Existing on tower actual - OML 7.72 sqm /MPT - 3.42 sqm / TML - 4.50 sqm )- Add ODU "/>
    <s v="OK"/>
    <m/>
    <m/>
    <s v="No"/>
    <s v="Existing Tower; OML + TML + KSGM (OLD+NEW) = 99.4%_x000a_Existing Tower; OML + TML + KSGM (OLD) = 99.4%"/>
    <m/>
    <m/>
    <m/>
    <m/>
    <m/>
    <m/>
    <m/>
    <m/>
    <m/>
    <m/>
    <m/>
    <m/>
    <m/>
    <m/>
    <m/>
    <m/>
    <m/>
    <m/>
    <m/>
    <m/>
    <m/>
    <x v="76"/>
    <s v="Not  Calculated"/>
    <n v="0"/>
    <s v="No File"/>
    <s v="1-01-17009-002 (AWD00481)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09-002 (AWD00481) Application Rev 3.xlsx"/>
    <m/>
  </r>
  <r>
    <n v="3396"/>
    <x v="190"/>
    <x v="1"/>
    <x v="2"/>
    <s v="SGG00113"/>
    <x v="0"/>
    <s v="MPT  Phase 1b Colo"/>
    <s v="On Air"/>
    <s v="LTE"/>
    <s v="3"/>
    <x v="37"/>
    <m/>
    <n v="5.1470000000000002"/>
    <n v="4.3600000000000003"/>
    <s v="SQM"/>
    <s v="39.5"/>
    <s v="44.5"/>
    <x v="1"/>
    <m/>
    <s v="Not Required"/>
    <m/>
    <x v="1"/>
    <m/>
    <s v="OK"/>
    <s v="Existing on tower actual - OML 10.58 sqm ( UE Down - OML Occupied Area 54.90 - 49.46 )/MPT - 2.97 sqm  )- Add RRU and Change RF Dimension "/>
    <s v="OK"/>
    <m/>
    <m/>
    <s v="No"/>
    <s v="EXISTING TOWER(OP1+OP3(OLD+NEW)): 104.5  %_x000a_EXISTING TOWER(OP1+OP3(OLD)): 97.4%"/>
    <m/>
    <m/>
    <m/>
    <m/>
    <m/>
    <m/>
    <m/>
    <m/>
    <m/>
    <m/>
    <m/>
    <m/>
    <m/>
    <m/>
    <m/>
    <m/>
    <m/>
    <m/>
    <m/>
    <m/>
    <m/>
    <x v="76"/>
    <s v="Not  Calculated"/>
    <n v="0"/>
    <s v="No File"/>
    <s v="1-01-05027-002 (SGG0011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2 (SGG00113) Application Rev 3.xlsx"/>
    <m/>
  </r>
  <r>
    <n v="3397"/>
    <x v="165"/>
    <x v="1"/>
    <x v="1"/>
    <s v="SHE00021"/>
    <x v="0"/>
    <s v="MPT  Phase 1b Colo"/>
    <s v="On Air"/>
    <s v="MS _ v1"/>
    <s v="3"/>
    <x v="37"/>
    <m/>
    <n v="2.7"/>
    <n v="3.5920000000000001"/>
    <s v="SQM"/>
    <s v="33"/>
    <s v="38"/>
    <x v="1"/>
    <m/>
    <s v="Not Required"/>
    <m/>
    <x v="1"/>
    <m/>
    <s v="OK"/>
    <s v="Existing on tower actual - OML 7.76 sqm /MPT - 2.61 sqm - Add RRU and Change RF Dimension "/>
    <s v="OK"/>
    <m/>
    <m/>
    <s v="No"/>
    <s v="STR TOWER(OP1+OP3(OLD+NEW)): 80.5%_x000a_STR TOWER(OP1+OP3(OLD)): 79.3%"/>
    <s v="Not Required"/>
    <m/>
    <m/>
    <m/>
    <m/>
    <m/>
    <m/>
    <m/>
    <m/>
    <m/>
    <m/>
    <m/>
    <m/>
    <m/>
    <m/>
    <m/>
    <m/>
    <m/>
    <m/>
    <m/>
    <m/>
    <x v="76"/>
    <s v="Not  Calculated"/>
    <n v="0"/>
    <s v="No File"/>
    <s v="1-01-16001-003 (SHE00021)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6001-003 (SHE00021) Application Rev 3.xlsx"/>
    <m/>
  </r>
  <r>
    <n v="3398"/>
    <x v="191"/>
    <x v="1"/>
    <x v="2"/>
    <s v="MDY00347"/>
    <x v="0"/>
    <s v="MPT  Phase 1b Colo"/>
    <s v="On Air"/>
    <s v="LTE"/>
    <s v="2"/>
    <x v="37"/>
    <m/>
    <n v="3.5489999999999999"/>
    <n v="7.0659999999999998"/>
    <s v="SQM"/>
    <s v="48"/>
    <s v="53"/>
    <x v="1"/>
    <m/>
    <s v="Not Required"/>
    <m/>
    <x v="1"/>
    <m/>
    <s v="OK"/>
    <s v="Existing on tower actual - OML 8.34 sqm /MPT - 4.16 sqm - Add RRU and Change RF Dimension "/>
    <s v="OK"/>
    <m/>
    <m/>
    <s v="No"/>
    <s v="EXISTING TOWER(OP1+OP3(OLD+NEW)): 96.2  %_x000a_EXISTING TOWER(OP1+OP3(OLD)): 94.1%"/>
    <s v="Not Required"/>
    <m/>
    <m/>
    <m/>
    <m/>
    <m/>
    <m/>
    <m/>
    <m/>
    <m/>
    <m/>
    <m/>
    <m/>
    <m/>
    <m/>
    <m/>
    <m/>
    <m/>
    <m/>
    <m/>
    <m/>
    <x v="76"/>
    <s v="Not  Calculated"/>
    <n v="0"/>
    <s v="No File"/>
    <s v="1-01-10015-003 (MDY0034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0015-003 (MDY00347) Application Rev 2.xlsx"/>
    <m/>
  </r>
  <r>
    <n v="3399"/>
    <x v="192"/>
    <x v="1"/>
    <x v="2"/>
    <s v="SGG00225"/>
    <x v="0"/>
    <s v="MPT  Phase 1b Colo"/>
    <s v="On Air"/>
    <s v="LTE"/>
    <s v="1"/>
    <x v="37"/>
    <m/>
    <n v="3.649"/>
    <n v="7"/>
    <s v="SQM"/>
    <s v="48"/>
    <s v="53"/>
    <x v="1"/>
    <m/>
    <s v="Not Required"/>
    <m/>
    <x v="1"/>
    <m/>
    <s v="OK"/>
    <s v="Existing on tower actual - OML 8.91 sqm /MPT - 5.29 sqm / TML - 3.51 sqm )- Add RRU and Change RF Dimension "/>
    <s v="OK"/>
    <m/>
    <m/>
    <s v="No"/>
    <s v="EXISTING TOWER(OP1+OP4+OP3(OLD+NEW)):  99.9%_x000a_EXISTING TOWER(OP1+OP4+OP3(OLD)): 99%"/>
    <s v="Not Required"/>
    <m/>
    <m/>
    <m/>
    <m/>
    <m/>
    <m/>
    <m/>
    <m/>
    <m/>
    <m/>
    <m/>
    <m/>
    <m/>
    <m/>
    <m/>
    <m/>
    <m/>
    <m/>
    <m/>
    <m/>
    <x v="76"/>
    <s v="Not  Calculated"/>
    <n v="0"/>
    <s v="No File"/>
    <s v="1-01-05027-006 (SGG0022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6 (SGG00225) Application Rev 1.xlsx"/>
    <m/>
  </r>
  <r>
    <n v="3400"/>
    <x v="193"/>
    <x v="1"/>
    <x v="2"/>
    <s v="SGG00198"/>
    <x v="0"/>
    <s v="MPT  Phase 1b Colo"/>
    <s v="On Air"/>
    <s v="LTE"/>
    <s v="3"/>
    <x v="37"/>
    <m/>
    <n v="3.6110000000000002"/>
    <n v="5.5419999999999998"/>
    <s v="SQM"/>
    <s v="46.5"/>
    <s v="51.5"/>
    <x v="1"/>
    <m/>
    <s v="Not Required"/>
    <m/>
    <x v="1"/>
    <m/>
    <s v="OK"/>
    <s v="Existing on tower actual - OML 7.84 sqm ( UE Down 58.00 - 52.43 ) /MPT - 3.88 sqm / TML - 3.79 sqm )- Added RRU and Change RF Dimension "/>
    <s v="OK"/>
    <m/>
    <m/>
    <s v="No"/>
    <s v="EXISTING TOWER(OP1+OP4+OP3(OLD+NEW)):  97.5%_x000a_EXISTING TOWER(OP1+OP4+OP3(OLD)): 96.8%"/>
    <m/>
    <m/>
    <m/>
    <m/>
    <m/>
    <m/>
    <m/>
    <m/>
    <m/>
    <m/>
    <m/>
    <m/>
    <m/>
    <m/>
    <m/>
    <m/>
    <m/>
    <m/>
    <m/>
    <m/>
    <m/>
    <x v="76"/>
    <s v="Not  Calculated"/>
    <n v="0"/>
    <s v="No File"/>
    <s v="1-01-05018-006 (SGG00198)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8-006 (SGG00198) Application Rev 3.xlsx"/>
    <m/>
  </r>
  <r>
    <n v="3401"/>
    <x v="194"/>
    <x v="1"/>
    <x v="2"/>
    <s v="SGG00149"/>
    <x v="0"/>
    <s v="MPT  Phase 1b Colo"/>
    <s v="On Air"/>
    <s v="LTE"/>
    <s v="1"/>
    <x v="37"/>
    <m/>
    <n v="3.5489999999999999"/>
    <n v="7.5"/>
    <s v="SQM"/>
    <s v="48"/>
    <s v="53"/>
    <x v="1"/>
    <m/>
    <s v="Not Required"/>
    <m/>
    <x v="1"/>
    <m/>
    <s v="OK"/>
    <s v="Existing on tower actual - OML 9.75 sqm /MPT - 5.82 sqm / Mytel - 1.74 sqm  )- Added RRU and Change RF Dimension "/>
    <s v="OK"/>
    <m/>
    <m/>
    <s v="No"/>
    <s v="Existing Tower: OML+TML+KSGM (OLD+NEW) = 114.3% (Estimate strengthening weight = 646 kg)_x000a_Existing Tower: OML+TML+KSGM (OLD) = 114.3%_x000a_** ROI is provided  with STR first, tower need to be strengthening befor KSGM antenna install**"/>
    <s v="OK"/>
    <s v="1-2 weeks"/>
    <m/>
    <d v="1899-12-31T14:24:00"/>
    <s v="DCDB for MPT tapping from OML integrated cabinet"/>
    <s v="OK"/>
    <m/>
    <m/>
    <m/>
    <m/>
    <m/>
    <m/>
    <m/>
    <m/>
    <m/>
    <d v="2018-11-13T14:56:12"/>
    <d v="2018-11-15T18:03:33"/>
    <d v="2018-12-10T11:32:16"/>
    <d v="2018-11-27T15:09:03"/>
    <m/>
    <m/>
    <x v="77"/>
    <n v="35.489957175901509"/>
    <n v="0"/>
    <s v="No File"/>
    <s v="1-01-05030-010 (SGG00149)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30-010 (SGG00149) Application Rev 1.xlsx"/>
    <m/>
  </r>
  <r>
    <n v="3402"/>
    <x v="36"/>
    <x v="1"/>
    <x v="0"/>
    <s v="AWD01309"/>
    <x v="0"/>
    <s v="MPT Phase 2 Colo"/>
    <s v="RFI"/>
    <s v="Relo-TS"/>
    <s v="0"/>
    <x v="37"/>
    <m/>
    <n v="3.3"/>
    <n v="4.4400000000000004"/>
    <s v="SQM"/>
    <s v="48"/>
    <s v="53"/>
    <x v="1"/>
    <m/>
    <s v="Not Required"/>
    <m/>
    <x v="1"/>
    <m/>
    <s v="OK"/>
    <s v="Existing on tower actual - OML 11.02 sqm / TML - 2.97 sqm )- New Colo Application "/>
    <s v="OK"/>
    <m/>
    <m/>
    <s v="No"/>
    <s v="Existing Tower: OML+TML+KSGM (OLD+NEW) = 102.4%_x000a_Existing Tower: OML+TML+KSGM (OLD) = 90.8%"/>
    <s v="Not Required"/>
    <m/>
    <m/>
    <m/>
    <m/>
    <m/>
    <m/>
    <m/>
    <m/>
    <m/>
    <m/>
    <s v="OK"/>
    <m/>
    <m/>
    <m/>
    <m/>
    <m/>
    <m/>
    <m/>
    <m/>
    <m/>
    <x v="76"/>
    <s v="Not  Calculated"/>
    <n v="0"/>
    <s v="No File"/>
    <s v="1-01-17023-009 (AWD01309)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23-009 (AWD01309) Application Rev 0.xlsx"/>
    <m/>
  </r>
  <r>
    <n v="3392"/>
    <x v="157"/>
    <x v="1"/>
    <x v="1"/>
    <s v="SHS00070"/>
    <x v="0"/>
    <s v="MPT  Phase 1b Colo"/>
    <s v="On Air"/>
    <s v="UPG _ v1"/>
    <s v="3"/>
    <x v="38"/>
    <m/>
    <n v="2.1"/>
    <n v="2.1989999999999998"/>
    <s v="SQM"/>
    <s v="48"/>
    <s v="53"/>
    <x v="1"/>
    <m/>
    <s v="Not Required"/>
    <m/>
    <x v="1"/>
    <m/>
    <s v="OK"/>
    <s v="Existing on tower actual - OML 7.88 sqm /MPT - 2.66sqm )- Change RF Dimension and add RRU "/>
    <s v="OK"/>
    <m/>
    <m/>
    <s v="No"/>
    <s v="STR TOWER(OP1+OP3(OLD+NEW)):90.88 %_x000a_STR TOWER(OP1+OP3(OLD)): 91.4%"/>
    <s v="Review"/>
    <m/>
    <m/>
    <m/>
    <s v="Site data required - PE swap a possibility "/>
    <m/>
    <m/>
    <m/>
    <m/>
    <m/>
    <m/>
    <m/>
    <m/>
    <m/>
    <m/>
    <m/>
    <m/>
    <m/>
    <m/>
    <m/>
    <m/>
    <x v="78"/>
    <s v="Not  Calculated"/>
    <n v="0"/>
    <s v="No File"/>
    <s v="1-01-14001-026 (SHS0007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26 (SHS00070) Application Rev 3.xlsx"/>
    <m/>
  </r>
  <r>
    <n v="3390"/>
    <x v="195"/>
    <x v="1"/>
    <x v="1"/>
    <s v="SHS00221"/>
    <x v="0"/>
    <s v="MPT  Phase 1b Colo"/>
    <s v="On Air"/>
    <s v="UPG_v1"/>
    <s v="4"/>
    <x v="39"/>
    <m/>
    <n v="2.1"/>
    <n v="2.66"/>
    <s v="SQM"/>
    <s v="48"/>
    <s v="53"/>
    <x v="1"/>
    <m/>
    <s v="Not Required"/>
    <m/>
    <x v="1"/>
    <m/>
    <s v="OK"/>
    <s v="Existing on tower actual - OML 7.03 sqm (UE Down 58.60-52.53 )  /MPT - 2.61sqm / TML 3.51sqm  ) - Change RF Dimension and add RRU "/>
    <s v="OK"/>
    <m/>
    <m/>
    <s v="No"/>
    <s v="EXISTING TOWER(OML+TML+KSGM(OLD+NEW)):  104.1%_x000a_EXISTING TOWER(OML+TML+KSGM(OLD)): 104.4%"/>
    <s v="Review"/>
    <m/>
    <m/>
    <m/>
    <s v="Site data required - PE swap a possibility "/>
    <s v="Not Required"/>
    <m/>
    <m/>
    <m/>
    <m/>
    <m/>
    <m/>
    <m/>
    <m/>
    <m/>
    <m/>
    <m/>
    <m/>
    <m/>
    <m/>
    <m/>
    <x v="79"/>
    <s v="Not  Calculated"/>
    <n v="0"/>
    <s v="No File"/>
    <s v="1-01-14007-007 (SHS00221)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07 (SHS00221) Application Rev 4.xlsx"/>
    <m/>
  </r>
  <r>
    <n v="3391"/>
    <x v="196"/>
    <x v="0"/>
    <x v="0"/>
    <s v="YGN00788"/>
    <x v="0"/>
    <s v="MPT  Phase 1a Colo"/>
    <s v="On Air"/>
    <s v="TS_v1"/>
    <s v="1"/>
    <x v="39"/>
    <m/>
    <n v="1.8"/>
    <n v="3.66"/>
    <s v="EPA"/>
    <s v="18.5"/>
    <s v="23.5"/>
    <x v="1"/>
    <m/>
    <s v="Not Required"/>
    <m/>
    <x v="1"/>
    <m/>
    <s v="OK"/>
    <s v="Existing on tower - ( Assume ) TML with 4.39 EPA/ OML with 12.88 EPA / MPT with 5.67 EPA /Mytel with 2.45 EPA/ Amara with 3.06 EPA  ( Change RF smaller Dimension )"/>
    <s v="OK"/>
    <m/>
    <m/>
    <s v="Yes"/>
    <s v="Strengthened Tower(TML+OML+MYTEL+AMARA+KSGM(OLD+NEW)): 104.4.%"/>
    <s v="OK"/>
    <s v="1 week"/>
    <m/>
    <m/>
    <s v="Monitor BB increase to 1800/2400AH a possibility "/>
    <s v="OK"/>
    <m/>
    <m/>
    <m/>
    <m/>
    <m/>
    <m/>
    <m/>
    <m/>
    <m/>
    <d v="2018-11-13T14:56:12"/>
    <d v="2018-11-13T16:09:13"/>
    <d v="2018-11-30T09:52:06"/>
    <d v="2018-11-27T15:09:03"/>
    <m/>
    <m/>
    <x v="80"/>
    <n v="30.411177314803354"/>
    <n v="0"/>
    <s v="No File"/>
    <s v="AYYN_0086 (YGN00788)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086 (YGN00788) Application Rev 1.xlsx"/>
    <m/>
  </r>
  <r>
    <n v="3382"/>
    <x v="94"/>
    <x v="0"/>
    <x v="2"/>
    <s v="SGG00785"/>
    <x v="0"/>
    <s v="MPT  Phase 1a Colo"/>
    <s v="On Air"/>
    <s v="TS"/>
    <s v=""/>
    <x v="40"/>
    <m/>
    <n v="1.8580000000000001"/>
    <n v="6.774"/>
    <s v="EPA"/>
    <s v="36"/>
    <s v="41"/>
    <x v="1"/>
    <m/>
    <s v="Not Required"/>
    <m/>
    <x v="1"/>
    <m/>
    <s v="OK"/>
    <s v="Existing on tower - ( Assume ) TML with 7.55 EPA/MPT with 4.20 EPA - ( change RF height , add MW and ODU  ) "/>
    <s v="OK"/>
    <m/>
    <m/>
    <s v="No"/>
    <s v="Existing Tower: TML+KSGM : 60.57%"/>
    <s v="Review"/>
    <m/>
    <m/>
    <d v="1899-12-31T00:00:00"/>
    <s v="comes with risk - site on 10 hours NS mode daily."/>
    <m/>
    <m/>
    <m/>
    <m/>
    <m/>
    <m/>
    <m/>
    <m/>
    <m/>
    <m/>
    <m/>
    <m/>
    <m/>
    <m/>
    <m/>
    <m/>
    <x v="81"/>
    <s v="Not  Calculated"/>
    <n v="0"/>
    <s v="No File"/>
    <s v="ANSG_0454 (SGG00785)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54 (SGG00785) Application Rev .xlsx"/>
    <m/>
  </r>
  <r>
    <n v="3383"/>
    <x v="197"/>
    <x v="1"/>
    <x v="0"/>
    <s v="YGN02146"/>
    <x v="0"/>
    <s v="MPT  Phase 1b Colo"/>
    <s v="RFI"/>
    <s v="TS"/>
    <s v="2"/>
    <x v="40"/>
    <m/>
    <n v="2.1"/>
    <n v="2.08"/>
    <s v="SQM"/>
    <s v="37"/>
    <s v="42"/>
    <x v="1"/>
    <m/>
    <s v="Not Required"/>
    <m/>
    <x v="1"/>
    <m/>
    <s v="OK"/>
    <s v="Existing on tower actual - OML 8.34 sqm no UE  /MPT prev Colo Apps - 2.08sqm , TML 3.30sqm  ) - Change Auzimuth "/>
    <s v="Not Required"/>
    <m/>
    <m/>
    <m/>
    <m/>
    <s v="Review"/>
    <m/>
    <m/>
    <m/>
    <s v="Site data required - PE swap a possibility "/>
    <s v="Not Required"/>
    <m/>
    <m/>
    <m/>
    <m/>
    <m/>
    <m/>
    <m/>
    <m/>
    <m/>
    <m/>
    <m/>
    <m/>
    <m/>
    <m/>
    <m/>
    <x v="81"/>
    <s v="Not  Calculated"/>
    <n v="0"/>
    <s v="No File"/>
    <s v="1-01-13004-003 (YGN02146)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3004-003 (YGN02146) Application Rev 2.xlsx"/>
    <m/>
  </r>
  <r>
    <n v="3384"/>
    <x v="198"/>
    <x v="0"/>
    <x v="0"/>
    <s v="YGN00594"/>
    <x v="0"/>
    <s v="MPT  Phase 1a Colo"/>
    <s v="On Air"/>
    <s v="UPG"/>
    <s v=""/>
    <x v="40"/>
    <m/>
    <n v="1.8"/>
    <n v="4.0350000000000001"/>
    <s v="EPA"/>
    <s v="45"/>
    <s v="50"/>
    <x v="1"/>
    <m/>
    <s v="Not Required"/>
    <m/>
    <x v="1"/>
    <m/>
    <s v="OK"/>
    <s v="Existing on tower - ( Assume ) TML with 6.73 EPA/MPT with 3.51 EPA - ( Add RF and add RRU ) "/>
    <s v="OK"/>
    <m/>
    <m/>
    <s v="No"/>
    <s v="Existing tower: TML + KSGM (OLD+NEW) = 91.82% (New wind zone 130 kph)"/>
    <s v="OK"/>
    <m/>
    <m/>
    <m/>
    <s v="PE UG - full K10 upagrade"/>
    <m/>
    <m/>
    <m/>
    <m/>
    <m/>
    <m/>
    <m/>
    <m/>
    <m/>
    <m/>
    <m/>
    <d v="2018-12-19T09:05:57"/>
    <m/>
    <m/>
    <m/>
    <m/>
    <x v="81"/>
    <s v="Not  Calculated"/>
    <n v="0"/>
    <s v="No File"/>
    <s v="ACBA_0053 (YGN00594)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CBA_0053 (YGN00594) Application Rev .xlsx"/>
    <m/>
  </r>
  <r>
    <n v="3386"/>
    <x v="199"/>
    <x v="0"/>
    <x v="2"/>
    <s v="SGG00730"/>
    <x v="0"/>
    <s v="MPT  Phase 1a Colo"/>
    <s v="On Air"/>
    <s v="LTE"/>
    <s v=""/>
    <x v="40"/>
    <m/>
    <n v="3.7669999999999999"/>
    <n v="7.3760000000000003"/>
    <s v="EPA"/>
    <s v="36"/>
    <s v="41"/>
    <x v="1"/>
    <m/>
    <s v="Not Required"/>
    <m/>
    <x v="2"/>
    <s v="Undoable due to high VCC"/>
    <s v="OK"/>
    <s v="Existing on tower - ( Assume ) TML with 8.99 EPA/OML with 11.23 EPA / MPT with 4.84 EPA - (Change RF And MW Dimension and add RRU / ODU )"/>
    <s v="OK"/>
    <m/>
    <m/>
    <s v="No"/>
    <s v="EXISTING TOWER: TML+OML+KSGM(OLD+NEW)):  101.3%"/>
    <s v="OK"/>
    <s v="2018-12-28"/>
    <m/>
    <d v="1900-01-01T00:00:00"/>
    <s v="10 hrs NS - High load - 36Kw PE Sys UG required"/>
    <s v="OK"/>
    <m/>
    <m/>
    <m/>
    <m/>
    <m/>
    <m/>
    <m/>
    <m/>
    <m/>
    <d v="2018-11-13T14:56:12"/>
    <d v="2018-12-17T08:53:27"/>
    <d v="2018-11-13T16:19:20"/>
    <d v="2018-11-27T15:09:02"/>
    <m/>
    <m/>
    <x v="34"/>
    <n v="49.704514930599544"/>
    <n v="0"/>
    <s v="No File"/>
    <s v="ANSG_0463 (SGG00730)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63 (SGG00730) Application Rev .xlsx"/>
    <m/>
  </r>
  <r>
    <n v="3387"/>
    <x v="200"/>
    <x v="0"/>
    <x v="2"/>
    <s v="SGG00698"/>
    <x v="0"/>
    <s v="MPT  Phase 1a Colo"/>
    <s v="On Air"/>
    <s v="LTE"/>
    <s v=""/>
    <x v="40"/>
    <m/>
    <n v="3.9470000000000001"/>
    <n v="8.8360000000000003"/>
    <s v="EPA"/>
    <s v="36"/>
    <s v="41"/>
    <x v="1"/>
    <m/>
    <s v="Not Required"/>
    <m/>
    <x v="0"/>
    <m/>
    <s v="OK"/>
    <s v="Existing on tower - ( Assume ) TML with 4.29 EPA/ MPT with 4.55EPA (Change RF Dimension and add MW and RRU, ODU )"/>
    <s v="OK"/>
    <m/>
    <m/>
    <s v="No"/>
    <s v="Existing Tower: TML+KSGM+Mytel : 76.94%"/>
    <s v="OK"/>
    <s v="2018-12-29"/>
    <m/>
    <d v="1899-12-31T00:00:00"/>
    <s v="Site has 10 hours DG NS or Grid connect/UG PE/Take the risk-outages "/>
    <s v="OK"/>
    <m/>
    <m/>
    <m/>
    <m/>
    <m/>
    <m/>
    <m/>
    <m/>
    <m/>
    <d v="2018-11-13T14:56:12"/>
    <d v="2018-12-17T08:53:27"/>
    <d v="2018-11-13T16:19:20"/>
    <d v="2018-11-27T15:09:02"/>
    <m/>
    <d v="2018-11-13T16:25:51"/>
    <x v="64"/>
    <n v="48.389656018502137"/>
    <n v="0"/>
    <s v="No File"/>
    <s v="ANSG_0485 (SGG00698)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85 (SGG00698) Application Rev .xlsx"/>
    <m/>
  </r>
  <r>
    <n v="3388"/>
    <x v="124"/>
    <x v="0"/>
    <x v="2"/>
    <s v="SGG00406"/>
    <x v="0"/>
    <s v="MPT  Phase 1a Colo"/>
    <s v="On Air"/>
    <s v="UPG"/>
    <s v=""/>
    <x v="40"/>
    <m/>
    <n v="1.653"/>
    <n v="7.9"/>
    <s v="EPA"/>
    <s v="36"/>
    <s v="41"/>
    <x v="1"/>
    <m/>
    <s v="Not Required"/>
    <m/>
    <x v="1"/>
    <m/>
    <s v="OK"/>
    <s v="Existing on tower - ( Assume ) TML with 4.29 EPA/ MPT with 5.65 EPA (add MW and RRU, ODU )"/>
    <s v="OK"/>
    <m/>
    <m/>
    <s v="No"/>
    <s v="Existing Tower: TML+KSGM+Mytel : 78.47%"/>
    <s v="OK"/>
    <s v="1 week  "/>
    <m/>
    <m/>
    <s v="BB SOH so UG can be verified"/>
    <m/>
    <m/>
    <m/>
    <m/>
    <m/>
    <m/>
    <m/>
    <m/>
    <m/>
    <m/>
    <m/>
    <d v="2018-12-19T09:05:57"/>
    <m/>
    <m/>
    <m/>
    <m/>
    <x v="81"/>
    <s v="Not  Calculated"/>
    <n v="0"/>
    <s v="No File"/>
    <s v="ANSG_0483 (SGG00406)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83 (SGG00406) Application Rev .xlsx"/>
    <m/>
  </r>
  <r>
    <n v="3389"/>
    <x v="193"/>
    <x v="1"/>
    <x v="2"/>
    <s v="SGG00198"/>
    <x v="0"/>
    <s v="MPT  Phase 1b Colo"/>
    <s v="On Air"/>
    <s v="TS_v1"/>
    <s v="2"/>
    <x v="40"/>
    <m/>
    <n v="1.9119999999999999"/>
    <n v="3.88"/>
    <s v="SQM"/>
    <s v="46.5"/>
    <s v="51.5"/>
    <x v="1"/>
    <m/>
    <s v="Not Required"/>
    <m/>
    <x v="1"/>
    <m/>
    <s v="OK"/>
    <s v="Existing on tower actual - OML 7.84 sqm no UE  /MPT - 3.88sqm , TML 3.79sqm  ) - Change Antenna Height as par actual "/>
    <s v="OK"/>
    <m/>
    <m/>
    <s v="No"/>
    <s v="EXISTING TOWER(OML+TML+KSGM(OLD+NEW)):  96.8%_x000a_EXISTING TOWER(OML+TML+KSGM(OLD)): 96.1%"/>
    <s v="Review"/>
    <m/>
    <m/>
    <m/>
    <s v="Site data required - PE swap a possibility "/>
    <s v="Not Required"/>
    <m/>
    <m/>
    <m/>
    <m/>
    <m/>
    <m/>
    <m/>
    <m/>
    <m/>
    <m/>
    <m/>
    <m/>
    <m/>
    <m/>
    <m/>
    <x v="81"/>
    <s v="Not  Calculated"/>
    <n v="0"/>
    <s v="No File"/>
    <s v="1-01-05018-006 (SGG0019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8-006 (SGG00198) Application Rev 2.xlsx"/>
    <m/>
  </r>
  <r>
    <n v="3381"/>
    <x v="201"/>
    <x v="1"/>
    <x v="1"/>
    <s v="MGW00412"/>
    <x v="0"/>
    <s v="MPT  Phase 1b Colo"/>
    <s v="On Air"/>
    <s v="UPG"/>
    <s v="1"/>
    <x v="41"/>
    <m/>
    <n v="2.5"/>
    <n v="3.52"/>
    <s v="SQM"/>
    <s v="48"/>
    <s v="53"/>
    <x v="1"/>
    <m/>
    <s v="Not Required"/>
    <m/>
    <x v="1"/>
    <m/>
    <s v="OK"/>
    <s v="Existing on tower actual - OML 7.72 sqm no UE  /MPT  - 3.52 sqm - No UE ) - Change RFModel and Change MW leg and add RRU/ ODU"/>
    <s v="OK"/>
    <m/>
    <m/>
    <s v="No"/>
    <s v="EXISTING TOWER(OML+KSGM(OLD+NEW)):  87.6%_x000a_EXISTING TOWER(OML+KSGM(OLD)): 87.3%"/>
    <s v="Not Required"/>
    <m/>
    <m/>
    <m/>
    <m/>
    <s v="Not Required"/>
    <m/>
    <m/>
    <m/>
    <m/>
    <m/>
    <m/>
    <m/>
    <m/>
    <m/>
    <m/>
    <m/>
    <m/>
    <m/>
    <m/>
    <m/>
    <x v="82"/>
    <s v="Not  Calculated"/>
    <n v="0"/>
    <s v="No File"/>
    <s v="1-01-09008-001 (MGW00412)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08-001 (MGW00412) Application Rev 1.xlsx"/>
    <m/>
  </r>
  <r>
    <n v="3375"/>
    <x v="202"/>
    <x v="1"/>
    <x v="0"/>
    <s v="MON00212"/>
    <x v="0"/>
    <s v="MPT  Phase 1b Colo"/>
    <s v="On Air"/>
    <s v="UPG"/>
    <s v="2"/>
    <x v="42"/>
    <m/>
    <n v="2.1"/>
    <n v="2.5590000000000002"/>
    <s v="SQM"/>
    <s v="43"/>
    <s v="48"/>
    <x v="1"/>
    <m/>
    <s v="Not Required"/>
    <m/>
    <x v="1"/>
    <m/>
    <s v="OK"/>
    <s v="Existing on tower actual - OML 8.85 sqm ( UE Down (59.00 - 53.50 / 38.80 - 37.60) / KSGM - 2.51sqm no UE, Mytel  - 4.08 sqm - No UE ) - Change RF dimension and add RRU"/>
    <s v="OK"/>
    <m/>
    <m/>
    <s v="No"/>
    <s v="Strengthened Tower(OML+MYTEL+KSGM(OLD+NEW)): 103.3%_x000a_Strengthened Tower(OML+MYTEL+KSGM(OLD)): 104.5%"/>
    <s v="Not Required"/>
    <m/>
    <m/>
    <m/>
    <m/>
    <s v="Not Required"/>
    <m/>
    <m/>
    <m/>
    <m/>
    <m/>
    <m/>
    <m/>
    <m/>
    <m/>
    <m/>
    <m/>
    <m/>
    <m/>
    <m/>
    <m/>
    <x v="83"/>
    <s v="Not  Calculated"/>
    <n v="0"/>
    <s v="No File"/>
    <s v="1-01-11003-002 (MON0021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1003-002 (MON00212) Application Rev 2.xlsx"/>
    <m/>
  </r>
  <r>
    <n v="3377"/>
    <x v="156"/>
    <x v="1"/>
    <x v="1"/>
    <s v="SHS00057"/>
    <x v="0"/>
    <s v="MPT  Phase 1b Colo"/>
    <s v="On Air"/>
    <s v="MS"/>
    <s v="3"/>
    <x v="42"/>
    <m/>
    <n v="2.7"/>
    <n v="3.5030000000000001"/>
    <s v="SQM"/>
    <s v="33"/>
    <s v="38"/>
    <x v="1"/>
    <m/>
    <s v="Not Required"/>
    <m/>
    <x v="1"/>
    <m/>
    <s v="OK"/>
    <s v="Existing on tower actual - OML 9.84 sqm no UE  / KSGM 2.47 sqm  No UE /TML - 3.00 sqm no UE/ Mytel  - 1.53 sqm - No UE ) - Change RF dimension and add RRU"/>
    <s v="OK"/>
    <m/>
    <m/>
    <s v="No"/>
    <s v="Strengthened Tower(OML+TML+MYTEL+KSGM(OLD+NEW)): 99.5% _x000a_Strengthened Tower(OML+TML+MYTEL+KSGM(OLD)): 97.2%"/>
    <s v="Not Required"/>
    <m/>
    <m/>
    <m/>
    <m/>
    <s v="Not Required"/>
    <m/>
    <m/>
    <m/>
    <m/>
    <m/>
    <m/>
    <m/>
    <m/>
    <m/>
    <m/>
    <m/>
    <m/>
    <m/>
    <m/>
    <m/>
    <x v="83"/>
    <s v="Not  Calculated"/>
    <n v="0"/>
    <s v="No File"/>
    <s v="1-01-14001-015 (SHS00057)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15 (SHS00057) Application Rev 3.xlsx"/>
    <m/>
  </r>
  <r>
    <n v="3378"/>
    <x v="158"/>
    <x v="1"/>
    <x v="0"/>
    <s v="TNY00206"/>
    <x v="0"/>
    <s v="MPT  Phase 1b Colo"/>
    <s v="On Air"/>
    <s v="MS"/>
    <s v="3"/>
    <x v="42"/>
    <m/>
    <n v="2.7"/>
    <n v="3.141"/>
    <s v="SQM"/>
    <s v="44"/>
    <s v="49"/>
    <x v="1"/>
    <m/>
    <s v="Not Required"/>
    <m/>
    <x v="1"/>
    <m/>
    <s v="OK"/>
    <s v="Existing on tower actual - OML 7.16 sqm no UE  /Mytel  - 1.47 sqm - No UE ) - Change RF dimension and add RRU"/>
    <s v="OK"/>
    <m/>
    <m/>
    <s v="No"/>
    <s v="Existing Tower(OML+MYTEL+KSGM(OLD) =94.7%_x000a_Existing Tower(OML+MYTEL+KSGM(OLD+NEW) =94.1%"/>
    <s v="Not Required"/>
    <m/>
    <m/>
    <m/>
    <m/>
    <s v="Not Required"/>
    <m/>
    <m/>
    <m/>
    <m/>
    <m/>
    <m/>
    <m/>
    <m/>
    <m/>
    <m/>
    <m/>
    <m/>
    <m/>
    <m/>
    <m/>
    <x v="83"/>
    <s v="Not  Calculated"/>
    <n v="0"/>
    <s v="No File"/>
    <s v="1-01-06002-003 (TNY00206)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2-003 (TNY00206) Application Rev 3.xlsx"/>
    <m/>
  </r>
  <r>
    <n v="3379"/>
    <x v="172"/>
    <x v="0"/>
    <x v="2"/>
    <s v="MDY00422"/>
    <x v="0"/>
    <s v="MPT  Phase 1a Colo"/>
    <s v="On Air"/>
    <s v="TS"/>
    <s v="2"/>
    <x v="42"/>
    <m/>
    <n v="1.4"/>
    <n v="2.746"/>
    <s v="SQM"/>
    <s v="17"/>
    <s v="22"/>
    <x v="1"/>
    <m/>
    <s v="Not Required"/>
    <m/>
    <x v="1"/>
    <m/>
    <s v="OK"/>
    <s v="Existing on tower - ( Assume ) TML with 6.19 EPA / OML with 12.24 EPA / MPT with 3.86 EPA - ( Remove MW and ODU and change RF ,RRU height )"/>
    <s v="OK"/>
    <m/>
    <m/>
    <s v="No"/>
    <s v="Existing Tower: OML+TML+KSGM : 99.49%"/>
    <s v="Review"/>
    <s v="2 weeks"/>
    <m/>
    <m/>
    <s v="TML HUB 3 tenant site high load. PE SYS Upgrade "/>
    <m/>
    <m/>
    <m/>
    <m/>
    <m/>
    <m/>
    <m/>
    <m/>
    <m/>
    <m/>
    <m/>
    <m/>
    <m/>
    <m/>
    <m/>
    <m/>
    <x v="83"/>
    <s v="Not  Calculated"/>
    <n v="0"/>
    <s v="No File"/>
    <s v="ANMD_0132 (MDY0042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32 (MDY00422) Application Rev 2.xlsx"/>
    <m/>
  </r>
  <r>
    <n v="3380"/>
    <x v="203"/>
    <x v="0"/>
    <x v="2"/>
    <s v="SGG00692"/>
    <x v="0"/>
    <s v="MPT  Phase 1a Colo"/>
    <s v="On Air"/>
    <s v="LTE"/>
    <s v="2"/>
    <x v="42"/>
    <m/>
    <n v="3.86"/>
    <n v="6.2549999999999999"/>
    <s v="SQM"/>
    <s v="32"/>
    <s v="37"/>
    <x v="1"/>
    <m/>
    <s v="Not Required"/>
    <m/>
    <x v="1"/>
    <m/>
    <s v="OK"/>
    <s v="Existing on tower - ( Assume ) TML with 3.93 EPA / MPT with 3.58 EPA /Mytel Colo apps loading 3.354 EPA - ( Remove MW , Add RRU and change RF dimension  )"/>
    <s v="OK"/>
    <m/>
    <m/>
    <s v="No"/>
    <s v="Existing Tower: OML+TML+KSGM+MYTEL : 104.41%"/>
    <s v="OK"/>
    <m/>
    <m/>
    <d v="1900-01-01T00:00:00"/>
    <s v="monitor DG, capacity upgrade possible, grid availability dependant "/>
    <m/>
    <m/>
    <m/>
    <m/>
    <m/>
    <m/>
    <m/>
    <m/>
    <m/>
    <m/>
    <m/>
    <d v="2018-12-19T09:05:56"/>
    <m/>
    <m/>
    <m/>
    <m/>
    <x v="83"/>
    <s v="Not  Calculated"/>
    <n v="0"/>
    <s v="No File"/>
    <s v="ANSG_0343 (SGG0069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343 (SGG00692) Application Rev 2.xlsx"/>
    <m/>
  </r>
  <r>
    <n v="3372"/>
    <x v="183"/>
    <x v="1"/>
    <x v="2"/>
    <s v="SGG00227"/>
    <x v="0"/>
    <s v="MPT  Phase 1b Colo"/>
    <s v="On Air"/>
    <s v="MS"/>
    <s v="2"/>
    <x v="43"/>
    <m/>
    <n v="4.0149999999999997"/>
    <n v="3.3119999999999998"/>
    <s v="SQM"/>
    <s v="33"/>
    <s v="38"/>
    <x v="1"/>
    <m/>
    <s v="Not Required"/>
    <m/>
    <x v="1"/>
    <m/>
    <s v="OK"/>
    <s v="Existing on tower actual - OML 9.18 sqm / KSGM - 2.69 sqm no UE, TML Colo Apps  - 3.20 sqm )Requested SQM 3.312 sqm - Change RF dimension and add RRU"/>
    <s v="OK"/>
    <m/>
    <m/>
    <s v="No"/>
    <s v="Existing Tower(OML+TML+KSGM(OLD+NEW) = 104.15%_x000a_Existing Tower(OML+TML+KSGM(OLD) = 95.13%"/>
    <s v="Not Required"/>
    <m/>
    <m/>
    <m/>
    <m/>
    <s v="Not Required"/>
    <m/>
    <m/>
    <m/>
    <m/>
    <m/>
    <m/>
    <m/>
    <m/>
    <m/>
    <m/>
    <m/>
    <m/>
    <m/>
    <m/>
    <m/>
    <x v="84"/>
    <s v="Not  Calculated"/>
    <n v="0"/>
    <s v="No File"/>
    <s v="1-01-05027-009 (SGG0022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9 (SGG00227) Application Rev 2.xlsx"/>
    <m/>
  </r>
  <r>
    <n v="3373"/>
    <x v="204"/>
    <x v="1"/>
    <x v="1"/>
    <s v="SHS00183"/>
    <x v="0"/>
    <s v="MPT  Phase 1b Colo"/>
    <s v="On Air"/>
    <s v="LTE"/>
    <s v="4"/>
    <x v="43"/>
    <m/>
    <n v="3.4"/>
    <n v="4.1859999999999999"/>
    <s v="SQM"/>
    <s v="48"/>
    <s v="53"/>
    <x v="1"/>
    <m/>
    <s v="Not Required"/>
    <m/>
    <x v="1"/>
    <m/>
    <s v="OK"/>
    <s v="Existing on tower actual - OML 12.07 sqm / KSGM - 2.51sqm no UE, TML  - 3.87 sqm - No UE )Requested SQM 4.186 sqm - Change RF dimension and add RRU"/>
    <s v="OK"/>
    <m/>
    <m/>
    <s v="No"/>
    <s v="Existing Tower(OML+TML+KSGM(OLD) =104%_x000a_Existing Tower(OML+TML+KSGM(OLD+NEW) =105%"/>
    <s v="Not Required"/>
    <m/>
    <m/>
    <m/>
    <m/>
    <s v="Not Required"/>
    <m/>
    <m/>
    <m/>
    <m/>
    <m/>
    <m/>
    <m/>
    <m/>
    <m/>
    <m/>
    <m/>
    <m/>
    <m/>
    <m/>
    <m/>
    <x v="84"/>
    <s v="Not  Calculated"/>
    <n v="0"/>
    <s v="No File"/>
    <s v="1-01-14001-005 (SHS00183)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05 (SHS00183) Application Rev 4.xlsx"/>
    <m/>
  </r>
  <r>
    <n v="3374"/>
    <x v="205"/>
    <x v="1"/>
    <x v="2"/>
    <s v="KCN00152"/>
    <x v="0"/>
    <s v="MPT  Phase 1b Colo"/>
    <s v="On Air"/>
    <s v="LTE"/>
    <s v="3"/>
    <x v="43"/>
    <m/>
    <n v="3.7"/>
    <n v="5.1020000000000003"/>
    <s v="SQM"/>
    <s v="48"/>
    <s v="53"/>
    <x v="1"/>
    <m/>
    <s v="Not Required"/>
    <m/>
    <x v="1"/>
    <m/>
    <s v="OK"/>
    <s v="Colo Prevalidation Completed by Cover Sheet and Colo application approved on 15 Nov 2018 . "/>
    <s v="Not Required"/>
    <m/>
    <m/>
    <m/>
    <m/>
    <s v="Not Required"/>
    <m/>
    <m/>
    <m/>
    <m/>
    <s v="Not Required"/>
    <m/>
    <m/>
    <m/>
    <m/>
    <m/>
    <m/>
    <m/>
    <m/>
    <m/>
    <d v="2018-11-16T11:39:31"/>
    <m/>
    <m/>
    <m/>
    <m/>
    <m/>
    <x v="85"/>
    <n v="31.485773032400175"/>
    <n v="0"/>
    <s v="No File"/>
    <s v="1-01-01009-013 (KCN00152)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9-013 (KCN00152) Application Rev 3.xlsx"/>
    <m/>
  </r>
  <r>
    <n v="3352"/>
    <x v="190"/>
    <x v="1"/>
    <x v="2"/>
    <s v="SGG00113"/>
    <x v="0"/>
    <s v="MPT  Phase 1b Colo"/>
    <s v="On Air"/>
    <s v="MS_v1"/>
    <s v="2"/>
    <x v="44"/>
    <m/>
    <n v="1.4"/>
    <n v="5.24"/>
    <s v="SQM"/>
    <s v="39.5"/>
    <s v="44.5"/>
    <x v="1"/>
    <m/>
    <s v="Not Required"/>
    <m/>
    <x v="1"/>
    <m/>
    <s v="OK"/>
    <s v="Existing on tower actual - OML 10.58 sqm - No UE  / KSGM -2.97 sqm - No UE  ) - Requested SQM 5.242 -  Change MW and RF Azimuth as per the actual "/>
    <s v="OK"/>
    <m/>
    <m/>
    <s v="No"/>
    <s v="EXISTING TOWER(OP1+OP3(OLD+NEW)):  97.4 %_x000a_EXISTING TOWER(OP1+OP3(OLD)): 97.8 %"/>
    <s v="Not Required"/>
    <m/>
    <m/>
    <m/>
    <m/>
    <s v="Not Required"/>
    <m/>
    <m/>
    <m/>
    <m/>
    <m/>
    <m/>
    <m/>
    <m/>
    <m/>
    <m/>
    <m/>
    <m/>
    <m/>
    <m/>
    <m/>
    <x v="86"/>
    <s v="Not  Calculated"/>
    <n v="0"/>
    <s v="No File"/>
    <s v="1-01-05027-002 (SGG0011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2 (SGG00113) Application Rev 2.xlsx"/>
    <m/>
  </r>
  <r>
    <n v="3353"/>
    <x v="119"/>
    <x v="1"/>
    <x v="1"/>
    <s v="SHE00089"/>
    <x v="0"/>
    <s v="MPT  Phase 1b Colo"/>
    <s v="On Air"/>
    <s v="Colocation "/>
    <s v="4"/>
    <x v="44"/>
    <m/>
    <n v="4.3"/>
    <n v="4.55"/>
    <s v="SQM"/>
    <s v="48"/>
    <s v="53"/>
    <x v="1"/>
    <m/>
    <s v="Not Required"/>
    <m/>
    <x v="1"/>
    <m/>
    <s v="OK"/>
    <s v="Existing on tower actual - OML - 6.43 sqm - No UE  / KSGM - 5.57sqm - No UE TML 4.41sqm  )Requested SQM 4.546 -  Change RF dimension and add RRU"/>
    <s v="OK"/>
    <m/>
    <m/>
    <s v="No"/>
    <s v="Existing Tower(OML+TML+KSGM(OLD+NEW) =101.3%_x000a_Existing Tower(OML+TML+KSGM(OLD) =100.6%"/>
    <s v="Not Required"/>
    <m/>
    <m/>
    <m/>
    <m/>
    <s v="Not Required"/>
    <m/>
    <m/>
    <m/>
    <m/>
    <m/>
    <m/>
    <m/>
    <m/>
    <m/>
    <m/>
    <m/>
    <m/>
    <m/>
    <m/>
    <m/>
    <x v="86"/>
    <s v="Not  Calculated"/>
    <n v="0"/>
    <s v="No File"/>
    <s v="1-01-16011-001 (SHE00089)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6011-001 (SHE00089) Application Rev 4.xlsx"/>
    <m/>
  </r>
  <r>
    <n v="3354"/>
    <x v="30"/>
    <x v="1"/>
    <x v="1"/>
    <s v="SHS00117"/>
    <x v="0"/>
    <s v="MPT  Phase 1b Colo"/>
    <s v="On Air"/>
    <s v="Colocation "/>
    <s v="4"/>
    <x v="44"/>
    <m/>
    <n v="3.4"/>
    <n v="3.59"/>
    <s v="SQM"/>
    <s v="48"/>
    <s v="53"/>
    <x v="1"/>
    <m/>
    <s v="Not Required"/>
    <m/>
    <x v="1"/>
    <m/>
    <s v="OK"/>
    <s v="Existing on tower actual - OML - 6.18 sqm - UE Down ( OML accupied area 55.35 - 52.66)  / KSGM - 3.21sqm no UE )Requested SQM 3.586 -  Change RF dimension and add RRU"/>
    <s v="OK"/>
    <m/>
    <m/>
    <s v="No"/>
    <s v="Existing Tower(OML+TML+KSGM(OLD+NEW) =96.6%_x000a_Existing Tower(OML+TML+KSGM(OLD) =96.2%"/>
    <s v="Not Required"/>
    <m/>
    <m/>
    <m/>
    <m/>
    <s v="Not Required"/>
    <m/>
    <m/>
    <m/>
    <m/>
    <m/>
    <m/>
    <m/>
    <m/>
    <m/>
    <m/>
    <m/>
    <m/>
    <m/>
    <m/>
    <m/>
    <x v="86"/>
    <s v="Not  Calculated"/>
    <n v="0"/>
    <s v="No File"/>
    <s v="1-01-14003-002 (SHS00117)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3-002 (SHS00117) Application Rev 4.xlsx"/>
    <m/>
  </r>
  <r>
    <n v="3355"/>
    <x v="206"/>
    <x v="1"/>
    <x v="1"/>
    <s v="SHS00185"/>
    <x v="0"/>
    <s v="MPT  Phase 1b Colo"/>
    <s v="On Air"/>
    <s v="Colocation "/>
    <s v="2"/>
    <x v="44"/>
    <m/>
    <n v="3.9"/>
    <n v="3.37"/>
    <s v="SQM"/>
    <s v="37"/>
    <s v="42"/>
    <x v="1"/>
    <m/>
    <s v="Not Required"/>
    <m/>
    <x v="1"/>
    <m/>
    <s v="OK"/>
    <s v="Existing on tower actual - OML - 6.63 sqm - No UE  / KSGM - 2.29 sqm no UE  / TML - 3.30 sqm- No UE / Mytel Colo Apps - 4.07sqm ) Requested SQM 3.374 - Change RF dimension and add RRU"/>
    <s v="OK"/>
    <m/>
    <m/>
    <s v="No"/>
    <s v="Strengthened Tower (Mytel Project - Install Completed) :_x000a_OML+TML+MYTEL+KSGM(NEW+OLD) = 94.5%_x000a_OML+TML+MYTEL+KSGM(OLD) = 89.5%"/>
    <s v="Not Required"/>
    <m/>
    <m/>
    <m/>
    <m/>
    <s v="Not Required"/>
    <m/>
    <m/>
    <m/>
    <m/>
    <m/>
    <m/>
    <m/>
    <m/>
    <m/>
    <m/>
    <m/>
    <m/>
    <m/>
    <m/>
    <m/>
    <x v="86"/>
    <s v="Not  Calculated"/>
    <n v="0"/>
    <s v="No File"/>
    <s v="1-01-14013-002 (SHS0018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13-002 (SHS00185) Application Rev 2.xlsx"/>
    <m/>
  </r>
  <r>
    <n v="3356"/>
    <x v="167"/>
    <x v="1"/>
    <x v="0"/>
    <s v="TNY00033"/>
    <x v="0"/>
    <s v="MPT  Phase 1b Colo"/>
    <s v="On Air"/>
    <s v="Colocation "/>
    <s v="4"/>
    <x v="44"/>
    <m/>
    <n v="3.3"/>
    <n v="4.3099999999999996"/>
    <s v="SQM"/>
    <s v="48"/>
    <s v="53"/>
    <x v="1"/>
    <m/>
    <s v="Not Required"/>
    <m/>
    <x v="1"/>
    <m/>
    <s v="OK"/>
    <s v="Existing on tower actual - OML - 7.35sqm - No UE  / KSGM - 4.10 sqm no UE  / TML - 4.64 sqm- No UE / Mytel Colo Apps - 4.07sqm )Requested SQM 4.314 - Change RF dimension and add RRU"/>
    <s v="OK"/>
    <m/>
    <m/>
    <s v="No"/>
    <s v="STR TOWER(OML+TML+MYTEL+KSGM(OLD+NEW)):  99.1%_x000a_STR TOWER(OML+TML+MYTEL+KSGM(OLD)): 97.5%"/>
    <s v="Not Required"/>
    <m/>
    <m/>
    <m/>
    <m/>
    <s v="Not Required"/>
    <m/>
    <m/>
    <m/>
    <m/>
    <m/>
    <m/>
    <m/>
    <m/>
    <m/>
    <m/>
    <m/>
    <m/>
    <m/>
    <m/>
    <m/>
    <x v="86"/>
    <s v="Not  Calculated"/>
    <n v="0"/>
    <s v="No File"/>
    <s v="1-01-06008-002 (TNY00033)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8-002 (TNY00033) Application Rev 4.xlsx"/>
    <m/>
  </r>
  <r>
    <n v="3357"/>
    <x v="84"/>
    <x v="1"/>
    <x v="2"/>
    <s v="KCN00293"/>
    <x v="0"/>
    <s v="MPT  Phase 1b Colo"/>
    <s v="On Air"/>
    <s v="Colocation "/>
    <s v="2"/>
    <x v="44"/>
    <m/>
    <n v="3.5"/>
    <n v="4.25"/>
    <s v="SQM"/>
    <s v="33"/>
    <s v="38"/>
    <x v="1"/>
    <m/>
    <s v="Not Required"/>
    <m/>
    <x v="1"/>
    <m/>
    <s v="OK"/>
    <s v="Existing on tower actual - OML - 8.70 sqm - No UE  / KSGM - 4.23 sqm no UE  / TML - 3.30 sqm- No UE )Requested SQM 4.254 -Change RF dimension and height, Changed RRU height"/>
    <s v="OK"/>
    <m/>
    <m/>
    <s v="No"/>
    <s v="Existing Tower(OML+TML+KSGM(OLD+NEW) =101.4%_x000a_Existing Tower(OML+TML+KSGM(OLD) =100.8%"/>
    <s v="Not Required"/>
    <m/>
    <m/>
    <m/>
    <m/>
    <s v="Not Required"/>
    <m/>
    <m/>
    <m/>
    <m/>
    <m/>
    <m/>
    <m/>
    <m/>
    <m/>
    <m/>
    <m/>
    <m/>
    <m/>
    <m/>
    <m/>
    <x v="86"/>
    <s v="Not  Calculated"/>
    <n v="0"/>
    <s v="No File"/>
    <s v="1-01-01002-007 (KCN0029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2-007 (KCN00293) Application Rev 2.xlsx"/>
    <m/>
  </r>
  <r>
    <n v="3358"/>
    <x v="207"/>
    <x v="1"/>
    <x v="0"/>
    <s v="AWD00111"/>
    <x v="0"/>
    <s v="MPT  Phase 1b Colo"/>
    <s v="On Air"/>
    <s v="Colocation "/>
    <s v="2"/>
    <x v="44"/>
    <m/>
    <n v="2.7"/>
    <n v="4.97"/>
    <s v="SQM"/>
    <s v="33"/>
    <s v="38"/>
    <x v="1"/>
    <m/>
    <s v="Not Required"/>
    <m/>
    <x v="1"/>
    <m/>
    <s v="OK"/>
    <s v="Existing on tower actual - OML - 9.14 sqm - No UE  / KSGM - 3.78 sqm no UE  / TML - 3.35 sqm- No UE / Mytel Colo Apps 3.79sqm  )Requested SQM 4.968 - Change RF dimension and added RRU"/>
    <s v="OK"/>
    <m/>
    <m/>
    <s v="No"/>
    <s v="Existing Tower(OML+TML+MYTEL+KSGM(OLD+NEW) =103.3%_x000a_Existing Tower(OML+TML+MYTEL+KSGM(OLD) =102.7%"/>
    <s v="Not Required"/>
    <m/>
    <m/>
    <m/>
    <m/>
    <s v="Not Required"/>
    <m/>
    <m/>
    <m/>
    <m/>
    <m/>
    <m/>
    <m/>
    <m/>
    <m/>
    <m/>
    <m/>
    <m/>
    <m/>
    <m/>
    <m/>
    <x v="86"/>
    <s v="Not  Calculated"/>
    <n v="0"/>
    <s v="No File"/>
    <s v="1-01-17019-003 (AWD00111)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9-003 (AWD00111) Application Rev 2.xlsx"/>
    <m/>
  </r>
  <r>
    <n v="3359"/>
    <x v="186"/>
    <x v="1"/>
    <x v="2"/>
    <s v="SGG00158"/>
    <x v="0"/>
    <s v="MPT  Phase 1b Colo"/>
    <s v="On Air"/>
    <s v="Colocation "/>
    <s v="2"/>
    <x v="44"/>
    <m/>
    <n v="2.2999999999999998"/>
    <n v="3.11"/>
    <s v="SQM"/>
    <s v="16"/>
    <s v="21"/>
    <x v="1"/>
    <m/>
    <s v="Not Required"/>
    <m/>
    <x v="1"/>
    <m/>
    <s v="OK"/>
    <s v="Existing on tower actual - OML -6.91 sqm - No UE  / KSGM - 2.83 sqm no UE   )Requested SQM 3.113 - Change MW cables size and ODU dimension/model"/>
    <s v="OK"/>
    <m/>
    <m/>
    <s v="No"/>
    <s v="Existing Tower(OML+ KSGM(OLD+NEW) = 62.4%_x000a_Existing Tower(OML+ KSGM(OLD) = 62.3%"/>
    <s v="Not Required"/>
    <m/>
    <m/>
    <m/>
    <m/>
    <s v="Not Required"/>
    <m/>
    <m/>
    <m/>
    <m/>
    <m/>
    <m/>
    <m/>
    <m/>
    <m/>
    <m/>
    <m/>
    <m/>
    <m/>
    <m/>
    <m/>
    <x v="86"/>
    <s v="Not  Calculated"/>
    <n v="0"/>
    <s v="No File"/>
    <s v="1-01-05027-008 (SGG0015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8 (SGG00158) Application Rev 2.xlsx"/>
    <m/>
  </r>
  <r>
    <n v="3360"/>
    <x v="208"/>
    <x v="1"/>
    <x v="2"/>
    <s v="SGG00544"/>
    <x v="0"/>
    <s v="MPT  Phase 1b Colo"/>
    <s v="On Air"/>
    <s v="Colocation "/>
    <s v="3"/>
    <x v="44"/>
    <m/>
    <n v="2.64"/>
    <n v="6.53"/>
    <s v="SQM"/>
    <s v="48"/>
    <s v="53"/>
    <x v="1"/>
    <m/>
    <s v="Not Required"/>
    <m/>
    <x v="1"/>
    <m/>
    <s v="OK"/>
    <s v="Existing on tower actual - OML -7.59 sqm - No UE  / KSGM - 4.16 sqm no UE / TML - 3.87  sqm no UE )Requested SQM 6.525 -add MW as per the actual and Add RF as new additional "/>
    <s v="OK"/>
    <m/>
    <m/>
    <s v="No"/>
    <s v="Existing Tower(OML+TML+KSGM(OLD+NEW) =102.1%_x000a_Existing Tower(OML+TML+KSGM(OLD) =99.2%"/>
    <s v="Not Required"/>
    <m/>
    <m/>
    <m/>
    <m/>
    <s v="Not Required"/>
    <m/>
    <m/>
    <m/>
    <m/>
    <m/>
    <m/>
    <m/>
    <m/>
    <m/>
    <m/>
    <m/>
    <m/>
    <m/>
    <m/>
    <m/>
    <x v="86"/>
    <s v="Not  Calculated"/>
    <n v="0"/>
    <s v="No File"/>
    <s v="1-01-05011-006 (SGG00544)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1-006 (SGG00544) Application Rev 3.xlsx"/>
    <m/>
  </r>
  <r>
    <n v="3361"/>
    <x v="209"/>
    <x v="1"/>
    <x v="1"/>
    <s v="SHS00382"/>
    <x v="0"/>
    <s v="MPT  Phase 1b Colo"/>
    <s v="On Air"/>
    <s v="Colocation "/>
    <s v="2"/>
    <x v="44"/>
    <m/>
    <n v="2.1"/>
    <n v="1.74"/>
    <s v="SQM"/>
    <s v="48"/>
    <s v="53"/>
    <x v="1"/>
    <m/>
    <s v="Not Required"/>
    <m/>
    <x v="1"/>
    <m/>
    <s v="OK"/>
    <s v="Existing on tower actual - OML Not Yet On Air / KSGM - 2.69 sqm no UE / TML - 3.87  sqm no UE )Requested SQM 1.744 -Change RF dimension and added RRU"/>
    <s v="OK"/>
    <m/>
    <m/>
    <s v="No"/>
    <s v="EXISTING TOWER(OML+TML+KSGM(OLD+NEW)):  90.5 %_x000a_EXISTING TOWER(OML+TML+KSGM(OLD)): 91.7%"/>
    <s v="Not Required"/>
    <m/>
    <m/>
    <m/>
    <m/>
    <s v="Not Required"/>
    <m/>
    <m/>
    <m/>
    <m/>
    <m/>
    <m/>
    <m/>
    <m/>
    <m/>
    <m/>
    <m/>
    <m/>
    <m/>
    <m/>
    <m/>
    <x v="86"/>
    <s v="Not  Calculated"/>
    <n v="0"/>
    <s v="No File"/>
    <s v="1-01-14008-002 (SHS0038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8-002 (SHS00382) Application Rev 2.xlsx"/>
    <m/>
  </r>
  <r>
    <n v="3362"/>
    <x v="165"/>
    <x v="1"/>
    <x v="1"/>
    <s v="SHE00021"/>
    <x v="0"/>
    <s v="MPT  Phase 1b Colo"/>
    <s v="On Air"/>
    <s v="Colocation "/>
    <s v="1"/>
    <x v="44"/>
    <m/>
    <n v="1.8"/>
    <n v="3.024"/>
    <s v="SQM"/>
    <s v="33"/>
    <s v="38"/>
    <x v="1"/>
    <m/>
    <s v="Not Required"/>
    <m/>
    <x v="1"/>
    <m/>
    <s v="OK"/>
    <s v="Existing on tower actual - OML 7.76sqm / KSGM - 2.08 sqm no UE )Requested SQM 3.024 -Change RF /RRU dimension"/>
    <s v="OK"/>
    <m/>
    <m/>
    <s v="No"/>
    <s v="STR TOWER(OP1+OP3(OLD+NEW)): 79.3%_x000a_STR TOWER(OP1+OP3(OLD)): 76.6%"/>
    <s v="Not Required"/>
    <m/>
    <m/>
    <m/>
    <m/>
    <s v="Not Required"/>
    <m/>
    <m/>
    <m/>
    <m/>
    <m/>
    <m/>
    <m/>
    <m/>
    <m/>
    <m/>
    <m/>
    <m/>
    <m/>
    <m/>
    <m/>
    <x v="86"/>
    <s v="Not  Calculated"/>
    <n v="0"/>
    <s v="No File"/>
    <s v="1-01-16001-003 (SHE00021)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6001-003 (SHE00021) Application Rev 1.xlsx"/>
    <m/>
  </r>
  <r>
    <n v="3363"/>
    <x v="210"/>
    <x v="1"/>
    <x v="1"/>
    <s v="SHS00259"/>
    <x v="0"/>
    <s v="MPT  Phase 1b Colo"/>
    <s v="On Air"/>
    <s v="Colocation "/>
    <s v="3"/>
    <x v="44"/>
    <m/>
    <n v="4.8"/>
    <n v="5.9880000000000004"/>
    <s v="SQM"/>
    <s v="34.5"/>
    <s v="39.5"/>
    <x v="1"/>
    <m/>
    <s v="Not Required"/>
    <m/>
    <x v="1"/>
    <m/>
    <s v="OK"/>
    <s v="Existing on tower actual - OML 7.24 sqm / KSGM - 2.29 sqm  / Mytel - 1.46  sqm no UE )Requested SQM 5.988 -Change RF dimension and added RRU"/>
    <s v="OK"/>
    <m/>
    <m/>
    <s v="No"/>
    <s v="Approved by Pasky (8/11/2018) by hard copy_x000a_STR TOWER(OML+MYTEL+KSGM(OLD+NEW)): 101.09%_x000a_STR TOWER(OML+MYTEL+KSGM(OLD)): 98.23  %_x000a_EXISTING TOWER(OML+MYTEL+KSGM(OLD+NEW)):  114.2%_x000a_EXISTING TOWER(OML+MYTEL+KSGM(OLD)): 111%"/>
    <s v="Not Required"/>
    <m/>
    <m/>
    <m/>
    <m/>
    <s v="Not Required"/>
    <m/>
    <m/>
    <m/>
    <m/>
    <m/>
    <m/>
    <m/>
    <m/>
    <m/>
    <d v="2018-11-19T12:07:22"/>
    <m/>
    <d v="2018-11-19T11:14:16"/>
    <m/>
    <m/>
    <m/>
    <x v="87"/>
    <n v="35.505113310202432"/>
    <n v="0"/>
    <s v="No File"/>
    <s v="1-01-14001-019 (SHS00259)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19 (SHS00259) Application Rev 3.xlsx"/>
    <m/>
  </r>
  <r>
    <n v="3364"/>
    <x v="211"/>
    <x v="1"/>
    <x v="2"/>
    <s v="SHN00092"/>
    <x v="0"/>
    <s v="MPT  Phase 1b Colo"/>
    <s v="On Air"/>
    <s v="Colocation "/>
    <s v="3"/>
    <x v="44"/>
    <m/>
    <n v="3.88"/>
    <n v="7.4580000000000002"/>
    <s v="SQM"/>
    <s v="33"/>
    <s v="38"/>
    <x v="1"/>
    <m/>
    <s v="Not Required"/>
    <m/>
    <x v="1"/>
    <m/>
    <s v="OK"/>
    <s v="Existing on tower actual - OML 8.67 sqm / KSGM - 4.34 sqm  / TML colo apps  - 4.41 sqm )Requested SQM 7.458 -Added RF as new additional "/>
    <s v="OK"/>
    <m/>
    <m/>
    <s v="No"/>
    <s v="EXISTING TOWER(OML+TML+KSGM(OLD+NEW)):  101 %_x000a_EXISTING TOWER(OML+TML+KSGM(OLD)): 97.2%"/>
    <s v="Not Required"/>
    <m/>
    <m/>
    <m/>
    <m/>
    <s v="Not Required"/>
    <m/>
    <m/>
    <m/>
    <m/>
    <m/>
    <m/>
    <m/>
    <m/>
    <m/>
    <m/>
    <m/>
    <m/>
    <m/>
    <m/>
    <m/>
    <x v="86"/>
    <s v="Not  Calculated"/>
    <n v="0"/>
    <s v="No File"/>
    <s v="1-01-15010-002 (SHN00092)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0-002 (SHN00092) Application Rev 3.xlsx"/>
    <m/>
  </r>
  <r>
    <n v="3365"/>
    <x v="212"/>
    <x v="1"/>
    <x v="1"/>
    <s v="BGW00115"/>
    <x v="0"/>
    <s v="MPT  Phase 1b Colo"/>
    <s v="On Air"/>
    <s v="Colocation "/>
    <s v="2"/>
    <x v="44"/>
    <m/>
    <n v="3.3"/>
    <n v="2.7519999999999998"/>
    <s v="SQM"/>
    <s v="30.5"/>
    <s v="35.5"/>
    <x v="1"/>
    <m/>
    <s v="Not Required"/>
    <m/>
    <x v="1"/>
    <m/>
    <s v="OK"/>
    <s v="Existing on tower actual - OML 7.16 sqm / KSGM - 3.08 sqm no UE ) Requested SQM 2.752 -Change RF dimension and add RRU"/>
    <s v="OK"/>
    <m/>
    <m/>
    <s v="No"/>
    <s v="Existing Tower(OML+KSGM(OLD+NEW) = 80.1%_x000a_Existing Tower(OML+KSGM(OLD) = 80.7%"/>
    <s v="Not Required"/>
    <m/>
    <m/>
    <m/>
    <m/>
    <s v="Not Required"/>
    <m/>
    <m/>
    <m/>
    <m/>
    <m/>
    <m/>
    <m/>
    <m/>
    <m/>
    <m/>
    <m/>
    <m/>
    <m/>
    <m/>
    <m/>
    <x v="86"/>
    <s v="Not  Calculated"/>
    <n v="0"/>
    <s v="No File"/>
    <s v="1-01-08002-005 (BGW0011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8002-005 (BGW00115) Application Rev 2.xlsx"/>
    <m/>
  </r>
  <r>
    <n v="3366"/>
    <x v="213"/>
    <x v="1"/>
    <x v="0"/>
    <s v="MON00160"/>
    <x v="0"/>
    <s v="MPT  Phase 1b Colo"/>
    <s v="On Air"/>
    <s v="Colocation "/>
    <s v="2"/>
    <x v="44"/>
    <m/>
    <n v="4.8"/>
    <n v="4.4539999999999997"/>
    <s v="SQM"/>
    <s v="52"/>
    <s v="57"/>
    <x v="1"/>
    <m/>
    <s v="Not Required"/>
    <m/>
    <x v="1"/>
    <m/>
    <s v="OK"/>
    <s v="Existing on tower actual - OML 8.09 sqm / KSGM - 2.29 sqm no UE, Mytel colo apps  4.50 sqm  )Requested SQM 4.454- Change RF dimension and add RRU"/>
    <s v="OK"/>
    <m/>
    <m/>
    <s v="No"/>
    <s v="Strengthened Tower (Mytel Project - Install Completed) :_x000a_OML+MYTEL+KSGM(NEW+OLD) = 99.7%_x000a_OML+MYTEL+KSGM(OLD) = 92.2%"/>
    <s v="Not Required"/>
    <m/>
    <m/>
    <m/>
    <m/>
    <s v="Not Required"/>
    <m/>
    <m/>
    <m/>
    <m/>
    <m/>
    <m/>
    <m/>
    <m/>
    <m/>
    <m/>
    <m/>
    <m/>
    <m/>
    <m/>
    <m/>
    <x v="86"/>
    <s v="Not  Calculated"/>
    <n v="0"/>
    <s v="No File"/>
    <s v="1-01-11009-003 (MON0016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1009-003 (MON00160) Application Rev 2.xlsx"/>
    <m/>
  </r>
  <r>
    <n v="3367"/>
    <x v="214"/>
    <x v="1"/>
    <x v="1"/>
    <s v="SHS00349"/>
    <x v="0"/>
    <s v="MPT  Phase 1b Colo"/>
    <s v="On Air"/>
    <s v="Colocation "/>
    <s v="4"/>
    <x v="44"/>
    <m/>
    <n v="3.3"/>
    <n v="3.9460000000000002"/>
    <s v="SQM"/>
    <s v="48"/>
    <s v="53"/>
    <x v="1"/>
    <m/>
    <s v="Not Required"/>
    <m/>
    <x v="1"/>
    <m/>
    <s v="OK"/>
    <s v="Existing on tower actual - OML 8.89 sqm / KSGM - 2.97 sqm no UE, TML  4.36 sqm - no UE  )Requested SQM 3.946- Change RF dimension and add RRU"/>
    <s v="OK"/>
    <m/>
    <m/>
    <s v="No"/>
    <s v="EXISTING TOWER(OML+TML+KSGM(OLD+NEW)): 99.5 %_x000a_EXISTING TOWER(OML+TML+KSGM(OLD)): 97.8 %"/>
    <s v="Not Required"/>
    <m/>
    <m/>
    <m/>
    <m/>
    <s v="Not Required"/>
    <m/>
    <m/>
    <m/>
    <m/>
    <m/>
    <m/>
    <m/>
    <m/>
    <m/>
    <m/>
    <m/>
    <m/>
    <m/>
    <m/>
    <m/>
    <x v="86"/>
    <s v="Not  Calculated"/>
    <n v="0"/>
    <s v="No File"/>
    <s v="1-01-14005-005 (SHS00349)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5-005 (SHS00349) Application Rev 4.xlsx"/>
    <m/>
  </r>
  <r>
    <n v="3368"/>
    <x v="215"/>
    <x v="1"/>
    <x v="0"/>
    <s v="AWD00498"/>
    <x v="0"/>
    <s v="MPT  Phase 1b Colo"/>
    <s v="On Air"/>
    <s v="Colocation "/>
    <s v="2"/>
    <x v="44"/>
    <m/>
    <n v="2.1"/>
    <n v="3.5750000000000002"/>
    <s v="SQM"/>
    <s v="42.5"/>
    <s v="47.5"/>
    <x v="1"/>
    <m/>
    <s v="Not Required"/>
    <m/>
    <x v="1"/>
    <m/>
    <s v="OK"/>
    <s v="Existing on tower actual - OML 9.15 sqm / KSGM - 3.43 sqm no UE, TML  5.00 sqm - no UE  )Requested SQM 3.575- Change RF dimension and add MW"/>
    <s v="OK"/>
    <m/>
    <m/>
    <s v="No"/>
    <s v="Strengthened Tower(OML+TML+KSGM(OLD+NEW)): 101.87%_x000a_Strengthened Tower(OML+TML+KSGM(OLD)): 101.92%"/>
    <s v="Not Required"/>
    <m/>
    <m/>
    <m/>
    <m/>
    <s v="Not Required"/>
    <m/>
    <m/>
    <m/>
    <m/>
    <m/>
    <m/>
    <m/>
    <m/>
    <m/>
    <m/>
    <m/>
    <m/>
    <m/>
    <m/>
    <m/>
    <x v="86"/>
    <s v="Not  Calculated"/>
    <n v="0"/>
    <s v="No File"/>
    <s v="1-01-17016-004 (AWD0049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6-004 (AWD00498) Application Rev 2.xlsx"/>
    <m/>
  </r>
  <r>
    <n v="3369"/>
    <x v="216"/>
    <x v="1"/>
    <x v="0"/>
    <s v="YGN00555"/>
    <x v="0"/>
    <s v="MPT  Phase 1b Colo"/>
    <s v="On Air"/>
    <s v="Colocation "/>
    <s v="2"/>
    <x v="44"/>
    <m/>
    <n v="2.4"/>
    <n v="3.5150000000000001"/>
    <s v="SQM"/>
    <s v="33"/>
    <s v="38"/>
    <x v="1"/>
    <m/>
    <s v="Not Required"/>
    <m/>
    <x v="1"/>
    <m/>
    <s v="OK"/>
    <s v="Existing on tower actual - OML 7.49 sqm / KSGM - 3.25 sqm no UE,   )Requested SQM 3.515- Change RF dimension and add MW"/>
    <s v="OK"/>
    <m/>
    <m/>
    <s v="No"/>
    <s v="EXISTING TOWER(OML+KSGM(OLD+NEW)):  80.2 %_x000a_EXISTING TOWER(OML+KSGM(OLD)): 80 %"/>
    <s v="Not Required"/>
    <m/>
    <m/>
    <m/>
    <m/>
    <s v="Not Required"/>
    <m/>
    <m/>
    <m/>
    <m/>
    <m/>
    <m/>
    <m/>
    <m/>
    <m/>
    <m/>
    <m/>
    <m/>
    <m/>
    <m/>
    <m/>
    <x v="86"/>
    <s v="Not  Calculated"/>
    <n v="0"/>
    <s v="No File"/>
    <s v="1-01-13004-002 (YGN0055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3004-002 (YGN00555) Application Rev 2.xlsx"/>
    <m/>
  </r>
  <r>
    <n v="3370"/>
    <x v="189"/>
    <x v="1"/>
    <x v="0"/>
    <s v="AWD00481"/>
    <x v="0"/>
    <s v="MPT  Phase 1b Colo"/>
    <s v="On Air"/>
    <s v="Tower Share "/>
    <s v="2"/>
    <x v="44"/>
    <m/>
    <n v="0.9"/>
    <n v="2.887"/>
    <s v="SQM"/>
    <s v="42.5"/>
    <s v="47.5"/>
    <x v="1"/>
    <m/>
    <s v="Not Required"/>
    <m/>
    <x v="1"/>
    <m/>
    <s v="OK"/>
    <s v="Existing on tower actual - OML 7.72 sqm / KSGM - 3.42 sqm no UE, TML - 4.94 sqm )Requested SQM 2.887 - Change RF dimension and add MW"/>
    <s v="OK"/>
    <m/>
    <m/>
    <s v="No"/>
    <s v="Existing Tower(OP1+OP4+OP3(OLD+NEW) =103%_x000a_Existing Tower(OP1+OP4+OP3(OLD) =103.9%"/>
    <s v="Not Required"/>
    <m/>
    <m/>
    <m/>
    <m/>
    <s v="Not Required"/>
    <m/>
    <m/>
    <m/>
    <m/>
    <m/>
    <m/>
    <m/>
    <m/>
    <m/>
    <m/>
    <m/>
    <m/>
    <m/>
    <m/>
    <m/>
    <x v="86"/>
    <s v="Not  Calculated"/>
    <n v="0"/>
    <s v="No File"/>
    <s v="1-01-17009-002 (AWD00481)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09-002 (AWD00481) Application Rev 2.xlsx"/>
    <m/>
  </r>
  <r>
    <n v="3371"/>
    <x v="217"/>
    <x v="1"/>
    <x v="0"/>
    <s v="AWD00548"/>
    <x v="0"/>
    <s v="MPT  Phase 1b Colo"/>
    <s v="On Air"/>
    <s v="Tower Share "/>
    <s v="2"/>
    <x v="44"/>
    <m/>
    <n v="1.5"/>
    <n v="2.9119999999999999"/>
    <s v="SQM"/>
    <s v="24"/>
    <s v="29"/>
    <x v="1"/>
    <m/>
    <s v="Not Required"/>
    <m/>
    <x v="1"/>
    <m/>
    <s v="OK"/>
    <s v="Existing on tower actual - OML 6.71 sqm / KSGM - 2.50 sqm no UE, TML - 4.01 sqm )Requested SQM 2.912 - Change existing Antenna height "/>
    <s v="OK"/>
    <m/>
    <m/>
    <s v="No"/>
    <s v="Existing Tower(OML+TML+KSGM(OLD+NEW) = 91.7%_x000a_Existing Tower(OML+TML+KSGM(OLD) = 91.8%"/>
    <s v="Not Required"/>
    <m/>
    <m/>
    <m/>
    <m/>
    <s v="Not Required"/>
    <m/>
    <m/>
    <m/>
    <m/>
    <m/>
    <m/>
    <m/>
    <m/>
    <m/>
    <m/>
    <m/>
    <m/>
    <m/>
    <m/>
    <m/>
    <x v="86"/>
    <s v="Not  Calculated"/>
    <n v="0"/>
    <s v="No File"/>
    <s v="1-01-17008-022 (AWD0054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08-022 (AWD00548) Application Rev 2.xlsx"/>
    <m/>
  </r>
  <r>
    <n v="3348"/>
    <x v="124"/>
    <x v="0"/>
    <x v="2"/>
    <s v="SGG00406"/>
    <x v="0"/>
    <s v="MPT  Phase 1a Colo"/>
    <s v="On Air"/>
    <s v="Change Request"/>
    <s v="1"/>
    <x v="45"/>
    <m/>
    <n v="1.4"/>
    <n v="5"/>
    <s v="EPA"/>
    <s v="36"/>
    <s v="41"/>
    <x v="1"/>
    <m/>
    <s v="Not Required"/>
    <m/>
    <x v="3"/>
    <s v="Grid request on hold due to high VCC 10 million"/>
    <s v="OK"/>
    <s v="Existing on tower - ( Assume ) Telenor with 5.65 EPA . MPT with 4.84 EPA - Mytel Colo Apps EPA -  6.914"/>
    <s v="OK"/>
    <m/>
    <m/>
    <m/>
    <m/>
    <s v="Not Required"/>
    <m/>
    <m/>
    <m/>
    <s v="Comment below site duplicated"/>
    <s v="Not Required"/>
    <m/>
    <m/>
    <m/>
    <m/>
    <m/>
    <m/>
    <m/>
    <m/>
    <m/>
    <m/>
    <m/>
    <m/>
    <m/>
    <m/>
    <m/>
    <x v="88"/>
    <s v="Not  Calculated"/>
    <n v="0"/>
    <s v="No File"/>
    <s v="ANSG_0483 (SGG00406)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83 (SGG00406) Application Rev 1.xlsx"/>
    <m/>
  </r>
  <r>
    <n v="3349"/>
    <x v="218"/>
    <x v="0"/>
    <x v="0"/>
    <s v="BGE00472"/>
    <x v="0"/>
    <s v="MPT Colocation"/>
    <s v="Under Colo"/>
    <s v="Change Request"/>
    <s v="0"/>
    <x v="45"/>
    <m/>
    <n v="2.1"/>
    <n v="5"/>
    <s v="EPA"/>
    <s v="25"/>
    <s v="30"/>
    <x v="1"/>
    <m/>
    <s v="Not Required"/>
    <m/>
    <x v="3"/>
    <s v="community asking extra VCC (80lakhs) for MPT colo and OML, mytel as well. They received 30lakhs VCC when we connected a grid on site since 2017."/>
    <s v="OK"/>
    <s v="Existing on tower - ( Assume ) Telenor with 5.83 EPA .OML with 11.13 EPA - Mytel with EPA -  3.90"/>
    <m/>
    <m/>
    <m/>
    <m/>
    <m/>
    <s v="OK"/>
    <s v="2 weeks"/>
    <m/>
    <m/>
    <s v="BB EoL swap "/>
    <s v="Not Required"/>
    <m/>
    <m/>
    <m/>
    <m/>
    <m/>
    <m/>
    <m/>
    <m/>
    <m/>
    <m/>
    <d v="2018-12-19T09:05:55"/>
    <m/>
    <m/>
    <m/>
    <m/>
    <x v="88"/>
    <s v="Not  Calculated"/>
    <n v="0"/>
    <s v="No File"/>
    <s v="AYYN_0609 (BGE00472)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609 (BGE00472) Application Rev 0.xlsx"/>
    <m/>
  </r>
  <r>
    <n v="3351"/>
    <x v="182"/>
    <x v="0"/>
    <x v="0"/>
    <s v="YGN00500"/>
    <x v="0"/>
    <s v="MPT  Phase 1a Colo"/>
    <s v="On Air"/>
    <s v="Change Request"/>
    <s v="0"/>
    <x v="45"/>
    <m/>
    <n v="2.1"/>
    <m/>
    <s v="EPA"/>
    <s v="25"/>
    <s v="30"/>
    <x v="1"/>
    <m/>
    <s v="Not Required"/>
    <m/>
    <x v="0"/>
    <m/>
    <s v="OK"/>
    <s v="Existing on tower - ( Assume ) Telenor with 4.65 EPA .MPT with 4.70 EPA "/>
    <m/>
    <m/>
    <m/>
    <m/>
    <m/>
    <s v="OK"/>
    <s v="1 week"/>
    <m/>
    <m/>
    <m/>
    <s v="Not Required"/>
    <m/>
    <m/>
    <m/>
    <m/>
    <m/>
    <m/>
    <m/>
    <m/>
    <m/>
    <m/>
    <d v="2018-12-19T09:05:55"/>
    <m/>
    <m/>
    <m/>
    <m/>
    <x v="88"/>
    <s v="Not  Calculated"/>
    <n v="0"/>
    <s v="No File"/>
    <s v="AYYN_0529 (YGN00500)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529 (YGN00500) Application Rev 0.xlsx"/>
    <m/>
  </r>
  <r>
    <n v="655"/>
    <x v="219"/>
    <x v="0"/>
    <x v="1"/>
    <s v="NPW2249"/>
    <x v="2"/>
    <s v="Colocation"/>
    <m/>
    <s v="Colocation"/>
    <m/>
    <x v="46"/>
    <m/>
    <n v="3"/>
    <n v="6"/>
    <s v="EPA"/>
    <s v="30"/>
    <s v="35"/>
    <x v="2"/>
    <m/>
    <s v="OK"/>
    <s v="13-Sep-18: Okay for TI installation,  Lease hike request may raise while TI installation"/>
    <x v="0"/>
    <m/>
    <m/>
    <m/>
    <m/>
    <m/>
    <m/>
    <m/>
    <m/>
    <s v="OK"/>
    <s v="1 week"/>
    <m/>
    <m/>
    <m/>
    <m/>
    <m/>
    <m/>
    <m/>
    <m/>
    <m/>
    <m/>
    <m/>
    <m/>
    <m/>
    <m/>
    <d v="2018-11-13T16:09:12"/>
    <m/>
    <m/>
    <d v="2018-11-13T16:30:57"/>
    <d v="2018-11-13T16:25:49"/>
    <x v="89"/>
    <s v="Not  Calculated"/>
    <n v="0"/>
    <s v="No File"/>
    <s v="ANNP_0256 (NPW224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NP_0256 (NPW2249) Application.xlsx"/>
    <m/>
  </r>
  <r>
    <n v="648"/>
    <x v="220"/>
    <x v="0"/>
    <x v="0"/>
    <s v="AYW5603"/>
    <x v="2"/>
    <s v="OML Phase 2 Colo"/>
    <s v="On Air"/>
    <s v="Colocation"/>
    <m/>
    <x v="47"/>
    <m/>
    <n v="3"/>
    <n v="6"/>
    <s v="EPA"/>
    <s v="23"/>
    <s v="28"/>
    <x v="1"/>
    <m/>
    <s v="OK"/>
    <s v="13-Sep-18: Okay for TI installation,  Lease hike request may raise while TI installation"/>
    <x v="0"/>
    <m/>
    <s v="OK"/>
    <m/>
    <s v="Not Required"/>
    <m/>
    <m/>
    <s v="No"/>
    <m/>
    <s v="OK"/>
    <s v="1 week"/>
    <m/>
    <m/>
    <s v="NOTE: site has 24/7 DG run restriction"/>
    <s v="OK"/>
    <s v="No"/>
    <m/>
    <m/>
    <m/>
    <m/>
    <m/>
    <m/>
    <m/>
    <m/>
    <d v="2018-11-13T14:56:12"/>
    <d v="2018-11-13T16:09:11"/>
    <m/>
    <d v="2018-11-13T17:30:58"/>
    <d v="2018-11-13T16:30:57"/>
    <d v="2018-11-13T16:25:48"/>
    <x v="90"/>
    <s v="Not  Calculated"/>
    <n v="0"/>
    <s v="No File"/>
    <s v="ACAY_0154 (AYW560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54 (AYW5603) Application.xlsx"/>
    <m/>
  </r>
  <r>
    <n v="649"/>
    <x v="221"/>
    <x v="0"/>
    <x v="0"/>
    <s v="AYW5611"/>
    <x v="2"/>
    <s v="OML Phase 2 Colo"/>
    <s v="On Air"/>
    <s v="Colocation"/>
    <m/>
    <x v="47"/>
    <m/>
    <n v="3"/>
    <n v="6"/>
    <s v="EPA"/>
    <s v="23"/>
    <s v="28"/>
    <x v="1"/>
    <m/>
    <s v="OK"/>
    <s v="13-Sep-18: Okay for TI installation,  Lease hike request may raise while TI installation"/>
    <x v="0"/>
    <m/>
    <s v="OK"/>
    <m/>
    <s v="Not Required"/>
    <m/>
    <m/>
    <s v="No"/>
    <m/>
    <s v="OK"/>
    <s v="2 weeks"/>
    <m/>
    <m/>
    <s v="BB EoL swap &amp; expansion + DG upgrade needed"/>
    <s v="OK"/>
    <s v="No"/>
    <m/>
    <m/>
    <m/>
    <m/>
    <m/>
    <m/>
    <m/>
    <m/>
    <d v="2018-11-13T14:56:12"/>
    <d v="2018-11-13T16:09:12"/>
    <m/>
    <d v="2018-11-13T17:30:58"/>
    <d v="2018-11-13T16:30:57"/>
    <d v="2018-11-13T16:25:48"/>
    <x v="90"/>
    <s v="Not  Calculated"/>
    <n v="0"/>
    <s v="No File"/>
    <s v="ACAY_0056 (AYW561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56 (AYW5611) Application.xlsx"/>
    <m/>
  </r>
  <r>
    <n v="650"/>
    <x v="222"/>
    <x v="0"/>
    <x v="0"/>
    <s v="AYW5612"/>
    <x v="2"/>
    <s v="Colocation"/>
    <m/>
    <s v="Colocation"/>
    <m/>
    <x v="47"/>
    <m/>
    <n v="3"/>
    <n v="6"/>
    <s v="EPA"/>
    <s v="26"/>
    <s v="31"/>
    <x v="2"/>
    <m/>
    <s v="OK"/>
    <s v="13-Sep-18: Okay for TI installation,  Lease hike request may raise while TI installation"/>
    <x v="0"/>
    <m/>
    <s v="OK"/>
    <m/>
    <m/>
    <m/>
    <m/>
    <s v="No"/>
    <m/>
    <s v="OK"/>
    <s v="2 weeks"/>
    <m/>
    <m/>
    <s v="BB EoL swap &amp; expansion"/>
    <s v="OK"/>
    <s v="No"/>
    <m/>
    <m/>
    <m/>
    <m/>
    <m/>
    <m/>
    <m/>
    <m/>
    <d v="2018-11-13T14:56:12"/>
    <d v="2018-11-13T16:09:12"/>
    <m/>
    <d v="2018-11-13T17:30:58"/>
    <d v="2018-11-13T16:30:57"/>
    <d v="2018-11-13T16:25:48"/>
    <x v="90"/>
    <s v="Not  Calculated"/>
    <n v="0"/>
    <s v="No File"/>
    <s v="ACAY_0138 (AYW561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38 (AYW5612) Application.xlsx"/>
    <m/>
  </r>
  <r>
    <n v="651"/>
    <x v="223"/>
    <x v="0"/>
    <x v="1"/>
    <s v="BAW5598"/>
    <x v="2"/>
    <s v="Colocation"/>
    <m/>
    <s v="Colocation"/>
    <m/>
    <x v="47"/>
    <m/>
    <n v="3"/>
    <n v="6"/>
    <s v="EPA"/>
    <s v="27"/>
    <s v="32"/>
    <x v="2"/>
    <m/>
    <s v="OK"/>
    <s v="13-Sep-18: Okay for TI installation,  Lease hike request may raise while TI installation"/>
    <x v="0"/>
    <m/>
    <s v="OK"/>
    <m/>
    <m/>
    <m/>
    <m/>
    <s v="No"/>
    <m/>
    <s v="OK"/>
    <s v="2 weeks"/>
    <m/>
    <m/>
    <s v="BB EoL swap &amp; expansion"/>
    <s v="OK"/>
    <s v="No"/>
    <m/>
    <m/>
    <m/>
    <m/>
    <m/>
    <m/>
    <m/>
    <m/>
    <d v="2018-11-13T14:56:12"/>
    <d v="2018-11-13T16:09:12"/>
    <m/>
    <d v="2018-11-13T17:30:58"/>
    <d v="2018-11-13T16:30:57"/>
    <d v="2018-11-13T16:25:48"/>
    <x v="90"/>
    <s v="Not  Calculated"/>
    <n v="0"/>
    <s v="No File"/>
    <s v="ACBA_0256 (BAW559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256 (BAW5598) Application.xlsx"/>
    <m/>
  </r>
  <r>
    <n v="652"/>
    <x v="224"/>
    <x v="0"/>
    <x v="0"/>
    <s v="MOW6321"/>
    <x v="2"/>
    <s v="OML Phase 2 Colo"/>
    <s v="On Air"/>
    <s v="Colocation"/>
    <m/>
    <x v="47"/>
    <m/>
    <n v="3"/>
    <n v="6"/>
    <s v="EPA"/>
    <s v="31"/>
    <s v="36"/>
    <x v="1"/>
    <m/>
    <s v="OK"/>
    <s v="13-Sep-18: Okay for TI installation as owner is okay, Team has to be much quite while OML installation as ward and Nieghbour may raise concern."/>
    <x v="0"/>
    <m/>
    <s v="OK"/>
    <m/>
    <s v="Not Required"/>
    <m/>
    <m/>
    <s v="No"/>
    <m/>
    <s v="OK"/>
    <s v="2 weeks"/>
    <m/>
    <m/>
    <s v="NOTE: site has 24/7 DG run restriction BB Eol swap &amp; expansion + DG UG"/>
    <s v="OK"/>
    <s v="No"/>
    <s v="need to relocate DCDB pole"/>
    <m/>
    <m/>
    <m/>
    <m/>
    <m/>
    <m/>
    <m/>
    <d v="2018-11-13T14:56:12"/>
    <d v="2018-11-13T16:09:12"/>
    <m/>
    <d v="2018-11-13T17:30:58"/>
    <d v="2018-11-13T16:30:57"/>
    <d v="2018-11-13T16:25:48"/>
    <x v="90"/>
    <s v="Not  Calculated"/>
    <n v="0"/>
    <s v="No File"/>
    <s v="ASMO_0161 (MOW632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1 (MOW6321) Application.xlsx"/>
    <m/>
  </r>
  <r>
    <n v="653"/>
    <x v="225"/>
    <x v="0"/>
    <x v="1"/>
    <s v="BAW5607"/>
    <x v="2"/>
    <s v="OML Phase 2 Colo"/>
    <s v="On Air"/>
    <s v="Colocation"/>
    <m/>
    <x v="47"/>
    <m/>
    <n v="3"/>
    <n v="6"/>
    <s v="EPA"/>
    <s v="35"/>
    <s v="40"/>
    <x v="1"/>
    <m/>
    <s v="OK"/>
    <s v="13-Sep-18: Okay for TI installation,  Lease hike request may raise while TI installation"/>
    <x v="0"/>
    <m/>
    <s v="OK"/>
    <m/>
    <s v="Not Required"/>
    <m/>
    <m/>
    <s v="No"/>
    <m/>
    <s v="OK"/>
    <s v="2 weeks"/>
    <m/>
    <m/>
    <s v="monitor Grid &amp; battery performance - BB UG may be requiured "/>
    <s v="Not Required"/>
    <m/>
    <m/>
    <m/>
    <m/>
    <m/>
    <m/>
    <m/>
    <m/>
    <m/>
    <d v="2018-11-13T14:56:12"/>
    <d v="2018-11-13T16:09:12"/>
    <m/>
    <m/>
    <d v="2018-11-13T16:30:57"/>
    <d v="2018-11-13T16:25:49"/>
    <x v="90"/>
    <s v="Not  Calculated"/>
    <n v="0"/>
    <s v="No File"/>
    <s v="ACBA_0104 (BAW560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104 (BAW5607) Application.xlsx"/>
    <m/>
  </r>
  <r>
    <n v="654"/>
    <x v="226"/>
    <x v="0"/>
    <x v="1"/>
    <s v="BAW5608"/>
    <x v="2"/>
    <s v="OML Phase 2 Colo"/>
    <s v="On Air"/>
    <s v="Colocation"/>
    <m/>
    <x v="47"/>
    <m/>
    <n v="3"/>
    <n v="6"/>
    <s v="EPA"/>
    <s v="23"/>
    <s v="28"/>
    <x v="1"/>
    <m/>
    <s v="OK"/>
    <s v="13-Sep-18: Okay for TI installation,  Lease hike request may raise while TI installation"/>
    <x v="0"/>
    <m/>
    <s v="OK"/>
    <m/>
    <s v="Not Required"/>
    <m/>
    <m/>
    <s v="No"/>
    <m/>
    <s v="OK"/>
    <s v="2wee"/>
    <m/>
    <m/>
    <s v="BB EoL swap - monitor grid performance - DG UG if poor grid"/>
    <s v="Not Required"/>
    <m/>
    <m/>
    <m/>
    <m/>
    <m/>
    <m/>
    <m/>
    <m/>
    <m/>
    <d v="2018-11-13T14:56:12"/>
    <d v="2018-11-13T16:09:12"/>
    <m/>
    <m/>
    <d v="2018-11-13T16:30:57"/>
    <d v="2018-11-13T16:25:49"/>
    <x v="90"/>
    <s v="Not  Calculated"/>
    <n v="0"/>
    <s v="No File"/>
    <s v="ACBA_0099 (BAW560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99 (BAW5608) Application.xlsx"/>
    <m/>
  </r>
  <r>
    <n v="275"/>
    <x v="227"/>
    <x v="0"/>
    <x v="2"/>
    <s v="MDYAMTZ017"/>
    <x v="1"/>
    <s v="Colocation"/>
    <m/>
    <s v="Colocation"/>
    <m/>
    <x v="48"/>
    <m/>
    <n v="2.5"/>
    <n v="3"/>
    <s v="EPA"/>
    <s v="13.5"/>
    <s v="16.5"/>
    <x v="1"/>
    <m/>
    <s v="OK"/>
    <m/>
    <x v="0"/>
    <m/>
    <s v="OK"/>
    <m/>
    <m/>
    <m/>
    <m/>
    <m/>
    <s v="Waiting for review BA report"/>
    <s v="OK"/>
    <s v="1 week"/>
    <m/>
    <m/>
    <s v="AC connect?"/>
    <s v="Not Required"/>
    <m/>
    <m/>
    <s v="Not Required"/>
    <m/>
    <m/>
    <s v="Not Required"/>
    <m/>
    <s v="Approved by Management"/>
    <s v="Kitcha agreed on 26 Dec 18 to proceed and accepted the BA report."/>
    <d v="2018-11-13T14:56:11"/>
    <d v="2018-11-13T16:09:11"/>
    <m/>
    <m/>
    <d v="2018-11-20T08:50:53"/>
    <d v="2018-12-28T11:37:59"/>
    <x v="91"/>
    <n v="135.48471388890175"/>
    <n v="0"/>
    <s v="No File"/>
    <s v="ANMD_0011 (MDYAMTZ017)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11 (MDYAMTZ017) Application.xlsx"/>
    <m/>
  </r>
  <r>
    <n v="276"/>
    <x v="228"/>
    <x v="0"/>
    <x v="2"/>
    <s v="MDYCMTZ034"/>
    <x v="1"/>
    <s v="Amara Phase 1"/>
    <s v="RFI"/>
    <s v="Colocation"/>
    <m/>
    <x v="48"/>
    <m/>
    <n v="2.5"/>
    <n v="3"/>
    <s v="EPA"/>
    <s v="16"/>
    <s v="21"/>
    <x v="1"/>
    <s v="Colo Application already approved on 18th Sep."/>
    <s v="OK"/>
    <s v="13-Sep-18: Okay for TI installation,  Lease hike request may raise while TI installation"/>
    <x v="0"/>
    <m/>
    <s v="OK"/>
    <m/>
    <m/>
    <m/>
    <m/>
    <s v="No"/>
    <m/>
    <m/>
    <m/>
    <m/>
    <m/>
    <m/>
    <m/>
    <m/>
    <m/>
    <m/>
    <m/>
    <m/>
    <m/>
    <m/>
    <m/>
    <m/>
    <m/>
    <m/>
    <m/>
    <m/>
    <m/>
    <m/>
    <x v="92"/>
    <s v="Not  Calculated"/>
    <n v="0"/>
    <s v="No File"/>
    <s v="ANMD_0097 (MDYCMTZ034)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97 (MDYCMTZ034) Application.xlsx"/>
    <m/>
  </r>
  <r>
    <n v="266"/>
    <x v="229"/>
    <x v="0"/>
    <x v="0"/>
    <s v="YGN0821"/>
    <x v="3"/>
    <s v="Mytel Phase 1a Colo"/>
    <s v="On Air"/>
    <s v="Colocation"/>
    <m/>
    <x v="49"/>
    <m/>
    <n v="2"/>
    <m/>
    <s v="EPA"/>
    <s v="45"/>
    <s v="50"/>
    <x v="1"/>
    <m/>
    <s v="OK"/>
    <s v="Lease hike may raise"/>
    <x v="0"/>
    <m/>
    <s v="OK"/>
    <m/>
    <s v="OK"/>
    <m/>
    <m/>
    <m/>
    <s v="Ok, if no extension"/>
    <s v="OK"/>
    <s v="1 week after approval DCDB only"/>
    <m/>
    <m/>
    <s v="BB EOL swap needed"/>
    <s v="OK"/>
    <m/>
    <m/>
    <m/>
    <m/>
    <m/>
    <m/>
    <m/>
    <m/>
    <m/>
    <m/>
    <d v="2018-12-19T09:05:54"/>
    <m/>
    <m/>
    <m/>
    <m/>
    <x v="0"/>
    <s v="Not  Calculated"/>
    <n v="0"/>
    <s v="No File"/>
    <s v="AYYN_0021 (YGN082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021 (YGN0821) Application.xlsx"/>
    <m/>
  </r>
  <r>
    <n v="267"/>
    <x v="61"/>
    <x v="0"/>
    <x v="0"/>
    <s v="YGN1353"/>
    <x v="3"/>
    <s v="Colocation"/>
    <m/>
    <s v="Colocation"/>
    <m/>
    <x v="49"/>
    <m/>
    <m/>
    <m/>
    <s v="EPA"/>
    <s v="15"/>
    <s v="20"/>
    <x v="3"/>
    <s v="Rejected due to structurally overload issue &amp; Owner Issue"/>
    <s v="Rejected"/>
    <s v="Located on school building not possible to install new pole"/>
    <x v="0"/>
    <m/>
    <s v="OK"/>
    <m/>
    <s v="Review"/>
    <m/>
    <m/>
    <m/>
    <s v="Review, Steel structure building, need to add new pole,"/>
    <s v="OK"/>
    <s v="1 week after approval DCDB only"/>
    <m/>
    <m/>
    <s v="Need to relocate DCDB pole… future proof for poss 3rd tenant relocate TN BTS also"/>
    <s v="OK"/>
    <m/>
    <m/>
    <m/>
    <m/>
    <m/>
    <m/>
    <m/>
    <m/>
    <m/>
    <m/>
    <d v="2018-12-19T09:05:54"/>
    <m/>
    <m/>
    <m/>
    <m/>
    <x v="93"/>
    <s v="Not  Calculated"/>
    <n v="0"/>
    <s v="No File"/>
    <s v="AYYN_0530 (YGN135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530 (YGN1353) Application.xlsx"/>
    <m/>
  </r>
  <r>
    <n v="268"/>
    <x v="230"/>
    <x v="1"/>
    <x v="2"/>
    <s v="SGG0351"/>
    <x v="3"/>
    <s v="Mytel Phase 1b Colo"/>
    <s v="RFI"/>
    <s v="Colocation"/>
    <m/>
    <x v="49"/>
    <m/>
    <n v="2"/>
    <m/>
    <s v="EPA"/>
    <s v="55"/>
    <s v="60"/>
    <x v="1"/>
    <m/>
    <s v="OK"/>
    <s v="Lease hike may raise"/>
    <x v="0"/>
    <m/>
    <s v="OK"/>
    <m/>
    <s v="OK"/>
    <m/>
    <m/>
    <m/>
    <s v="Ok, If no extension"/>
    <s v="OK"/>
    <s v="1 week after approval DCDB only"/>
    <m/>
    <m/>
    <s v="BB EOL swap needed"/>
    <s v="OK"/>
    <m/>
    <m/>
    <m/>
    <m/>
    <m/>
    <m/>
    <m/>
    <m/>
    <m/>
    <m/>
    <d v="2018-12-19T09:05:54"/>
    <m/>
    <m/>
    <m/>
    <m/>
    <x v="0"/>
    <s v="Not  Calculated"/>
    <n v="0"/>
    <s v="No File"/>
    <s v="1-01-05018-005 (SGG035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05018-005 (SGG0351) Application.xlsx"/>
    <m/>
  </r>
  <r>
    <n v="269"/>
    <x v="231"/>
    <x v="0"/>
    <x v="0"/>
    <s v="YGN1545"/>
    <x v="3"/>
    <s v="Mytel Phase 1a Colo"/>
    <s v="On Air"/>
    <s v="Colocation"/>
    <m/>
    <x v="49"/>
    <m/>
    <n v="2"/>
    <m/>
    <s v="EPA"/>
    <s v="21"/>
    <s v="26"/>
    <x v="1"/>
    <m/>
    <s v="OK"/>
    <s v="Lease hike may raise"/>
    <x v="0"/>
    <m/>
    <s v="OK"/>
    <m/>
    <s v="Review"/>
    <m/>
    <m/>
    <s v="No"/>
    <s v="Review, need to change wind speed from 160kph to 195kph"/>
    <s v="OK"/>
    <s v="1 week after approval DCDB only"/>
    <m/>
    <m/>
    <s v="BB EOL swap needed"/>
    <s v="OK"/>
    <m/>
    <m/>
    <m/>
    <m/>
    <m/>
    <m/>
    <m/>
    <m/>
    <m/>
    <m/>
    <d v="2018-12-19T09:05:54"/>
    <m/>
    <m/>
    <m/>
    <m/>
    <x v="93"/>
    <s v="Not  Calculated"/>
    <n v="0"/>
    <s v="No File"/>
    <s v="AYYN_0323 (YGN1545)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323 (YGN1545) Application.xlsx"/>
    <m/>
  </r>
  <r>
    <n v="270"/>
    <x v="232"/>
    <x v="0"/>
    <x v="1"/>
    <s v="MGY0061"/>
    <x v="3"/>
    <s v="Mytel Phase 1a Colo"/>
    <s v="On Air"/>
    <s v="Colocation"/>
    <m/>
    <x v="49"/>
    <m/>
    <m/>
    <m/>
    <s v="EPA"/>
    <s v="35"/>
    <s v="40"/>
    <x v="1"/>
    <m/>
    <s v="OK"/>
    <s v="Lease hike may raise"/>
    <x v="0"/>
    <m/>
    <s v="OK"/>
    <m/>
    <s v="OK"/>
    <m/>
    <m/>
    <m/>
    <s v="Ok, If no extension"/>
    <s v="OK"/>
    <s v="1 week after approval DCDB only"/>
    <m/>
    <m/>
    <s v="BB EOL swap needed"/>
    <s v="OK"/>
    <m/>
    <m/>
    <m/>
    <m/>
    <m/>
    <m/>
    <m/>
    <m/>
    <m/>
    <m/>
    <d v="2018-12-19T09:05:54"/>
    <m/>
    <m/>
    <m/>
    <m/>
    <x v="0"/>
    <s v="Not  Calculated"/>
    <n v="0"/>
    <s v="No File"/>
    <s v="ANMG_0076 (MGY006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076 (MGY0061) Application.xlsx"/>
    <m/>
  </r>
  <r>
    <n v="271"/>
    <x v="233"/>
    <x v="0"/>
    <x v="0"/>
    <s v="YGN1337"/>
    <x v="3"/>
    <s v="Colocation"/>
    <m/>
    <s v="Colocation"/>
    <m/>
    <x v="50"/>
    <m/>
    <m/>
    <m/>
    <s v="EPA"/>
    <s v="31.5"/>
    <s v="35"/>
    <x v="4"/>
    <m/>
    <s v="OK"/>
    <m/>
    <x v="0"/>
    <m/>
    <s v="OK"/>
    <m/>
    <s v="Rejected"/>
    <m/>
    <m/>
    <m/>
    <s v="Rejected"/>
    <s v="OK"/>
    <m/>
    <m/>
    <m/>
    <m/>
    <s v="OK"/>
    <m/>
    <m/>
    <m/>
    <m/>
    <m/>
    <m/>
    <m/>
    <m/>
    <m/>
    <m/>
    <d v="2018-12-19T09:05:54"/>
    <m/>
    <m/>
    <m/>
    <m/>
    <x v="0"/>
    <s v="Not  Calculated"/>
    <n v="0"/>
    <s v="No File"/>
    <s v="AYYN_0499 (YGN1337)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499 (YGN1337) Application.xlsx"/>
    <m/>
  </r>
  <r>
    <n v="272"/>
    <x v="234"/>
    <x v="0"/>
    <x v="0"/>
    <s v="MON0014"/>
    <x v="3"/>
    <s v="Colocation"/>
    <m/>
    <s v="Colocation"/>
    <m/>
    <x v="50"/>
    <m/>
    <m/>
    <m/>
    <s v="EPA"/>
    <s v="30"/>
    <s v="35"/>
    <x v="3"/>
    <s v="Rejected from Community &amp; Power from Community &amp; Power. site is down due to lack of grid connection"/>
    <s v="OK"/>
    <m/>
    <x v="3"/>
    <s v="Site is down due to lack of grid connection"/>
    <s v="OK"/>
    <m/>
    <s v="OK"/>
    <m/>
    <m/>
    <m/>
    <s v=" Ok"/>
    <s v="Rejected"/>
    <m/>
    <m/>
    <m/>
    <m/>
    <s v="OK"/>
    <m/>
    <m/>
    <m/>
    <m/>
    <m/>
    <m/>
    <m/>
    <m/>
    <m/>
    <m/>
    <m/>
    <m/>
    <m/>
    <m/>
    <m/>
    <x v="94"/>
    <s v="Not  Calculated"/>
    <n v="0"/>
    <s v="No File"/>
    <s v="ASMO_0254 (MON001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SMO_0254 (MON0014) Application.xlsx"/>
    <m/>
  </r>
  <r>
    <n v="273"/>
    <x v="235"/>
    <x v="0"/>
    <x v="1"/>
    <s v="NPW0281"/>
    <x v="3"/>
    <s v="Mytel Phase 1a Colo"/>
    <s v="On Air"/>
    <s v="Colocation"/>
    <m/>
    <x v="50"/>
    <m/>
    <n v="2"/>
    <m/>
    <s v="EPA"/>
    <s v="55"/>
    <s v="60"/>
    <x v="1"/>
    <m/>
    <s v="OK"/>
    <m/>
    <x v="0"/>
    <m/>
    <s v="OK"/>
    <m/>
    <s v="OK"/>
    <m/>
    <m/>
    <m/>
    <s v="Ok"/>
    <s v="OK"/>
    <m/>
    <m/>
    <m/>
    <m/>
    <s v="OK"/>
    <m/>
    <m/>
    <m/>
    <m/>
    <m/>
    <m/>
    <m/>
    <m/>
    <m/>
    <m/>
    <d v="2018-12-19T09:05:54"/>
    <m/>
    <m/>
    <m/>
    <m/>
    <x v="0"/>
    <s v="Not  Calculated"/>
    <n v="0"/>
    <s v="No File"/>
    <s v="ANNP_0329 (NPW028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329 (NPW0281) Application.xlsx"/>
    <m/>
  </r>
  <r>
    <n v="265"/>
    <x v="236"/>
    <x v="0"/>
    <x v="2"/>
    <s v="MAW2380"/>
    <x v="2"/>
    <s v="OML Phase 2 Colo"/>
    <s v="On Air"/>
    <s v="Colocation"/>
    <m/>
    <x v="51"/>
    <m/>
    <n v="3"/>
    <n v="6.5"/>
    <s v="EPA"/>
    <s v="15"/>
    <s v="20"/>
    <x v="1"/>
    <m/>
    <s v="OK"/>
    <s v="15-Aug-18: Okay for TI installation,  Lease hike request may raise while TI installation"/>
    <x v="0"/>
    <m/>
    <s v="OK"/>
    <s v="RF Height - 15M-20M MW Height- 32M-35M (If there is LOS blockage)"/>
    <s v="Not Required"/>
    <m/>
    <m/>
    <s v="No"/>
    <m/>
    <s v="OK"/>
    <m/>
    <m/>
    <m/>
    <m/>
    <s v="OK"/>
    <s v="Yes"/>
    <s v="New extension slab (2m x 1m)"/>
    <m/>
    <m/>
    <m/>
    <m/>
    <m/>
    <m/>
    <m/>
    <d v="2018-11-13T14:56:11"/>
    <d v="2018-11-13T16:09:11"/>
    <m/>
    <d v="2018-11-13T17:30:58"/>
    <d v="2018-11-13T16:30:56"/>
    <d v="2018-11-13T16:25:48"/>
    <x v="95"/>
    <s v="Not  Calculated"/>
    <n v="0"/>
    <s v="No File"/>
    <s v="ANMD_0080 (MAW238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80 (MAW2380) Application.xlsx"/>
    <m/>
  </r>
  <r>
    <n v="259"/>
    <x v="237"/>
    <x v="0"/>
    <x v="2"/>
    <s v="MAW2969"/>
    <x v="2"/>
    <s v="Colocation"/>
    <m/>
    <s v="Colocation"/>
    <m/>
    <x v="52"/>
    <m/>
    <n v="3"/>
    <n v="6"/>
    <s v="EPA"/>
    <m/>
    <m/>
    <x v="2"/>
    <m/>
    <s v="OK"/>
    <s v="17-July-18: Lease hike request may come up while installtion of OML."/>
    <x v="0"/>
    <m/>
    <s v="OK"/>
    <s v="At this is ok after TSS will confirm available height"/>
    <s v="Review"/>
    <m/>
    <m/>
    <s v="No"/>
    <s v="RT site need TSSR"/>
    <s v="Review"/>
    <m/>
    <m/>
    <m/>
    <s v="PE UG NEEDED"/>
    <m/>
    <m/>
    <m/>
    <m/>
    <m/>
    <m/>
    <m/>
    <m/>
    <m/>
    <m/>
    <m/>
    <m/>
    <m/>
    <m/>
    <m/>
    <m/>
    <x v="0"/>
    <s v="Not  Calculated"/>
    <n v="0"/>
    <s v="No File"/>
    <s v="ANMD_0122 (MAW29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22 (MAW2969) Application.xlsx"/>
    <m/>
  </r>
  <r>
    <n v="260"/>
    <x v="238"/>
    <x v="0"/>
    <x v="2"/>
    <s v="MAW2836"/>
    <x v="2"/>
    <s v="Colocation"/>
    <m/>
    <s v="Colocation"/>
    <m/>
    <x v="52"/>
    <m/>
    <n v="3"/>
    <n v="6"/>
    <s v="EPA"/>
    <m/>
    <m/>
    <x v="2"/>
    <m/>
    <s v="OK"/>
    <s v="17-July-18: Lease hike request may come up while installtion of OML."/>
    <x v="0"/>
    <m/>
    <s v="OK"/>
    <s v="At this is ok after TSS will confirm available height"/>
    <s v="OK"/>
    <m/>
    <m/>
    <s v="No"/>
    <m/>
    <s v="Review"/>
    <m/>
    <m/>
    <m/>
    <s v="Flex SS1 K10 UG BB DG+ Grid"/>
    <m/>
    <m/>
    <m/>
    <m/>
    <m/>
    <m/>
    <m/>
    <m/>
    <m/>
    <m/>
    <m/>
    <m/>
    <m/>
    <m/>
    <m/>
    <m/>
    <x v="0"/>
    <s v="Not  Calculated"/>
    <n v="0"/>
    <s v="No File"/>
    <s v="ANMD_0181 (MAW283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81 (MAW2836) Application.xlsx"/>
    <m/>
  </r>
  <r>
    <n v="261"/>
    <x v="239"/>
    <x v="0"/>
    <x v="1"/>
    <s v="SHW1986"/>
    <x v="2"/>
    <s v="OML Phase 2 Colo"/>
    <s v="RFI"/>
    <s v="Colocation"/>
    <m/>
    <x v="52"/>
    <m/>
    <n v="3"/>
    <n v="6"/>
    <s v="EPA"/>
    <m/>
    <m/>
    <x v="1"/>
    <m/>
    <s v="OK"/>
    <s v="17-July-18: Lease hike request may come up while installtion of OML."/>
    <x v="0"/>
    <m/>
    <s v="OK"/>
    <s v="At this is ok after TSS will confirm available height"/>
    <s v="OK"/>
    <m/>
    <m/>
    <s v="No"/>
    <m/>
    <s v="Review"/>
    <m/>
    <m/>
    <m/>
    <s v="Flex SS1 K10 UG BB DG+ Grid"/>
    <m/>
    <m/>
    <m/>
    <m/>
    <m/>
    <m/>
    <m/>
    <m/>
    <m/>
    <m/>
    <m/>
    <m/>
    <m/>
    <m/>
    <m/>
    <m/>
    <x v="0"/>
    <s v="Not  Calculated"/>
    <n v="0"/>
    <s v="No File"/>
    <s v="ANSH_0044 (SHW198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H_0044 (SHW1986) Application.xlsx"/>
    <m/>
  </r>
  <r>
    <n v="258"/>
    <x v="240"/>
    <x v="0"/>
    <x v="0"/>
    <s v="YGNTKTA008"/>
    <x v="1"/>
    <s v="Amara Phase 1"/>
    <s v="RFI"/>
    <s v="Colocation"/>
    <m/>
    <x v="53"/>
    <m/>
    <n v="1.9"/>
    <n v="3"/>
    <s v="EPA"/>
    <s v="12.77"/>
    <s v="17.77"/>
    <x v="1"/>
    <m/>
    <s v="OK"/>
    <s v="10-July-18: Lease hike approved, okay for TI installtion."/>
    <x v="0"/>
    <m/>
    <s v="OK"/>
    <s v="OK"/>
    <s v="OK"/>
    <m/>
    <m/>
    <s v="No"/>
    <s v="Need to add new pole, need to do building Analysis"/>
    <s v="OK"/>
    <s v="1 wk after site survey complete colo appl approved"/>
    <m/>
    <m/>
    <s v="DC connect - BB &amp; PE UG TBO"/>
    <s v="OK"/>
    <s v="Yes"/>
    <s v="need to provide additional cable tray"/>
    <m/>
    <m/>
    <m/>
    <m/>
    <m/>
    <m/>
    <m/>
    <m/>
    <d v="2018-12-19T09:05:54"/>
    <m/>
    <m/>
    <m/>
    <m/>
    <x v="96"/>
    <s v="Not  Calculated"/>
    <n v="0"/>
    <s v="No File"/>
    <s v="AYYN_0413 (YGNTKTA008)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413 (YGNTKTA008) Application.xlsx"/>
    <m/>
  </r>
  <r>
    <n v="256"/>
    <x v="241"/>
    <x v="0"/>
    <x v="2"/>
    <s v="MDYAMTZ023"/>
    <x v="1"/>
    <s v="Amara Phase 1"/>
    <s v="RFI"/>
    <s v="Colocation"/>
    <m/>
    <x v="54"/>
    <m/>
    <n v="2.5"/>
    <n v="3"/>
    <s v="EPA"/>
    <s v="36.5"/>
    <s v="39.5"/>
    <x v="1"/>
    <s v="Colo Application already approved on 15th Aug."/>
    <s v="OK"/>
    <s v="14-Aug-18: Owner agreed for Amara installtion on exisiting pole and space."/>
    <x v="2"/>
    <s v="Hotel rooftop - long DG outages non negotiable"/>
    <s v="OK"/>
    <s v="OK"/>
    <s v="OK"/>
    <m/>
    <m/>
    <s v="No"/>
    <m/>
    <s v="OK"/>
    <s v="1 wk after site survey complete colo appl approved"/>
    <m/>
    <m/>
    <s v="AC connect material in stock - pending all clear from site survey"/>
    <m/>
    <m/>
    <m/>
    <m/>
    <m/>
    <m/>
    <m/>
    <m/>
    <m/>
    <m/>
    <m/>
    <d v="2018-12-19T09:05:54"/>
    <m/>
    <m/>
    <m/>
    <m/>
    <x v="97"/>
    <s v="Not  Calculated"/>
    <n v="0"/>
    <s v="No File"/>
    <s v="ANMD_0273 (MDYAMTZ023)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273 (MDYAMTZ023) Application.xlsx"/>
    <m/>
  </r>
  <r>
    <n v="255"/>
    <x v="242"/>
    <x v="0"/>
    <x v="2"/>
    <s v="MDYAMTZ006"/>
    <x v="1"/>
    <m/>
    <m/>
    <m/>
    <m/>
    <x v="54"/>
    <m/>
    <n v="2.5"/>
    <n v="3"/>
    <s v="EPA"/>
    <s v="20"/>
    <s v="23"/>
    <x v="2"/>
    <m/>
    <s v="OK"/>
    <s v="17-July-18: Owner agreed for Amara installtion after lease hike as we have to install new pole and slab."/>
    <x v="0"/>
    <s v="Rent increase to be negotiated for operator"/>
    <s v="OK"/>
    <s v="OK"/>
    <s v="OK"/>
    <m/>
    <m/>
    <s v="No"/>
    <s v="Need to add new pole, need to do building Analysis"/>
    <s v="OK"/>
    <s v="1 wk after site survey complete colo appl approved"/>
    <m/>
    <m/>
    <s v="AC connect material in stock - pending all clear from site survey"/>
    <m/>
    <m/>
    <m/>
    <m/>
    <m/>
    <m/>
    <m/>
    <m/>
    <m/>
    <m/>
    <m/>
    <d v="2018-12-19T09:05:53"/>
    <m/>
    <m/>
    <m/>
    <m/>
    <x v="97"/>
    <s v="Not  Calculated"/>
    <n v="0"/>
    <s v="No File"/>
    <s v="ANMD_0078 (MDYAMTZ006)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78 (MDYAMTZ006) Application.xlsx"/>
    <m/>
  </r>
  <r>
    <n v="254"/>
    <x v="243"/>
    <x v="0"/>
    <x v="0"/>
    <s v="YGNMYGE008"/>
    <x v="1"/>
    <s v="Colocation"/>
    <m/>
    <s v="Colocation"/>
    <m/>
    <x v="55"/>
    <m/>
    <n v="2"/>
    <n v="3"/>
    <s v="EPA"/>
    <s v="17"/>
    <s v="20"/>
    <x v="3"/>
    <m/>
    <s v="Rejected"/>
    <s v="10-July-18: Owner rejected as top room owner is strongly complaining our tower. Owner dont agree amara."/>
    <x v="0"/>
    <m/>
    <s v="OK"/>
    <s v="OK"/>
    <s v="OK"/>
    <m/>
    <m/>
    <s v="No"/>
    <m/>
    <s v="OK"/>
    <s v="1 wk after site survey complete colo appl approved"/>
    <m/>
    <m/>
    <s v="AC connect material in stock - pending all clear from site survey"/>
    <s v="OK"/>
    <s v="Yes"/>
    <m/>
    <m/>
    <m/>
    <m/>
    <m/>
    <m/>
    <m/>
    <m/>
    <m/>
    <d v="2018-12-19T09:05:53"/>
    <m/>
    <m/>
    <m/>
    <m/>
    <x v="98"/>
    <s v="Not  Calculated"/>
    <n v="0"/>
    <s v="No File"/>
    <s v="AYYN_0339 (YGNMYGE008)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339 (YGNMYGE008) Application.xlsx"/>
    <m/>
  </r>
  <r>
    <n v="252"/>
    <x v="244"/>
    <x v="0"/>
    <x v="0"/>
    <s v="YGNLTHA011"/>
    <x v="1"/>
    <s v="Colocation"/>
    <m/>
    <s v="Colocation"/>
    <m/>
    <x v="56"/>
    <m/>
    <n v="1.9"/>
    <n v="3"/>
    <s v="EPA"/>
    <s v="24.5"/>
    <s v="29.5"/>
    <x v="1"/>
    <m/>
    <s v="OK"/>
    <s v="10-July-18: Lease hike approved, okay for TI installtion."/>
    <x v="0"/>
    <m/>
    <s v="OK"/>
    <s v="OK"/>
    <s v="OK"/>
    <m/>
    <m/>
    <s v="No"/>
    <s v="Ok, For easy macro without cabinet"/>
    <s v="OK"/>
    <s v="1 wk after site survey complete colo appl approved"/>
    <m/>
    <m/>
    <s v="AC connect material in stock - pending all clear from site survey"/>
    <s v="OK"/>
    <s v="Yes"/>
    <m/>
    <m/>
    <m/>
    <m/>
    <m/>
    <m/>
    <m/>
    <m/>
    <m/>
    <d v="2018-12-19T09:05:53"/>
    <m/>
    <m/>
    <m/>
    <m/>
    <x v="99"/>
    <s v="Not  Calculated"/>
    <n v="0"/>
    <s v="No File"/>
    <s v="AYYN_0141 (YGNLTHA011)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141 (YGNLTHA011) Application.xlsx"/>
    <m/>
  </r>
  <r>
    <n v="246"/>
    <x v="245"/>
    <x v="0"/>
    <x v="0"/>
    <s v="AYW5573"/>
    <x v="2"/>
    <s v="OML Phase 2 Colo"/>
    <s v="On Air"/>
    <s v="Colocation"/>
    <m/>
    <x v="57"/>
    <m/>
    <n v="3"/>
    <n v="6"/>
    <s v="EPA"/>
    <m/>
    <m/>
    <x v="1"/>
    <m/>
    <s v="OK"/>
    <s v="10-July-18: Good to go for OML."/>
    <x v="0"/>
    <m/>
    <s v="OK"/>
    <s v="At this is ok after TSS will confirm available height"/>
    <s v="OK"/>
    <m/>
    <m/>
    <s v="No"/>
    <m/>
    <s v="Review"/>
    <m/>
    <m/>
    <m/>
    <s v="Flex UG BB DG"/>
    <s v="OK"/>
    <s v="No"/>
    <s v="2m x 1.5m"/>
    <m/>
    <m/>
    <m/>
    <m/>
    <m/>
    <m/>
    <m/>
    <m/>
    <m/>
    <m/>
    <m/>
    <m/>
    <m/>
    <x v="0"/>
    <s v="Not  Calculated"/>
    <n v="0"/>
    <s v="No File"/>
    <s v="ACAY_3003 (AYW557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3003 (AYW5573) Application.xlsx"/>
    <m/>
  </r>
  <r>
    <n v="247"/>
    <x v="246"/>
    <x v="0"/>
    <x v="0"/>
    <s v="MOW6291"/>
    <x v="2"/>
    <s v="Colocation"/>
    <m/>
    <s v="Colocation"/>
    <m/>
    <x v="57"/>
    <m/>
    <n v="3"/>
    <n v="6"/>
    <s v="EPA"/>
    <m/>
    <m/>
    <x v="3"/>
    <m/>
    <s v="OK"/>
    <s v="10-July-18: Good to go for OML from SAQ, but check with DG running time as there previous issue regarding DG running time."/>
    <x v="3"/>
    <s v="Site is down, not open for colo"/>
    <s v="OK"/>
    <s v="At this is ok after TSS will confirm available height"/>
    <s v="OK"/>
    <m/>
    <m/>
    <s v="No"/>
    <m/>
    <s v="Review"/>
    <m/>
    <m/>
    <m/>
    <s v="BB DG+ Grid"/>
    <s v="OK"/>
    <s v="Yes"/>
    <s v="Need to provide additional equipment slab"/>
    <m/>
    <m/>
    <m/>
    <m/>
    <m/>
    <m/>
    <m/>
    <m/>
    <m/>
    <m/>
    <m/>
    <m/>
    <m/>
    <x v="100"/>
    <s v="Not  Calculated"/>
    <n v="0"/>
    <s v="No File"/>
    <s v="ASMO_0253 (MOW629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53 (MOW6291) Application.xlsx"/>
    <m/>
  </r>
  <r>
    <n v="248"/>
    <x v="247"/>
    <x v="0"/>
    <x v="1"/>
    <s v="MWW3486"/>
    <x v="2"/>
    <s v="Colocation"/>
    <m/>
    <s v="Colocation"/>
    <m/>
    <x v="57"/>
    <m/>
    <n v="3"/>
    <n v="6"/>
    <s v="EPA"/>
    <m/>
    <m/>
    <x v="1"/>
    <m/>
    <s v="OK"/>
    <s v="10-July-18: Good to go for OML, lease hike may raise while TI installation"/>
    <x v="0"/>
    <m/>
    <s v="OK"/>
    <s v="At this is ok after TSS will confirm available height"/>
    <s v="OK"/>
    <m/>
    <m/>
    <s v="No"/>
    <m/>
    <s v="Review"/>
    <m/>
    <m/>
    <m/>
    <s v="Flex UG BB DG"/>
    <s v="OK"/>
    <s v="No"/>
    <s v="2m x 1.5m"/>
    <m/>
    <m/>
    <m/>
    <m/>
    <m/>
    <m/>
    <m/>
    <m/>
    <m/>
    <m/>
    <m/>
    <m/>
    <m/>
    <x v="0"/>
    <s v="Not  Calculated"/>
    <n v="0"/>
    <s v="No File"/>
    <s v="ANMG_0027 (MWW348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27 (MWW3486) Application.xlsx"/>
    <m/>
  </r>
  <r>
    <n v="249"/>
    <x v="248"/>
    <x v="0"/>
    <x v="1"/>
    <s v="SHW1978"/>
    <x v="2"/>
    <s v="OML Phase 2 Colo"/>
    <s v="RFI"/>
    <s v="Colocation"/>
    <m/>
    <x v="57"/>
    <m/>
    <n v="3"/>
    <n v="6"/>
    <s v="EPA"/>
    <m/>
    <m/>
    <x v="1"/>
    <m/>
    <s v="OK"/>
    <s v="10-July-18: Good to go for OML."/>
    <x v="0"/>
    <m/>
    <s v="OK"/>
    <s v="At this is ok after TSS will confirm available height"/>
    <s v="OK"/>
    <m/>
    <m/>
    <s v="No"/>
    <m/>
    <s v="Review"/>
    <m/>
    <m/>
    <m/>
    <s v="BB DG"/>
    <s v="OK"/>
    <s v="No"/>
    <s v="2m x 1.5m"/>
    <m/>
    <m/>
    <m/>
    <m/>
    <m/>
    <m/>
    <m/>
    <m/>
    <m/>
    <m/>
    <m/>
    <m/>
    <m/>
    <x v="0"/>
    <s v="Not  Calculated"/>
    <n v="0"/>
    <s v="No File"/>
    <s v="ANSH_0013 (SHW197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H_0013 (SHW1978) Application.xlsx"/>
    <m/>
  </r>
  <r>
    <n v="250"/>
    <x v="249"/>
    <x v="0"/>
    <x v="0"/>
    <s v="YGNKTDA015"/>
    <x v="1"/>
    <s v="Amara Phase 1"/>
    <s v="RFI"/>
    <s v="Colocation"/>
    <m/>
    <x v="57"/>
    <m/>
    <n v="1.9"/>
    <n v="3"/>
    <s v="EPA"/>
    <s v="27.85"/>
    <s v="32.85"/>
    <x v="1"/>
    <m/>
    <s v="OK"/>
    <s v="10-July-18: Lease hike approved, okay for TI installtion."/>
    <x v="0"/>
    <m/>
    <s v="OK"/>
    <s v="OK"/>
    <s v="OK"/>
    <m/>
    <m/>
    <s v="No"/>
    <s v="Ok, For easy macro without cabinet"/>
    <s v="OK"/>
    <s v="1 wk after site survey complete colo appl approved"/>
    <m/>
    <m/>
    <s v="AC connect material in stock - pending all clear from site survey"/>
    <s v="OK"/>
    <s v="Yes"/>
    <s v="ok, if they agree to install easy micro"/>
    <m/>
    <m/>
    <m/>
    <m/>
    <m/>
    <m/>
    <m/>
    <m/>
    <d v="2018-12-19T09:05:53"/>
    <m/>
    <m/>
    <m/>
    <m/>
    <x v="100"/>
    <s v="Not  Calculated"/>
    <n v="0"/>
    <s v="No File"/>
    <s v="AYYN_0419 (YGNKTDA015)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419 (YGNKTDA015) Application.xlsx"/>
    <m/>
  </r>
  <r>
    <n v="251"/>
    <x v="250"/>
    <x v="0"/>
    <x v="0"/>
    <s v="YGN0496"/>
    <x v="3"/>
    <s v="Mytel Phase 1a Colo"/>
    <s v="On Air"/>
    <s v="Colocation"/>
    <m/>
    <x v="58"/>
    <m/>
    <n v="2"/>
    <n v="6"/>
    <s v="EPA"/>
    <s v="18"/>
    <s v="23"/>
    <x v="1"/>
    <m/>
    <s v="OK"/>
    <s v="25-June-18: Lease hike request may come up while installtion of Mytel."/>
    <x v="0"/>
    <m/>
    <s v="OK"/>
    <s v="OK"/>
    <s v="OK"/>
    <m/>
    <m/>
    <s v="No"/>
    <m/>
    <s v="OK"/>
    <s v="BB UG "/>
    <m/>
    <d v="1900-01-01T00:00:00"/>
    <s v="add BB due to 24/7 DG restriction site on grid"/>
    <s v="OK"/>
    <s v="No"/>
    <m/>
    <m/>
    <m/>
    <m/>
    <m/>
    <m/>
    <m/>
    <m/>
    <d v="2018-11-13T15:02:39"/>
    <d v="2018-11-13T16:09:11"/>
    <d v="2018-11-13T16:19:19"/>
    <d v="2018-11-13T17:04:12"/>
    <d v="2018-11-13T16:30:56"/>
    <d v="2018-11-13T16:25:48"/>
    <x v="101"/>
    <n v="187.72661064809654"/>
    <n v="0"/>
    <s v="No File"/>
    <s v="AYYN_0100 (YGN0496)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100 (YGN0496) Application.xlsx"/>
    <m/>
  </r>
  <r>
    <n v="244"/>
    <x v="251"/>
    <x v="0"/>
    <x v="2"/>
    <s v="MDYMHAM042"/>
    <x v="1"/>
    <s v="Amara Phase 1"/>
    <s v="RFI"/>
    <s v="Colocation"/>
    <m/>
    <x v="59"/>
    <m/>
    <n v="2"/>
    <n v="5"/>
    <s v="EPA"/>
    <s v="15.3"/>
    <s v="20.3"/>
    <x v="1"/>
    <s v="Colo Application already approved on 17th July"/>
    <s v="OK"/>
    <s v="21-June-18: Addtioanl lease hike forwarded to ACS_x000a_20-June-18: Owner is requesting addtioanl lease hike _x000a_10-Apr-18: Need to build new pole and slab."/>
    <x v="0"/>
    <m/>
    <s v="OK"/>
    <s v="OK"/>
    <s v="OK"/>
    <m/>
    <m/>
    <s v="No"/>
    <s v="Need to add new pole, need to do building Analysis"/>
    <s v="OK"/>
    <s v="PE UG - Batt &amp; DCDB - K10 kit TBO"/>
    <m/>
    <d v="1900-01-01T00:00:00"/>
    <s v="PE equipment TBO (To Be Ordered)"/>
    <m/>
    <m/>
    <m/>
    <m/>
    <m/>
    <m/>
    <m/>
    <m/>
    <m/>
    <m/>
    <m/>
    <d v="2018-12-19T09:05:53"/>
    <m/>
    <m/>
    <m/>
    <m/>
    <x v="102"/>
    <s v="Not  Calculated"/>
    <n v="0"/>
    <s v="No File"/>
    <s v="ANMD_0118 (MDYMHAM042)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18 (MDYMHAM042) Application.xlsx"/>
    <m/>
  </r>
  <r>
    <n v="242"/>
    <x v="252"/>
    <x v="0"/>
    <x v="2"/>
    <s v="MDYCMTN019_2"/>
    <x v="1"/>
    <s v="Colocation"/>
    <m/>
    <s v="Colocation"/>
    <m/>
    <x v="60"/>
    <m/>
    <n v="2"/>
    <n v="5"/>
    <s v="EPA"/>
    <s v="25"/>
    <s v="30"/>
    <x v="1"/>
    <s v="Colo Application already approved on 26th June"/>
    <s v="OK"/>
    <s v="7-June-18: Lease hike approved by ATF_x000a_31-May-18: Lease apprvoal pending at ATF_x000a_29-May-18: Leae hike approved by Amara._x000a_12-Mar-18: Owner is asking lease hike."/>
    <x v="0"/>
    <m/>
    <s v="OK"/>
    <s v="OK"/>
    <s v="OK"/>
    <m/>
    <m/>
    <s v="No"/>
    <s v="Need to add new pole, need to do building Analysis"/>
    <s v="OK"/>
    <s v="1 wk after site survey complete"/>
    <m/>
    <m/>
    <s v="AC connect material in stock"/>
    <m/>
    <m/>
    <m/>
    <m/>
    <m/>
    <m/>
    <m/>
    <m/>
    <m/>
    <m/>
    <m/>
    <d v="2018-12-19T09:05:53"/>
    <m/>
    <m/>
    <m/>
    <m/>
    <x v="103"/>
    <s v="Not  Calculated"/>
    <n v="0"/>
    <s v="No File"/>
    <s v="ANMD_0089 (MDYCMTN019_2)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89 (MDYCMTN019_2) Application.xlsx"/>
    <m/>
  </r>
  <r>
    <n v="239"/>
    <x v="253"/>
    <x v="0"/>
    <x v="1"/>
    <s v="MWW3525"/>
    <x v="2"/>
    <s v="Colocation"/>
    <m/>
    <s v="Colocation"/>
    <m/>
    <x v="61"/>
    <m/>
    <n v="3"/>
    <n v="6"/>
    <s v="EPA"/>
    <m/>
    <m/>
    <x v="1"/>
    <m/>
    <s v="OK"/>
    <s v="10-July-18: Good to go for OML, lease hike may raise while TI installation"/>
    <x v="0"/>
    <m/>
    <s v="OK"/>
    <s v="At this is ok after TSS will confirm available height"/>
    <s v="OK"/>
    <m/>
    <m/>
    <s v="No"/>
    <s v="for small RF"/>
    <s v="Review"/>
    <m/>
    <m/>
    <m/>
    <s v="DCDB"/>
    <s v="OK"/>
    <s v="No"/>
    <s v="1m x 1m"/>
    <m/>
    <m/>
    <m/>
    <m/>
    <m/>
    <m/>
    <m/>
    <m/>
    <m/>
    <m/>
    <m/>
    <m/>
    <m/>
    <x v="0"/>
    <s v="Not  Calculated"/>
    <n v="0"/>
    <s v="No File"/>
    <s v="ANMG_0011 (MWW352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11 (MWW3525) Application.xlsx"/>
    <m/>
  </r>
  <r>
    <n v="240"/>
    <x v="254"/>
    <x v="0"/>
    <x v="1"/>
    <s v="MWW3516"/>
    <x v="2"/>
    <s v="OML Phase 2 Colo"/>
    <s v="RFI"/>
    <s v="Colocation"/>
    <m/>
    <x v="61"/>
    <m/>
    <n v="3"/>
    <n v="6"/>
    <s v="EPA"/>
    <m/>
    <m/>
    <x v="1"/>
    <m/>
    <s v="OK"/>
    <s v="10-July-18: Good to go for OML, lease hike may raise while TI installation"/>
    <x v="2"/>
    <s v="DG noise issue"/>
    <s v="OK"/>
    <s v="At this is ok after TSS will confirm available height"/>
    <s v="OK"/>
    <m/>
    <m/>
    <s v="No"/>
    <s v="for small RF"/>
    <s v="Review"/>
    <m/>
    <m/>
    <m/>
    <s v="Flex UG BB DG+ Grid"/>
    <s v="OK"/>
    <s v="No"/>
    <s v="1.5m x 1m"/>
    <m/>
    <m/>
    <m/>
    <m/>
    <m/>
    <m/>
    <m/>
    <m/>
    <m/>
    <m/>
    <m/>
    <m/>
    <m/>
    <x v="0"/>
    <s v="Not  Calculated"/>
    <n v="0"/>
    <s v="No File"/>
    <s v="ANMG_0113 (MWW351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113 (MWW3516) Application.xlsx"/>
    <m/>
  </r>
  <r>
    <n v="241"/>
    <x v="255"/>
    <x v="0"/>
    <x v="0"/>
    <s v="YAW7769"/>
    <x v="2"/>
    <s v="Colocation"/>
    <m/>
    <s v="Colocation"/>
    <m/>
    <x v="61"/>
    <m/>
    <n v="3"/>
    <n v="6"/>
    <s v="EPA"/>
    <m/>
    <m/>
    <x v="1"/>
    <m/>
    <s v="OK"/>
    <s v="10-July-18: Good to go for OML, lease hike may raise while TI installation"/>
    <x v="0"/>
    <m/>
    <s v="OK"/>
    <s v="At this is ok after TSS will confirm available height"/>
    <s v="OK"/>
    <m/>
    <m/>
    <s v="No"/>
    <s v="for small RF"/>
    <s v="Review"/>
    <m/>
    <m/>
    <m/>
    <s v="36KW 1800 BB"/>
    <s v="OK"/>
    <s v="No"/>
    <m/>
    <m/>
    <m/>
    <m/>
    <m/>
    <m/>
    <m/>
    <m/>
    <m/>
    <m/>
    <m/>
    <m/>
    <m/>
    <m/>
    <x v="0"/>
    <s v="Not  Calculated"/>
    <n v="0"/>
    <s v="No File"/>
    <s v="AYYN_0517 (YAW77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17 (YAW7769) Application.xlsx"/>
    <m/>
  </r>
  <r>
    <n v="225"/>
    <x v="256"/>
    <x v="0"/>
    <x v="2"/>
    <s v="MDYCMTN004"/>
    <x v="1"/>
    <s v="Amara Phase 1"/>
    <s v="RFI"/>
    <s v="Colocation"/>
    <m/>
    <x v="62"/>
    <m/>
    <n v="2"/>
    <n v="3"/>
    <s v="EPA"/>
    <s v="18"/>
    <s v="21"/>
    <x v="1"/>
    <s v="Colo Application already approved on 25th June"/>
    <s v="OK"/>
    <s v="31-May-18: Okay for TI installation,  Lease hike request may raise while TI installation"/>
    <x v="0"/>
    <s v="The owner only accepts 2 tenants"/>
    <s v="OK"/>
    <s v="OK"/>
    <s v="OK"/>
    <m/>
    <m/>
    <s v="No"/>
    <s v="Need to add new pole, need to do building Analysis"/>
    <s v="OK"/>
    <m/>
    <m/>
    <m/>
    <s v="ACDB installation only"/>
    <m/>
    <m/>
    <m/>
    <m/>
    <m/>
    <m/>
    <m/>
    <m/>
    <m/>
    <m/>
    <m/>
    <d v="2018-12-19T09:05:52"/>
    <m/>
    <m/>
    <m/>
    <m/>
    <x v="104"/>
    <s v="Not  Calculated"/>
    <n v="0"/>
    <s v="No File"/>
    <s v="ANMD_0091 (MDYCMTN004)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91 (MDYCMTN004) Application.xlsx"/>
    <m/>
  </r>
  <r>
    <n v="226"/>
    <x v="257"/>
    <x v="0"/>
    <x v="2"/>
    <s v="MDYCMTN035"/>
    <x v="1"/>
    <s v="Colocation"/>
    <m/>
    <s v="Colocation"/>
    <m/>
    <x v="62"/>
    <m/>
    <n v="2"/>
    <n v="3"/>
    <s v="EPA"/>
    <s v="18"/>
    <s v="21"/>
    <x v="3"/>
    <m/>
    <s v="Rejected"/>
    <s v="20-June-18: Owner not interested in any collocation citing intrusion of people visiting his building, letter is attached._x000a_31-May-18: Okay for TI installation,  Lease hike request may raise while TI installation"/>
    <x v="0"/>
    <m/>
    <s v="OK"/>
    <s v="OK"/>
    <s v="OK"/>
    <m/>
    <m/>
    <s v="No"/>
    <s v="Need to add new pole, need to do building Analysis"/>
    <m/>
    <m/>
    <m/>
    <m/>
    <s v="Need to verify the power source AC / DC"/>
    <m/>
    <m/>
    <m/>
    <m/>
    <m/>
    <m/>
    <m/>
    <m/>
    <m/>
    <m/>
    <m/>
    <m/>
    <m/>
    <m/>
    <m/>
    <m/>
    <x v="104"/>
    <s v="Not  Calculated"/>
    <n v="0"/>
    <s v="No File"/>
    <s v="ANMD_0093 (MDYCMTN035)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93 (MDYCMTN035) Application.xlsx"/>
    <m/>
  </r>
  <r>
    <n v="227"/>
    <x v="258"/>
    <x v="0"/>
    <x v="2"/>
    <s v="MDYCMTZ023"/>
    <x v="1"/>
    <s v="Amara Phase 1"/>
    <s v="RFI"/>
    <s v="Colocation"/>
    <m/>
    <x v="62"/>
    <m/>
    <n v="2"/>
    <n v="3"/>
    <s v="EPA"/>
    <s v="21"/>
    <s v="24"/>
    <x v="1"/>
    <s v="Colo Application already approved on 26-Jul-18"/>
    <s v="OK"/>
    <s v="31-May-18: Okay for TI installation,  Lease hike request may raise while TI installation"/>
    <x v="0"/>
    <m/>
    <s v="OK"/>
    <s v="OK"/>
    <s v="OK"/>
    <m/>
    <m/>
    <s v="No"/>
    <s v="Need to add new pole, need to do building Analysis"/>
    <s v="OK"/>
    <m/>
    <m/>
    <m/>
    <s v="Need to verify the power source AC / DC, Gurwinder : Lease Hike OK"/>
    <m/>
    <m/>
    <m/>
    <m/>
    <m/>
    <m/>
    <m/>
    <m/>
    <m/>
    <m/>
    <m/>
    <d v="2018-12-19T09:05:52"/>
    <m/>
    <m/>
    <m/>
    <m/>
    <x v="104"/>
    <s v="Not  Calculated"/>
    <n v="0"/>
    <s v="No File"/>
    <s v="ANMD_0105 (MDYCMTZ023)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05 (MDYCMTZ023) Application.xlsx"/>
    <m/>
  </r>
  <r>
    <n v="229"/>
    <x v="259"/>
    <x v="0"/>
    <x v="0"/>
    <s v="YAM7610"/>
    <x v="2"/>
    <s v="OML Phase 2 Colo"/>
    <s v="On Air"/>
    <s v="Colocation"/>
    <m/>
    <x v="62"/>
    <m/>
    <n v="3"/>
    <n v="6"/>
    <s v="EPA"/>
    <m/>
    <m/>
    <x v="1"/>
    <m/>
    <s v="OK"/>
    <s v="31-May-18: Good to go for TI installtion."/>
    <x v="0"/>
    <m/>
    <s v="OK"/>
    <s v="OK"/>
    <s v="OK"/>
    <m/>
    <m/>
    <s v="No"/>
    <m/>
    <s v="Review"/>
    <m/>
    <m/>
    <m/>
    <s v="PE UG"/>
    <s v="OK"/>
    <s v="No"/>
    <m/>
    <m/>
    <m/>
    <m/>
    <m/>
    <m/>
    <m/>
    <m/>
    <m/>
    <m/>
    <m/>
    <m/>
    <m/>
    <m/>
    <x v="0"/>
    <s v="Not  Calculated"/>
    <n v="0"/>
    <s v="No File"/>
    <s v="AYYN_0520 (YAM761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20 (YAM7610) Application.xlsx"/>
    <m/>
  </r>
  <r>
    <n v="230"/>
    <x v="260"/>
    <x v="0"/>
    <x v="0"/>
    <s v="YAW7657"/>
    <x v="2"/>
    <s v="OML Phase 2 Colo"/>
    <s v="On Air"/>
    <s v="Colocation"/>
    <m/>
    <x v="62"/>
    <m/>
    <n v="3"/>
    <n v="6"/>
    <s v="EPA"/>
    <m/>
    <m/>
    <x v="1"/>
    <m/>
    <s v="OK"/>
    <s v="31-May-18: Okay for TI installation,  Lease hike request may raise while TI installation"/>
    <x v="0"/>
    <m/>
    <s v="OK"/>
    <s v="Only Macro Solutions//Slim Tower"/>
    <s v="OK"/>
    <m/>
    <m/>
    <s v="No"/>
    <s v="for small RF"/>
    <s v="OK"/>
    <s v="90 Days"/>
    <m/>
    <d v="1900-01-02T12:00:00"/>
    <s v="BB DG"/>
    <s v="OK"/>
    <s v="No"/>
    <s v="need to provide additional cable tray"/>
    <m/>
    <m/>
    <m/>
    <m/>
    <m/>
    <m/>
    <m/>
    <m/>
    <d v="2018-12-19T09:05:52"/>
    <m/>
    <m/>
    <m/>
    <m/>
    <x v="104"/>
    <s v="Not  Calculated"/>
    <n v="0"/>
    <s v="No File"/>
    <s v="AYYN_0110 (YAW765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110 (YAW7657) Application.xlsx"/>
    <m/>
  </r>
  <r>
    <n v="231"/>
    <x v="261"/>
    <x v="0"/>
    <x v="2"/>
    <s v="SAW0353"/>
    <x v="2"/>
    <s v="Colocation"/>
    <m/>
    <s v="Colocation"/>
    <m/>
    <x v="62"/>
    <m/>
    <n v="3"/>
    <n v="6"/>
    <s v="EPA"/>
    <m/>
    <m/>
    <x v="3"/>
    <m/>
    <s v="Rejected"/>
    <s v="31-May-18: Still same site is in community issue._x000a_31-Jan-18:Site removed due to community issue"/>
    <x v="0"/>
    <m/>
    <m/>
    <s v="QA Report not updated"/>
    <m/>
    <m/>
    <m/>
    <m/>
    <m/>
    <s v="OK"/>
    <s v="120 Days"/>
    <m/>
    <d v="1900-01-02T12:00:00"/>
    <s v="Flex UG BB DG+ Grid"/>
    <m/>
    <m/>
    <m/>
    <m/>
    <m/>
    <m/>
    <m/>
    <m/>
    <m/>
    <m/>
    <m/>
    <d v="2018-12-19T09:05:52"/>
    <m/>
    <m/>
    <m/>
    <m/>
    <x v="104"/>
    <s v="Not  Calculated"/>
    <n v="0"/>
    <s v="No File"/>
    <s v="ANSG_0446 (SAW035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446 (SAW0353) Application.xlsx"/>
    <m/>
  </r>
  <r>
    <n v="232"/>
    <x v="262"/>
    <x v="0"/>
    <x v="1"/>
    <s v="NPW2259"/>
    <x v="2"/>
    <s v="Colocation"/>
    <m/>
    <s v="Colocation"/>
    <m/>
    <x v="62"/>
    <m/>
    <n v="3"/>
    <n v="6"/>
    <s v="EPA"/>
    <m/>
    <m/>
    <x v="1"/>
    <m/>
    <s v="OK"/>
    <s v="31-May-18:  Okay for TI installtion, lease hike may raise while TI installation"/>
    <x v="0"/>
    <m/>
    <s v="OK"/>
    <s v="OK"/>
    <s v="OK"/>
    <m/>
    <m/>
    <s v="No"/>
    <s v="for small RF"/>
    <s v="OK"/>
    <s v="120 Days"/>
    <m/>
    <d v="1900-01-02T12:00:00"/>
    <s v="BB DG+ Grid"/>
    <s v="OK"/>
    <s v="Yes"/>
    <s v="Need to provide additional equipment slab"/>
    <m/>
    <m/>
    <m/>
    <m/>
    <m/>
    <m/>
    <m/>
    <m/>
    <d v="2018-12-19T09:05:52"/>
    <m/>
    <m/>
    <m/>
    <m/>
    <x v="104"/>
    <s v="Not  Calculated"/>
    <n v="0"/>
    <s v="No File"/>
    <s v="ANNP_0210 (NPW225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NP_0210 (NPW2259) Application.xlsx"/>
    <m/>
  </r>
  <r>
    <n v="233"/>
    <x v="263"/>
    <x v="0"/>
    <x v="0"/>
    <s v="YAW4463"/>
    <x v="2"/>
    <s v="Colocation"/>
    <m/>
    <s v="Colocation"/>
    <m/>
    <x v="62"/>
    <m/>
    <n v="3"/>
    <n v="6"/>
    <s v="EPA"/>
    <m/>
    <m/>
    <x v="2"/>
    <m/>
    <s v="OK"/>
    <s v="31-May-18: Already 4 opertor are co-located on site, if go from structural Engg  &amp; Power &amp; Security we can go ahead with negotation."/>
    <x v="0"/>
    <m/>
    <s v="OK"/>
    <s v="OK"/>
    <s v="OK"/>
    <m/>
    <m/>
    <s v="No"/>
    <s v="&lt;3.5m2 for small RF need to strengthening"/>
    <s v="Review"/>
    <m/>
    <m/>
    <m/>
    <s v=" 24KW UG PE"/>
    <s v="OK"/>
    <s v="Yes"/>
    <m/>
    <m/>
    <m/>
    <m/>
    <m/>
    <m/>
    <m/>
    <m/>
    <m/>
    <m/>
    <m/>
    <m/>
    <m/>
    <m/>
    <x v="0"/>
    <s v="Not  Calculated"/>
    <n v="0"/>
    <s v="No File"/>
    <s v="AYYN_0441 (YAW446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41 (YAW4463) Application.xlsx"/>
    <m/>
  </r>
  <r>
    <n v="234"/>
    <x v="264"/>
    <x v="0"/>
    <x v="2"/>
    <s v="SAW0705"/>
    <x v="2"/>
    <s v="OML Phase 2 Colo"/>
    <s v="RFI"/>
    <s v="Colocation"/>
    <m/>
    <x v="62"/>
    <m/>
    <n v="3"/>
    <n v="6"/>
    <s v="EPA"/>
    <m/>
    <m/>
    <x v="1"/>
    <m/>
    <s v="OK"/>
    <s v="31-May-18: Okay for TI installation,  Lease hike request may raise while TI installation"/>
    <x v="2"/>
    <s v="Rent increase to be negotiated for operator"/>
    <s v="OK"/>
    <s v="OK"/>
    <s v="OK"/>
    <m/>
    <m/>
    <s v="No"/>
    <m/>
    <s v="Review"/>
    <m/>
    <m/>
    <m/>
    <s v="BB DG"/>
    <s v="OK"/>
    <s v="No"/>
    <s v="2m x 1.5m"/>
    <m/>
    <m/>
    <m/>
    <m/>
    <m/>
    <m/>
    <m/>
    <m/>
    <m/>
    <m/>
    <m/>
    <m/>
    <m/>
    <x v="0"/>
    <s v="Not  Calculated"/>
    <n v="0"/>
    <s v="No File"/>
    <s v="ANSG_0364 (SAW070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64 (SAW0705) Application.xlsx"/>
    <m/>
  </r>
  <r>
    <n v="235"/>
    <x v="265"/>
    <x v="0"/>
    <x v="0"/>
    <s v="AYW5275"/>
    <x v="2"/>
    <s v="Colocation"/>
    <m/>
    <s v="Colocation"/>
    <m/>
    <x v="62"/>
    <m/>
    <n v="3"/>
    <n v="6"/>
    <s v="EPA"/>
    <m/>
    <m/>
    <x v="1"/>
    <s v="remaining EPA still can collocate "/>
    <s v="OK"/>
    <s v="31-May-18: Okay for TI installation,  Lease hike request may raise while TI installation"/>
    <x v="0"/>
    <m/>
    <s v="OK"/>
    <s v="OK"/>
    <s v="Review"/>
    <m/>
    <m/>
    <s v="No"/>
    <s v="Tower already strengthening without consider OML"/>
    <s v="Review"/>
    <m/>
    <m/>
    <m/>
    <s v="BB DG"/>
    <s v="OK"/>
    <s v="No"/>
    <m/>
    <m/>
    <m/>
    <m/>
    <m/>
    <m/>
    <m/>
    <m/>
    <m/>
    <m/>
    <m/>
    <m/>
    <m/>
    <m/>
    <x v="0"/>
    <s v="Not  Calculated"/>
    <n v="0"/>
    <s v="No File"/>
    <s v="ACAY_0102 (AYW527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02 (AYW5275) Application.xlsx"/>
    <m/>
  </r>
  <r>
    <n v="236"/>
    <x v="266"/>
    <x v="0"/>
    <x v="1"/>
    <s v="KYW6046"/>
    <x v="2"/>
    <s v="Colocation"/>
    <m/>
    <s v="Colocation"/>
    <m/>
    <x v="62"/>
    <m/>
    <n v="3"/>
    <n v="6"/>
    <s v="EPA"/>
    <m/>
    <m/>
    <x v="1"/>
    <m/>
    <s v="OK"/>
    <s v="31-May-18: Good to go for TI installtion."/>
    <x v="0"/>
    <m/>
    <s v="OK"/>
    <s v="OK"/>
    <s v="OK"/>
    <m/>
    <m/>
    <s v="No"/>
    <m/>
    <s v="OK"/>
    <s v="90 Days"/>
    <m/>
    <d v="1900-01-02T12:00:00"/>
    <s v="Flex UG BB DG"/>
    <s v="OK"/>
    <s v="No"/>
    <m/>
    <m/>
    <m/>
    <m/>
    <m/>
    <m/>
    <m/>
    <m/>
    <m/>
    <d v="2018-12-19T09:05:53"/>
    <m/>
    <m/>
    <m/>
    <m/>
    <x v="104"/>
    <s v="Not  Calculated"/>
    <n v="0"/>
    <s v="No File"/>
    <s v="ASKH_3000 (KYW604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KH_3000 (KYW6046) Application.xlsx"/>
    <m/>
  </r>
  <r>
    <n v="237"/>
    <x v="267"/>
    <x v="0"/>
    <x v="2"/>
    <s v="SAW0704"/>
    <x v="2"/>
    <s v="OML Phase 2 Colo"/>
    <s v="On Air"/>
    <s v="Colocation"/>
    <m/>
    <x v="62"/>
    <m/>
    <n v="3"/>
    <n v="6"/>
    <s v="EPA"/>
    <m/>
    <m/>
    <x v="1"/>
    <m/>
    <s v="OK"/>
    <s v="31-May-18: Okay for TI installation,  Lease hike request may raise while TI installation"/>
    <x v="0"/>
    <m/>
    <s v="OK"/>
    <s v="OK"/>
    <s v="OK"/>
    <m/>
    <m/>
    <s v="No"/>
    <s v="for small RF"/>
    <s v="OK"/>
    <s v="90 Days"/>
    <m/>
    <d v="1900-01-02T12:00:00"/>
    <s v="DCDB"/>
    <s v="OK"/>
    <s v="No"/>
    <s v="2m x 1.5m"/>
    <m/>
    <m/>
    <m/>
    <m/>
    <m/>
    <m/>
    <m/>
    <m/>
    <d v="2018-12-19T09:05:53"/>
    <m/>
    <m/>
    <m/>
    <m/>
    <x v="104"/>
    <s v="Not  Calculated"/>
    <n v="0"/>
    <s v="No File"/>
    <s v="ANSG_0348 (SAW070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48 (SAW0704) Application.xlsx"/>
    <m/>
  </r>
  <r>
    <n v="238"/>
    <x v="268"/>
    <x v="0"/>
    <x v="2"/>
    <s v="MAW2956"/>
    <x v="2"/>
    <s v="Colocation"/>
    <m/>
    <s v="Colocation"/>
    <m/>
    <x v="62"/>
    <m/>
    <n v="3"/>
    <n v="6"/>
    <s v="EPA"/>
    <m/>
    <m/>
    <x v="2"/>
    <m/>
    <s v="OK"/>
    <s v="31-May-18: Okay for TI installation,  Lease hike request may raise while TI installation"/>
    <x v="2"/>
    <s v="Owner blocked Mytel installation"/>
    <s v="OK"/>
    <s v="OK"/>
    <s v="OK"/>
    <m/>
    <m/>
    <s v="No"/>
    <m/>
    <s v="Review"/>
    <m/>
    <m/>
    <m/>
    <s v=" 24KW PE UG"/>
    <s v="OK"/>
    <s v="No"/>
    <s v="1.5m x 1m"/>
    <m/>
    <m/>
    <m/>
    <m/>
    <m/>
    <m/>
    <m/>
    <m/>
    <m/>
    <m/>
    <m/>
    <m/>
    <m/>
    <x v="0"/>
    <s v="Not  Calculated"/>
    <n v="0"/>
    <s v="No File"/>
    <s v="ANMD_0154 (MAW295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54 (MAW2956) Application.xlsx"/>
    <m/>
  </r>
  <r>
    <n v="218"/>
    <x v="269"/>
    <x v="0"/>
    <x v="1"/>
    <s v="MGY0017"/>
    <x v="3"/>
    <s v="Colocation"/>
    <m/>
    <s v="Colocation"/>
    <m/>
    <x v="63"/>
    <m/>
    <n v="2"/>
    <n v="6"/>
    <s v="EPA"/>
    <s v="30"/>
    <s v="35"/>
    <x v="3"/>
    <m/>
    <s v="OK"/>
    <s v="28-May-18: Good to go for Mytel, lease hike may raise while TI installation"/>
    <x v="2"/>
    <s v="Rent increase to be negotiated for operator"/>
    <s v="OK"/>
    <s v="OK"/>
    <s v="Review"/>
    <m/>
    <m/>
    <s v="No"/>
    <s v="EPA almost over design"/>
    <m/>
    <m/>
    <m/>
    <m/>
    <m/>
    <s v="OK"/>
    <s v="Yes"/>
    <s v="Normal Slab and need to extend"/>
    <m/>
    <m/>
    <m/>
    <m/>
    <m/>
    <m/>
    <m/>
    <m/>
    <m/>
    <m/>
    <m/>
    <m/>
    <m/>
    <x v="105"/>
    <s v="Not  Calculated"/>
    <n v="0"/>
    <s v="No File"/>
    <s v="ANMG_0019 (MGY0017)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019 (MGY0017) Application.xlsx"/>
    <m/>
  </r>
  <r>
    <n v="219"/>
    <x v="270"/>
    <x v="0"/>
    <x v="1"/>
    <s v="MGY0063"/>
    <x v="3"/>
    <m/>
    <m/>
    <m/>
    <m/>
    <x v="63"/>
    <m/>
    <n v="2"/>
    <n v="6"/>
    <s v="EPA"/>
    <s v="35"/>
    <s v="40"/>
    <x v="2"/>
    <m/>
    <s v="OK"/>
    <s v="28-May-18: Good to go for Mytel, lease hike may raise while TI installation"/>
    <x v="0"/>
    <m/>
    <s v="OK"/>
    <s v="OK"/>
    <s v="OK"/>
    <m/>
    <m/>
    <s v="No"/>
    <m/>
    <s v="OK"/>
    <s v="2 weeks"/>
    <m/>
    <d v="1900-01-01T00:00:00"/>
    <s v="BB UG required - DG monitor UG later "/>
    <s v="OK"/>
    <s v="No"/>
    <m/>
    <m/>
    <m/>
    <m/>
    <m/>
    <m/>
    <m/>
    <m/>
    <m/>
    <d v="2018-12-19T09:05:52"/>
    <m/>
    <m/>
    <m/>
    <m/>
    <x v="105"/>
    <s v="Not  Calculated"/>
    <n v="0"/>
    <s v="No File"/>
    <s v="ANMG_0058 (MGY006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058 (MGY0063) Application.xlsx"/>
    <m/>
  </r>
  <r>
    <n v="220"/>
    <x v="271"/>
    <x v="0"/>
    <x v="1"/>
    <s v="MGY0103"/>
    <x v="3"/>
    <s v="Colocation"/>
    <m/>
    <s v="Colocation"/>
    <m/>
    <x v="63"/>
    <m/>
    <n v="2"/>
    <n v="6"/>
    <s v="EPA"/>
    <s v="45"/>
    <s v="50"/>
    <x v="3"/>
    <m/>
    <s v="OK"/>
    <s v="28-May-18: Good to go for Mytel, lease hike may raise while TI installation"/>
    <x v="3"/>
    <s v="DG noise issue"/>
    <s v="OK"/>
    <s v="MW can get higher height for clear LOS if any blockage"/>
    <s v="OK"/>
    <m/>
    <m/>
    <s v="No"/>
    <m/>
    <m/>
    <m/>
    <m/>
    <m/>
    <m/>
    <m/>
    <m/>
    <m/>
    <m/>
    <m/>
    <m/>
    <m/>
    <m/>
    <m/>
    <m/>
    <m/>
    <m/>
    <m/>
    <m/>
    <m/>
    <m/>
    <x v="105"/>
    <s v="Not  Calculated"/>
    <n v="0"/>
    <s v="No File"/>
    <s v="ANMG_0122 (MGY010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122 (MGY0103) Application.xlsx"/>
    <m/>
  </r>
  <r>
    <n v="221"/>
    <x v="272"/>
    <x v="0"/>
    <x v="1"/>
    <s v="NPW0266"/>
    <x v="3"/>
    <s v="Mytel Phase 1a Colo"/>
    <s v="On Air"/>
    <s v="Colocation"/>
    <m/>
    <x v="63"/>
    <m/>
    <n v="2"/>
    <n v="6"/>
    <s v="EPA"/>
    <s v="30"/>
    <s v="35"/>
    <x v="1"/>
    <m/>
    <s v="OK"/>
    <s v="28-May-18: Good to go for Mytel, lease hike may raise while TI installation"/>
    <x v="0"/>
    <m/>
    <s v="OK"/>
    <s v="OK"/>
    <s v="OK"/>
    <m/>
    <m/>
    <s v="No"/>
    <m/>
    <s v="OK"/>
    <s v="2weeks"/>
    <m/>
    <d v="1899-12-31T12:00:00"/>
    <s v="BB &amp; DG UG required"/>
    <s v="OK"/>
    <s v="No"/>
    <m/>
    <m/>
    <m/>
    <m/>
    <m/>
    <m/>
    <m/>
    <m/>
    <m/>
    <d v="2018-12-19T09:05:52"/>
    <m/>
    <m/>
    <m/>
    <m/>
    <x v="105"/>
    <s v="Not  Calculated"/>
    <n v="0"/>
    <s v="No File"/>
    <s v="ANNP_0391 (NPW0266)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391 (NPW0266) Application.xlsx"/>
    <m/>
  </r>
  <r>
    <n v="222"/>
    <x v="273"/>
    <x v="0"/>
    <x v="1"/>
    <s v="NPW0268"/>
    <x v="3"/>
    <s v="Colocation"/>
    <m/>
    <s v="Colocation"/>
    <m/>
    <x v="63"/>
    <m/>
    <n v="2"/>
    <n v="6"/>
    <s v="EPA"/>
    <s v="30"/>
    <s v="35"/>
    <x v="3"/>
    <m/>
    <s v="OK"/>
    <s v="28-May-18: Good to go for Mytel, lease hike may raise while TI installation"/>
    <x v="3"/>
    <s v="Multiple issues on site, dismantlement request received in the past."/>
    <s v="OK"/>
    <s v="OK"/>
    <s v="OK"/>
    <m/>
    <m/>
    <s v="No"/>
    <m/>
    <m/>
    <m/>
    <m/>
    <m/>
    <m/>
    <s v="OK"/>
    <s v="No"/>
    <m/>
    <m/>
    <m/>
    <m/>
    <m/>
    <m/>
    <m/>
    <m/>
    <m/>
    <m/>
    <m/>
    <m/>
    <m/>
    <m/>
    <x v="105"/>
    <s v="Not  Calculated"/>
    <n v="0"/>
    <s v="No File"/>
    <s v="ANNP_0226 (NPW026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226 (NPW0268) Application.xlsx"/>
    <m/>
  </r>
  <r>
    <n v="223"/>
    <x v="262"/>
    <x v="0"/>
    <x v="1"/>
    <s v="NPW0269"/>
    <x v="3"/>
    <m/>
    <m/>
    <m/>
    <m/>
    <x v="63"/>
    <m/>
    <n v="2"/>
    <n v="6"/>
    <s v="EPA"/>
    <s v="30"/>
    <s v="35"/>
    <x v="2"/>
    <m/>
    <s v="OK"/>
    <s v="28-May-18: Good to go for Mytel, lease hike may raise while TI installation"/>
    <x v="0"/>
    <m/>
    <s v="OK"/>
    <s v="OK"/>
    <s v="OK"/>
    <m/>
    <m/>
    <s v="No"/>
    <m/>
    <s v="Review"/>
    <s v="1-3 months "/>
    <m/>
    <d v="1900-01-01T00:00:00"/>
    <s v="36KW + 40Kva DG"/>
    <m/>
    <s v="Yes"/>
    <s v="Need to provide additional equipment slab"/>
    <m/>
    <m/>
    <m/>
    <m/>
    <m/>
    <m/>
    <m/>
    <m/>
    <m/>
    <m/>
    <m/>
    <m/>
    <m/>
    <x v="105"/>
    <s v="Not  Calculated"/>
    <n v="0"/>
    <s v="No File"/>
    <s v="ANNP_0210 (NPW026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210 (NPW0269) Application.xlsx"/>
    <m/>
  </r>
  <r>
    <n v="224"/>
    <x v="274"/>
    <x v="0"/>
    <x v="2"/>
    <s v="SGG0992"/>
    <x v="3"/>
    <s v="Mytel Phase 1a Colo"/>
    <s v="RFI"/>
    <s v="Colocation"/>
    <m/>
    <x v="63"/>
    <m/>
    <n v="2"/>
    <n v="6"/>
    <s v="EPA"/>
    <s v="45"/>
    <s v="50"/>
    <x v="1"/>
    <m/>
    <s v="OK"/>
    <s v="28-May-18: Good to go for Mytel, lease hike may raise while TI installation"/>
    <x v="0"/>
    <m/>
    <s v="OK"/>
    <s v="OK"/>
    <s v="OK"/>
    <m/>
    <m/>
    <s v="No"/>
    <m/>
    <s v="Not Required"/>
    <s v="1 week after material arrives to date 4 wk delay"/>
    <m/>
    <d v="1900-01-01T00:00:00"/>
    <s v="PE UG NEEDED_x000a_PE UG material delivery pending  - WK31"/>
    <s v="OK"/>
    <s v="No"/>
    <m/>
    <s v="Not Required"/>
    <m/>
    <m/>
    <s v="Not Required"/>
    <m/>
    <s v="OK"/>
    <m/>
    <d v="2018-11-13T14:56:11"/>
    <m/>
    <d v="2018-11-13T16:19:19"/>
    <d v="2018-11-13T17:04:12"/>
    <d v="2018-11-13T16:30:56"/>
    <d v="2018-11-13T16:25:48"/>
    <x v="101"/>
    <n v="209.72660972220183"/>
    <n v="0"/>
    <s v="No File"/>
    <s v="ANSG_0373 (SGG0992)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SG_0373 (SGG0992) Application.xlsx"/>
    <m/>
  </r>
  <r>
    <n v="217"/>
    <x v="275"/>
    <x v="0"/>
    <x v="1"/>
    <s v="RKE00512"/>
    <x v="0"/>
    <s v="MPT  Phase 1a Colo"/>
    <s v="On Air"/>
    <s v="Colocation"/>
    <m/>
    <x v="64"/>
    <m/>
    <n v="1.3"/>
    <n v="1"/>
    <s v="EPA"/>
    <s v="33"/>
    <s v="38"/>
    <x v="1"/>
    <m/>
    <s v="OK"/>
    <s v="Good to go for TSS"/>
    <x v="0"/>
    <m/>
    <s v="OK"/>
    <m/>
    <s v="OK"/>
    <m/>
    <m/>
    <s v="No"/>
    <m/>
    <s v="OK"/>
    <s v="BB swap and DCDB "/>
    <m/>
    <d v="1900-01-01T00:00:00"/>
    <s v="BB TBO"/>
    <s v="OK"/>
    <s v="No"/>
    <m/>
    <m/>
    <m/>
    <m/>
    <m/>
    <m/>
    <m/>
    <m/>
    <m/>
    <d v="2018-12-19T09:05:51"/>
    <m/>
    <m/>
    <m/>
    <m/>
    <x v="106"/>
    <s v="Not  Calculated"/>
    <n v="0"/>
    <s v="No File"/>
    <s v="ACRK_0028 (RKE00512)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CRK_0028 (RKE00512) Application.xlsx"/>
    <m/>
  </r>
  <r>
    <n v="63"/>
    <x v="276"/>
    <x v="0"/>
    <x v="0"/>
    <s v="YAW7776"/>
    <x v="2"/>
    <s v="Colocation"/>
    <m/>
    <s v="Colocation"/>
    <m/>
    <x v="65"/>
    <m/>
    <n v="3"/>
    <n v="6"/>
    <s v="EPA"/>
    <m/>
    <m/>
    <x v="3"/>
    <m/>
    <s v="Rejected"/>
    <s v="23-May18: Owner is concern about wieght, will not agree for New pole or slab"/>
    <x v="0"/>
    <m/>
    <m/>
    <m/>
    <s v="Review"/>
    <m/>
    <m/>
    <m/>
    <s v="RT need to check"/>
    <s v="Review"/>
    <s v="TBA"/>
    <m/>
    <d v="1900-01-01T00:00:00"/>
    <s v="BB UG - BA/CW needed add space or LiPo4 - rooftop site"/>
    <s v="Rejected"/>
    <s v="No"/>
    <s v="no space"/>
    <m/>
    <m/>
    <m/>
    <m/>
    <m/>
    <m/>
    <m/>
    <m/>
    <m/>
    <m/>
    <m/>
    <m/>
    <m/>
    <x v="107"/>
    <s v="Not  Calculated"/>
    <n v="0"/>
    <s v="No File"/>
    <s v="AYYN_0318 (YAW777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18 (YAW7776) Application.xlsx"/>
    <m/>
  </r>
  <r>
    <n v="67"/>
    <x v="277"/>
    <x v="0"/>
    <x v="0"/>
    <s v="YAW7775"/>
    <x v="2"/>
    <s v="Colocation"/>
    <m/>
    <s v="Colocation"/>
    <m/>
    <x v="65"/>
    <m/>
    <n v="3"/>
    <m/>
    <s v="EPA"/>
    <m/>
    <m/>
    <x v="3"/>
    <m/>
    <s v="Rejected"/>
    <s v="23-May18: Owner is concern about wieght, will not agree for New pole or slab"/>
    <x v="0"/>
    <m/>
    <m/>
    <m/>
    <s v="Review"/>
    <m/>
    <m/>
    <m/>
    <s v="RT need to check"/>
    <s v="Review"/>
    <s v="TBA"/>
    <m/>
    <d v="1900-01-01T00:00:00"/>
    <s v="BB UG - BA/CW needed add space or LiPo4 - rooftop site"/>
    <m/>
    <m/>
    <m/>
    <m/>
    <m/>
    <m/>
    <m/>
    <m/>
    <m/>
    <m/>
    <m/>
    <m/>
    <m/>
    <m/>
    <m/>
    <m/>
    <x v="107"/>
    <s v="Not  Calculated"/>
    <n v="0"/>
    <s v="No File"/>
    <s v="AYYN_0538 (YAW777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38 (YAW7775) Application.xlsx"/>
    <m/>
  </r>
  <r>
    <n v="69"/>
    <x v="278"/>
    <x v="0"/>
    <x v="0"/>
    <s v="AYW5549"/>
    <x v="2"/>
    <s v="Colocation"/>
    <m/>
    <s v="Colocation"/>
    <m/>
    <x v="65"/>
    <m/>
    <n v="3"/>
    <m/>
    <s v="EPA"/>
    <m/>
    <m/>
    <x v="1"/>
    <m/>
    <s v="OK"/>
    <s v="18-May-18: Good to go for OML, lease hike may raise while TI installation"/>
    <x v="0"/>
    <m/>
    <s v="OK"/>
    <s v="OK"/>
    <s v="OK"/>
    <m/>
    <m/>
    <m/>
    <s v="OK"/>
    <s v="OK"/>
    <s v="TBA"/>
    <m/>
    <d v="1900-01-01T00:00:00"/>
    <s v="PE UG"/>
    <s v="OK"/>
    <s v="No"/>
    <m/>
    <m/>
    <m/>
    <m/>
    <m/>
    <m/>
    <m/>
    <m/>
    <m/>
    <d v="2018-12-19T09:05:43"/>
    <m/>
    <m/>
    <m/>
    <m/>
    <x v="107"/>
    <s v="Not  Calculated"/>
    <n v="0"/>
    <s v="No File"/>
    <s v="ACAY_0015 (AYW554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15 (AYW5549) Application.xlsx"/>
    <m/>
  </r>
  <r>
    <n v="70"/>
    <x v="279"/>
    <x v="0"/>
    <x v="0"/>
    <s v="MOW6298"/>
    <x v="2"/>
    <s v="Colocation"/>
    <m/>
    <s v="Colocation"/>
    <m/>
    <x v="65"/>
    <m/>
    <n v="3"/>
    <m/>
    <s v="EPA"/>
    <m/>
    <m/>
    <x v="1"/>
    <m/>
    <s v="OK"/>
    <s v="18-May-18: Good to go for OML, lease hike may raise while TI installation"/>
    <x v="0"/>
    <m/>
    <s v="OK"/>
    <s v="OK"/>
    <s v="OK"/>
    <m/>
    <m/>
    <m/>
    <s v="OK"/>
    <s v="OK"/>
    <s v="90 Days"/>
    <m/>
    <d v="1900-01-02T12:00:00"/>
    <s v="Flex UG BB DG"/>
    <s v="OK"/>
    <s v="No"/>
    <m/>
    <m/>
    <m/>
    <m/>
    <m/>
    <m/>
    <m/>
    <m/>
    <m/>
    <d v="2018-12-19T09:05:43"/>
    <m/>
    <m/>
    <m/>
    <m/>
    <x v="107"/>
    <s v="Not  Calculated"/>
    <n v="0"/>
    <s v="No File"/>
    <s v="ASMO_0313 (MOW629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313 (MOW6298) Application.xlsx"/>
    <m/>
  </r>
  <r>
    <n v="71"/>
    <x v="280"/>
    <x v="0"/>
    <x v="0"/>
    <s v="MOW6299"/>
    <x v="2"/>
    <s v="Colocation"/>
    <m/>
    <s v="Colocation"/>
    <m/>
    <x v="65"/>
    <m/>
    <n v="3"/>
    <m/>
    <s v="EPA"/>
    <m/>
    <m/>
    <x v="1"/>
    <m/>
    <s v="OK"/>
    <s v="18-May-18: Good to go for OML, lease hike may raise while TI installation"/>
    <x v="0"/>
    <m/>
    <s v="OK"/>
    <s v="OK"/>
    <s v="OK"/>
    <m/>
    <m/>
    <m/>
    <s v="OK"/>
    <s v="OK"/>
    <s v="TBA"/>
    <m/>
    <d v="1900-01-01T00:00:00"/>
    <s v="BB UG - 12 hrs NS expect outages w/add colo"/>
    <s v="OK"/>
    <s v="No"/>
    <m/>
    <m/>
    <m/>
    <m/>
    <m/>
    <m/>
    <m/>
    <m/>
    <m/>
    <d v="2018-12-19T09:05:43"/>
    <m/>
    <m/>
    <m/>
    <m/>
    <x v="107"/>
    <s v="Not  Calculated"/>
    <n v="0"/>
    <s v="No File"/>
    <s v="ASMO_0201 (MOW629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01 (MOW6299) Application.xlsx"/>
    <m/>
  </r>
  <r>
    <n v="72"/>
    <x v="281"/>
    <x v="0"/>
    <x v="0"/>
    <s v="BAW5557"/>
    <x v="2"/>
    <s v="Colocation"/>
    <m/>
    <s v="Colocation"/>
    <m/>
    <x v="65"/>
    <m/>
    <n v="3"/>
    <m/>
    <s v="EPA"/>
    <m/>
    <m/>
    <x v="1"/>
    <m/>
    <s v="OK"/>
    <s v="18-May-18: Good to go for OML, lease hike may raise while TI installation"/>
    <x v="0"/>
    <m/>
    <s v="OK"/>
    <s v="OK"/>
    <s v="OK"/>
    <m/>
    <m/>
    <m/>
    <s v="OK"/>
    <s v="OK"/>
    <s v="90 Days"/>
    <m/>
    <d v="1900-01-02T12:00:00"/>
    <s v="BB DG"/>
    <s v="OK"/>
    <s v="No"/>
    <m/>
    <m/>
    <m/>
    <m/>
    <m/>
    <m/>
    <m/>
    <m/>
    <m/>
    <d v="2018-12-19T09:05:43"/>
    <m/>
    <m/>
    <m/>
    <m/>
    <x v="107"/>
    <s v="Not  Calculated"/>
    <n v="0"/>
    <s v="No File"/>
    <s v="ACBA_0255 (BAW555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255 (BAW5557) Application.xlsx"/>
    <m/>
  </r>
  <r>
    <n v="74"/>
    <x v="282"/>
    <x v="0"/>
    <x v="0"/>
    <s v="YAW7772"/>
    <x v="2"/>
    <s v="Colocation"/>
    <m/>
    <s v="Colocation"/>
    <m/>
    <x v="65"/>
    <m/>
    <n v="3"/>
    <m/>
    <s v="EPA"/>
    <m/>
    <m/>
    <x v="3"/>
    <m/>
    <s v="Rejected"/>
    <s v="23-May-18: Site under cancellation stage due to legal issue with owner"/>
    <x v="3"/>
    <m/>
    <m/>
    <m/>
    <s v="Review"/>
    <m/>
    <m/>
    <m/>
    <s v="RT need to check"/>
    <s v="OK"/>
    <s v="TBA"/>
    <m/>
    <d v="1900-01-01T00:00:00"/>
    <s v="BB UG - BA/CW needed add space or LiPo4"/>
    <m/>
    <m/>
    <m/>
    <m/>
    <m/>
    <m/>
    <m/>
    <m/>
    <m/>
    <m/>
    <m/>
    <d v="2018-12-19T09:05:43"/>
    <m/>
    <m/>
    <m/>
    <m/>
    <x v="107"/>
    <s v="Not  Calculated"/>
    <n v="0"/>
    <s v="No File"/>
    <s v="AYYN_0485 (YAW777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85 (YAW7772) Application.xlsx"/>
    <m/>
  </r>
  <r>
    <n v="75"/>
    <x v="283"/>
    <x v="0"/>
    <x v="0"/>
    <s v="YAW7770"/>
    <x v="2"/>
    <s v="Colocation"/>
    <m/>
    <s v="Colocation"/>
    <m/>
    <x v="65"/>
    <m/>
    <n v="3"/>
    <m/>
    <s v="EPA"/>
    <m/>
    <m/>
    <x v="1"/>
    <m/>
    <s v="OK"/>
    <s v="18-May-18: Good to go for OML, lease hike may raise while TI installation"/>
    <x v="0"/>
    <m/>
    <s v="OK"/>
    <s v="LEG ACD"/>
    <s v="OK"/>
    <m/>
    <m/>
    <m/>
    <s v="OK"/>
    <s v="OK"/>
    <s v="90 Days"/>
    <m/>
    <d v="1900-01-02T12:00:00"/>
    <s v="BB DG"/>
    <s v="OK"/>
    <s v="No"/>
    <m/>
    <m/>
    <m/>
    <m/>
    <m/>
    <m/>
    <m/>
    <m/>
    <m/>
    <d v="2018-12-19T09:05:44"/>
    <m/>
    <m/>
    <m/>
    <m/>
    <x v="107"/>
    <s v="Not  Calculated"/>
    <n v="0"/>
    <s v="No File"/>
    <s v="AYYN_0244 (YAW777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244 (YAW7770) Application.xlsx"/>
    <m/>
  </r>
  <r>
    <n v="76"/>
    <x v="255"/>
    <x v="0"/>
    <x v="0"/>
    <s v="YAW7769"/>
    <x v="2"/>
    <s v="Colocation"/>
    <m/>
    <s v="Colocation"/>
    <m/>
    <x v="65"/>
    <m/>
    <n v="3"/>
    <m/>
    <s v="EPA"/>
    <m/>
    <m/>
    <x v="3"/>
    <m/>
    <s v="Rejected"/>
    <s v="23-May-18: Site issue with township office who will not allow any new opertor installtion."/>
    <x v="0"/>
    <m/>
    <m/>
    <m/>
    <s v="Review"/>
    <m/>
    <m/>
    <m/>
    <s v="RT need to check"/>
    <s v="OK"/>
    <s v="TBA"/>
    <m/>
    <d v="1900-01-01T00:00:00"/>
    <s v="BB UG - BA/CW needed add space or LiPo4 - rooftop site"/>
    <m/>
    <m/>
    <m/>
    <m/>
    <m/>
    <m/>
    <m/>
    <m/>
    <m/>
    <m/>
    <m/>
    <d v="2018-12-19T09:05:44"/>
    <m/>
    <m/>
    <m/>
    <m/>
    <x v="107"/>
    <s v="Not  Calculated"/>
    <n v="0"/>
    <s v="No File"/>
    <s v="AYYN_0517 (YAW77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17 (YAW7769) Application.xlsx"/>
    <m/>
  </r>
  <r>
    <n v="79"/>
    <x v="284"/>
    <x v="0"/>
    <x v="1"/>
    <s v="BAW5558"/>
    <x v="2"/>
    <s v="OML Phase 2 Colo"/>
    <s v="On Air"/>
    <s v="Colocation"/>
    <m/>
    <x v="65"/>
    <m/>
    <n v="3"/>
    <m/>
    <s v="EPA"/>
    <m/>
    <m/>
    <x v="1"/>
    <m/>
    <s v="OK"/>
    <s v="18-May-18: Good to go for OML, lease hike may raise while TI installation"/>
    <x v="0"/>
    <m/>
    <s v="OK"/>
    <s v="LEG BCD"/>
    <s v="OK"/>
    <m/>
    <m/>
    <m/>
    <s v="for small RF"/>
    <s v="OK"/>
    <s v="90 Days"/>
    <m/>
    <d v="1900-01-02T12:00:00"/>
    <s v="Flex UG BB DG"/>
    <s v="OK"/>
    <s v="No"/>
    <m/>
    <m/>
    <m/>
    <m/>
    <m/>
    <m/>
    <m/>
    <m/>
    <m/>
    <d v="2018-12-19T09:05:44"/>
    <m/>
    <m/>
    <m/>
    <m/>
    <x v="107"/>
    <s v="Not  Calculated"/>
    <n v="0"/>
    <s v="No File"/>
    <s v="ACBA_0094 (BAW555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94 (BAW5558) Application.xlsx"/>
    <m/>
  </r>
  <r>
    <n v="83"/>
    <x v="285"/>
    <x v="0"/>
    <x v="0"/>
    <s v="BAW5560"/>
    <x v="2"/>
    <s v="Colocation"/>
    <m/>
    <s v="Colocation"/>
    <m/>
    <x v="65"/>
    <m/>
    <n v="3"/>
    <m/>
    <s v="EPA"/>
    <m/>
    <m/>
    <x v="1"/>
    <m/>
    <s v="OK"/>
    <s v="18-May-18: Good to go for OML, lease hike may raise while TI installation"/>
    <x v="0"/>
    <m/>
    <s v="OK"/>
    <s v="OK"/>
    <s v="OK"/>
    <m/>
    <m/>
    <m/>
    <s v="OK"/>
    <s v="OK"/>
    <s v="90 Days"/>
    <m/>
    <d v="1900-01-02T12:00:00"/>
    <s v="Flex UG BB DG"/>
    <s v="OK"/>
    <s v="No"/>
    <m/>
    <m/>
    <m/>
    <m/>
    <m/>
    <m/>
    <m/>
    <m/>
    <m/>
    <d v="2018-12-19T09:05:44"/>
    <m/>
    <m/>
    <m/>
    <m/>
    <x v="107"/>
    <s v="Not  Calculated"/>
    <n v="0"/>
    <s v="No File"/>
    <s v="ACBA_0056 (BAW556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56 (BAW5560) Application.xlsx"/>
    <m/>
  </r>
  <r>
    <n v="84"/>
    <x v="286"/>
    <x v="0"/>
    <x v="0"/>
    <s v="YAW7765"/>
    <x v="2"/>
    <s v="Colocation"/>
    <m/>
    <s v="Colocation"/>
    <m/>
    <x v="65"/>
    <m/>
    <n v="3"/>
    <m/>
    <s v="EPA"/>
    <m/>
    <m/>
    <x v="3"/>
    <m/>
    <s v="Rejected"/>
    <s v="23-May-18: No more additional co-location on the roof as per the owner"/>
    <x v="0"/>
    <m/>
    <m/>
    <m/>
    <s v="Review"/>
    <m/>
    <m/>
    <m/>
    <s v="RT need to check"/>
    <s v="OK"/>
    <s v="TBA"/>
    <m/>
    <d v="1900-01-01T00:00:00"/>
    <s v="OK - Add Lio4 modules from stock"/>
    <m/>
    <m/>
    <m/>
    <m/>
    <m/>
    <m/>
    <m/>
    <m/>
    <m/>
    <m/>
    <m/>
    <d v="2018-12-19T09:05:44"/>
    <m/>
    <m/>
    <m/>
    <m/>
    <x v="107"/>
    <s v="Not  Calculated"/>
    <n v="0"/>
    <s v="No File"/>
    <s v="AYYN_0411 (YAW776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11 (YAW7765) Application.xlsx"/>
    <m/>
  </r>
  <r>
    <n v="85"/>
    <x v="287"/>
    <x v="0"/>
    <x v="0"/>
    <s v="MOW6300"/>
    <x v="2"/>
    <s v="OML Phase 2 Colo"/>
    <s v="On Air"/>
    <s v="Colocation"/>
    <m/>
    <x v="65"/>
    <m/>
    <n v="3"/>
    <m/>
    <s v="EPA"/>
    <m/>
    <m/>
    <x v="1"/>
    <m/>
    <s v="OK"/>
    <s v="18-May-18: Good to go for OML, lease hike may raise while TI installation"/>
    <x v="0"/>
    <m/>
    <s v="OK"/>
    <s v="OK"/>
    <s v="OK"/>
    <m/>
    <m/>
    <m/>
    <s v="OK"/>
    <s v="Review"/>
    <m/>
    <m/>
    <m/>
    <s v="DG 24/7 restricted - BB UG - expect outages with long grid outages"/>
    <s v="OK"/>
    <s v="No"/>
    <m/>
    <m/>
    <m/>
    <m/>
    <m/>
    <m/>
    <m/>
    <m/>
    <m/>
    <m/>
    <m/>
    <m/>
    <m/>
    <m/>
    <x v="0"/>
    <s v="Not  Calculated"/>
    <n v="0"/>
    <s v="No File"/>
    <s v="ASMO_0267 (MOW630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67 (MOW6300) Application.xlsx"/>
    <m/>
  </r>
  <r>
    <n v="87"/>
    <x v="181"/>
    <x v="0"/>
    <x v="0"/>
    <s v="YAW7763"/>
    <x v="2"/>
    <s v="Colocation"/>
    <m/>
    <s v="Colocation"/>
    <m/>
    <x v="65"/>
    <m/>
    <n v="3"/>
    <m/>
    <s v="EPA"/>
    <m/>
    <m/>
    <x v="3"/>
    <m/>
    <s v="Rejected"/>
    <s v="23-May-18: Owner is concern about space, didn’t agree for new pole and slab."/>
    <x v="2"/>
    <m/>
    <m/>
    <m/>
    <s v="Review"/>
    <m/>
    <m/>
    <m/>
    <s v="RT need to check"/>
    <s v="OK"/>
    <s v="TBA"/>
    <m/>
    <d v="1900-01-01T00:00:00"/>
    <s v="PE UG - BA/CW needed add space or LiPo4 - rooftop site"/>
    <m/>
    <m/>
    <m/>
    <m/>
    <m/>
    <m/>
    <m/>
    <m/>
    <m/>
    <m/>
    <m/>
    <d v="2018-12-19T09:05:44"/>
    <m/>
    <m/>
    <m/>
    <m/>
    <x v="107"/>
    <s v="Not  Calculated"/>
    <n v="0"/>
    <s v="No File"/>
    <s v="AYYN_0306 (YAW776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06 (YAW7763) Application.xlsx"/>
    <m/>
  </r>
  <r>
    <n v="89"/>
    <x v="288"/>
    <x v="0"/>
    <x v="0"/>
    <s v="YAW7827"/>
    <x v="2"/>
    <s v="Colocation"/>
    <m/>
    <s v="Colocation"/>
    <m/>
    <x v="65"/>
    <m/>
    <n v="3"/>
    <m/>
    <s v="EPA"/>
    <m/>
    <m/>
    <x v="2"/>
    <m/>
    <s v="OK"/>
    <s v="23-May-18: Lease increase may raise while TI installtion.(No additional slab and pole )"/>
    <x v="0"/>
    <m/>
    <s v="OK"/>
    <s v="At this is ok after TSS will confirm available height"/>
    <s v="Review"/>
    <m/>
    <m/>
    <s v="No"/>
    <s v="RT site need TSSR"/>
    <s v="Review"/>
    <m/>
    <m/>
    <m/>
    <s v="LiPO4"/>
    <s v="OK"/>
    <s v="No"/>
    <s v="need to provide new pole, equipment slab and cable tray"/>
    <m/>
    <m/>
    <m/>
    <m/>
    <m/>
    <m/>
    <m/>
    <m/>
    <m/>
    <m/>
    <m/>
    <m/>
    <m/>
    <x v="0"/>
    <s v="Not  Calculated"/>
    <n v="0"/>
    <s v="No File"/>
    <s v="AYYN_0533 (YAW782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33 (YAW7827) Application.xlsx"/>
    <m/>
  </r>
  <r>
    <n v="90"/>
    <x v="289"/>
    <x v="0"/>
    <x v="0"/>
    <s v="MOW6303"/>
    <x v="2"/>
    <s v="OML Phase 2 Colo"/>
    <s v="On Air"/>
    <s v="Colocation"/>
    <m/>
    <x v="65"/>
    <m/>
    <n v="3"/>
    <m/>
    <s v="EPA"/>
    <m/>
    <m/>
    <x v="1"/>
    <m/>
    <s v="OK"/>
    <s v="18-May-18: Good to go for OML, lease hike may raise while TI installation"/>
    <x v="0"/>
    <m/>
    <s v="OK"/>
    <s v="OK"/>
    <s v="OK"/>
    <m/>
    <m/>
    <m/>
    <s v="OK"/>
    <s v="OK"/>
    <s v="90 Days"/>
    <m/>
    <d v="1900-01-02T12:00:00"/>
    <s v="BB DG"/>
    <s v="OK"/>
    <s v="No"/>
    <m/>
    <m/>
    <m/>
    <m/>
    <m/>
    <m/>
    <m/>
    <m/>
    <m/>
    <d v="2018-12-19T09:05:44"/>
    <m/>
    <m/>
    <m/>
    <m/>
    <x v="107"/>
    <s v="Not  Calculated"/>
    <n v="0"/>
    <s v="No File"/>
    <s v="ASMO_0263 (MOW630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63 (MOW6303) Application.xlsx"/>
    <m/>
  </r>
  <r>
    <n v="93"/>
    <x v="179"/>
    <x v="0"/>
    <x v="0"/>
    <s v="YAW7825"/>
    <x v="2"/>
    <s v="Colocation"/>
    <m/>
    <s v="Colocation"/>
    <m/>
    <x v="65"/>
    <m/>
    <n v="3"/>
    <m/>
    <s v="EPA"/>
    <m/>
    <m/>
    <x v="1"/>
    <m/>
    <s v="OK"/>
    <s v="23-May-18: Already 4 opertor are co-located on site, if go from structural Engg we can go ahead with negotation."/>
    <x v="0"/>
    <m/>
    <s v="OK"/>
    <s v="At this is ok after TSS will confirm available height"/>
    <s v="Review"/>
    <m/>
    <m/>
    <s v="No"/>
    <s v="Tower already strengthening without consider OML"/>
    <s v="Review"/>
    <m/>
    <m/>
    <m/>
    <s v="Flex UG BB DG"/>
    <s v="OK"/>
    <s v="Yes"/>
    <m/>
    <m/>
    <m/>
    <m/>
    <m/>
    <m/>
    <m/>
    <m/>
    <m/>
    <m/>
    <m/>
    <m/>
    <m/>
    <m/>
    <x v="0"/>
    <s v="Not  Calculated"/>
    <n v="1"/>
    <s v="No File"/>
    <s v="AYYN_0534 (YAW782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34 (YAW7825) Application.xlsx"/>
    <m/>
  </r>
  <r>
    <n v="95"/>
    <x v="290"/>
    <x v="0"/>
    <x v="0"/>
    <s v="YAW7500"/>
    <x v="2"/>
    <s v="Colocation"/>
    <m/>
    <s v="Colocation"/>
    <m/>
    <x v="65"/>
    <m/>
    <n v="3"/>
    <m/>
    <s v="EPA"/>
    <m/>
    <m/>
    <x v="3"/>
    <m/>
    <s v="Rejected"/>
    <s v="23-May-18: NO more tower extension or new opertor to be installed as per ward and township officer."/>
    <x v="3"/>
    <m/>
    <m/>
    <m/>
    <s v="OK"/>
    <m/>
    <m/>
    <m/>
    <s v="OK for small RF"/>
    <s v="OK"/>
    <s v="90 Days"/>
    <m/>
    <d v="1900-01-02T12:00:00"/>
    <s v="DG"/>
    <m/>
    <m/>
    <m/>
    <m/>
    <m/>
    <m/>
    <m/>
    <m/>
    <m/>
    <m/>
    <m/>
    <d v="2018-12-19T09:05:44"/>
    <m/>
    <m/>
    <m/>
    <m/>
    <x v="107"/>
    <s v="Not  Calculated"/>
    <n v="0"/>
    <s v="No File"/>
    <s v="AYYN_0119 (YAW750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119 (YAW7500) Application.xlsx"/>
    <m/>
  </r>
  <r>
    <n v="96"/>
    <x v="291"/>
    <x v="0"/>
    <x v="0"/>
    <s v="YAW7818"/>
    <x v="2"/>
    <s v="OML Phase 2 Colo"/>
    <s v="RFI"/>
    <s v="Colocation"/>
    <m/>
    <x v="65"/>
    <m/>
    <n v="3"/>
    <m/>
    <s v="EPA"/>
    <m/>
    <m/>
    <x v="1"/>
    <m/>
    <s v="OK"/>
    <s v="18-May-18: Good to go for OML, lease hike may raise while TI installation"/>
    <x v="0"/>
    <m/>
    <s v="OK"/>
    <s v="OK"/>
    <s v="Review"/>
    <m/>
    <m/>
    <m/>
    <s v="EPA almost over design"/>
    <s v="Review"/>
    <m/>
    <m/>
    <m/>
    <s v="Flex UG BB DG+ Grid"/>
    <s v="OK"/>
    <s v="No"/>
    <m/>
    <m/>
    <m/>
    <m/>
    <m/>
    <m/>
    <m/>
    <m/>
    <m/>
    <m/>
    <m/>
    <m/>
    <m/>
    <m/>
    <x v="0"/>
    <s v="Not  Calculated"/>
    <n v="0"/>
    <s v="No File"/>
    <s v="AYYN_0128 (YAW781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128 (YAW7818) Application.xlsx"/>
    <m/>
  </r>
  <r>
    <n v="97"/>
    <x v="292"/>
    <x v="0"/>
    <x v="0"/>
    <s v="YAW7768"/>
    <x v="2"/>
    <s v="Colocation"/>
    <m/>
    <s v="Colocation"/>
    <m/>
    <x v="65"/>
    <m/>
    <n v="3"/>
    <m/>
    <s v="EPA"/>
    <m/>
    <m/>
    <x v="2"/>
    <m/>
    <s v="OK"/>
    <s v="23-May-18: Lease increase may raise while TI installtion."/>
    <x v="0"/>
    <m/>
    <s v="OK"/>
    <s v="At this is ok after TSS will confirm available height"/>
    <s v="Review"/>
    <m/>
    <m/>
    <s v="No"/>
    <s v="RT site need TSSR"/>
    <s v="Review"/>
    <m/>
    <m/>
    <m/>
    <s v="LiPO4"/>
    <s v="OK"/>
    <s v="No"/>
    <m/>
    <m/>
    <m/>
    <m/>
    <m/>
    <m/>
    <m/>
    <m/>
    <m/>
    <m/>
    <m/>
    <m/>
    <m/>
    <m/>
    <x v="0"/>
    <s v="Not  Calculated"/>
    <n v="0"/>
    <s v="No File"/>
    <s v="AYYN_0456 (YAW776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56 (YAW7768) Application.xlsx"/>
    <m/>
  </r>
  <r>
    <n v="98"/>
    <x v="293"/>
    <x v="0"/>
    <x v="0"/>
    <s v="YAW7816"/>
    <x v="2"/>
    <s v="OML Phase 2 Colo"/>
    <s v="RFI"/>
    <s v="Colocation"/>
    <m/>
    <x v="65"/>
    <m/>
    <n v="3"/>
    <m/>
    <s v="EPA"/>
    <m/>
    <m/>
    <x v="1"/>
    <m/>
    <s v="OK"/>
    <s v="18-May-18: Good to go for OML, lease hike may raise while TI installation"/>
    <x v="0"/>
    <m/>
    <s v="OK"/>
    <s v="OK"/>
    <s v="OK"/>
    <m/>
    <m/>
    <m/>
    <s v="OK for small RF"/>
    <s v="OK"/>
    <s v="90 Days"/>
    <m/>
    <d v="1900-01-02T12:00:00"/>
    <s v="Flex UG BB DG"/>
    <s v="OK"/>
    <s v="No"/>
    <m/>
    <m/>
    <m/>
    <m/>
    <m/>
    <m/>
    <m/>
    <m/>
    <m/>
    <d v="2018-12-19T09:05:44"/>
    <m/>
    <m/>
    <m/>
    <m/>
    <x v="107"/>
    <s v="Not  Calculated"/>
    <n v="0"/>
    <s v="No File"/>
    <s v="AYYN_0104 (YAW781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104 (YAW7816) Application.xlsx"/>
    <m/>
  </r>
  <r>
    <n v="99"/>
    <x v="294"/>
    <x v="0"/>
    <x v="0"/>
    <s v="YAW7405"/>
    <x v="2"/>
    <s v="Colocation"/>
    <m/>
    <s v="Colocation"/>
    <m/>
    <x v="65"/>
    <m/>
    <n v="3"/>
    <m/>
    <s v="EPA"/>
    <m/>
    <m/>
    <x v="1"/>
    <m/>
    <s v="OK"/>
    <s v="18-May-18: Good to go for OML, lease hike may raise while TI installation"/>
    <x v="0"/>
    <m/>
    <s v="OK"/>
    <s v="OK"/>
    <s v="OK"/>
    <m/>
    <m/>
    <m/>
    <s v="OK for small RF"/>
    <s v="OK"/>
    <s v="OK"/>
    <m/>
    <d v="1900-01-01T00:00:00"/>
    <s v="OK"/>
    <s v="OK"/>
    <s v="No"/>
    <m/>
    <m/>
    <m/>
    <m/>
    <m/>
    <m/>
    <m/>
    <m/>
    <m/>
    <d v="2018-12-19T09:05:45"/>
    <m/>
    <m/>
    <m/>
    <m/>
    <x v="107"/>
    <s v="Not  Calculated"/>
    <n v="0"/>
    <s v="No File"/>
    <s v="AYYN_0580 (YAW740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80 (YAW7405) Application.xlsx"/>
    <m/>
  </r>
  <r>
    <n v="100"/>
    <x v="295"/>
    <x v="0"/>
    <x v="0"/>
    <s v="AYW5560"/>
    <x v="2"/>
    <s v="Colocation"/>
    <m/>
    <s v="Colocation"/>
    <m/>
    <x v="65"/>
    <m/>
    <n v="3"/>
    <m/>
    <s v="EPA"/>
    <m/>
    <m/>
    <x v="3"/>
    <m/>
    <s v="OK"/>
    <s v="23-May-18: Already agreed with lease hike "/>
    <x v="3"/>
    <m/>
    <m/>
    <m/>
    <s v="Review"/>
    <m/>
    <m/>
    <m/>
    <s v="Tower already strengthening without consider OML"/>
    <s v="OK"/>
    <s v="90 Days"/>
    <m/>
    <d v="1900-01-02T12:00:00"/>
    <s v="BB DG"/>
    <m/>
    <m/>
    <m/>
    <m/>
    <m/>
    <m/>
    <m/>
    <m/>
    <m/>
    <m/>
    <m/>
    <d v="2018-12-19T09:05:45"/>
    <m/>
    <m/>
    <m/>
    <m/>
    <x v="107"/>
    <s v="Not  Calculated"/>
    <n v="0"/>
    <s v="No File"/>
    <s v="ACAY_0059 (AYW556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59 (AYW5560) Application.xlsx"/>
    <m/>
  </r>
  <r>
    <n v="101"/>
    <x v="296"/>
    <x v="0"/>
    <x v="0"/>
    <s v="YAW7814"/>
    <x v="2"/>
    <s v="Colocation"/>
    <m/>
    <s v="Colocation"/>
    <m/>
    <x v="65"/>
    <m/>
    <n v="3"/>
    <m/>
    <s v="EPA"/>
    <m/>
    <m/>
    <x v="3"/>
    <s v="remaining EPA still can collocate (GMT) "/>
    <s v="OK"/>
    <s v="18-May-18: Good to go for OML, lease hike may raise while TI installation"/>
    <x v="0"/>
    <m/>
    <s v="OK"/>
    <s v="Only Macro Solutions"/>
    <s v="OK"/>
    <m/>
    <m/>
    <s v="5m"/>
    <s v="Ok small RF"/>
    <s v="Review"/>
    <m/>
    <m/>
    <m/>
    <s v="BB DG"/>
    <s v="OK"/>
    <s v="No"/>
    <m/>
    <m/>
    <m/>
    <m/>
    <m/>
    <m/>
    <m/>
    <m/>
    <m/>
    <m/>
    <m/>
    <m/>
    <m/>
    <m/>
    <x v="107"/>
    <s v="Not  Calculated"/>
    <n v="0"/>
    <s v="No File"/>
    <s v="AYYN_0081 (YAW781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081 (YAW7814) Application.xlsx"/>
    <m/>
  </r>
  <r>
    <n v="103"/>
    <x v="297"/>
    <x v="0"/>
    <x v="0"/>
    <s v="YAW7812"/>
    <x v="2"/>
    <s v="OML Phase 2 Colo"/>
    <s v="RFI"/>
    <s v="Colocation"/>
    <m/>
    <x v="65"/>
    <m/>
    <n v="3"/>
    <m/>
    <s v="EPA"/>
    <m/>
    <m/>
    <x v="1"/>
    <m/>
    <s v="OK"/>
    <s v="23-May-18: Lease increase may raise while TI installtion."/>
    <x v="0"/>
    <m/>
    <s v="OK"/>
    <s v="At this is ok after TSS will confirm available height"/>
    <s v="Review"/>
    <m/>
    <m/>
    <s v="No"/>
    <s v="Tower already strengthening without consider OML"/>
    <s v="Review"/>
    <m/>
    <m/>
    <m/>
    <s v="BB DG"/>
    <s v="OK"/>
    <s v="Yes"/>
    <m/>
    <m/>
    <m/>
    <m/>
    <m/>
    <m/>
    <m/>
    <m/>
    <m/>
    <m/>
    <m/>
    <m/>
    <m/>
    <m/>
    <x v="0"/>
    <s v="Not  Calculated"/>
    <n v="0"/>
    <s v="No File"/>
    <s v="AYYN_0576 (YAW781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76 (YAW7812) Application.xlsx"/>
    <m/>
  </r>
  <r>
    <n v="104"/>
    <x v="298"/>
    <x v="0"/>
    <x v="0"/>
    <s v="YAW4977"/>
    <x v="2"/>
    <s v="Colocation"/>
    <m/>
    <s v="Colocation"/>
    <m/>
    <x v="65"/>
    <m/>
    <n v="3"/>
    <m/>
    <s v="EPA"/>
    <m/>
    <m/>
    <x v="2"/>
    <s v="remaining EPA still can collocate "/>
    <s v="OK"/>
    <s v="23-May-18: Lease increase may raise while TI installtion."/>
    <x v="0"/>
    <m/>
    <s v="OK"/>
    <s v="At this is ok after TSS will confirm available height"/>
    <s v="Review"/>
    <m/>
    <m/>
    <s v="No"/>
    <s v="Tower already strengthening without consider OML"/>
    <s v="OK"/>
    <s v="PE UG - Batt DG &amp; DCDB - K10 kit from stock"/>
    <m/>
    <d v="1900-01-01T00:00:00"/>
    <s v="Material from stock to be reordered"/>
    <s v="OK"/>
    <s v="No"/>
    <s v="need to relocate PACE rectifier"/>
    <m/>
    <m/>
    <m/>
    <m/>
    <m/>
    <m/>
    <m/>
    <m/>
    <d v="2018-12-19T09:05:45"/>
    <m/>
    <m/>
    <m/>
    <m/>
    <x v="108"/>
    <n v="217.37899050929991"/>
    <n v="0"/>
    <s v="No File"/>
    <s v="AYYN_0574 (YAW497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74 (YAW4977) Application.xlsx"/>
    <m/>
  </r>
  <r>
    <n v="105"/>
    <x v="299"/>
    <x v="0"/>
    <x v="0"/>
    <s v="YAW7807"/>
    <x v="2"/>
    <s v="OML Phase 2 Colo"/>
    <s v="RFI"/>
    <s v="Colocation"/>
    <m/>
    <x v="65"/>
    <m/>
    <n v="3"/>
    <m/>
    <s v="EPA"/>
    <m/>
    <m/>
    <x v="1"/>
    <m/>
    <s v="OK"/>
    <s v="18-May-18: Good to go for OML, lease hike may raise while TI installation"/>
    <x v="0"/>
    <m/>
    <s v="OK"/>
    <s v="OK"/>
    <s v="OK"/>
    <m/>
    <m/>
    <m/>
    <s v="OK for small RF"/>
    <s v="OK"/>
    <s v="90 Days"/>
    <m/>
    <d v="1900-01-02T12:00:00"/>
    <s v="Flex UG BB DG"/>
    <s v="OK"/>
    <s v="No"/>
    <m/>
    <m/>
    <m/>
    <m/>
    <m/>
    <m/>
    <m/>
    <m/>
    <m/>
    <d v="2018-12-19T09:05:45"/>
    <m/>
    <m/>
    <m/>
    <m/>
    <x v="107"/>
    <s v="Not  Calculated"/>
    <n v="0"/>
    <s v="No File"/>
    <s v="AYYN_0331 (YAW780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31 (YAW7807) Application.xlsx"/>
    <m/>
  </r>
  <r>
    <n v="107"/>
    <x v="300"/>
    <x v="0"/>
    <x v="1"/>
    <s v="BAW5569"/>
    <x v="2"/>
    <s v="OML Phase 2 Colo"/>
    <s v="On Air"/>
    <s v="Colocation"/>
    <m/>
    <x v="65"/>
    <m/>
    <n v="3"/>
    <m/>
    <s v="EPA"/>
    <m/>
    <m/>
    <x v="1"/>
    <m/>
    <s v="OK"/>
    <s v="18-May-18: Good to go for OML, lease hike may raise while TI installation"/>
    <x v="0"/>
    <m/>
    <s v="OK"/>
    <s v="OK"/>
    <s v="OK"/>
    <m/>
    <m/>
    <m/>
    <s v="OK"/>
    <s v="OK"/>
    <s v="120 Days"/>
    <m/>
    <d v="1900-01-02T12:00:00"/>
    <s v="BB DG+ Grid"/>
    <s v="OK"/>
    <s v="No"/>
    <m/>
    <m/>
    <m/>
    <m/>
    <m/>
    <m/>
    <m/>
    <m/>
    <m/>
    <d v="2018-12-19T09:05:45"/>
    <m/>
    <m/>
    <m/>
    <m/>
    <x v="107"/>
    <s v="Not  Calculated"/>
    <n v="0"/>
    <s v="No File"/>
    <s v="ACBA_0108 (BAW55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108 (BAW5569) Application.xlsx"/>
    <m/>
  </r>
  <r>
    <n v="108"/>
    <x v="301"/>
    <x v="0"/>
    <x v="0"/>
    <s v="MOW6308"/>
    <x v="2"/>
    <s v="OML Phase 2 Colo"/>
    <s v="On Air"/>
    <s v="Colocation"/>
    <m/>
    <x v="65"/>
    <m/>
    <n v="3"/>
    <m/>
    <s v="EPA"/>
    <m/>
    <m/>
    <x v="1"/>
    <m/>
    <s v="OK"/>
    <s v="18-May-18: Good to go for OML, lease hike may raise while TI installation"/>
    <x v="0"/>
    <m/>
    <s v="OK"/>
    <s v="OK"/>
    <s v="OK"/>
    <m/>
    <m/>
    <m/>
    <s v="OK"/>
    <s v="OK"/>
    <s v="90 Days"/>
    <m/>
    <d v="1900-01-02T12:00:00"/>
    <s v="BB DG"/>
    <s v="OK"/>
    <s v="No"/>
    <s v="Need to provide additional equipment slab"/>
    <m/>
    <m/>
    <m/>
    <m/>
    <m/>
    <m/>
    <m/>
    <m/>
    <d v="2018-12-19T09:05:45"/>
    <m/>
    <m/>
    <m/>
    <m/>
    <x v="107"/>
    <s v="Not  Calculated"/>
    <n v="0"/>
    <s v="No File"/>
    <s v="ASMO_0305 (MOW630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305 (MOW6308) Application.xlsx"/>
    <m/>
  </r>
  <r>
    <n v="109"/>
    <x v="302"/>
    <x v="0"/>
    <x v="0"/>
    <s v="YAW4951"/>
    <x v="2"/>
    <s v="Colocation"/>
    <m/>
    <s v="Colocation"/>
    <m/>
    <x v="65"/>
    <m/>
    <n v="3"/>
    <m/>
    <s v="EPA"/>
    <m/>
    <m/>
    <x v="3"/>
    <m/>
    <s v="Rejected"/>
    <s v="23-May-18: Owner is concern about space, didn’t agree for new pole and slab."/>
    <x v="0"/>
    <m/>
    <m/>
    <m/>
    <s v="Review"/>
    <m/>
    <m/>
    <m/>
    <s v="RT need to check"/>
    <m/>
    <m/>
    <m/>
    <d v="1900-01-01T00:00:00"/>
    <m/>
    <m/>
    <m/>
    <m/>
    <m/>
    <m/>
    <m/>
    <m/>
    <m/>
    <m/>
    <m/>
    <m/>
    <m/>
    <m/>
    <m/>
    <m/>
    <m/>
    <x v="107"/>
    <s v="Not  Calculated"/>
    <n v="0"/>
    <s v="No File"/>
    <s v="AYYN_0321 (YAW495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21 (YAW4951) Application.xlsx"/>
    <m/>
  </r>
  <r>
    <n v="111"/>
    <x v="303"/>
    <x v="0"/>
    <x v="0"/>
    <s v="YAW7804"/>
    <x v="2"/>
    <s v="Colocation"/>
    <m/>
    <s v="Colocation"/>
    <m/>
    <x v="65"/>
    <m/>
    <n v="3"/>
    <m/>
    <s v="EPA"/>
    <m/>
    <m/>
    <x v="2"/>
    <m/>
    <s v="OK"/>
    <s v="23-May-18: Lease increase may raise while TI installtion."/>
    <x v="0"/>
    <m/>
    <s v="OK"/>
    <s v="At this is ok after TSS will confirm available height"/>
    <s v="Review"/>
    <m/>
    <m/>
    <s v="No"/>
    <s v="RT site need TSSR"/>
    <s v="Review"/>
    <m/>
    <m/>
    <m/>
    <s v="LiPO4"/>
    <s v="OK"/>
    <s v="Yes"/>
    <m/>
    <m/>
    <m/>
    <m/>
    <m/>
    <m/>
    <m/>
    <m/>
    <m/>
    <m/>
    <m/>
    <m/>
    <m/>
    <m/>
    <x v="0"/>
    <s v="Not  Calculated"/>
    <n v="0"/>
    <s v="No File"/>
    <s v="AYYN_0405 (YAW780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05 (YAW7804) Application.xlsx"/>
    <m/>
  </r>
  <r>
    <n v="112"/>
    <x v="304"/>
    <x v="0"/>
    <x v="0"/>
    <s v="YAW7803"/>
    <x v="2"/>
    <s v="Colocation"/>
    <m/>
    <s v="Colocation"/>
    <m/>
    <x v="65"/>
    <m/>
    <n v="3"/>
    <m/>
    <s v="EPA"/>
    <m/>
    <m/>
    <x v="2"/>
    <m/>
    <s v="OK"/>
    <s v="23-May-18: Lease increase may raise while TI installtion."/>
    <x v="0"/>
    <m/>
    <s v="OK"/>
    <s v="At this is ok after TSS will confirm available height"/>
    <s v="Review"/>
    <m/>
    <m/>
    <s v="No"/>
    <s v="RT site need TSSR"/>
    <s v="Review"/>
    <m/>
    <m/>
    <m/>
    <s v="LiPO4"/>
    <s v="OK"/>
    <s v="No"/>
    <m/>
    <m/>
    <m/>
    <m/>
    <m/>
    <m/>
    <m/>
    <m/>
    <m/>
    <m/>
    <m/>
    <m/>
    <m/>
    <m/>
    <x v="0"/>
    <s v="Not  Calculated"/>
    <n v="0"/>
    <s v="No File"/>
    <s v="AYYN_0552 (YAW780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52 (YAW7803) Application.xlsx"/>
    <m/>
  </r>
  <r>
    <n v="113"/>
    <x v="305"/>
    <x v="0"/>
    <x v="0"/>
    <s v="MOW6311"/>
    <x v="2"/>
    <s v="Colocation"/>
    <m/>
    <s v="Colocation"/>
    <m/>
    <x v="65"/>
    <m/>
    <n v="3"/>
    <m/>
    <s v="EPA"/>
    <m/>
    <m/>
    <x v="1"/>
    <m/>
    <s v="OK"/>
    <s v="23-May-18: Lease increase may raise while TI installtion."/>
    <x v="0"/>
    <m/>
    <s v="OK"/>
    <s v="At this is ok after TSS will confirm available height"/>
    <s v="OK"/>
    <m/>
    <m/>
    <s v="No"/>
    <s v="OK for small RF"/>
    <s v="OK"/>
    <s v="PE UG - Batt DG &amp; DCDB"/>
    <m/>
    <d v="1900-01-01T00:00:00"/>
    <s v="PE equipment TBO (To Be Ordered)"/>
    <s v="OK"/>
    <s v="Yes"/>
    <m/>
    <m/>
    <m/>
    <m/>
    <m/>
    <m/>
    <m/>
    <m/>
    <m/>
    <d v="2018-12-19T09:05:45"/>
    <m/>
    <m/>
    <m/>
    <m/>
    <x v="107"/>
    <s v="Not  Calculated"/>
    <n v="0"/>
    <s v="No File"/>
    <s v="ASMO_0180 (MOW631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80 (MOW6311) Application.xlsx"/>
    <m/>
  </r>
  <r>
    <n v="114"/>
    <x v="306"/>
    <x v="0"/>
    <x v="0"/>
    <s v="YAW7758"/>
    <x v="2"/>
    <s v="Colocation"/>
    <m/>
    <s v="Colocation"/>
    <m/>
    <x v="65"/>
    <m/>
    <n v="3"/>
    <m/>
    <s v="EPA"/>
    <m/>
    <m/>
    <x v="1"/>
    <m/>
    <s v="OK"/>
    <s v="23-May-18: Lease increase may raise while TI installtion."/>
    <x v="0"/>
    <m/>
    <s v="OK"/>
    <s v="At this is ok after TSS will confirm available height"/>
    <s v="Review"/>
    <m/>
    <m/>
    <s v="No"/>
    <s v="RT site need TSSR"/>
    <s v="Review"/>
    <m/>
    <m/>
    <m/>
    <s v="LiPO4"/>
    <s v="OK"/>
    <s v="Yes"/>
    <m/>
    <m/>
    <m/>
    <m/>
    <m/>
    <m/>
    <m/>
    <m/>
    <m/>
    <m/>
    <m/>
    <m/>
    <m/>
    <m/>
    <x v="107"/>
    <s v="Not  Calculated"/>
    <n v="0"/>
    <s v="No File"/>
    <s v="AYYN_0536 (YAW775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36 (YAW7758) Application.xlsx"/>
    <m/>
  </r>
  <r>
    <n v="115"/>
    <x v="178"/>
    <x v="0"/>
    <x v="0"/>
    <s v="YAW7800"/>
    <x v="2"/>
    <s v="Colocation"/>
    <m/>
    <s v="Colocation"/>
    <m/>
    <x v="65"/>
    <m/>
    <n v="3"/>
    <m/>
    <s v="EPA"/>
    <m/>
    <m/>
    <x v="3"/>
    <m/>
    <s v="OK"/>
    <s v="18-May-18: Good to go for OML, lease hike may raise while TI installation"/>
    <x v="0"/>
    <m/>
    <s v="OK"/>
    <s v="OK"/>
    <s v="Review"/>
    <m/>
    <m/>
    <m/>
    <s v="Tower already strengthening without consider OML"/>
    <s v="Review"/>
    <m/>
    <m/>
    <m/>
    <s v="Flex UG BB DG"/>
    <s v="OK"/>
    <s v="No"/>
    <m/>
    <m/>
    <m/>
    <m/>
    <m/>
    <m/>
    <m/>
    <m/>
    <m/>
    <m/>
    <m/>
    <m/>
    <m/>
    <m/>
    <x v="0"/>
    <s v="Not  Calculated"/>
    <n v="0"/>
    <s v="No File"/>
    <s v="AYYN_0508 (YAW780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08 (YAW7800) Application.xlsx"/>
    <m/>
  </r>
  <r>
    <n v="116"/>
    <x v="307"/>
    <x v="0"/>
    <x v="0"/>
    <s v="MOW6312"/>
    <x v="2"/>
    <s v="Colocation"/>
    <m/>
    <s v="Colocation"/>
    <m/>
    <x v="65"/>
    <m/>
    <n v="3"/>
    <m/>
    <s v="EPA"/>
    <m/>
    <m/>
    <x v="3"/>
    <m/>
    <s v="OK"/>
    <s v="18-May-18: Good to go for OML, lease hike may raise while TI installation"/>
    <x v="3"/>
    <m/>
    <s v="OK"/>
    <s v="LEG ABD"/>
    <s v="OK"/>
    <m/>
    <m/>
    <m/>
    <s v="OK"/>
    <s v="OK"/>
    <s v="90 Days"/>
    <m/>
    <d v="1900-01-02T12:00:00"/>
    <s v="36KW 2400 BB"/>
    <s v="OK"/>
    <s v="No"/>
    <m/>
    <m/>
    <m/>
    <m/>
    <m/>
    <m/>
    <m/>
    <m/>
    <m/>
    <d v="2018-12-19T09:05:46"/>
    <m/>
    <m/>
    <m/>
    <m/>
    <x v="107"/>
    <s v="Not  Calculated"/>
    <n v="0"/>
    <s v="No File"/>
    <s v="ASMO_0150 (MOW631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50 (MOW6312) Application.xlsx"/>
    <m/>
  </r>
  <r>
    <n v="117"/>
    <x v="308"/>
    <x v="0"/>
    <x v="0"/>
    <s v="YAW4931"/>
    <x v="2"/>
    <s v="Colocation"/>
    <m/>
    <s v="Colocation"/>
    <m/>
    <x v="65"/>
    <m/>
    <n v="3"/>
    <m/>
    <s v="EPA"/>
    <m/>
    <m/>
    <x v="2"/>
    <m/>
    <s v="OK"/>
    <s v="18-May-18: Good to go for OML, lease hike may raise while TI installation"/>
    <x v="0"/>
    <m/>
    <s v="OK"/>
    <s v="OK"/>
    <s v="OK"/>
    <m/>
    <m/>
    <s v="5m"/>
    <m/>
    <s v="Review"/>
    <m/>
    <m/>
    <m/>
    <s v="PE UG - site on grid"/>
    <s v="OK"/>
    <s v="No"/>
    <m/>
    <m/>
    <m/>
    <m/>
    <m/>
    <m/>
    <m/>
    <m/>
    <m/>
    <m/>
    <m/>
    <m/>
    <m/>
    <m/>
    <x v="0"/>
    <s v="Not  Calculated"/>
    <n v="0"/>
    <s v="No File"/>
    <s v="AYYN_0518 (YAW493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18 (YAW4931) Application.xlsx"/>
    <m/>
  </r>
  <r>
    <n v="118"/>
    <x v="309"/>
    <x v="0"/>
    <x v="0"/>
    <s v="YAW4930"/>
    <x v="2"/>
    <s v="Colocation"/>
    <m/>
    <s v="Colocation"/>
    <m/>
    <x v="65"/>
    <m/>
    <n v="3"/>
    <m/>
    <s v="EPA"/>
    <m/>
    <m/>
    <x v="3"/>
    <m/>
    <s v="Rejected"/>
    <s v="23-May-18: Owner is concern about space, didn’t agree for new pole and slab."/>
    <x v="0"/>
    <m/>
    <m/>
    <m/>
    <s v="Review"/>
    <m/>
    <m/>
    <m/>
    <s v="RT need to check"/>
    <m/>
    <m/>
    <m/>
    <d v="1900-01-01T00:00:00"/>
    <m/>
    <m/>
    <m/>
    <m/>
    <m/>
    <m/>
    <m/>
    <m/>
    <m/>
    <m/>
    <m/>
    <m/>
    <m/>
    <m/>
    <m/>
    <m/>
    <m/>
    <x v="107"/>
    <s v="Not  Calculated"/>
    <n v="0"/>
    <s v="No File"/>
    <s v="AYYN_0474 (YAW493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74 (YAW4930) Application.xlsx"/>
    <m/>
  </r>
  <r>
    <n v="120"/>
    <x v="310"/>
    <x v="0"/>
    <x v="0"/>
    <s v="BAW5574"/>
    <x v="2"/>
    <s v="OML Phase 2 Colo"/>
    <s v="RFI"/>
    <s v="Colocation"/>
    <m/>
    <x v="65"/>
    <m/>
    <n v="3"/>
    <m/>
    <s v="EPA"/>
    <m/>
    <m/>
    <x v="1"/>
    <m/>
    <s v="OK"/>
    <s v="18-May-18: Good to go for OML, lease hike may raise while TI installation"/>
    <x v="0"/>
    <m/>
    <s v="OK"/>
    <s v="Leg ABC"/>
    <s v="OK"/>
    <m/>
    <m/>
    <m/>
    <s v="OK"/>
    <s v="OK"/>
    <s v="120 Days"/>
    <m/>
    <d v="1900-01-02T12:00:00"/>
    <s v="Flex UG BB DG+ Grid"/>
    <s v="OK"/>
    <s v="No"/>
    <m/>
    <m/>
    <m/>
    <m/>
    <m/>
    <m/>
    <m/>
    <m/>
    <m/>
    <d v="2018-12-19T09:05:46"/>
    <m/>
    <m/>
    <m/>
    <m/>
    <x v="107"/>
    <s v="Not  Calculated"/>
    <n v="0"/>
    <s v="No File"/>
    <s v="ACBA_0051 (BAW557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51 (BAW5574) Application.xlsx"/>
    <m/>
  </r>
  <r>
    <n v="121"/>
    <x v="311"/>
    <x v="0"/>
    <x v="0"/>
    <s v="YAW7795"/>
    <x v="2"/>
    <s v="Colocation"/>
    <m/>
    <s v="Colocation"/>
    <m/>
    <x v="65"/>
    <m/>
    <n v="3"/>
    <m/>
    <s v="EPA"/>
    <m/>
    <m/>
    <x v="2"/>
    <m/>
    <s v="OK"/>
    <s v="23-May-18: Lease increase may raise while TI installtion."/>
    <x v="0"/>
    <m/>
    <s v="OK"/>
    <s v="At this is ok after TSS will confirm available height"/>
    <s v="Review"/>
    <m/>
    <m/>
    <s v="No"/>
    <s v="RT site need TSSR"/>
    <s v="Review"/>
    <m/>
    <m/>
    <m/>
    <s v="LiPO4"/>
    <s v="OK"/>
    <s v="Yes"/>
    <m/>
    <m/>
    <m/>
    <m/>
    <m/>
    <m/>
    <m/>
    <m/>
    <m/>
    <m/>
    <m/>
    <m/>
    <m/>
    <m/>
    <x v="0"/>
    <s v="Not  Calculated"/>
    <n v="0"/>
    <s v="No File"/>
    <s v="AYYN_0488 (YAW779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88 (YAW7795) Application.xlsx"/>
    <m/>
  </r>
  <r>
    <n v="122"/>
    <x v="312"/>
    <x v="0"/>
    <x v="0"/>
    <s v="YAW4790"/>
    <x v="2"/>
    <s v="Colocation"/>
    <m/>
    <s v="Colocation"/>
    <m/>
    <x v="65"/>
    <m/>
    <n v="3"/>
    <m/>
    <s v="EPA"/>
    <m/>
    <m/>
    <x v="3"/>
    <m/>
    <s v="Rejected"/>
    <s v="23-May-18: Owner is concern about space, didn’t agree for new pole and slab."/>
    <x v="0"/>
    <m/>
    <m/>
    <m/>
    <s v="Review"/>
    <m/>
    <m/>
    <m/>
    <s v="RT need to check"/>
    <m/>
    <m/>
    <m/>
    <d v="1900-01-01T00:00:00"/>
    <m/>
    <m/>
    <m/>
    <m/>
    <m/>
    <m/>
    <m/>
    <m/>
    <m/>
    <m/>
    <m/>
    <m/>
    <m/>
    <m/>
    <m/>
    <m/>
    <m/>
    <x v="107"/>
    <s v="Not  Calculated"/>
    <n v="0"/>
    <s v="No File"/>
    <s v="AYYN_0544 (YAW479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44 (YAW4790) Application.xlsx"/>
    <m/>
  </r>
  <r>
    <n v="123"/>
    <x v="313"/>
    <x v="0"/>
    <x v="0"/>
    <s v="YAW4769"/>
    <x v="2"/>
    <s v="Colocation"/>
    <m/>
    <s v="Colocation"/>
    <m/>
    <x v="65"/>
    <m/>
    <n v="3"/>
    <m/>
    <s v="EPA"/>
    <m/>
    <m/>
    <x v="3"/>
    <m/>
    <s v="Rejected"/>
    <s v="23-May-18: Site already with structural issue, owner will not allow any upcoming opertors."/>
    <x v="0"/>
    <m/>
    <m/>
    <m/>
    <s v="Review"/>
    <m/>
    <m/>
    <m/>
    <s v="RT need to check"/>
    <m/>
    <m/>
    <m/>
    <d v="1900-01-01T00:00:00"/>
    <m/>
    <m/>
    <m/>
    <m/>
    <m/>
    <m/>
    <m/>
    <m/>
    <m/>
    <m/>
    <m/>
    <m/>
    <m/>
    <m/>
    <m/>
    <m/>
    <m/>
    <x v="107"/>
    <s v="Not  Calculated"/>
    <n v="0"/>
    <s v="No File"/>
    <s v="AYYN_0504 (YAW47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04 (YAW4769) Application.xlsx"/>
    <m/>
  </r>
  <r>
    <n v="124"/>
    <x v="314"/>
    <x v="0"/>
    <x v="0"/>
    <s v="YAW7787"/>
    <x v="2"/>
    <s v="Colocation"/>
    <m/>
    <s v="Colocation"/>
    <m/>
    <x v="65"/>
    <m/>
    <n v="3"/>
    <m/>
    <s v="EPA"/>
    <m/>
    <m/>
    <x v="1"/>
    <m/>
    <s v="OK"/>
    <s v="23-May-18: Lease increase may raise while TI installtion.(No additional slab and pole )"/>
    <x v="0"/>
    <m/>
    <s v="OK"/>
    <s v="At this is ok after TSS will confirm available height"/>
    <s v="Review"/>
    <m/>
    <m/>
    <s v="No"/>
    <s v="RT site need TSSR"/>
    <s v="Review"/>
    <m/>
    <m/>
    <m/>
    <s v="LiPO4"/>
    <s v="OK"/>
    <s v="Yes"/>
    <m/>
    <m/>
    <m/>
    <m/>
    <m/>
    <m/>
    <m/>
    <m/>
    <m/>
    <m/>
    <m/>
    <m/>
    <m/>
    <m/>
    <x v="0"/>
    <s v="Not  Calculated"/>
    <n v="0"/>
    <s v="No File"/>
    <s v="AYYN_0309 (YAW778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09 (YAW7787) Application.xlsx"/>
    <m/>
  </r>
  <r>
    <n v="125"/>
    <x v="315"/>
    <x v="0"/>
    <x v="0"/>
    <s v="AYW5565"/>
    <x v="2"/>
    <s v="Colocation"/>
    <m/>
    <s v="Colocation"/>
    <m/>
    <x v="65"/>
    <m/>
    <n v="3"/>
    <m/>
    <s v="EPA"/>
    <m/>
    <m/>
    <x v="1"/>
    <m/>
    <s v="OK"/>
    <s v="18-May-18: Good to go for OML, lease hike may raise while TI installation"/>
    <x v="0"/>
    <m/>
    <s v="OK"/>
    <s v="OK"/>
    <s v="OK"/>
    <m/>
    <m/>
    <m/>
    <s v="OK"/>
    <s v="OK"/>
    <s v="90 Days"/>
    <m/>
    <d v="1900-01-02T12:00:00"/>
    <s v="36KW 2400 BB"/>
    <s v="OK"/>
    <s v="No"/>
    <m/>
    <m/>
    <m/>
    <m/>
    <m/>
    <m/>
    <m/>
    <m/>
    <m/>
    <d v="2018-12-19T09:05:46"/>
    <m/>
    <m/>
    <m/>
    <m/>
    <x v="107"/>
    <s v="Not  Calculated"/>
    <n v="0"/>
    <s v="No File"/>
    <s v="ACAY_0142 (AYW556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42 (AYW5565) Application.xlsx"/>
    <m/>
  </r>
  <r>
    <n v="126"/>
    <x v="316"/>
    <x v="0"/>
    <x v="1"/>
    <s v="BAW5581"/>
    <x v="2"/>
    <s v="OML Phase 2 Colo"/>
    <s v="On Air"/>
    <s v="Colocation"/>
    <m/>
    <x v="65"/>
    <m/>
    <n v="3"/>
    <m/>
    <s v="EPA"/>
    <m/>
    <m/>
    <x v="1"/>
    <m/>
    <s v="OK"/>
    <s v="18-May-18: Good to go for OML, lease hike may raise while TI installation"/>
    <x v="0"/>
    <m/>
    <s v="OK"/>
    <s v="OK"/>
    <s v="OK"/>
    <m/>
    <m/>
    <m/>
    <s v="OK"/>
    <s v="OK"/>
    <s v="90 Days"/>
    <m/>
    <d v="1900-01-02T12:00:00"/>
    <s v="Flex UG BB DG"/>
    <s v="OK"/>
    <s v="No"/>
    <m/>
    <m/>
    <m/>
    <m/>
    <m/>
    <m/>
    <m/>
    <m/>
    <m/>
    <d v="2018-12-19T09:05:46"/>
    <m/>
    <m/>
    <m/>
    <m/>
    <x v="107"/>
    <s v="Not  Calculated"/>
    <n v="0"/>
    <s v="No File"/>
    <s v="ACBA_0089 (BAW558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89 (BAW5581) Application.xlsx"/>
    <m/>
  </r>
  <r>
    <n v="127"/>
    <x v="317"/>
    <x v="0"/>
    <x v="0"/>
    <s v="YAW4651"/>
    <x v="2"/>
    <s v="Colocation"/>
    <m/>
    <s v="Colocation"/>
    <m/>
    <x v="65"/>
    <m/>
    <n v="3"/>
    <m/>
    <s v="EPA"/>
    <m/>
    <m/>
    <x v="1"/>
    <m/>
    <s v="OK"/>
    <s v="23-May-18: Lease increase may raise while TI installtion."/>
    <x v="0"/>
    <m/>
    <s v="OK"/>
    <s v="At this is ok after TSS will confirm available height"/>
    <s v="OK"/>
    <m/>
    <m/>
    <s v="No"/>
    <s v="OK for small RF"/>
    <s v="OK"/>
    <s v="PE UG - Batt DG &amp; DCDB - K10 kit TBO"/>
    <m/>
    <d v="1900-01-01T00:00:00"/>
    <s v="PE equipment TBO (To Be Ordered)"/>
    <s v="OK"/>
    <s v="No"/>
    <m/>
    <m/>
    <m/>
    <m/>
    <m/>
    <m/>
    <m/>
    <m/>
    <m/>
    <d v="2018-12-19T09:05:46"/>
    <m/>
    <m/>
    <m/>
    <m/>
    <x v="107"/>
    <s v="Not  Calculated"/>
    <n v="0"/>
    <s v="No File"/>
    <s v="AYYN_0088 (YAW465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088 (YAW4651) Application.xlsx"/>
    <m/>
  </r>
  <r>
    <n v="128"/>
    <x v="318"/>
    <x v="0"/>
    <x v="0"/>
    <s v="AYW5569"/>
    <x v="2"/>
    <s v="OML Phase 2 Colo"/>
    <s v="On Air"/>
    <s v="Colocation"/>
    <m/>
    <x v="65"/>
    <m/>
    <n v="3"/>
    <m/>
    <s v="EPA"/>
    <m/>
    <m/>
    <x v="1"/>
    <m/>
    <s v="OK"/>
    <s v="18-May-18: Good to go for OML, lease hike may raise while TI installation"/>
    <x v="0"/>
    <m/>
    <s v="OK"/>
    <s v="OK"/>
    <s v="OK"/>
    <m/>
    <m/>
    <m/>
    <s v="OK"/>
    <s v="OK"/>
    <s v="90 Days"/>
    <m/>
    <d v="1900-01-02T12:00:00"/>
    <s v="BB DG"/>
    <s v="OK"/>
    <s v="No"/>
    <m/>
    <m/>
    <m/>
    <m/>
    <m/>
    <m/>
    <m/>
    <m/>
    <m/>
    <d v="2018-12-19T09:05:46"/>
    <m/>
    <m/>
    <m/>
    <m/>
    <x v="107"/>
    <s v="Not  Calculated"/>
    <n v="0"/>
    <s v="No File"/>
    <s v="ACAY_0123 (AYW55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23 (AYW5569) Application.xlsx"/>
    <m/>
  </r>
  <r>
    <n v="129"/>
    <x v="29"/>
    <x v="0"/>
    <x v="0"/>
    <s v="BAW5234"/>
    <x v="2"/>
    <s v="Colocation"/>
    <m/>
    <s v="Colocation"/>
    <m/>
    <x v="65"/>
    <m/>
    <n v="3"/>
    <m/>
    <s v="EPA"/>
    <m/>
    <m/>
    <x v="1"/>
    <m/>
    <s v="OK"/>
    <s v="18-May-18: Good to go for OML, lease hike may raise while TI installation"/>
    <x v="0"/>
    <m/>
    <s v="OK"/>
    <s v="OK"/>
    <s v="OK"/>
    <m/>
    <m/>
    <m/>
    <s v="OK"/>
    <s v="OK"/>
    <s v="OK"/>
    <m/>
    <d v="1900-01-01T00:00:00"/>
    <s v="DG &amp; BB UG required need to re-order - site on grid"/>
    <s v="OK"/>
    <s v="No"/>
    <m/>
    <m/>
    <m/>
    <m/>
    <m/>
    <m/>
    <m/>
    <m/>
    <m/>
    <d v="2018-12-19T09:05:46"/>
    <m/>
    <m/>
    <m/>
    <m/>
    <x v="107"/>
    <s v="Not  Calculated"/>
    <n v="1"/>
    <s v="No File"/>
    <s v="ACBA_0032 (BAW523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2 (BAW5234) Application.xlsx"/>
    <m/>
  </r>
  <r>
    <n v="130"/>
    <x v="319"/>
    <x v="0"/>
    <x v="0"/>
    <s v="MOW6294"/>
    <x v="2"/>
    <s v="OML Phase 2 Colo"/>
    <s v="On Air"/>
    <s v="Colocation"/>
    <m/>
    <x v="65"/>
    <m/>
    <n v="3"/>
    <m/>
    <s v="EPA"/>
    <m/>
    <m/>
    <x v="1"/>
    <m/>
    <s v="OK"/>
    <s v="18-May-18: Good to go for OML, lease hike may raise while TI installation"/>
    <x v="0"/>
    <m/>
    <s v="OK"/>
    <s v="OK"/>
    <s v="OK"/>
    <m/>
    <m/>
    <m/>
    <s v="OK for small RF"/>
    <s v="OK"/>
    <s v="90 Days"/>
    <m/>
    <d v="1900-01-02T12:00:00"/>
    <s v="BB DG"/>
    <s v="OK"/>
    <s v="No"/>
    <m/>
    <m/>
    <m/>
    <m/>
    <m/>
    <m/>
    <m/>
    <m/>
    <m/>
    <d v="2018-12-19T09:05:46"/>
    <m/>
    <m/>
    <m/>
    <m/>
    <x v="107"/>
    <s v="Not  Calculated"/>
    <n v="0"/>
    <s v="No File"/>
    <s v="ASMO_0162 (MOW629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2 (MOW6294) Application.xlsx"/>
    <m/>
  </r>
  <r>
    <n v="131"/>
    <x v="320"/>
    <x v="0"/>
    <x v="0"/>
    <s v="MOT6240"/>
    <x v="2"/>
    <s v="Colocation"/>
    <m/>
    <s v="Colocation"/>
    <m/>
    <x v="65"/>
    <m/>
    <n v="3"/>
    <m/>
    <s v="EPA"/>
    <m/>
    <m/>
    <x v="2"/>
    <m/>
    <s v="OK"/>
    <s v="18-May-18: Good to go for OML, lease hike may raise while TI installation"/>
    <x v="0"/>
    <m/>
    <s v="OK"/>
    <s v="OK"/>
    <s v="OK"/>
    <m/>
    <m/>
    <m/>
    <s v="OK"/>
    <s v="Review"/>
    <m/>
    <m/>
    <m/>
    <s v="2400AH - DG 24/7 restricted expect outages going colo with long grid outages"/>
    <s v="OK"/>
    <s v="No"/>
    <m/>
    <m/>
    <m/>
    <m/>
    <m/>
    <m/>
    <m/>
    <m/>
    <m/>
    <m/>
    <m/>
    <m/>
    <m/>
    <m/>
    <x v="0"/>
    <s v="Not  Calculated"/>
    <n v="0"/>
    <s v="No File"/>
    <s v="ASMO_0164 (MOT624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4 (MOT6240) Application.xlsx"/>
    <m/>
  </r>
  <r>
    <n v="132"/>
    <x v="321"/>
    <x v="0"/>
    <x v="0"/>
    <s v="MOW6237"/>
    <x v="2"/>
    <s v="Colocation"/>
    <m/>
    <s v="Colocation"/>
    <m/>
    <x v="65"/>
    <m/>
    <n v="3"/>
    <m/>
    <s v="EPA"/>
    <m/>
    <m/>
    <x v="1"/>
    <m/>
    <s v="OK"/>
    <s v="18-May-18: Good to go for OML, lease hike may raise while TI installation"/>
    <x v="0"/>
    <m/>
    <s v="OK"/>
    <s v="OK"/>
    <s v="OK"/>
    <m/>
    <m/>
    <m/>
    <s v="OK"/>
    <s v="OK"/>
    <s v="OK"/>
    <m/>
    <d v="1900-01-01T00:00:00"/>
    <s v="DG UG required"/>
    <s v="OK"/>
    <s v="No"/>
    <m/>
    <m/>
    <m/>
    <m/>
    <m/>
    <m/>
    <m/>
    <m/>
    <m/>
    <d v="2018-12-19T09:05:47"/>
    <m/>
    <m/>
    <m/>
    <m/>
    <x v="107"/>
    <s v="Not  Calculated"/>
    <n v="0"/>
    <s v="No File"/>
    <s v="ASMO_0166 (MOW623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6 (MOW6237) Application.xlsx"/>
    <m/>
  </r>
  <r>
    <n v="133"/>
    <x v="322"/>
    <x v="0"/>
    <x v="0"/>
    <s v="MOW6176"/>
    <x v="2"/>
    <s v="Colocation"/>
    <m/>
    <s v="Colocation"/>
    <m/>
    <x v="65"/>
    <m/>
    <n v="3"/>
    <m/>
    <s v="EPA"/>
    <m/>
    <m/>
    <x v="1"/>
    <m/>
    <s v="OK"/>
    <s v="18-May-18: Good to go for OML, lease hike may raise while TI installation"/>
    <x v="0"/>
    <m/>
    <s v="OK"/>
    <s v="OK"/>
    <s v="OK"/>
    <m/>
    <m/>
    <s v="5m"/>
    <s v="Ok small RF (6m2 remaining) need strengthening"/>
    <s v="Review"/>
    <m/>
    <m/>
    <m/>
    <s v="DG &amp; BB UG "/>
    <s v="OK"/>
    <s v="No"/>
    <m/>
    <m/>
    <m/>
    <m/>
    <m/>
    <m/>
    <m/>
    <m/>
    <m/>
    <m/>
    <m/>
    <m/>
    <m/>
    <m/>
    <x v="107"/>
    <s v="Not  Calculated"/>
    <n v="0"/>
    <s v="No File"/>
    <s v="ASMO_0165 (MOW617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5 (MOW6176) Application.xlsx"/>
    <m/>
  </r>
  <r>
    <n v="134"/>
    <x v="323"/>
    <x v="0"/>
    <x v="0"/>
    <s v="MOW6290"/>
    <x v="2"/>
    <s v="Colocation"/>
    <m/>
    <s v="Colocation"/>
    <m/>
    <x v="65"/>
    <m/>
    <n v="3"/>
    <m/>
    <s v="EPA"/>
    <m/>
    <m/>
    <x v="1"/>
    <m/>
    <s v="OK"/>
    <s v="23-May-18: Already 4 opertor are co-located on site, if go from structural Engg  &amp; Power &amp; Security we can go ahead with negotation."/>
    <x v="2"/>
    <m/>
    <s v="OK"/>
    <s v="At this is ok after TSS will confirm available height"/>
    <s v="Review"/>
    <m/>
    <m/>
    <s v="No"/>
    <s v="EPA almost over design"/>
    <s v="Review"/>
    <m/>
    <m/>
    <m/>
    <s v="DCDB"/>
    <s v="OK"/>
    <s v="No"/>
    <s v="need to relocate DCDB pole"/>
    <m/>
    <m/>
    <m/>
    <m/>
    <m/>
    <m/>
    <m/>
    <m/>
    <m/>
    <m/>
    <m/>
    <m/>
    <m/>
    <x v="0"/>
    <s v="Not  Calculated"/>
    <n v="0"/>
    <s v="No File"/>
    <s v="ASMO_0171 (MOW629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71 (MOW6290) Application.xlsx"/>
    <m/>
  </r>
  <r>
    <n v="135"/>
    <x v="324"/>
    <x v="0"/>
    <x v="1"/>
    <s v="BAW5584"/>
    <x v="2"/>
    <s v="Colocation"/>
    <m/>
    <s v="Colocation"/>
    <m/>
    <x v="65"/>
    <m/>
    <n v="3"/>
    <m/>
    <s v="EPA"/>
    <m/>
    <m/>
    <x v="3"/>
    <s v="OML RF requirement is 50M and Apollo proposed height is 35-40M"/>
    <s v="OK"/>
    <s v="18-May-18: Good to go for OML, lease hike may raise while TI installation"/>
    <x v="2"/>
    <m/>
    <s v="OK"/>
    <s v="LEG ABC"/>
    <s v="OK"/>
    <m/>
    <m/>
    <m/>
    <s v="OK"/>
    <s v="Review"/>
    <m/>
    <m/>
    <m/>
    <s v="BB DG"/>
    <s v="OK"/>
    <s v="No"/>
    <s v="Need to provide additional equipment slab"/>
    <m/>
    <m/>
    <m/>
    <m/>
    <m/>
    <m/>
    <m/>
    <m/>
    <m/>
    <m/>
    <m/>
    <m/>
    <m/>
    <x v="107"/>
    <s v="Not  Calculated"/>
    <n v="0"/>
    <s v="No File"/>
    <s v="ACBA_0230 (BAW558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230 (BAW5584) Application.xlsx"/>
    <m/>
  </r>
  <r>
    <n v="136"/>
    <x v="325"/>
    <x v="0"/>
    <x v="0"/>
    <s v="MOW6220"/>
    <x v="2"/>
    <s v="Colocation"/>
    <m/>
    <s v="Colocation"/>
    <m/>
    <x v="65"/>
    <m/>
    <n v="3"/>
    <m/>
    <s v="EPA"/>
    <m/>
    <m/>
    <x v="2"/>
    <m/>
    <s v="OK"/>
    <s v="18-May-18: Good to go for OML, lease hike may raise while TI installation"/>
    <x v="0"/>
    <m/>
    <s v="OK"/>
    <s v="OK"/>
    <s v="OK"/>
    <m/>
    <m/>
    <m/>
    <s v="OK for small RF"/>
    <s v="Review"/>
    <m/>
    <m/>
    <m/>
    <s v="2400AH - DG 24/7 restricted expect outages going colo with long grid outages"/>
    <s v="OK"/>
    <s v="No"/>
    <m/>
    <m/>
    <m/>
    <m/>
    <m/>
    <m/>
    <m/>
    <m/>
    <m/>
    <m/>
    <m/>
    <m/>
    <m/>
    <m/>
    <x v="0"/>
    <s v="Not  Calculated"/>
    <n v="0"/>
    <s v="No File"/>
    <s v="ASMO_0172 (MOW622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72 (MOW6220) Application.xlsx"/>
    <m/>
  </r>
  <r>
    <n v="137"/>
    <x v="326"/>
    <x v="0"/>
    <x v="0"/>
    <s v="BAW5585"/>
    <x v="2"/>
    <s v="Colocation"/>
    <m/>
    <s v="Colocation"/>
    <m/>
    <x v="65"/>
    <m/>
    <n v="3"/>
    <m/>
    <s v="EPA"/>
    <m/>
    <m/>
    <x v="1"/>
    <m/>
    <s v="OK"/>
    <s v="18-May-18: Good to go for OML, lease hike may raise while TI installation"/>
    <x v="0"/>
    <m/>
    <s v="OK"/>
    <s v="OK"/>
    <s v="OK"/>
    <m/>
    <m/>
    <s v="5m"/>
    <m/>
    <s v="OK"/>
    <m/>
    <m/>
    <m/>
    <s v="DG UG required"/>
    <s v="OK"/>
    <s v="No"/>
    <m/>
    <m/>
    <m/>
    <m/>
    <m/>
    <m/>
    <m/>
    <m/>
    <m/>
    <d v="2018-12-19T09:05:47"/>
    <m/>
    <m/>
    <m/>
    <m/>
    <x v="107"/>
    <s v="Not  Calculated"/>
    <n v="0"/>
    <s v="No File"/>
    <s v="ACBA_0196 (BAW558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196 (BAW5585) Application.xlsx"/>
    <m/>
  </r>
  <r>
    <n v="138"/>
    <x v="327"/>
    <x v="0"/>
    <x v="0"/>
    <s v="BAW5548"/>
    <x v="2"/>
    <s v="Colocation"/>
    <m/>
    <s v="Colocation"/>
    <m/>
    <x v="65"/>
    <m/>
    <n v="3"/>
    <m/>
    <s v="EPA"/>
    <m/>
    <m/>
    <x v="1"/>
    <m/>
    <s v="OK"/>
    <s v="23-May-18: Lease increase may raise while TI installtion."/>
    <x v="0"/>
    <m/>
    <s v="OK"/>
    <s v="At this is ok after TSS will confirm available height"/>
    <s v="OK"/>
    <m/>
    <m/>
    <s v="No"/>
    <s v="for small RF"/>
    <s v="OK"/>
    <s v="PE UG - Batt DG &amp; DCDB"/>
    <m/>
    <d v="1900-01-01T00:00:00"/>
    <s v="PE equipment TBO (To Be Ordered)"/>
    <s v="OK"/>
    <s v="Yes"/>
    <m/>
    <m/>
    <m/>
    <m/>
    <m/>
    <m/>
    <m/>
    <m/>
    <m/>
    <d v="2018-12-19T09:05:47"/>
    <m/>
    <m/>
    <m/>
    <m/>
    <x v="107"/>
    <s v="Not  Calculated"/>
    <n v="0"/>
    <s v="No File"/>
    <s v="ACBA_0038 (BAW554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8 (BAW5548) Application.xlsx"/>
    <m/>
  </r>
  <r>
    <n v="139"/>
    <x v="328"/>
    <x v="0"/>
    <x v="0"/>
    <s v="BAW5260"/>
    <x v="2"/>
    <s v="Colocation"/>
    <m/>
    <s v="Colocation"/>
    <m/>
    <x v="65"/>
    <m/>
    <n v="3"/>
    <m/>
    <s v="EPA"/>
    <m/>
    <m/>
    <x v="1"/>
    <m/>
    <s v="OK"/>
    <s v="18-May-18: Good to go for OML, lease hike may raise while TI installation"/>
    <x v="0"/>
    <m/>
    <s v="OK"/>
    <s v="RF Ok MW can get top height"/>
    <s v="OK"/>
    <m/>
    <m/>
    <m/>
    <s v="OK"/>
    <s v="OK"/>
    <s v="OK"/>
    <m/>
    <d v="1900-01-01T00:00:00"/>
    <s v="BB UG - DG can run only once grid long outage is confirmed"/>
    <s v="OK"/>
    <s v="No"/>
    <m/>
    <m/>
    <m/>
    <m/>
    <m/>
    <m/>
    <m/>
    <m/>
    <m/>
    <d v="2018-12-19T09:05:47"/>
    <m/>
    <m/>
    <m/>
    <m/>
    <x v="107"/>
    <s v="Not  Calculated"/>
    <n v="0"/>
    <s v="No File"/>
    <s v="ACBA_0030 (BAW526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0 (BAW5260) Application.xlsx"/>
    <m/>
  </r>
  <r>
    <n v="140"/>
    <x v="329"/>
    <x v="0"/>
    <x v="0"/>
    <s v="BAW5255"/>
    <x v="2"/>
    <s v="Colocation"/>
    <m/>
    <s v="Colocation"/>
    <m/>
    <x v="65"/>
    <m/>
    <n v="3"/>
    <m/>
    <s v="EPA"/>
    <m/>
    <m/>
    <x v="2"/>
    <m/>
    <s v="OK"/>
    <s v="23-May-18: Lease increase may raise while TI installtion."/>
    <x v="0"/>
    <m/>
    <s v="OK"/>
    <s v="At this is ok after TSS will confirm available height"/>
    <s v="Review"/>
    <m/>
    <m/>
    <s v="No"/>
    <s v="EPA almost over design"/>
    <s v="OK"/>
    <s v="PE UG - Batt DG &amp; DCDB - K10 kit from stock"/>
    <m/>
    <d v="1900-01-01T00:00:00"/>
    <s v="PE equipment TBO (To Be Ordered)"/>
    <s v="OK"/>
    <s v="Yes"/>
    <m/>
    <m/>
    <m/>
    <m/>
    <m/>
    <m/>
    <m/>
    <m/>
    <m/>
    <d v="2018-12-19T09:05:47"/>
    <m/>
    <m/>
    <m/>
    <m/>
    <x v="109"/>
    <n v="217.37901932869863"/>
    <n v="0"/>
    <s v="No File"/>
    <s v="ACBA_0042 (BAW525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42 (BAW5255) Application.xlsx"/>
    <m/>
  </r>
  <r>
    <n v="141"/>
    <x v="330"/>
    <x v="0"/>
    <x v="0"/>
    <s v="BAW5251"/>
    <x v="2"/>
    <s v="Colocation"/>
    <m/>
    <s v="Colocation"/>
    <m/>
    <x v="65"/>
    <m/>
    <n v="3"/>
    <m/>
    <s v="EPA"/>
    <m/>
    <m/>
    <x v="1"/>
    <m/>
    <s v="OK"/>
    <s v="18-May-18: Good to go for OML, lease hike may raise while TI installation"/>
    <x v="0"/>
    <m/>
    <s v="OK"/>
    <s v="LEG ABC"/>
    <s v="OK"/>
    <m/>
    <m/>
    <m/>
    <s v="OK"/>
    <s v="OK"/>
    <s v="TBA"/>
    <m/>
    <d v="1900-01-01T00:00:00"/>
    <s v="PE UG"/>
    <s v="OK"/>
    <s v="No"/>
    <m/>
    <m/>
    <m/>
    <m/>
    <m/>
    <m/>
    <m/>
    <m/>
    <m/>
    <d v="2018-12-19T09:05:47"/>
    <m/>
    <m/>
    <m/>
    <m/>
    <x v="107"/>
    <s v="Not  Calculated"/>
    <n v="0"/>
    <s v="No File"/>
    <s v="ACBA_0028 (BAW525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28 (BAW5251) Application.xlsx"/>
    <m/>
  </r>
  <r>
    <n v="142"/>
    <x v="331"/>
    <x v="0"/>
    <x v="0"/>
    <s v="BAW5248"/>
    <x v="2"/>
    <s v="Colocation"/>
    <m/>
    <s v="Colocation"/>
    <m/>
    <x v="65"/>
    <m/>
    <n v="3"/>
    <m/>
    <s v="EPA"/>
    <m/>
    <m/>
    <x v="2"/>
    <m/>
    <s v="OK"/>
    <s v="23-May-18: Lease increase may raise while TI installtion."/>
    <x v="0"/>
    <m/>
    <s v="OK"/>
    <s v="At this is ok after TSS will confirm available height"/>
    <s v="Review"/>
    <m/>
    <m/>
    <s v="No"/>
    <s v="Tower already strengthening without consider OML"/>
    <s v="OK"/>
    <s v="PE UG/Swap"/>
    <m/>
    <d v="1900-01-01T00:00:00"/>
    <s v="PE equipment TBO (To Be Ordered)"/>
    <s v="OK"/>
    <s v="Yes"/>
    <m/>
    <m/>
    <m/>
    <m/>
    <m/>
    <m/>
    <m/>
    <m/>
    <m/>
    <d v="2018-12-19T09:05:47"/>
    <m/>
    <m/>
    <m/>
    <m/>
    <x v="109"/>
    <n v="217.37902118059719"/>
    <n v="0"/>
    <s v="No File"/>
    <s v="ACBA_0035 (BAW524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5 (BAW5248) Application.xlsx"/>
    <m/>
  </r>
  <r>
    <n v="143"/>
    <x v="332"/>
    <x v="0"/>
    <x v="0"/>
    <s v="BAW5224"/>
    <x v="2"/>
    <s v="Colocation"/>
    <m/>
    <s v="Colocation"/>
    <m/>
    <x v="65"/>
    <m/>
    <n v="3"/>
    <m/>
    <s v="EPA"/>
    <m/>
    <m/>
    <x v="1"/>
    <m/>
    <s v="OK"/>
    <s v="18-May-18: Good to go for OML, lease hike may raise while TI installation"/>
    <x v="0"/>
    <m/>
    <s v="OK"/>
    <s v="OK"/>
    <s v="OK"/>
    <m/>
    <m/>
    <m/>
    <s v="OK"/>
    <s v="OK"/>
    <s v="OK"/>
    <m/>
    <d v="1900-01-01T00:00:00"/>
    <s v="OK - BB UG - later - site on grid"/>
    <s v="OK"/>
    <s v="No"/>
    <m/>
    <m/>
    <m/>
    <m/>
    <m/>
    <m/>
    <m/>
    <m/>
    <m/>
    <d v="2018-12-19T09:05:47"/>
    <m/>
    <m/>
    <m/>
    <m/>
    <x v="107"/>
    <s v="Not  Calculated"/>
    <n v="0"/>
    <s v="No File"/>
    <s v="ACBA_0033 (BAW522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3 (BAW5224) Application.xlsx"/>
    <m/>
  </r>
  <r>
    <n v="144"/>
    <x v="333"/>
    <x v="0"/>
    <x v="1"/>
    <s v="BAW5590"/>
    <x v="2"/>
    <s v="Colocation"/>
    <m/>
    <s v="Colocation"/>
    <m/>
    <x v="65"/>
    <m/>
    <n v="3"/>
    <m/>
    <s v="EPA"/>
    <m/>
    <m/>
    <x v="1"/>
    <m/>
    <s v="OK"/>
    <s v="18-May-18: Good to go for OML, lease hike may raise while TI installation"/>
    <x v="0"/>
    <m/>
    <s v="OK"/>
    <s v="OK"/>
    <s v="OK"/>
    <m/>
    <m/>
    <m/>
    <s v="OK"/>
    <s v="OK"/>
    <s v="90 Days"/>
    <m/>
    <d v="1900-01-02T12:00:00"/>
    <s v="BB DG"/>
    <s v="OK"/>
    <s v="No"/>
    <m/>
    <m/>
    <m/>
    <m/>
    <m/>
    <m/>
    <m/>
    <m/>
    <m/>
    <d v="2018-12-19T09:05:48"/>
    <m/>
    <m/>
    <m/>
    <m/>
    <x v="107"/>
    <s v="Not  Calculated"/>
    <n v="0"/>
    <s v="No File"/>
    <s v="ACBA_0185 (BAW559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185 (BAW5590) Application.xlsx"/>
    <m/>
  </r>
  <r>
    <n v="145"/>
    <x v="334"/>
    <x v="0"/>
    <x v="0"/>
    <s v="AYW5540"/>
    <x v="2"/>
    <s v="Colocation"/>
    <m/>
    <s v="Colocation"/>
    <m/>
    <x v="65"/>
    <m/>
    <n v="3"/>
    <m/>
    <s v="EPA"/>
    <m/>
    <m/>
    <x v="1"/>
    <m/>
    <s v="OK"/>
    <s v="23-May-18: Lease increase may raise while TI installtion."/>
    <x v="0"/>
    <m/>
    <s v="OK"/>
    <s v="At this is ok after TSS will confirm available height"/>
    <s v="OK"/>
    <m/>
    <m/>
    <s v="No"/>
    <s v="OK for small RF"/>
    <s v="OK"/>
    <s v="PE UG - Batt DG &amp; DCDB - K10 kit from stock"/>
    <m/>
    <d v="1900-01-01T00:00:00"/>
    <s v="PE equipment TBO (To Be Ordered)"/>
    <s v="OK"/>
    <s v="No"/>
    <m/>
    <m/>
    <m/>
    <m/>
    <m/>
    <m/>
    <m/>
    <m/>
    <m/>
    <d v="2018-12-19T09:05:48"/>
    <m/>
    <m/>
    <m/>
    <m/>
    <x v="107"/>
    <s v="Not  Calculated"/>
    <n v="0"/>
    <s v="No File"/>
    <s v="ACAY_0022 (AYW554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22 (AYW5540) Application.xlsx"/>
    <m/>
  </r>
  <r>
    <n v="146"/>
    <x v="335"/>
    <x v="0"/>
    <x v="0"/>
    <s v="AYW5130"/>
    <x v="2"/>
    <s v="Colocation"/>
    <m/>
    <s v="Colocation"/>
    <m/>
    <x v="65"/>
    <m/>
    <n v="3"/>
    <m/>
    <s v="EPA"/>
    <m/>
    <m/>
    <x v="2"/>
    <m/>
    <s v="OK"/>
    <s v="23-May-18: Lease increase may raise while TI installtion."/>
    <x v="0"/>
    <m/>
    <s v="OK"/>
    <s v="At this is ok after TSS will confirm available height"/>
    <s v="Review"/>
    <m/>
    <m/>
    <s v="No"/>
    <s v="Tower already strengthening without consider OML"/>
    <s v="OK"/>
    <s v="PE UG - Batt DG &amp; DCDB - K10 kit TBO"/>
    <m/>
    <d v="1900-01-01T00:00:00"/>
    <s v="PE equipment TBO (To Be Ordered)"/>
    <s v="OK"/>
    <s v="No"/>
    <m/>
    <m/>
    <m/>
    <m/>
    <m/>
    <m/>
    <m/>
    <m/>
    <m/>
    <d v="2018-12-19T09:05:48"/>
    <m/>
    <m/>
    <m/>
    <m/>
    <x v="110"/>
    <n v="217.37902615740313"/>
    <n v="0"/>
    <s v="No File"/>
    <s v="ACAY_0026 (AYW513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26 (AYW5130) Application.xlsx"/>
    <m/>
  </r>
  <r>
    <n v="147"/>
    <x v="336"/>
    <x v="0"/>
    <x v="0"/>
    <s v="AYW5537"/>
    <x v="2"/>
    <s v="Colocation"/>
    <m/>
    <s v="Colocation"/>
    <m/>
    <x v="65"/>
    <m/>
    <n v="3"/>
    <m/>
    <s v="EPA"/>
    <m/>
    <m/>
    <x v="1"/>
    <m/>
    <s v="OK"/>
    <s v="18-May-18: Good to go for OML, lease hike may raise while TI installation"/>
    <x v="0"/>
    <m/>
    <s v="OK"/>
    <s v="OK"/>
    <s v="OK"/>
    <m/>
    <m/>
    <m/>
    <s v="OK"/>
    <s v="OK"/>
    <s v="OK"/>
    <m/>
    <d v="1900-01-01T00:00:00"/>
    <s v="Monitor PE perfomance - rect cap increase TBC"/>
    <s v="OK"/>
    <s v="No"/>
    <m/>
    <m/>
    <m/>
    <m/>
    <m/>
    <m/>
    <m/>
    <m/>
    <m/>
    <d v="2018-12-19T09:05:48"/>
    <m/>
    <m/>
    <m/>
    <m/>
    <x v="107"/>
    <s v="Not  Calculated"/>
    <n v="0"/>
    <s v="No File"/>
    <s v="ACAY_0017 (AYW553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17 (AYW5537) Application.xlsx"/>
    <m/>
  </r>
  <r>
    <n v="148"/>
    <x v="337"/>
    <x v="0"/>
    <x v="0"/>
    <s v="MOW6219"/>
    <x v="2"/>
    <s v="Colocation"/>
    <m/>
    <s v="Colocation"/>
    <m/>
    <x v="65"/>
    <m/>
    <n v="3"/>
    <m/>
    <s v="EPA"/>
    <m/>
    <m/>
    <x v="3"/>
    <m/>
    <s v="OK"/>
    <s v="23-May-18: Already 2 opertor are co-located on GM site, if go from structural Engg  we can go ahead with negotation."/>
    <x v="0"/>
    <m/>
    <m/>
    <m/>
    <s v="Rejected"/>
    <m/>
    <m/>
    <m/>
    <s v="GMT"/>
    <m/>
    <m/>
    <m/>
    <d v="1900-01-01T00:00:00"/>
    <m/>
    <m/>
    <m/>
    <m/>
    <m/>
    <m/>
    <m/>
    <m/>
    <m/>
    <m/>
    <m/>
    <m/>
    <m/>
    <m/>
    <m/>
    <m/>
    <m/>
    <x v="107"/>
    <s v="Not  Calculated"/>
    <n v="0"/>
    <s v="No File"/>
    <s v="ASMO_0261 (MOW621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61 (MOW6219) Application.xlsx"/>
    <m/>
  </r>
  <r>
    <n v="150"/>
    <x v="338"/>
    <x v="0"/>
    <x v="2"/>
    <s v="MAW2998"/>
    <x v="2"/>
    <s v="Colocation"/>
    <m/>
    <s v="Colocation"/>
    <m/>
    <x v="65"/>
    <m/>
    <n v="3"/>
    <m/>
    <s v="EPA"/>
    <m/>
    <m/>
    <x v="2"/>
    <m/>
    <s v="OK"/>
    <s v="18-May-18: Good to go for OML, lease hike may raise while TI installation"/>
    <x v="0"/>
    <m/>
    <s v="OK"/>
    <s v="OK"/>
    <s v="OK"/>
    <m/>
    <m/>
    <s v="5m"/>
    <s v="Ok, small RF (6m2 remaining) need strengthening"/>
    <s v="Review"/>
    <m/>
    <m/>
    <m/>
    <s v="PE UG"/>
    <s v="OK"/>
    <s v="No"/>
    <m/>
    <m/>
    <m/>
    <m/>
    <m/>
    <m/>
    <m/>
    <m/>
    <m/>
    <m/>
    <m/>
    <m/>
    <m/>
    <m/>
    <x v="0"/>
    <s v="Not  Calculated"/>
    <n v="0"/>
    <s v="No File"/>
    <s v="ANMD_0015 (MAW299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15 (MAW2998) Application.xlsx"/>
    <m/>
  </r>
  <r>
    <n v="151"/>
    <x v="339"/>
    <x v="0"/>
    <x v="2"/>
    <s v="SAW0721"/>
    <x v="2"/>
    <s v="Colocation"/>
    <m/>
    <s v="Colocation"/>
    <m/>
    <x v="65"/>
    <m/>
    <n v="3"/>
    <m/>
    <s v="EPA"/>
    <m/>
    <m/>
    <x v="1"/>
    <m/>
    <s v="OK"/>
    <s v="18-May-18: Good to go for OML, lease hike may raise while TI installation"/>
    <x v="0"/>
    <m/>
    <s v="OK"/>
    <s v="LEG ABD"/>
    <s v="OK"/>
    <m/>
    <m/>
    <m/>
    <s v="OK"/>
    <s v="OK"/>
    <s v="TBA"/>
    <m/>
    <d v="1900-01-01T00:00:00"/>
    <s v="PE UG"/>
    <s v="OK"/>
    <s v="No"/>
    <m/>
    <m/>
    <m/>
    <m/>
    <m/>
    <m/>
    <m/>
    <m/>
    <m/>
    <d v="2018-12-19T09:05:48"/>
    <m/>
    <m/>
    <m/>
    <m/>
    <x v="107"/>
    <s v="Not  Calculated"/>
    <n v="0"/>
    <s v="No File"/>
    <s v="ANSG_0351 (SAW072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51 (SAW0721) Application.xlsx"/>
    <m/>
  </r>
  <r>
    <n v="152"/>
    <x v="340"/>
    <x v="0"/>
    <x v="2"/>
    <s v="SAW0716"/>
    <x v="2"/>
    <s v="Colocation"/>
    <m/>
    <s v="Colocation"/>
    <m/>
    <x v="65"/>
    <m/>
    <n v="3"/>
    <m/>
    <s v="EPA"/>
    <m/>
    <m/>
    <x v="1"/>
    <m/>
    <s v="OK"/>
    <s v="18-May-18: Good to go for OML, lease hike may raise while TI installation"/>
    <x v="0"/>
    <m/>
    <s v="OK"/>
    <s v="OK"/>
    <s v="OK"/>
    <m/>
    <m/>
    <m/>
    <s v="OK"/>
    <s v="OK"/>
    <s v="TBA"/>
    <m/>
    <d v="1900-01-01T00:00:00"/>
    <s v="PE UG"/>
    <s v="OK"/>
    <s v="No"/>
    <m/>
    <m/>
    <m/>
    <m/>
    <m/>
    <m/>
    <m/>
    <m/>
    <m/>
    <d v="2018-12-19T09:05:48"/>
    <m/>
    <m/>
    <m/>
    <m/>
    <x v="107"/>
    <s v="Not  Calculated"/>
    <n v="0"/>
    <s v="No File"/>
    <s v="ANSG_0358 (SAW071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58 (SAW0716) Application.xlsx"/>
    <m/>
  </r>
  <r>
    <n v="153"/>
    <x v="341"/>
    <x v="0"/>
    <x v="2"/>
    <s v="MAW2977"/>
    <x v="2"/>
    <s v="Colocation"/>
    <m/>
    <s v="Colocation"/>
    <m/>
    <x v="65"/>
    <m/>
    <n v="3"/>
    <m/>
    <s v="EPA"/>
    <m/>
    <m/>
    <x v="2"/>
    <s v="remaining EPA still can collocate "/>
    <s v="OK"/>
    <s v="23-May-18: Lease increase may raise while TI installtion."/>
    <x v="0"/>
    <m/>
    <s v="OK"/>
    <s v="At this is ok after TSS will confirm available height"/>
    <s v="Review"/>
    <m/>
    <m/>
    <s v="No"/>
    <s v="Tower already strengthening without consider OML"/>
    <s v="OK"/>
    <s v="PE UG - Batt DG &amp; DCDB"/>
    <m/>
    <d v="1900-01-01T00:00:00"/>
    <s v="PE equipment TBO (To Be Ordered)"/>
    <s v="OK"/>
    <s v="No"/>
    <s v="1.5m x 1.5m"/>
    <m/>
    <m/>
    <m/>
    <m/>
    <m/>
    <m/>
    <m/>
    <m/>
    <d v="2018-12-19T09:05:48"/>
    <m/>
    <m/>
    <m/>
    <m/>
    <x v="110"/>
    <n v="217.37903101849952"/>
    <n v="0"/>
    <s v="No File"/>
    <s v="ANMD_0012 (MAW297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12 (MAW2977) Application.xlsx"/>
    <m/>
  </r>
  <r>
    <n v="155"/>
    <x v="342"/>
    <x v="0"/>
    <x v="2"/>
    <s v="SAW0714"/>
    <x v="2"/>
    <s v="Colocation"/>
    <m/>
    <s v="Colocation"/>
    <m/>
    <x v="65"/>
    <m/>
    <n v="3"/>
    <m/>
    <s v="EPA"/>
    <m/>
    <m/>
    <x v="1"/>
    <m/>
    <s v="OK"/>
    <s v="18-May-18: Good to go for OML, lease hike may raise while TI installation"/>
    <x v="0"/>
    <m/>
    <s v="OK"/>
    <s v="OK"/>
    <s v="OK"/>
    <m/>
    <m/>
    <m/>
    <s v="OK for small RF"/>
    <s v="OK"/>
    <s v="TBA"/>
    <m/>
    <d v="1900-01-01T00:00:00"/>
    <s v="PE UG"/>
    <s v="OK"/>
    <s v="No"/>
    <m/>
    <m/>
    <m/>
    <m/>
    <m/>
    <m/>
    <m/>
    <m/>
    <m/>
    <d v="2018-12-19T09:05:48"/>
    <m/>
    <m/>
    <m/>
    <m/>
    <x v="107"/>
    <s v="Not  Calculated"/>
    <n v="0"/>
    <s v="No File"/>
    <s v="ANSG_0349 (SAW071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49 (SAW0714) Application.xlsx"/>
    <m/>
  </r>
  <r>
    <n v="156"/>
    <x v="343"/>
    <x v="0"/>
    <x v="2"/>
    <s v="MAW2983"/>
    <x v="2"/>
    <s v="Colocation"/>
    <m/>
    <s v="Colocation"/>
    <m/>
    <x v="65"/>
    <m/>
    <n v="3"/>
    <m/>
    <s v="EPA"/>
    <m/>
    <m/>
    <x v="1"/>
    <s v="As per MDY team: can use existing 2 poles but yes, AT needed to do joint TSS with OML "/>
    <s v="OK"/>
    <s v="23-May-18: Lease increase may raise while TI installtion."/>
    <x v="0"/>
    <m/>
    <s v="OK"/>
    <s v="At this is ok after TSS will confirm available height"/>
    <s v="Review"/>
    <m/>
    <m/>
    <s v="No"/>
    <s v="RT site need TSSR"/>
    <s v="OK"/>
    <s v="PE UG - Batt DG &amp; DCDB - K10 kit TBO"/>
    <m/>
    <d v="1900-01-01T00:00:00"/>
    <s v="PE equipment TBO (To Be Ordered)"/>
    <s v="OK"/>
    <s v="Yes"/>
    <s v="RT site "/>
    <m/>
    <m/>
    <m/>
    <m/>
    <m/>
    <m/>
    <m/>
    <m/>
    <d v="2018-12-19T09:05:48"/>
    <m/>
    <m/>
    <m/>
    <m/>
    <x v="107"/>
    <s v="Not  Calculated"/>
    <n v="0"/>
    <s v="No File"/>
    <s v="ANMD_0163 (MAW298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63 (MAW2983) Application.xlsx"/>
    <m/>
  </r>
  <r>
    <n v="157"/>
    <x v="344"/>
    <x v="0"/>
    <x v="2"/>
    <s v="SAW0728"/>
    <x v="2"/>
    <s v="Colocation"/>
    <m/>
    <s v="Colocation"/>
    <m/>
    <x v="65"/>
    <m/>
    <n v="3"/>
    <m/>
    <s v="EPA"/>
    <m/>
    <m/>
    <x v="3"/>
    <m/>
    <s v="OK"/>
    <s v="18-May-18: Good to go for OML, lease hike may raise while TI installation"/>
    <x v="0"/>
    <m/>
    <s v="OK"/>
    <s v="OK"/>
    <s v="OK"/>
    <m/>
    <m/>
    <m/>
    <s v="OK"/>
    <s v="Rejected"/>
    <m/>
    <m/>
    <d v="1900-01-01T00:00:00"/>
    <s v="ANSG_0378 better candidate - TN HUB"/>
    <s v="OK"/>
    <s v="No"/>
    <m/>
    <m/>
    <m/>
    <m/>
    <m/>
    <m/>
    <m/>
    <m/>
    <m/>
    <m/>
    <m/>
    <m/>
    <m/>
    <m/>
    <x v="107"/>
    <s v="Not  Calculated"/>
    <n v="0"/>
    <s v="No File"/>
    <s v="ANSG_0377 (SAW072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77 (SAW0728) Application.xlsx"/>
    <m/>
  </r>
  <r>
    <n v="159"/>
    <x v="345"/>
    <x v="0"/>
    <x v="0"/>
    <s v="AYW5596"/>
    <x v="2"/>
    <s v="Colocation"/>
    <m/>
    <s v="Colocation"/>
    <m/>
    <x v="65"/>
    <m/>
    <n v="3"/>
    <m/>
    <s v="EPA"/>
    <m/>
    <m/>
    <x v="2"/>
    <m/>
    <s v="OK"/>
    <s v="18-May-18: Good to go for OML, lease hike may raise while TI installation"/>
    <x v="2"/>
    <m/>
    <s v="OK"/>
    <s v="OK"/>
    <s v="OK"/>
    <m/>
    <m/>
    <s v="5m"/>
    <m/>
    <s v="Review"/>
    <m/>
    <m/>
    <m/>
    <s v="40Kva + 2400AH - DG NS"/>
    <s v="OK"/>
    <s v="No"/>
    <m/>
    <m/>
    <m/>
    <m/>
    <m/>
    <m/>
    <m/>
    <m/>
    <m/>
    <m/>
    <m/>
    <m/>
    <m/>
    <m/>
    <x v="0"/>
    <s v="Not  Calculated"/>
    <n v="0"/>
    <s v="No File"/>
    <s v="ACAY_0146 (AYW559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46 (AYW5596) Application.xlsx"/>
    <m/>
  </r>
  <r>
    <n v="160"/>
    <x v="346"/>
    <x v="0"/>
    <x v="2"/>
    <s v="SAW0727"/>
    <x v="2"/>
    <s v="Colocation"/>
    <m/>
    <s v="Colocation"/>
    <m/>
    <x v="65"/>
    <m/>
    <n v="3"/>
    <m/>
    <s v="EPA"/>
    <m/>
    <m/>
    <x v="3"/>
    <m/>
    <s v="OK"/>
    <s v="18-May-18: Good to go for OML, lease hike may raise while TI installation"/>
    <x v="0"/>
    <m/>
    <s v="OK"/>
    <s v="LEG ACD"/>
    <s v="OK"/>
    <m/>
    <m/>
    <m/>
    <s v="OK for small RF"/>
    <s v="Rejected"/>
    <m/>
    <m/>
    <d v="1900-01-01T00:00:00"/>
    <s v="ANSG_0383 better candidate - TN HUB"/>
    <s v="OK"/>
    <s v="No"/>
    <m/>
    <m/>
    <m/>
    <m/>
    <m/>
    <m/>
    <m/>
    <m/>
    <m/>
    <m/>
    <m/>
    <m/>
    <m/>
    <m/>
    <x v="107"/>
    <s v="Not  Calculated"/>
    <n v="0"/>
    <s v="No File"/>
    <s v="ANSG_0382 (SAW072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82 (SAW0727) Application.xlsx"/>
    <m/>
  </r>
  <r>
    <n v="162"/>
    <x v="347"/>
    <x v="0"/>
    <x v="2"/>
    <s v="MAW2217"/>
    <x v="2"/>
    <s v="Colocation"/>
    <m/>
    <s v="Colocation"/>
    <m/>
    <x v="65"/>
    <m/>
    <n v="3"/>
    <m/>
    <s v="EPA"/>
    <m/>
    <m/>
    <x v="3"/>
    <m/>
    <s v="Rejected"/>
    <s v="23-May-18: Owner is concern about space, didn’t agree for new pole and slab."/>
    <x v="0"/>
    <m/>
    <m/>
    <m/>
    <s v="Review"/>
    <m/>
    <m/>
    <m/>
    <s v="RT need to check"/>
    <m/>
    <m/>
    <m/>
    <d v="1900-01-01T00:00:00"/>
    <m/>
    <m/>
    <m/>
    <m/>
    <m/>
    <m/>
    <m/>
    <m/>
    <m/>
    <m/>
    <m/>
    <m/>
    <m/>
    <m/>
    <m/>
    <m/>
    <m/>
    <x v="107"/>
    <s v="Not  Calculated"/>
    <n v="0"/>
    <s v="No File"/>
    <s v="ANMD_0018 (MAW221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18 (MAW2217) Application.xlsx"/>
    <m/>
  </r>
  <r>
    <n v="164"/>
    <x v="348"/>
    <x v="0"/>
    <x v="2"/>
    <s v="MAW2996"/>
    <x v="2"/>
    <s v="Colocation"/>
    <m/>
    <s v="Colocation"/>
    <m/>
    <x v="65"/>
    <m/>
    <n v="3"/>
    <m/>
    <s v="EPA"/>
    <m/>
    <m/>
    <x v="3"/>
    <m/>
    <s v="Rejected"/>
    <s v="23-May-18: OML has already installed there own pole and they are on-air"/>
    <x v="0"/>
    <m/>
    <m/>
    <m/>
    <s v="Review"/>
    <m/>
    <m/>
    <m/>
    <s v="RT need to check"/>
    <m/>
    <m/>
    <m/>
    <d v="1900-01-01T00:00:00"/>
    <m/>
    <m/>
    <m/>
    <m/>
    <m/>
    <m/>
    <m/>
    <m/>
    <m/>
    <m/>
    <m/>
    <m/>
    <m/>
    <m/>
    <m/>
    <m/>
    <m/>
    <x v="107"/>
    <s v="Not  Calculated"/>
    <n v="0"/>
    <s v="No File"/>
    <s v="ANMD_0095 (MAW299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95 (MAW2996) Application.xlsx"/>
    <m/>
  </r>
  <r>
    <n v="165"/>
    <x v="349"/>
    <x v="0"/>
    <x v="2"/>
    <s v="MAW2992"/>
    <x v="2"/>
    <s v="Colocation"/>
    <m/>
    <s v="Colocation"/>
    <m/>
    <x v="65"/>
    <m/>
    <n v="3"/>
    <m/>
    <s v="EPA"/>
    <m/>
    <m/>
    <x v="1"/>
    <m/>
    <s v="OK"/>
    <s v="18-May-18: Good to go for OML, lease hike may raise while TI installation"/>
    <x v="0"/>
    <m/>
    <s v="OK"/>
    <s v="OK"/>
    <s v="OK"/>
    <m/>
    <m/>
    <m/>
    <s v="OK"/>
    <s v="OK"/>
    <s v="OK"/>
    <m/>
    <d v="1900-01-01T00:00:00"/>
    <s v="PE UG"/>
    <s v="OK"/>
    <s v="No"/>
    <m/>
    <m/>
    <m/>
    <m/>
    <m/>
    <m/>
    <m/>
    <m/>
    <m/>
    <d v="2018-12-19T09:05:49"/>
    <m/>
    <m/>
    <m/>
    <m/>
    <x v="107"/>
    <s v="Not  Calculated"/>
    <n v="0"/>
    <s v="No File"/>
    <s v="ANMD_0171 (MAW299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71 (MAW2992) Application.xlsx"/>
    <m/>
  </r>
  <r>
    <n v="167"/>
    <x v="350"/>
    <x v="0"/>
    <x v="0"/>
    <s v="AYW5526"/>
    <x v="2"/>
    <s v="Colocation"/>
    <m/>
    <s v="Colocation"/>
    <m/>
    <x v="65"/>
    <m/>
    <n v="3"/>
    <m/>
    <s v="EPA"/>
    <m/>
    <m/>
    <x v="3"/>
    <m/>
    <s v="OK"/>
    <s v="23-May-18: Already 4 opertor are co-located on site, if go from structural Engg  &amp; Power &amp; Security we can go ahead with negotation."/>
    <x v="3"/>
    <m/>
    <m/>
    <m/>
    <s v="OK"/>
    <m/>
    <m/>
    <m/>
    <s v="OK for small RF"/>
    <s v="OK"/>
    <s v="90 Days"/>
    <m/>
    <d v="1900-01-02T12:00:00"/>
    <s v="36KW 2400 BB"/>
    <s v="OK"/>
    <s v="No"/>
    <m/>
    <m/>
    <m/>
    <m/>
    <m/>
    <m/>
    <m/>
    <m/>
    <m/>
    <d v="2018-12-19T09:05:49"/>
    <m/>
    <m/>
    <m/>
    <m/>
    <x v="107"/>
    <s v="Not  Calculated"/>
    <n v="0"/>
    <s v="No File"/>
    <s v="ACAY_0163 (AYW552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63 (AYW5526) Application.xlsx"/>
    <m/>
  </r>
  <r>
    <n v="168"/>
    <x v="351"/>
    <x v="0"/>
    <x v="1"/>
    <s v="MWW3498"/>
    <x v="2"/>
    <s v="Colocation"/>
    <m/>
    <s v="Colocation"/>
    <m/>
    <x v="65"/>
    <m/>
    <n v="3"/>
    <m/>
    <s v="EPA"/>
    <m/>
    <m/>
    <x v="1"/>
    <m/>
    <s v="OK"/>
    <s v="18-May-18: Good to go for OML, lease hike may raise while TI installation"/>
    <x v="0"/>
    <m/>
    <s v="OK"/>
    <s v="LEG ACD"/>
    <s v="OK"/>
    <m/>
    <m/>
    <m/>
    <s v="OK"/>
    <s v="OK"/>
    <s v="90 Days"/>
    <m/>
    <d v="1900-01-02T12:00:00"/>
    <s v="Flex UG BB DG"/>
    <s v="OK"/>
    <s v="No"/>
    <m/>
    <m/>
    <m/>
    <m/>
    <m/>
    <m/>
    <m/>
    <m/>
    <m/>
    <d v="2018-12-19T09:05:49"/>
    <m/>
    <m/>
    <m/>
    <m/>
    <x v="107"/>
    <s v="Not  Calculated"/>
    <n v="0"/>
    <s v="No File"/>
    <s v="ANMG_0052 (MWW349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52 (MWW3498) Application.xlsx"/>
    <m/>
  </r>
  <r>
    <n v="169"/>
    <x v="352"/>
    <x v="0"/>
    <x v="1"/>
    <s v="MWW3499"/>
    <x v="2"/>
    <s v="Colocation"/>
    <m/>
    <s v="Colocation"/>
    <m/>
    <x v="65"/>
    <m/>
    <n v="3"/>
    <m/>
    <s v="EPA"/>
    <m/>
    <m/>
    <x v="1"/>
    <m/>
    <s v="OK"/>
    <s v="18-May-18: Good to go for OML, lease hike may raise while TI installation"/>
    <x v="0"/>
    <m/>
    <s v="OK"/>
    <s v="OK"/>
    <s v="OK"/>
    <m/>
    <m/>
    <m/>
    <s v="OK"/>
    <s v="OK"/>
    <s v="90 Days"/>
    <m/>
    <d v="1900-01-02T12:00:00"/>
    <s v="Flex UG BB DG"/>
    <s v="OK"/>
    <s v="No"/>
    <m/>
    <m/>
    <m/>
    <m/>
    <m/>
    <m/>
    <m/>
    <m/>
    <m/>
    <d v="2018-12-19T09:05:49"/>
    <m/>
    <m/>
    <m/>
    <m/>
    <x v="107"/>
    <s v="Not  Calculated"/>
    <n v="0"/>
    <s v="No File"/>
    <s v="ANMG_0006 (MWW349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06 (MWW3499) Application.xlsx"/>
    <m/>
  </r>
  <r>
    <n v="170"/>
    <x v="353"/>
    <x v="0"/>
    <x v="1"/>
    <s v="MWW3500"/>
    <x v="2"/>
    <s v="Colocation"/>
    <m/>
    <s v="Colocation"/>
    <m/>
    <x v="65"/>
    <m/>
    <n v="3"/>
    <m/>
    <s v="EPA"/>
    <m/>
    <m/>
    <x v="1"/>
    <m/>
    <s v="OK"/>
    <s v="18-May-18: Good to go for OML, lease hike may raise while TI installation"/>
    <x v="0"/>
    <m/>
    <s v="OK"/>
    <s v="OK"/>
    <s v="OK"/>
    <m/>
    <m/>
    <m/>
    <s v="OK"/>
    <s v="OK"/>
    <s v="120 Days"/>
    <m/>
    <d v="1900-01-02T12:00:00"/>
    <s v="Flex UG BB DG+ Grid"/>
    <s v="OK"/>
    <s v="No"/>
    <m/>
    <m/>
    <m/>
    <m/>
    <m/>
    <m/>
    <m/>
    <m/>
    <m/>
    <d v="2018-12-19T09:05:49"/>
    <m/>
    <m/>
    <m/>
    <m/>
    <x v="107"/>
    <s v="Not  Calculated"/>
    <n v="0"/>
    <s v="No File"/>
    <s v="ANMG_0026 (MWW350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26 (MWW3500) Application.xlsx"/>
    <m/>
  </r>
  <r>
    <n v="171"/>
    <x v="354"/>
    <x v="0"/>
    <x v="2"/>
    <s v="SAW0731"/>
    <x v="2"/>
    <s v="Colocation"/>
    <m/>
    <s v="Colocation"/>
    <m/>
    <x v="65"/>
    <m/>
    <n v="3"/>
    <m/>
    <s v="EPA"/>
    <m/>
    <m/>
    <x v="1"/>
    <m/>
    <s v="OK"/>
    <s v="18-May-18: Good to go for OML, lease hike may raise while TI installation"/>
    <x v="0"/>
    <m/>
    <s v="OK"/>
    <s v="OK"/>
    <s v="OK"/>
    <m/>
    <m/>
    <m/>
    <s v="OK"/>
    <s v="OK"/>
    <s v="OK"/>
    <m/>
    <d v="1900-01-01T00:00:00"/>
    <s v="PE UG"/>
    <s v="OK"/>
    <s v="No"/>
    <m/>
    <m/>
    <m/>
    <m/>
    <m/>
    <m/>
    <m/>
    <m/>
    <m/>
    <d v="2018-12-19T09:05:49"/>
    <m/>
    <m/>
    <m/>
    <m/>
    <x v="107"/>
    <s v="Not  Calculated"/>
    <n v="0"/>
    <s v="No File"/>
    <s v="ANSG_0381 (SAW073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81 (SAW0731) Application.xlsx"/>
    <m/>
  </r>
  <r>
    <n v="172"/>
    <x v="355"/>
    <x v="0"/>
    <x v="1"/>
    <s v="MWW3502"/>
    <x v="2"/>
    <s v="Colocation"/>
    <m/>
    <s v="Colocation"/>
    <m/>
    <x v="65"/>
    <m/>
    <n v="3"/>
    <m/>
    <s v="EPA"/>
    <m/>
    <m/>
    <x v="1"/>
    <m/>
    <s v="OK"/>
    <s v="18-May-18: Good to go for OML, lease hike may raise while TI installation"/>
    <x v="0"/>
    <m/>
    <s v="OK"/>
    <s v="OK"/>
    <s v="OK"/>
    <m/>
    <m/>
    <m/>
    <s v="OK"/>
    <s v="OK"/>
    <s v="90 Days"/>
    <m/>
    <d v="1900-01-02T12:00:00"/>
    <s v="36KW 2400 BB"/>
    <s v="OK"/>
    <s v="No"/>
    <m/>
    <m/>
    <m/>
    <m/>
    <m/>
    <m/>
    <m/>
    <m/>
    <m/>
    <d v="2018-12-19T09:05:49"/>
    <m/>
    <m/>
    <m/>
    <m/>
    <x v="107"/>
    <s v="Not  Calculated"/>
    <n v="0"/>
    <s v="No File"/>
    <s v="ANMG_0167 (MWW350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167 (MWW3502) Application.xlsx"/>
    <m/>
  </r>
  <r>
    <n v="173"/>
    <x v="356"/>
    <x v="0"/>
    <x v="2"/>
    <s v="SAW0719"/>
    <x v="2"/>
    <s v="Colocation"/>
    <m/>
    <s v="Colocation"/>
    <m/>
    <x v="65"/>
    <m/>
    <n v="3"/>
    <m/>
    <s v="EPA"/>
    <m/>
    <m/>
    <x v="1"/>
    <m/>
    <s v="OK"/>
    <s v="18-May-18: Good to go for OML, lease hike may raise while TI installation"/>
    <x v="0"/>
    <m/>
    <s v="OK"/>
    <s v="LEG ACD"/>
    <s v="OK"/>
    <m/>
    <m/>
    <m/>
    <s v="OK"/>
    <s v="OK"/>
    <s v="OK"/>
    <m/>
    <d v="1900-01-01T00:00:00"/>
    <s v="PE UG"/>
    <s v="OK"/>
    <s v="No"/>
    <m/>
    <m/>
    <m/>
    <m/>
    <m/>
    <m/>
    <m/>
    <m/>
    <m/>
    <d v="2018-12-19T09:05:49"/>
    <m/>
    <m/>
    <m/>
    <m/>
    <x v="107"/>
    <s v="Not  Calculated"/>
    <n v="0"/>
    <s v="No File"/>
    <s v="ANSG_0361 (SAW071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61 (SAW0719) Application.xlsx"/>
    <m/>
  </r>
  <r>
    <n v="174"/>
    <x v="251"/>
    <x v="0"/>
    <x v="2"/>
    <s v="MAW2441"/>
    <x v="2"/>
    <s v="Colocation"/>
    <m/>
    <s v="Colocation"/>
    <m/>
    <x v="65"/>
    <m/>
    <n v="3"/>
    <m/>
    <s v="EPA"/>
    <m/>
    <m/>
    <x v="1"/>
    <m/>
    <s v="OK"/>
    <s v="23-May-18: Lease increase may raise while TI installtion."/>
    <x v="0"/>
    <m/>
    <s v="OK"/>
    <s v="At this is ok after TSS will confirm available height"/>
    <s v="Review"/>
    <m/>
    <m/>
    <s v="No"/>
    <s v="RT site need TSSR"/>
    <s v="OK"/>
    <s v="PE UG - Batt &amp; DCDB - K10 kit TBO"/>
    <m/>
    <d v="1900-01-01T00:00:00"/>
    <s v="PE equipment TBO (To Be Ordered)"/>
    <s v="OK"/>
    <s v="Yes"/>
    <s v="RT site "/>
    <m/>
    <m/>
    <m/>
    <m/>
    <m/>
    <m/>
    <m/>
    <m/>
    <d v="2018-12-19T09:05:49"/>
    <m/>
    <m/>
    <m/>
    <m/>
    <x v="107"/>
    <s v="Not  Calculated"/>
    <n v="0"/>
    <s v="No File"/>
    <s v="ANMD_0118 (MAW244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18 (MAW2441) Application.xlsx"/>
    <m/>
  </r>
  <r>
    <n v="176"/>
    <x v="357"/>
    <x v="0"/>
    <x v="2"/>
    <s v="MAW2986"/>
    <x v="2"/>
    <s v="Colocation"/>
    <m/>
    <s v="Colocation"/>
    <m/>
    <x v="65"/>
    <m/>
    <n v="3"/>
    <m/>
    <s v="EPA"/>
    <m/>
    <m/>
    <x v="0"/>
    <m/>
    <s v="OK"/>
    <s v="23-May-18: Lease increase may raise while TI installtion."/>
    <x v="0"/>
    <m/>
    <s v="OK"/>
    <s v="At this is ok after TSS will confirm available height"/>
    <s v="Review"/>
    <m/>
    <m/>
    <s v="No"/>
    <s v="RT site need TSSR"/>
    <s v="OK"/>
    <s v="PE UG - Batt &amp; DCDB - K10 kit TBO"/>
    <m/>
    <d v="1900-01-01T00:00:00"/>
    <s v="PE equipment TBO (To Be Ordered)"/>
    <s v="OK"/>
    <s v="Yes"/>
    <s v="RT site, need to provide new pole"/>
    <m/>
    <m/>
    <m/>
    <m/>
    <m/>
    <s v="OK"/>
    <s v="Site is not active in Ox tool"/>
    <d v="2018-11-13T14:56:11"/>
    <d v="2018-11-13T16:09:11"/>
    <m/>
    <d v="2018-11-13T17:30:58"/>
    <d v="2018-11-13T16:30:56"/>
    <d v="2018-11-13T16:25:47"/>
    <x v="0"/>
    <n v="251.48191597222467"/>
    <n v="1"/>
    <s v="No File"/>
    <s v="ANMD_0170 (MAW298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70 (MAW2986) Application.xlsx"/>
    <m/>
  </r>
  <r>
    <n v="177"/>
    <x v="145"/>
    <x v="0"/>
    <x v="2"/>
    <s v="MAW2985"/>
    <x v="2"/>
    <s v="Colocation"/>
    <m/>
    <s v="Colocation"/>
    <m/>
    <x v="65"/>
    <m/>
    <n v="3"/>
    <m/>
    <s v="EPA"/>
    <m/>
    <m/>
    <x v="1"/>
    <m/>
    <s v="OK"/>
    <s v="18-May-18: Good to go for OML, lease hike may raise while TI installation"/>
    <x v="0"/>
    <m/>
    <s v="OK"/>
    <s v="OK"/>
    <s v="OK"/>
    <m/>
    <m/>
    <m/>
    <s v="OK"/>
    <s v="OK"/>
    <s v="OK"/>
    <m/>
    <d v="1900-01-01T00:00:00"/>
    <s v="PE UG"/>
    <s v="OK"/>
    <s v="No"/>
    <m/>
    <m/>
    <m/>
    <m/>
    <m/>
    <m/>
    <m/>
    <m/>
    <m/>
    <d v="2018-12-19T09:05:49"/>
    <m/>
    <m/>
    <m/>
    <m/>
    <x v="107"/>
    <s v="Not  Calculated"/>
    <n v="0"/>
    <s v="No File"/>
    <s v="ANMD_0266 (MAW298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266 (MAW2985) Application.xlsx"/>
    <m/>
  </r>
  <r>
    <n v="178"/>
    <x v="146"/>
    <x v="0"/>
    <x v="2"/>
    <s v="MAW2984"/>
    <x v="2"/>
    <s v="Colocation"/>
    <m/>
    <s v="Colocation"/>
    <m/>
    <x v="65"/>
    <m/>
    <n v="3"/>
    <m/>
    <s v="EPA"/>
    <m/>
    <m/>
    <x v="1"/>
    <m/>
    <s v="OK"/>
    <s v="18-May-18: Good to go for OML, lease hike may raise while TI installation"/>
    <x v="0"/>
    <m/>
    <s v="OK"/>
    <s v="LEG ABC"/>
    <s v="OK"/>
    <m/>
    <m/>
    <m/>
    <s v="OK"/>
    <s v="Review"/>
    <m/>
    <m/>
    <m/>
    <s v="TN HUB - Offgrid (REJECT) or 1800AH &amp; 30Kva DG PE UG"/>
    <s v="OK"/>
    <s v="No"/>
    <m/>
    <m/>
    <m/>
    <m/>
    <m/>
    <m/>
    <m/>
    <m/>
    <m/>
    <m/>
    <m/>
    <m/>
    <m/>
    <m/>
    <x v="107"/>
    <s v="Not  Calculated"/>
    <n v="0"/>
    <s v="No File"/>
    <s v="ANMD_0167 (MAW298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67 (MAW2984) Application.xlsx"/>
    <m/>
  </r>
  <r>
    <n v="179"/>
    <x v="358"/>
    <x v="0"/>
    <x v="1"/>
    <s v="MWW3507"/>
    <x v="2"/>
    <s v="Colocation"/>
    <m/>
    <s v="Colocation"/>
    <m/>
    <x v="65"/>
    <m/>
    <n v="3"/>
    <m/>
    <s v="EPA"/>
    <m/>
    <m/>
    <x v="3"/>
    <s v="Community not allowed OML collocation"/>
    <s v="OK"/>
    <s v="18-May-18: Good to go for OML, lease hike may raise while TI installation"/>
    <x v="0"/>
    <m/>
    <s v="OK"/>
    <s v="OK"/>
    <s v="OK"/>
    <m/>
    <m/>
    <m/>
    <s v="OK"/>
    <s v="OK"/>
    <s v="90 Days"/>
    <m/>
    <d v="1900-01-02T12:00:00"/>
    <s v="BB DG"/>
    <s v="OK"/>
    <s v="No"/>
    <m/>
    <m/>
    <m/>
    <m/>
    <m/>
    <m/>
    <m/>
    <m/>
    <m/>
    <d v="2018-12-19T09:05:50"/>
    <m/>
    <m/>
    <m/>
    <m/>
    <x v="107"/>
    <s v="Not  Calculated"/>
    <n v="0"/>
    <s v="No File"/>
    <s v="ANMG_0172 (MWW350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172 (MWW3507) Application.xlsx"/>
    <m/>
  </r>
  <r>
    <n v="180"/>
    <x v="359"/>
    <x v="0"/>
    <x v="1"/>
    <s v="MWW3508"/>
    <x v="2"/>
    <s v="Colocation"/>
    <m/>
    <s v="Colocation"/>
    <m/>
    <x v="65"/>
    <m/>
    <n v="3"/>
    <m/>
    <s v="EPA"/>
    <m/>
    <m/>
    <x v="1"/>
    <m/>
    <s v="OK"/>
    <s v="18-May-18: Good to go for OML, lease hike may raise while TI installation"/>
    <x v="0"/>
    <m/>
    <s v="OK"/>
    <s v="OK"/>
    <s v="OK"/>
    <m/>
    <m/>
    <m/>
    <s v="OK"/>
    <s v="OK"/>
    <s v="120 Days"/>
    <m/>
    <d v="1900-01-02T12:00:00"/>
    <s v="BB DG+ Grid"/>
    <s v="OK"/>
    <s v="No"/>
    <m/>
    <m/>
    <m/>
    <m/>
    <m/>
    <m/>
    <m/>
    <m/>
    <m/>
    <d v="2018-12-19T09:05:50"/>
    <m/>
    <m/>
    <m/>
    <m/>
    <x v="107"/>
    <s v="Not  Calculated"/>
    <n v="0"/>
    <s v="No File"/>
    <s v="ANMG_0173 (MWW350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173 (MWW3508) Application.xlsx"/>
    <m/>
  </r>
  <r>
    <n v="181"/>
    <x v="360"/>
    <x v="0"/>
    <x v="2"/>
    <s v="SHW1908"/>
    <x v="2"/>
    <s v="Colocation"/>
    <m/>
    <s v="Colocation"/>
    <m/>
    <x v="65"/>
    <m/>
    <n v="3"/>
    <m/>
    <s v="EPA"/>
    <m/>
    <m/>
    <x v="1"/>
    <m/>
    <s v="OK"/>
    <s v="18-May-18: Good to go for OML, lease hike may raise while TI installation"/>
    <x v="0"/>
    <m/>
    <s v="OK"/>
    <s v="OK"/>
    <s v="OK"/>
    <m/>
    <m/>
    <m/>
    <s v="OK"/>
    <s v="OK"/>
    <s v="OK"/>
    <m/>
    <d v="1900-01-01T00:00:00"/>
    <s v="PE UG - DG 8hr NS "/>
    <s v="OK"/>
    <s v="No"/>
    <m/>
    <m/>
    <m/>
    <m/>
    <m/>
    <m/>
    <m/>
    <m/>
    <m/>
    <d v="2018-12-19T09:05:50"/>
    <m/>
    <m/>
    <m/>
    <m/>
    <x v="107"/>
    <s v="Not  Calculated"/>
    <n v="0"/>
    <s v="No File"/>
    <s v="ANSH_0086 (SHW190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H_0086 (SHW1908) Application.xlsx"/>
    <m/>
  </r>
  <r>
    <n v="182"/>
    <x v="361"/>
    <x v="0"/>
    <x v="2"/>
    <s v="SAW0726"/>
    <x v="2"/>
    <s v="Colocation"/>
    <m/>
    <s v="Colocation"/>
    <m/>
    <x v="65"/>
    <m/>
    <n v="3"/>
    <m/>
    <s v="EPA"/>
    <m/>
    <m/>
    <x v="1"/>
    <m/>
    <s v="OK"/>
    <s v="18-May-18: Good to go for OML, lease hike may raise while TI installation"/>
    <x v="0"/>
    <m/>
    <s v="OK"/>
    <s v="OK"/>
    <s v="OK"/>
    <m/>
    <m/>
    <m/>
    <s v="OK for small RF"/>
    <s v="OK"/>
    <s v="OK"/>
    <m/>
    <d v="1900-01-01T00:00:00"/>
    <s v="PE UG"/>
    <s v="OK"/>
    <s v="No"/>
    <m/>
    <m/>
    <m/>
    <m/>
    <m/>
    <m/>
    <m/>
    <m/>
    <m/>
    <d v="2018-12-19T09:05:50"/>
    <m/>
    <m/>
    <m/>
    <m/>
    <x v="107"/>
    <s v="Not  Calculated"/>
    <n v="0"/>
    <s v="No File"/>
    <s v="ANSG_0379 (SAW072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79 (SAW0726) Application.xlsx"/>
    <m/>
  </r>
  <r>
    <n v="183"/>
    <x v="362"/>
    <x v="0"/>
    <x v="2"/>
    <s v="MAW2979"/>
    <x v="2"/>
    <s v="Colocation"/>
    <m/>
    <s v="Colocation"/>
    <m/>
    <x v="65"/>
    <m/>
    <n v="3"/>
    <m/>
    <s v="EPA"/>
    <m/>
    <m/>
    <x v="2"/>
    <m/>
    <s v="OK"/>
    <s v="18-May-18: Good to go for OML, lease hike may raise while TI installation"/>
    <x v="0"/>
    <m/>
    <s v="OK"/>
    <s v="OK"/>
    <s v="OK"/>
    <m/>
    <m/>
    <m/>
    <s v="OK for small RF (9m2 Remaining) Need strengthening"/>
    <s v="Review"/>
    <m/>
    <m/>
    <m/>
    <s v="PE UG 36KW 2400AH"/>
    <s v="OK"/>
    <s v="No"/>
    <m/>
    <m/>
    <m/>
    <m/>
    <m/>
    <m/>
    <m/>
    <m/>
    <m/>
    <m/>
    <m/>
    <m/>
    <m/>
    <m/>
    <x v="0"/>
    <s v="Not  Calculated"/>
    <n v="0"/>
    <s v="No File"/>
    <s v="ANMD_0098 (MAW297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98 (MAW2979) Application.xlsx"/>
    <m/>
  </r>
  <r>
    <n v="184"/>
    <x v="363"/>
    <x v="0"/>
    <x v="2"/>
    <s v="SAW0717"/>
    <x v="2"/>
    <s v="Colocation"/>
    <m/>
    <s v="Colocation"/>
    <m/>
    <x v="65"/>
    <m/>
    <n v="3"/>
    <m/>
    <s v="EPA"/>
    <m/>
    <m/>
    <x v="1"/>
    <m/>
    <s v="OK"/>
    <s v="18-May-18: Good to go for OML, lease hike may raise while TI installation"/>
    <x v="0"/>
    <m/>
    <s v="OK"/>
    <s v="LEG ABC"/>
    <s v="OK"/>
    <m/>
    <m/>
    <m/>
    <s v="OK"/>
    <s v="OK"/>
    <s v="OK"/>
    <m/>
    <d v="1900-01-01T00:00:00"/>
    <s v="PE UG"/>
    <s v="OK"/>
    <s v="No"/>
    <m/>
    <m/>
    <m/>
    <m/>
    <m/>
    <m/>
    <m/>
    <m/>
    <m/>
    <d v="2018-12-19T09:05:50"/>
    <m/>
    <m/>
    <m/>
    <m/>
    <x v="107"/>
    <s v="Not  Calculated"/>
    <n v="0"/>
    <s v="No File"/>
    <s v="ANSG_0347 (SAW071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47 (SAW0717) Application.xlsx"/>
    <m/>
  </r>
  <r>
    <n v="185"/>
    <x v="241"/>
    <x v="0"/>
    <x v="2"/>
    <s v="MAW2383"/>
    <x v="2"/>
    <s v="Colocation"/>
    <m/>
    <s v="Colocation"/>
    <m/>
    <x v="65"/>
    <m/>
    <n v="3"/>
    <m/>
    <s v="EPA"/>
    <m/>
    <m/>
    <x v="3"/>
    <s v="AT decided to accommodate for Amara on existing pole."/>
    <s v="OK"/>
    <s v="23-May-18: Lease increase may raise while TI installtion."/>
    <x v="0"/>
    <m/>
    <m/>
    <m/>
    <s v="Review"/>
    <m/>
    <m/>
    <m/>
    <s v="RT need to check"/>
    <s v="Review"/>
    <s v="TBA"/>
    <m/>
    <d v="1900-01-01T00:00:00"/>
    <s v="PE UG - BA/CW needed add space or LiPo4 - rooftop site"/>
    <m/>
    <m/>
    <m/>
    <m/>
    <m/>
    <m/>
    <m/>
    <m/>
    <m/>
    <m/>
    <m/>
    <m/>
    <m/>
    <m/>
    <m/>
    <m/>
    <x v="107"/>
    <s v="Not  Calculated"/>
    <n v="0"/>
    <s v="No File"/>
    <s v="ANMD_0273 (MAW238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273 (MAW2383) Application.xlsx"/>
    <m/>
  </r>
  <r>
    <n v="186"/>
    <x v="364"/>
    <x v="0"/>
    <x v="2"/>
    <s v="MAW2999"/>
    <x v="2"/>
    <s v="Colocation"/>
    <m/>
    <s v="Colocation"/>
    <m/>
    <x v="65"/>
    <m/>
    <n v="3"/>
    <m/>
    <s v="EPA"/>
    <m/>
    <m/>
    <x v="3"/>
    <m/>
    <s v="Rejected"/>
    <s v="23-May-18: Owner is concern about space, didn’t agree for new pole and slab."/>
    <x v="0"/>
    <m/>
    <m/>
    <m/>
    <s v="Review"/>
    <m/>
    <m/>
    <m/>
    <s v="RT need to check"/>
    <m/>
    <m/>
    <m/>
    <d v="1900-01-01T00:00:00"/>
    <m/>
    <m/>
    <m/>
    <m/>
    <m/>
    <m/>
    <m/>
    <m/>
    <m/>
    <m/>
    <m/>
    <m/>
    <m/>
    <m/>
    <m/>
    <m/>
    <m/>
    <x v="107"/>
    <s v="Not  Calculated"/>
    <n v="0"/>
    <s v="No File"/>
    <s v="ANMD_0117 (MAW299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17 (MAW2999) Application.xlsx"/>
    <m/>
  </r>
  <r>
    <n v="187"/>
    <x v="365"/>
    <x v="0"/>
    <x v="2"/>
    <s v="MAW2976"/>
    <x v="2"/>
    <s v="Colocation"/>
    <m/>
    <s v="Colocation"/>
    <m/>
    <x v="65"/>
    <m/>
    <n v="3"/>
    <m/>
    <s v="EPA"/>
    <m/>
    <m/>
    <x v="3"/>
    <m/>
    <s v="Rejected"/>
    <s v="23-May-18: Owner is already in terms of cancelling the contract with Apollo."/>
    <x v="3"/>
    <m/>
    <m/>
    <m/>
    <s v="Review"/>
    <m/>
    <m/>
    <m/>
    <s v="RT need to check"/>
    <m/>
    <m/>
    <m/>
    <d v="1900-01-01T00:00:00"/>
    <m/>
    <m/>
    <m/>
    <m/>
    <m/>
    <m/>
    <m/>
    <m/>
    <m/>
    <m/>
    <m/>
    <m/>
    <m/>
    <m/>
    <m/>
    <m/>
    <m/>
    <x v="107"/>
    <s v="Not  Calculated"/>
    <n v="0"/>
    <s v="No File"/>
    <s v="ANMD_0005 (MAW297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05 (MAW2976) Application.xlsx"/>
    <m/>
  </r>
  <r>
    <n v="188"/>
    <x v="366"/>
    <x v="0"/>
    <x v="2"/>
    <s v="MAW2196"/>
    <x v="2"/>
    <s v="Colocation"/>
    <m/>
    <s v="Colocation"/>
    <m/>
    <x v="65"/>
    <m/>
    <n v="3"/>
    <m/>
    <s v="EPA"/>
    <m/>
    <m/>
    <x v="3"/>
    <m/>
    <s v="Rejected"/>
    <s v="23-May-18: Wall mount site not possible for co-location"/>
    <x v="0"/>
    <m/>
    <m/>
    <m/>
    <s v="Review"/>
    <m/>
    <m/>
    <m/>
    <s v="RT need to check"/>
    <m/>
    <m/>
    <m/>
    <d v="1900-01-01T00:00:00"/>
    <m/>
    <m/>
    <m/>
    <m/>
    <m/>
    <m/>
    <m/>
    <m/>
    <m/>
    <m/>
    <m/>
    <m/>
    <m/>
    <m/>
    <m/>
    <m/>
    <m/>
    <x v="107"/>
    <s v="Not  Calculated"/>
    <n v="0"/>
    <s v="No File"/>
    <s v="ANMD_0092 (MAW219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92 (MAW2196) Application.xlsx"/>
    <m/>
  </r>
  <r>
    <n v="189"/>
    <x v="137"/>
    <x v="0"/>
    <x v="2"/>
    <s v="MAW2764"/>
    <x v="2"/>
    <s v="Colocation"/>
    <m/>
    <s v="Colocation"/>
    <m/>
    <x v="65"/>
    <m/>
    <n v="3"/>
    <m/>
    <s v="EPA"/>
    <m/>
    <m/>
    <x v="3"/>
    <m/>
    <s v="OK"/>
    <s v="18-May-18: Good to go for OML, lease hike may raise while TI installation"/>
    <x v="0"/>
    <m/>
    <s v="OK"/>
    <s v="OK"/>
    <s v="OK"/>
    <m/>
    <m/>
    <m/>
    <s v="OK"/>
    <s v="Rejected"/>
    <m/>
    <m/>
    <d v="1900-01-01T00:00:00"/>
    <s v="ANMD_0165 better candidate - HUB Offgrid"/>
    <s v="OK"/>
    <s v="No"/>
    <m/>
    <m/>
    <m/>
    <m/>
    <m/>
    <m/>
    <m/>
    <m/>
    <m/>
    <m/>
    <m/>
    <m/>
    <m/>
    <m/>
    <x v="107"/>
    <s v="Not  Calculated"/>
    <n v="0"/>
    <s v="No File"/>
    <s v="ANMD_0164 (MAW276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64 (MAW2764) Application.xlsx"/>
    <m/>
  </r>
  <r>
    <n v="191"/>
    <x v="367"/>
    <x v="0"/>
    <x v="2"/>
    <s v="MAW2959"/>
    <x v="2"/>
    <s v="Colocation"/>
    <m/>
    <s v="Colocation"/>
    <m/>
    <x v="65"/>
    <m/>
    <n v="3"/>
    <m/>
    <s v="EPA"/>
    <m/>
    <m/>
    <x v="1"/>
    <m/>
    <s v="OK"/>
    <s v="18-May-18: Good to go for OML, lease hike may raise while TI installation"/>
    <x v="0"/>
    <m/>
    <s v="OK"/>
    <s v="LegBCD"/>
    <s v="OK"/>
    <m/>
    <m/>
    <m/>
    <s v="OK"/>
    <s v="OK"/>
    <s v="OK"/>
    <m/>
    <d v="1900-01-01T00:00:00"/>
    <s v="PE UG "/>
    <s v="OK"/>
    <s v="No"/>
    <m/>
    <m/>
    <m/>
    <m/>
    <m/>
    <m/>
    <m/>
    <m/>
    <m/>
    <d v="2018-12-19T09:05:50"/>
    <m/>
    <m/>
    <m/>
    <m/>
    <x v="107"/>
    <s v="Not  Calculated"/>
    <n v="0"/>
    <s v="No File"/>
    <s v="ANMD_0073 (MAW295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73 (MAW2959) Application.xlsx"/>
    <m/>
  </r>
  <r>
    <n v="192"/>
    <x v="368"/>
    <x v="0"/>
    <x v="2"/>
    <s v="MAW2993"/>
    <x v="2"/>
    <s v="Colocation"/>
    <m/>
    <s v="Colocation"/>
    <m/>
    <x v="65"/>
    <m/>
    <n v="3"/>
    <m/>
    <s v="EPA"/>
    <m/>
    <m/>
    <x v="2"/>
    <m/>
    <s v="OK"/>
    <s v="18-May-18: Good to go for OML, lease hike may raise while TI installation"/>
    <x v="0"/>
    <m/>
    <s v="OK"/>
    <s v="OK"/>
    <s v="OK"/>
    <m/>
    <m/>
    <s v="5m"/>
    <m/>
    <s v="Review"/>
    <m/>
    <m/>
    <m/>
    <s v="PE UG"/>
    <s v="OK"/>
    <s v="No"/>
    <m/>
    <m/>
    <m/>
    <m/>
    <m/>
    <m/>
    <m/>
    <m/>
    <m/>
    <m/>
    <m/>
    <m/>
    <m/>
    <m/>
    <x v="0"/>
    <s v="Not  Calculated"/>
    <n v="0"/>
    <s v="No File"/>
    <s v="ANMD_0168 (MAW299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68 (MAW2993) Application.xlsx"/>
    <m/>
  </r>
  <r>
    <n v="193"/>
    <x v="369"/>
    <x v="0"/>
    <x v="1"/>
    <s v="MWW3484"/>
    <x v="2"/>
    <s v="Colocation"/>
    <m/>
    <s v="Colocation"/>
    <m/>
    <x v="65"/>
    <m/>
    <n v="3"/>
    <m/>
    <s v="EPA"/>
    <m/>
    <m/>
    <x v="1"/>
    <m/>
    <s v="OK"/>
    <s v="18-May-18: Good to go for OML, lease hike may raise while TI installation"/>
    <x v="0"/>
    <m/>
    <s v="OK"/>
    <s v="OK"/>
    <s v="OK"/>
    <m/>
    <m/>
    <m/>
    <s v="OK"/>
    <s v="OK"/>
    <s v="90 Days"/>
    <m/>
    <d v="1900-01-02T12:00:00"/>
    <s v="Flex UG BB DG"/>
    <s v="OK"/>
    <s v="No"/>
    <m/>
    <m/>
    <m/>
    <m/>
    <m/>
    <m/>
    <m/>
    <m/>
    <m/>
    <d v="2018-12-19T09:05:50"/>
    <m/>
    <m/>
    <m/>
    <m/>
    <x v="107"/>
    <s v="Not  Calculated"/>
    <n v="0"/>
    <s v="No File"/>
    <s v="ANMG_0017 (MWW348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17 (MWW3484) Application.xlsx"/>
    <m/>
  </r>
  <r>
    <n v="194"/>
    <x v="370"/>
    <x v="0"/>
    <x v="1"/>
    <s v="Replacement_43"/>
    <x v="2"/>
    <s v="Colocation"/>
    <m/>
    <s v="Colocation"/>
    <m/>
    <x v="65"/>
    <m/>
    <n v="3"/>
    <m/>
    <s v="EPA"/>
    <m/>
    <m/>
    <x v="1"/>
    <m/>
    <s v="OK"/>
    <s v="18-May-18: Good to go for OML, lease hike may raise while TI installation"/>
    <x v="0"/>
    <m/>
    <s v="OK"/>
    <s v="OK"/>
    <s v="OK"/>
    <m/>
    <m/>
    <s v="5m"/>
    <s v="Ok, small RF (8m2 remaining) need strengthening"/>
    <s v="Review"/>
    <m/>
    <m/>
    <m/>
    <s v="PE UG"/>
    <s v="OK"/>
    <s v="No"/>
    <m/>
    <m/>
    <m/>
    <m/>
    <m/>
    <m/>
    <m/>
    <m/>
    <m/>
    <m/>
    <m/>
    <m/>
    <m/>
    <m/>
    <x v="107"/>
    <s v="Not  Calculated"/>
    <n v="0"/>
    <s v="No File"/>
    <s v="ANNP_0276 (Replacement_4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NP_0276 (Replacement_43) Application.xlsx"/>
    <m/>
  </r>
  <r>
    <n v="195"/>
    <x v="371"/>
    <x v="0"/>
    <x v="1"/>
    <s v="Replacement_45"/>
    <x v="2"/>
    <s v="Colocation"/>
    <m/>
    <s v="Colocation"/>
    <m/>
    <x v="65"/>
    <m/>
    <n v="3"/>
    <m/>
    <s v="EPA"/>
    <m/>
    <m/>
    <x v="1"/>
    <m/>
    <s v="OK"/>
    <s v="18-May-18: Good to go for OML, lease hike may raise while TI installation"/>
    <x v="0"/>
    <m/>
    <s v="OK"/>
    <s v="OK"/>
    <s v="OK"/>
    <m/>
    <m/>
    <s v="5m"/>
    <s v="Ok, small RF (6m2 remaining) need strengthening"/>
    <s v="Review"/>
    <m/>
    <m/>
    <m/>
    <s v="OK - BB UG - Monitor PE - TN HUB"/>
    <s v="OK"/>
    <s v="Yes"/>
    <s v="Need to provide additional equipment slab"/>
    <m/>
    <m/>
    <m/>
    <m/>
    <m/>
    <m/>
    <m/>
    <m/>
    <m/>
    <m/>
    <m/>
    <m/>
    <m/>
    <x v="107"/>
    <s v="Not  Calculated"/>
    <n v="0"/>
    <s v="No File"/>
    <s v="ANNP_0203 (Replacement_4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NP_0203 (Replacement_45) Application.xlsx"/>
    <m/>
  </r>
  <r>
    <n v="196"/>
    <x v="372"/>
    <x v="0"/>
    <x v="2"/>
    <s v="MAW2908"/>
    <x v="2"/>
    <s v="Colocation"/>
    <m/>
    <s v="Colocation"/>
    <m/>
    <x v="65"/>
    <m/>
    <n v="3"/>
    <m/>
    <s v="EPA"/>
    <m/>
    <m/>
    <x v="3"/>
    <m/>
    <s v="Rejected"/>
    <s v="23-May-18: OML has already installed there own pole and they are on-air"/>
    <x v="0"/>
    <m/>
    <m/>
    <m/>
    <s v="Review"/>
    <m/>
    <m/>
    <m/>
    <s v="RT need to check"/>
    <m/>
    <m/>
    <m/>
    <d v="1900-01-01T00:00:00"/>
    <m/>
    <m/>
    <m/>
    <m/>
    <m/>
    <m/>
    <m/>
    <m/>
    <m/>
    <m/>
    <m/>
    <m/>
    <m/>
    <m/>
    <m/>
    <m/>
    <m/>
    <x v="107"/>
    <s v="Not  Calculated"/>
    <n v="0"/>
    <s v="No File"/>
    <s v="ANMD_0079 (MAW290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79 (MAW2908) Application.xlsx"/>
    <m/>
  </r>
  <r>
    <n v="197"/>
    <x v="373"/>
    <x v="0"/>
    <x v="1"/>
    <s v="KYW6082"/>
    <x v="2"/>
    <s v="Colocation"/>
    <m/>
    <s v="Colocation"/>
    <m/>
    <x v="65"/>
    <m/>
    <n v="3"/>
    <m/>
    <s v="EPA"/>
    <m/>
    <m/>
    <x v="1"/>
    <m/>
    <s v="OK"/>
    <s v="18-May-18: Good to go for OML, lease hike may raise while TI installation"/>
    <x v="0"/>
    <m/>
    <s v="OK"/>
    <s v="QA Report not updated"/>
    <s v="OK"/>
    <m/>
    <m/>
    <m/>
    <s v="OK"/>
    <s v="OK"/>
    <s v="90 Days"/>
    <m/>
    <d v="1900-01-02T12:00:00"/>
    <s v="Flex UG BB DG"/>
    <s v="OK"/>
    <s v="No"/>
    <m/>
    <m/>
    <m/>
    <m/>
    <m/>
    <m/>
    <m/>
    <m/>
    <m/>
    <d v="2018-12-19T09:05:50"/>
    <m/>
    <m/>
    <m/>
    <m/>
    <x v="107"/>
    <s v="Not  Calculated"/>
    <n v="0"/>
    <s v="No File"/>
    <s v="ASKH_0019 (KYW608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KH_0019 (KYW6082) Application.xlsx"/>
    <m/>
  </r>
  <r>
    <n v="198"/>
    <x v="374"/>
    <x v="0"/>
    <x v="0"/>
    <s v="TAW6250"/>
    <x v="2"/>
    <s v="OML Phase 2 Colo"/>
    <s v="RFI"/>
    <s v="Colocation"/>
    <m/>
    <x v="65"/>
    <m/>
    <n v="3"/>
    <m/>
    <s v="EPA"/>
    <m/>
    <m/>
    <x v="1"/>
    <m/>
    <s v="OK"/>
    <s v="18-May-18: Good to go for OML, lease hike may raise while TI installation"/>
    <x v="0"/>
    <m/>
    <s v="OK"/>
    <s v="OK"/>
    <s v="OK"/>
    <m/>
    <m/>
    <m/>
    <s v="OK"/>
    <s v="OK"/>
    <s v="120 Days"/>
    <m/>
    <d v="1900-01-02T12:00:00"/>
    <s v="BB+ Grid"/>
    <s v="OK"/>
    <s v="No"/>
    <m/>
    <m/>
    <m/>
    <m/>
    <m/>
    <m/>
    <m/>
    <m/>
    <m/>
    <d v="2018-12-19T09:05:51"/>
    <m/>
    <m/>
    <m/>
    <m/>
    <x v="107"/>
    <s v="Not  Calculated"/>
    <n v="0"/>
    <s v="No File"/>
    <s v="ASTN_0045 (TAW625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TN_0045 (TAW6250) Application.xlsx"/>
    <m/>
  </r>
  <r>
    <n v="199"/>
    <x v="375"/>
    <x v="0"/>
    <x v="0"/>
    <s v="TAW6249"/>
    <x v="2"/>
    <s v="OML Phase 2 Colo"/>
    <s v="RFI"/>
    <s v="Colocation"/>
    <m/>
    <x v="65"/>
    <m/>
    <n v="3"/>
    <m/>
    <s v="EPA"/>
    <m/>
    <m/>
    <x v="1"/>
    <m/>
    <s v="OK"/>
    <s v="18-May-18: Good to go for OML, lease hike may raise while TI installation"/>
    <x v="0"/>
    <s v="OK"/>
    <s v="OK"/>
    <s v="OK"/>
    <s v="OK"/>
    <m/>
    <m/>
    <m/>
    <s v="OK"/>
    <s v="Review"/>
    <m/>
    <m/>
    <m/>
    <s v="36KW 2400 BB"/>
    <s v="OK"/>
    <s v="No"/>
    <m/>
    <m/>
    <m/>
    <m/>
    <m/>
    <m/>
    <s v="OK"/>
    <m/>
    <d v="2018-11-13T15:03:21"/>
    <m/>
    <d v="2018-11-13T16:19:19"/>
    <d v="2018-11-13T17:04:12"/>
    <d v="2018-11-13T16:30:56"/>
    <d v="2018-11-27T15:32:26"/>
    <x v="111"/>
    <n v="195.64752812500228"/>
    <n v="0"/>
    <s v="No File"/>
    <s v="ASTN_0035 (TAW624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TN_0035 (TAW6249) Application.xlsx"/>
    <m/>
  </r>
  <r>
    <n v="200"/>
    <x v="376"/>
    <x v="0"/>
    <x v="0"/>
    <s v="MOW6295"/>
    <x v="2"/>
    <s v="Colocation"/>
    <m/>
    <s v="Colocation"/>
    <m/>
    <x v="65"/>
    <m/>
    <n v="3"/>
    <m/>
    <s v="EPA"/>
    <m/>
    <m/>
    <x v="1"/>
    <m/>
    <s v="OK"/>
    <s v="23-May-18: Lease increase may raise while TI installtion."/>
    <x v="0"/>
    <m/>
    <s v="OK"/>
    <s v="At this is ok after TSS will confirm available height"/>
    <s v="OK"/>
    <m/>
    <m/>
    <s v="No"/>
    <s v="OK for small RF"/>
    <s v="Review"/>
    <m/>
    <m/>
    <m/>
    <s v="36KW 1800 BB"/>
    <s v="OK"/>
    <s v="No"/>
    <m/>
    <m/>
    <m/>
    <m/>
    <m/>
    <m/>
    <m/>
    <m/>
    <m/>
    <m/>
    <m/>
    <m/>
    <m/>
    <m/>
    <x v="0"/>
    <s v="Not  Calculated"/>
    <n v="0"/>
    <s v="No File"/>
    <s v="ASMO_0295 (MOW629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95 (MOW6295) Application.xlsx"/>
    <m/>
  </r>
  <r>
    <n v="202"/>
    <x v="377"/>
    <x v="0"/>
    <x v="1"/>
    <s v="BAW5555"/>
    <x v="2"/>
    <s v="OML Phase 2 Colo"/>
    <s v="On Air"/>
    <s v="Colocation"/>
    <m/>
    <x v="65"/>
    <m/>
    <n v="3"/>
    <m/>
    <s v="EPA"/>
    <m/>
    <m/>
    <x v="1"/>
    <m/>
    <s v="OK"/>
    <s v="18-May-18: Good to go for OML, lease hike may raise while TI installation"/>
    <x v="0"/>
    <m/>
    <s v="OK"/>
    <s v="OK"/>
    <s v="OK"/>
    <m/>
    <m/>
    <m/>
    <s v="OK"/>
    <s v="OK"/>
    <s v="90 Days"/>
    <m/>
    <d v="1900-01-02T12:00:00"/>
    <s v="BB"/>
    <s v="OK"/>
    <s v="No"/>
    <m/>
    <m/>
    <m/>
    <m/>
    <m/>
    <m/>
    <m/>
    <m/>
    <m/>
    <d v="2018-12-19T09:05:51"/>
    <m/>
    <m/>
    <m/>
    <m/>
    <x v="107"/>
    <s v="Not  Calculated"/>
    <n v="0"/>
    <s v="No File"/>
    <s v="ACBA_0245 (BAW555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245 (BAW5555) Application.xlsx"/>
    <m/>
  </r>
  <r>
    <n v="204"/>
    <x v="378"/>
    <x v="0"/>
    <x v="0"/>
    <s v="AYW5539"/>
    <x v="2"/>
    <s v="Colocation"/>
    <m/>
    <s v="Colocation"/>
    <m/>
    <x v="65"/>
    <m/>
    <n v="3"/>
    <m/>
    <s v="EPA"/>
    <m/>
    <m/>
    <x v="1"/>
    <m/>
    <s v="OK"/>
    <s v="18-May-18: Good to go for OML, lease hike may raise while TI installation"/>
    <x v="0"/>
    <m/>
    <s v="OK"/>
    <s v="OK"/>
    <s v="OK"/>
    <m/>
    <m/>
    <m/>
    <s v="OK"/>
    <s v="OK"/>
    <s v="90 Days"/>
    <m/>
    <d v="1900-01-02T12:00:00"/>
    <s v="BB DG"/>
    <s v="OK"/>
    <s v="No"/>
    <m/>
    <m/>
    <m/>
    <m/>
    <m/>
    <m/>
    <m/>
    <m/>
    <m/>
    <d v="2018-12-19T09:05:51"/>
    <m/>
    <m/>
    <m/>
    <m/>
    <x v="107"/>
    <s v="Not  Calculated"/>
    <n v="0"/>
    <s v="No File"/>
    <s v="ACAY_0171 (AYW553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71 (AYW5539) Application.xlsx"/>
    <m/>
  </r>
  <r>
    <n v="205"/>
    <x v="379"/>
    <x v="0"/>
    <x v="1"/>
    <s v="MWW3494"/>
    <x v="2"/>
    <s v="OML Phase 2 Colo"/>
    <s v="RFI"/>
    <s v="Colocation"/>
    <m/>
    <x v="65"/>
    <m/>
    <n v="3"/>
    <m/>
    <s v="EPA"/>
    <m/>
    <m/>
    <x v="1"/>
    <m/>
    <s v="OK"/>
    <s v="18-May-18: Good to go for OML, lease hike may raise while TI installation"/>
    <x v="0"/>
    <m/>
    <s v="OK"/>
    <s v="OK"/>
    <s v="OK"/>
    <m/>
    <m/>
    <m/>
    <s v="OK"/>
    <s v="OK"/>
    <s v="90 Days"/>
    <m/>
    <d v="1900-01-02T12:00:00"/>
    <s v="Flex UG BB DG"/>
    <s v="OK"/>
    <s v="No"/>
    <m/>
    <m/>
    <m/>
    <m/>
    <m/>
    <m/>
    <m/>
    <m/>
    <m/>
    <d v="2018-12-19T09:05:51"/>
    <m/>
    <m/>
    <m/>
    <m/>
    <x v="107"/>
    <s v="Not  Calculated"/>
    <n v="0"/>
    <s v="No File"/>
    <s v="ANMG_0183 (MWW349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183 (MWW3494) Application.xlsx"/>
    <m/>
  </r>
  <r>
    <n v="207"/>
    <x v="380"/>
    <x v="0"/>
    <x v="2"/>
    <s v="SAW0732"/>
    <x v="2"/>
    <s v="OML Phase 2 Colo"/>
    <s v="RFI"/>
    <s v="Colocation"/>
    <m/>
    <x v="65"/>
    <m/>
    <n v="3"/>
    <m/>
    <s v="EPA"/>
    <m/>
    <m/>
    <x v="1"/>
    <m/>
    <s v="OK"/>
    <s v="18-May-18: Good to go for OML, lease hike may raise while TI installation"/>
    <x v="0"/>
    <m/>
    <s v="OK"/>
    <s v="OK"/>
    <s v="OK"/>
    <m/>
    <m/>
    <m/>
    <s v="OK"/>
    <s v="OK"/>
    <s v="90 Days"/>
    <m/>
    <d v="1900-01-02T12:00:00"/>
    <s v="BB DG"/>
    <s v="OK"/>
    <s v="No"/>
    <m/>
    <m/>
    <m/>
    <m/>
    <m/>
    <m/>
    <m/>
    <m/>
    <m/>
    <d v="2018-12-19T09:05:51"/>
    <m/>
    <m/>
    <m/>
    <m/>
    <x v="107"/>
    <s v="Not  Calculated"/>
    <n v="0"/>
    <s v="No File"/>
    <s v="ANSG_0464 (SAW073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464 (SAW0732) Application.xlsx"/>
    <m/>
  </r>
  <r>
    <n v="210"/>
    <x v="381"/>
    <x v="0"/>
    <x v="0"/>
    <s v="YAW7859"/>
    <x v="2"/>
    <s v="OML Phase 2 Colo"/>
    <s v="On Air"/>
    <s v="Colocation"/>
    <m/>
    <x v="65"/>
    <m/>
    <n v="3"/>
    <m/>
    <s v="EPA"/>
    <m/>
    <m/>
    <x v="1"/>
    <m/>
    <s v="OK"/>
    <s v="18-May-18: Good to go for OML, lease hike may raise while TI installation"/>
    <x v="0"/>
    <m/>
    <s v="OK"/>
    <s v="OK"/>
    <s v="OK"/>
    <m/>
    <m/>
    <m/>
    <s v="OK"/>
    <s v="OK"/>
    <s v="90 Days"/>
    <m/>
    <d v="1900-01-02T12:00:00"/>
    <s v="DCDB"/>
    <s v="OK"/>
    <s v="No"/>
    <m/>
    <m/>
    <m/>
    <m/>
    <m/>
    <m/>
    <m/>
    <m/>
    <m/>
    <d v="2018-12-19T09:05:51"/>
    <m/>
    <m/>
    <m/>
    <m/>
    <x v="107"/>
    <s v="Not  Calculated"/>
    <n v="0"/>
    <s v="No File"/>
    <s v="AYYN_0599 (YAW785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99 (YAW7859) Application.xlsx"/>
    <m/>
  </r>
  <r>
    <n v="212"/>
    <x v="382"/>
    <x v="0"/>
    <x v="0"/>
    <s v="YAW7853"/>
    <x v="2"/>
    <s v="Colocation"/>
    <m/>
    <s v="Colocation"/>
    <m/>
    <x v="65"/>
    <m/>
    <n v="3"/>
    <m/>
    <s v="EPA"/>
    <m/>
    <m/>
    <x v="1"/>
    <m/>
    <s v="OK"/>
    <s v="18-May-18: Good to go for OML, lease hike may raise while TI installation"/>
    <x v="0"/>
    <m/>
    <s v="OK"/>
    <s v="OK"/>
    <s v="OK"/>
    <m/>
    <m/>
    <m/>
    <s v="OK for small RF"/>
    <s v="OK"/>
    <s v="OK"/>
    <m/>
    <d v="1900-01-01T00:00:00"/>
    <s v="BB UG "/>
    <s v="OK"/>
    <s v="No"/>
    <m/>
    <m/>
    <m/>
    <m/>
    <m/>
    <m/>
    <m/>
    <m/>
    <m/>
    <d v="2018-12-19T09:05:51"/>
    <m/>
    <m/>
    <m/>
    <m/>
    <x v="107"/>
    <s v="Not  Calculated"/>
    <n v="0"/>
    <s v="No File"/>
    <s v="AYYN_0223 (YAW785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223 (YAW7853) Application.xlsx"/>
    <m/>
  </r>
  <r>
    <n v="213"/>
    <x v="383"/>
    <x v="0"/>
    <x v="0"/>
    <s v="YAW7848"/>
    <x v="2"/>
    <s v="OML Phase 2 Colo"/>
    <s v="On Air"/>
    <s v="Colocation"/>
    <m/>
    <x v="65"/>
    <m/>
    <n v="3"/>
    <m/>
    <s v="EPA"/>
    <m/>
    <m/>
    <x v="1"/>
    <m/>
    <s v="OK"/>
    <s v="18-May-18: Good to go for OML, lease hike may raise while TI installation"/>
    <x v="0"/>
    <m/>
    <s v="OK"/>
    <s v="OK"/>
    <s v="OK"/>
    <m/>
    <m/>
    <m/>
    <s v="OK"/>
    <s v="OK"/>
    <s v="90 Days"/>
    <m/>
    <d v="1900-01-02T12:00:00"/>
    <s v="Flex UG BB DG"/>
    <s v="OK"/>
    <s v="No"/>
    <m/>
    <m/>
    <m/>
    <m/>
    <m/>
    <m/>
    <m/>
    <m/>
    <m/>
    <d v="2018-12-19T09:05:51"/>
    <m/>
    <m/>
    <m/>
    <m/>
    <x v="107"/>
    <s v="Not  Calculated"/>
    <n v="0"/>
    <s v="No File"/>
    <s v="AYYN_0206 (YAW784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206 (YAW7848) Application.xlsx"/>
    <m/>
  </r>
  <r>
    <n v="215"/>
    <x v="384"/>
    <x v="0"/>
    <x v="0"/>
    <s v="YAW7846"/>
    <x v="2"/>
    <s v="OML Phase 2 Colo"/>
    <s v="RFI"/>
    <s v="Colocation"/>
    <m/>
    <x v="65"/>
    <m/>
    <n v="3"/>
    <m/>
    <s v="EPA"/>
    <m/>
    <m/>
    <x v="1"/>
    <m/>
    <s v="OK"/>
    <s v="18-May-18: Good to go for OML, lease hike may raise while TI installation"/>
    <x v="0"/>
    <m/>
    <s v="OK"/>
    <s v="OK"/>
    <s v="OK"/>
    <m/>
    <m/>
    <m/>
    <s v="OK"/>
    <s v="OK"/>
    <s v="120 Days"/>
    <m/>
    <d v="1900-01-02T12:00:00"/>
    <s v="BB DG+ Grid"/>
    <s v="OK"/>
    <s v="No"/>
    <m/>
    <m/>
    <m/>
    <m/>
    <m/>
    <m/>
    <m/>
    <m/>
    <m/>
    <d v="2018-12-19T09:05:51"/>
    <m/>
    <m/>
    <m/>
    <m/>
    <x v="107"/>
    <s v="Not  Calculated"/>
    <n v="0"/>
    <s v="No File"/>
    <s v="AYYN_0144 (YAW784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144 (YAW7846) Application.xlsx"/>
    <m/>
  </r>
  <r>
    <n v="216"/>
    <x v="385"/>
    <x v="0"/>
    <x v="0"/>
    <s v="YAW7843"/>
    <x v="2"/>
    <s v="OML Phase 2 Colo"/>
    <s v="RFI"/>
    <s v="Colocation"/>
    <m/>
    <x v="65"/>
    <m/>
    <n v="3"/>
    <m/>
    <s v="EPA"/>
    <m/>
    <m/>
    <x v="1"/>
    <m/>
    <s v="OK"/>
    <s v="18-May-18: Good to go for OML, lease hike may raise while TI installation"/>
    <x v="0"/>
    <m/>
    <s v="OK"/>
    <s v="OK"/>
    <s v="OK"/>
    <m/>
    <m/>
    <s v="5m"/>
    <m/>
    <s v="Review"/>
    <m/>
    <m/>
    <m/>
    <s v="36KW 2400 BB"/>
    <s v="OK"/>
    <s v="No"/>
    <m/>
    <m/>
    <m/>
    <m/>
    <m/>
    <m/>
    <m/>
    <m/>
    <m/>
    <m/>
    <m/>
    <m/>
    <m/>
    <m/>
    <x v="0"/>
    <s v="Not  Calculated"/>
    <n v="0"/>
    <s v="No File"/>
    <s v="AYYN_0066 (YAW784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066 (YAW7843) Application.xlsx"/>
    <m/>
  </r>
  <r>
    <n v="59"/>
    <x v="386"/>
    <x v="0"/>
    <x v="0"/>
    <s v="KNW6140"/>
    <x v="2"/>
    <s v="OML Phase 1 Colo"/>
    <s v="On Air"/>
    <s v="Colocation"/>
    <m/>
    <x v="66"/>
    <m/>
    <n v="3"/>
    <n v="6"/>
    <s v="EPA"/>
    <s v="12"/>
    <s v="17"/>
    <x v="1"/>
    <m/>
    <s v="OK"/>
    <s v="18-May-18: Good to go for OML, lease hike is been cleared"/>
    <x v="0"/>
    <m/>
    <s v="OK"/>
    <m/>
    <s v="OK"/>
    <m/>
    <m/>
    <m/>
    <m/>
    <s v="OK"/>
    <s v="90 Days"/>
    <m/>
    <d v="1900-01-02T12:00:00"/>
    <s v="LiPO4"/>
    <s v="OK"/>
    <s v="Yes"/>
    <m/>
    <m/>
    <m/>
    <m/>
    <m/>
    <m/>
    <m/>
    <m/>
    <m/>
    <d v="2018-12-19T09:05:43"/>
    <m/>
    <m/>
    <m/>
    <m/>
    <x v="112"/>
    <s v="Not  Calculated"/>
    <n v="0"/>
    <s v="No File"/>
    <s v="ASKA_0137 (KNW614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KA_0137 (KNW6140) Application.xlsx"/>
    <m/>
  </r>
  <r>
    <n v="52"/>
    <x v="387"/>
    <x v="0"/>
    <x v="2"/>
    <s v="MDY0023"/>
    <x v="3"/>
    <s v="Colocation"/>
    <m/>
    <s v="Colocation"/>
    <m/>
    <x v="67"/>
    <m/>
    <n v="2"/>
    <n v="6"/>
    <s v="EPA"/>
    <s v="18"/>
    <s v="23"/>
    <x v="3"/>
    <m/>
    <s v="Rejected"/>
    <s v="04-May-18: Still same owner rejected_x000a_26-May-17: Owner not allowed additional equipment."/>
    <x v="0"/>
    <m/>
    <s v="OK"/>
    <m/>
    <s v="Review"/>
    <m/>
    <m/>
    <m/>
    <s v="RT need to check"/>
    <s v="Review"/>
    <m/>
    <m/>
    <d v="1900-01-01T00:00:00"/>
    <s v="PE UG required material arriving WK26"/>
    <m/>
    <m/>
    <m/>
    <m/>
    <m/>
    <m/>
    <m/>
    <m/>
    <m/>
    <m/>
    <m/>
    <m/>
    <m/>
    <m/>
    <m/>
    <m/>
    <x v="113"/>
    <s v="Not  Calculated"/>
    <n v="0"/>
    <s v="No File"/>
    <s v="ANMD_0088 (MDY002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88 (MDY0023) Application.xlsx"/>
    <m/>
  </r>
  <r>
    <n v="53"/>
    <x v="237"/>
    <x v="0"/>
    <x v="2"/>
    <s v="MDY0080"/>
    <x v="3"/>
    <m/>
    <m/>
    <m/>
    <m/>
    <x v="67"/>
    <m/>
    <n v="2"/>
    <n v="6"/>
    <s v="EPA"/>
    <s v="18"/>
    <s v="23"/>
    <x v="2"/>
    <m/>
    <s v="OK"/>
    <s v="04-Apr-18: Okay for TI installation,  Lease hike request may raise while TI installation"/>
    <x v="0"/>
    <m/>
    <s v="OK"/>
    <m/>
    <s v="OK"/>
    <m/>
    <m/>
    <m/>
    <s v="Need to build new pole and slab"/>
    <s v="OK"/>
    <s v="1 week after material arrives to date 4 wk delay"/>
    <m/>
    <d v="1900-01-01T00:00:00"/>
    <s v="PE UG required material arriving WK26 - FC now WK31"/>
    <s v="OK"/>
    <s v="Yes"/>
    <s v="Need to provide new cable tray (5.3m)."/>
    <m/>
    <m/>
    <m/>
    <m/>
    <m/>
    <m/>
    <m/>
    <m/>
    <d v="2018-12-19T09:05:42"/>
    <m/>
    <m/>
    <m/>
    <m/>
    <x v="113"/>
    <s v="Not  Calculated"/>
    <n v="0"/>
    <s v="No File"/>
    <s v="ANMD_0122 (MDY008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122 (MDY0080) Application.xlsx"/>
    <m/>
  </r>
  <r>
    <n v="54"/>
    <x v="53"/>
    <x v="0"/>
    <x v="2"/>
    <s v="MDY0188"/>
    <x v="3"/>
    <m/>
    <m/>
    <m/>
    <m/>
    <x v="67"/>
    <m/>
    <n v="2"/>
    <n v="6"/>
    <s v="EPA"/>
    <s v="35"/>
    <s v="40"/>
    <x v="2"/>
    <m/>
    <s v="OK"/>
    <s v="04-Apr-18: Okay for TI installation,  Lease hike request may raise while TI installation"/>
    <x v="0"/>
    <m/>
    <s v="OK"/>
    <m/>
    <s v="OK"/>
    <m/>
    <m/>
    <m/>
    <m/>
    <s v="OK"/>
    <s v=" "/>
    <m/>
    <d v="1900-01-01T00:00:00"/>
    <s v="PE UG required material in stock"/>
    <s v="OK"/>
    <s v="No"/>
    <m/>
    <m/>
    <m/>
    <m/>
    <m/>
    <m/>
    <m/>
    <m/>
    <m/>
    <d v="2018-12-19T09:05:43"/>
    <m/>
    <m/>
    <m/>
    <m/>
    <x v="113"/>
    <s v="Not  Calculated"/>
    <n v="0"/>
    <s v="No File"/>
    <s v="ANMD_0166 (MDY018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166 (MDY0188) Application.xlsx"/>
    <m/>
  </r>
  <r>
    <n v="55"/>
    <x v="236"/>
    <x v="0"/>
    <x v="2"/>
    <s v="MDY0299"/>
    <x v="3"/>
    <s v="Mytel Phase 1a Colo"/>
    <s v="On Air"/>
    <s v="Colocation"/>
    <m/>
    <x v="67"/>
    <m/>
    <n v="2"/>
    <n v="6"/>
    <s v="EPA"/>
    <s v="25"/>
    <s v="30"/>
    <x v="1"/>
    <m/>
    <s v="OK"/>
    <s v="04-Apr-18: Okay for TI installation,  Lease hike request may raise while TI installation"/>
    <x v="0"/>
    <m/>
    <s v="OK"/>
    <m/>
    <s v="OK"/>
    <m/>
    <m/>
    <m/>
    <m/>
    <s v="OK"/>
    <m/>
    <m/>
    <d v="1900-01-01T00:00:00"/>
    <s v="DG &amp; BB upgrade required material in stock - to be re ordered"/>
    <s v="OK"/>
    <s v="No"/>
    <m/>
    <m/>
    <m/>
    <m/>
    <m/>
    <m/>
    <m/>
    <m/>
    <m/>
    <d v="2018-12-19T09:05:43"/>
    <m/>
    <m/>
    <m/>
    <m/>
    <x v="113"/>
    <s v="Not  Calculated"/>
    <n v="0"/>
    <s v="No File"/>
    <s v="ANMD_0080 (MDY029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80 (MDY0299) Application.xlsx"/>
    <m/>
  </r>
  <r>
    <n v="56"/>
    <x v="54"/>
    <x v="0"/>
    <x v="2"/>
    <s v="MDY0338"/>
    <x v="3"/>
    <m/>
    <m/>
    <m/>
    <m/>
    <x v="67"/>
    <m/>
    <n v="2"/>
    <n v="6"/>
    <s v="EPA"/>
    <s v="22"/>
    <s v="27"/>
    <x v="2"/>
    <m/>
    <s v="OK"/>
    <s v="04-Apr-18: Okay for TI installation,  Lease hike request may raise while TI installation"/>
    <x v="0"/>
    <m/>
    <s v="OK"/>
    <m/>
    <s v="OK"/>
    <m/>
    <m/>
    <m/>
    <s v="Need to build new slab and RF bracket"/>
    <s v="OK"/>
    <m/>
    <m/>
    <d v="1900-01-01T00:00:00"/>
    <s v="BA/CW add space BB UG"/>
    <m/>
    <m/>
    <m/>
    <m/>
    <m/>
    <m/>
    <m/>
    <m/>
    <m/>
    <m/>
    <m/>
    <d v="2018-12-19T09:05:43"/>
    <m/>
    <m/>
    <m/>
    <m/>
    <x v="113"/>
    <s v="Not  Calculated"/>
    <n v="1"/>
    <s v="No File"/>
    <s v="ANMD_0004 (MDY033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04 (MDY0338) Application.xlsx"/>
    <m/>
  </r>
  <r>
    <n v="57"/>
    <x v="388"/>
    <x v="0"/>
    <x v="0"/>
    <s v="YAW7098"/>
    <x v="2"/>
    <s v="OML Phase 2 Colo"/>
    <s v="On Air"/>
    <s v="Colocation"/>
    <m/>
    <x v="67"/>
    <m/>
    <n v="3"/>
    <n v="6"/>
    <s v="EPA"/>
    <s v="12"/>
    <s v="17"/>
    <x v="1"/>
    <m/>
    <s v="OK"/>
    <s v="04-Apr-18: Okay for TI installation,  Lease hike request may raise while TI installation"/>
    <x v="0"/>
    <m/>
    <s v="OK"/>
    <m/>
    <s v="OK"/>
    <m/>
    <m/>
    <m/>
    <s v="Need to add new pole, need to do building Analysis"/>
    <s v="OK"/>
    <s v="90 Days"/>
    <m/>
    <d v="1900-01-02T12:00:00"/>
    <s v="LiPO4"/>
    <s v="OK"/>
    <s v="No"/>
    <s v="need to provide new pole, equipment slab and cable tray"/>
    <m/>
    <m/>
    <m/>
    <m/>
    <m/>
    <m/>
    <m/>
    <m/>
    <d v="2018-12-19T09:05:43"/>
    <m/>
    <m/>
    <m/>
    <m/>
    <x v="113"/>
    <s v="Not  Calculated"/>
    <n v="0"/>
    <s v="No File"/>
    <s v="AYYN_0527 (YAW709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27 (YAW7098) Application.xlsx"/>
    <m/>
  </r>
  <r>
    <n v="257"/>
    <x v="389"/>
    <x v="0"/>
    <x v="0"/>
    <s v="YGNDWBN001"/>
    <x v="1"/>
    <s v="Colocation"/>
    <m/>
    <s v="Colocation"/>
    <m/>
    <x v="68"/>
    <m/>
    <n v="2"/>
    <n v="3"/>
    <s v="EPA"/>
    <s v="16.2"/>
    <s v="19.2"/>
    <x v="3"/>
    <m/>
    <s v="Rejected"/>
    <s v="10-July-18: Owner rejected as top room owner is strongly complaining for additional opco."/>
    <x v="0"/>
    <m/>
    <s v="OK"/>
    <s v="OK"/>
    <m/>
    <m/>
    <m/>
    <s v="No"/>
    <m/>
    <s v="OK"/>
    <s v="1 wk after site survey complete colo appl approved"/>
    <m/>
    <m/>
    <s v="AC connect material in stock - pending all clear from site survey"/>
    <s v="Rejected"/>
    <s v="Yes"/>
    <s v="no space for BTS"/>
    <m/>
    <m/>
    <m/>
    <m/>
    <m/>
    <m/>
    <m/>
    <m/>
    <d v="2018-12-19T09:05:54"/>
    <m/>
    <m/>
    <m/>
    <m/>
    <x v="114"/>
    <s v="Not  Calculated"/>
    <n v="0"/>
    <s v="No File"/>
    <s v="AYYN_0416 (YGNDWBN001)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416 (YGNDWBN001) Application.xlsx"/>
    <m/>
  </r>
  <r>
    <n v="51"/>
    <x v="390"/>
    <x v="1"/>
    <x v="2"/>
    <s v="SHW1189"/>
    <x v="2"/>
    <s v="OML Phase 1 B2S"/>
    <s v="On Air"/>
    <s v="Colocation"/>
    <m/>
    <x v="68"/>
    <m/>
    <n v="3"/>
    <n v="6"/>
    <s v="EPA"/>
    <s v="11"/>
    <s v="16"/>
    <x v="3"/>
    <s v="Security Issue"/>
    <s v="OK"/>
    <s v="04-Apr-18: Okay for TI installation,  Lease hike request may raise while TI installation"/>
    <x v="0"/>
    <m/>
    <s v="OK"/>
    <m/>
    <s v="Review"/>
    <m/>
    <m/>
    <m/>
    <s v="RT need to check"/>
    <s v="OK"/>
    <m/>
    <m/>
    <d v="1900-01-01T00:00:00"/>
    <s v="PE upgrade required material order required."/>
    <m/>
    <m/>
    <m/>
    <m/>
    <m/>
    <m/>
    <m/>
    <m/>
    <m/>
    <m/>
    <m/>
    <d v="2018-12-19T09:05:42"/>
    <m/>
    <m/>
    <m/>
    <m/>
    <x v="114"/>
    <s v="Not  Calculated"/>
    <n v="0"/>
    <s v="No File"/>
    <s v="1-01-15010-001 (SHW118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1-01-15010-001 (SHW1189) Application.xlsx"/>
    <m/>
  </r>
  <r>
    <n v="50"/>
    <x v="177"/>
    <x v="0"/>
    <x v="0"/>
    <s v="MOW6163"/>
    <x v="2"/>
    <s v="Colocation"/>
    <m/>
    <s v="Colocation"/>
    <m/>
    <x v="69"/>
    <m/>
    <n v="3"/>
    <n v="10"/>
    <s v="EPA"/>
    <s v="50"/>
    <s v="55"/>
    <x v="3"/>
    <m/>
    <s v="OK"/>
    <s v="04-Apr-18: Okay for TI installation,  Lease hike request may raise while TI installation"/>
    <x v="0"/>
    <m/>
    <s v="OK"/>
    <m/>
    <s v="OK"/>
    <m/>
    <m/>
    <m/>
    <m/>
    <s v="Rejected"/>
    <m/>
    <m/>
    <d v="1900-01-01T00:00:00"/>
    <s v="REJECT"/>
    <m/>
    <m/>
    <m/>
    <m/>
    <m/>
    <m/>
    <m/>
    <m/>
    <m/>
    <m/>
    <m/>
    <m/>
    <m/>
    <m/>
    <m/>
    <m/>
    <x v="115"/>
    <s v="Not  Calculated"/>
    <n v="0"/>
    <s v="No File"/>
    <s v="ASMO_0202 (MOW616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02 (MOW6163) Application.xlsx"/>
    <m/>
  </r>
  <r>
    <n v="42"/>
    <x v="391"/>
    <x v="0"/>
    <x v="0"/>
    <s v="BGO0947"/>
    <x v="3"/>
    <s v="Mytel Phase 1a Colo"/>
    <s v="On Air"/>
    <s v="Colocation"/>
    <m/>
    <x v="70"/>
    <m/>
    <n v="2"/>
    <n v="6"/>
    <s v="EPA"/>
    <s v="55"/>
    <s v="60"/>
    <x v="1"/>
    <m/>
    <s v="OK"/>
    <s v="04-Apr-18: Okay for TI installation,  Lease hike request may raise while TI installation"/>
    <x v="0"/>
    <m/>
    <s v="OK"/>
    <s v="3-Leg free(ABC)"/>
    <s v="OK"/>
    <m/>
    <m/>
    <m/>
    <m/>
    <s v="OK"/>
    <s v="1 week "/>
    <m/>
    <d v="1900-01-01T00:00:00"/>
    <s v="Please confirm OML old request OK for MYTEL only"/>
    <s v="OK"/>
    <s v="No"/>
    <m/>
    <m/>
    <m/>
    <m/>
    <m/>
    <m/>
    <m/>
    <m/>
    <m/>
    <d v="2018-12-19T09:05:41"/>
    <m/>
    <m/>
    <m/>
    <m/>
    <x v="116"/>
    <s v="Not  Calculated"/>
    <n v="0"/>
    <s v="No File"/>
    <s v="ACBA_0052 (BGO0947)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052 (BGO0947) Application.xlsx"/>
    <m/>
  </r>
  <r>
    <n v="43"/>
    <x v="392"/>
    <x v="0"/>
    <x v="1"/>
    <s v="BGO0948"/>
    <x v="3"/>
    <s v="Mytel Phase 1a Colo"/>
    <s v="On Air"/>
    <s v="Colocation"/>
    <m/>
    <x v="70"/>
    <m/>
    <n v="2"/>
    <n v="6"/>
    <s v="EPA"/>
    <s v="55"/>
    <s v="60"/>
    <x v="1"/>
    <m/>
    <s v="OK"/>
    <s v="04-Apr-18: Okay for TI installation,  Lease hike request may raise while TI installation"/>
    <x v="0"/>
    <m/>
    <s v="OK"/>
    <s v="3-Leg free(ABC), MW can get higher space"/>
    <s v="OK"/>
    <m/>
    <m/>
    <m/>
    <m/>
    <s v="OK"/>
    <s v="1 week "/>
    <m/>
    <d v="1900-01-01T00:00:00"/>
    <s v="Initially BB UG required PE sys UG later"/>
    <s v="OK"/>
    <s v="No"/>
    <m/>
    <m/>
    <m/>
    <m/>
    <m/>
    <m/>
    <m/>
    <m/>
    <m/>
    <d v="2018-12-19T09:05:41"/>
    <m/>
    <m/>
    <m/>
    <m/>
    <x v="116"/>
    <s v="Not  Calculated"/>
    <n v="0"/>
    <s v="No File"/>
    <s v="ACBA_0118 (BGO094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118 (BGO0948) Application.xlsx"/>
    <m/>
  </r>
  <r>
    <n v="44"/>
    <x v="393"/>
    <x v="0"/>
    <x v="1"/>
    <s v="BGO0949"/>
    <x v="3"/>
    <s v="Mytel Phase 1a Colo"/>
    <s v="On Air"/>
    <s v="Colocation"/>
    <m/>
    <x v="70"/>
    <m/>
    <n v="2"/>
    <n v="6"/>
    <s v="EPA"/>
    <s v="55"/>
    <s v="60"/>
    <x v="1"/>
    <m/>
    <s v="OK"/>
    <s v="04-Apr-18: Okay for TI installation,  Lease hike request may raise while TI installation"/>
    <x v="0"/>
    <m/>
    <s v="OK"/>
    <m/>
    <s v="OK"/>
    <m/>
    <m/>
    <m/>
    <m/>
    <s v="OK"/>
    <s v="1 week "/>
    <m/>
    <d v="1900-01-01T00:00:00"/>
    <s v="Initially BB UG required PE sys UG later"/>
    <s v="OK"/>
    <s v="No"/>
    <m/>
    <m/>
    <m/>
    <m/>
    <m/>
    <m/>
    <m/>
    <m/>
    <m/>
    <d v="2018-12-19T09:05:41"/>
    <m/>
    <m/>
    <m/>
    <m/>
    <x v="116"/>
    <s v="Not  Calculated"/>
    <n v="0"/>
    <s v="No File"/>
    <s v="ACBA_0075 (BGO094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075 (BGO0949) Application.xlsx"/>
    <m/>
  </r>
  <r>
    <n v="45"/>
    <x v="394"/>
    <x v="0"/>
    <x v="1"/>
    <s v="BGO0950"/>
    <x v="3"/>
    <s v="Mytel Phase 1a Colo"/>
    <s v="On Air"/>
    <s v="Colocation"/>
    <m/>
    <x v="70"/>
    <m/>
    <n v="2"/>
    <n v="6"/>
    <s v="EPA"/>
    <s v="55"/>
    <s v="60"/>
    <x v="1"/>
    <m/>
    <s v="OK"/>
    <s v="04-Apr-18: Okay for TI installation,  Lease hike request may raise while TI installation"/>
    <x v="0"/>
    <m/>
    <s v="OK"/>
    <m/>
    <s v="OK"/>
    <m/>
    <m/>
    <m/>
    <m/>
    <s v="OK"/>
    <s v="1 week "/>
    <m/>
    <d v="1900-01-01T00:00:00"/>
    <s v="Initially BB UG required PE sys UG later"/>
    <s v="OK"/>
    <s v="No"/>
    <m/>
    <m/>
    <m/>
    <m/>
    <m/>
    <m/>
    <m/>
    <m/>
    <m/>
    <d v="2018-12-19T09:05:41"/>
    <m/>
    <m/>
    <m/>
    <m/>
    <x v="116"/>
    <s v="Not  Calculated"/>
    <n v="0"/>
    <s v="No File"/>
    <s v="ACBA_0073 (BGO095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073 (BGO0950) Application.xlsx"/>
    <m/>
  </r>
  <r>
    <n v="46"/>
    <x v="395"/>
    <x v="0"/>
    <x v="1"/>
    <s v="BGO0965"/>
    <x v="3"/>
    <s v="Mytel Phase 1a Colo"/>
    <s v="On Air"/>
    <s v="Colocation"/>
    <m/>
    <x v="70"/>
    <m/>
    <n v="2"/>
    <n v="6"/>
    <s v="EPA"/>
    <s v="55"/>
    <s v="60"/>
    <x v="1"/>
    <m/>
    <s v="OK"/>
    <s v="04-Apr-18: Okay for TI installation,  Lease hike request may raise while TI installation"/>
    <x v="0"/>
    <m/>
    <s v="OK"/>
    <m/>
    <s v="OK"/>
    <m/>
    <m/>
    <m/>
    <m/>
    <s v="OK"/>
    <s v="1 week "/>
    <m/>
    <d v="1900-01-01T00:00:00"/>
    <s v="Initially BB UG required PE sys UG later"/>
    <s v="OK"/>
    <s v="No"/>
    <m/>
    <m/>
    <m/>
    <m/>
    <m/>
    <m/>
    <m/>
    <m/>
    <m/>
    <d v="2018-12-19T09:05:42"/>
    <m/>
    <m/>
    <m/>
    <m/>
    <x v="116"/>
    <s v="Not  Calculated"/>
    <n v="0"/>
    <s v="No File"/>
    <s v="ACBA_0067 (BGO0965)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067 (BGO0965) Application.xlsx"/>
    <m/>
  </r>
  <r>
    <n v="47"/>
    <x v="396"/>
    <x v="0"/>
    <x v="1"/>
    <s v="BGO0970"/>
    <x v="3"/>
    <s v="Mytel Phase 1a Colo"/>
    <s v="On Air"/>
    <s v="Colocation"/>
    <m/>
    <x v="70"/>
    <m/>
    <n v="2"/>
    <n v="6"/>
    <s v="EPA"/>
    <s v="55"/>
    <s v="60"/>
    <x v="1"/>
    <m/>
    <s v="OK"/>
    <s v="04-Apr-18: Okay for TI installation,  Lease hike request may raise while TI installation"/>
    <x v="0"/>
    <m/>
    <s v="OK"/>
    <m/>
    <s v="OK"/>
    <m/>
    <m/>
    <m/>
    <m/>
    <s v="OK"/>
    <s v="1 week "/>
    <m/>
    <d v="1900-01-01T00:00:00"/>
    <s v="Initially BB UG required PE sys UG later"/>
    <s v="OK"/>
    <s v="No"/>
    <m/>
    <m/>
    <m/>
    <m/>
    <m/>
    <m/>
    <m/>
    <m/>
    <m/>
    <d v="2018-12-19T09:05:42"/>
    <m/>
    <m/>
    <m/>
    <m/>
    <x v="116"/>
    <s v="Not  Calculated"/>
    <n v="0"/>
    <s v="No File"/>
    <s v="ACBA_0124 (BGO097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124 (BGO0970) Application.xlsx"/>
    <m/>
  </r>
  <r>
    <n v="48"/>
    <x v="397"/>
    <x v="0"/>
    <x v="1"/>
    <s v="NPW0263"/>
    <x v="3"/>
    <s v="Mytel Phase 1a Colo"/>
    <s v="On Air"/>
    <s v="Colocation"/>
    <m/>
    <x v="70"/>
    <m/>
    <n v="2"/>
    <n v="6"/>
    <s v="EPA"/>
    <s v="55"/>
    <s v="60"/>
    <x v="1"/>
    <m/>
    <s v="OK"/>
    <s v="04-Apr-18: Okay for TI installation,  Lease hike request may raise while TI installation"/>
    <x v="0"/>
    <m/>
    <s v="OK"/>
    <m/>
    <s v="OK"/>
    <m/>
    <m/>
    <m/>
    <m/>
    <s v="OK"/>
    <s v="1 week "/>
    <m/>
    <d v="1900-01-01T00:00:00"/>
    <s v="DG &amp; BB UG required need to re-order"/>
    <s v="OK"/>
    <s v="No"/>
    <m/>
    <m/>
    <m/>
    <m/>
    <m/>
    <m/>
    <m/>
    <m/>
    <m/>
    <d v="2018-12-19T09:05:42"/>
    <m/>
    <m/>
    <m/>
    <m/>
    <x v="116"/>
    <s v="Not  Calculated"/>
    <n v="0"/>
    <s v="No File"/>
    <s v="ANNP_0243 (NPW026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243 (NPW0263) Application.xlsx"/>
    <m/>
  </r>
  <r>
    <n v="49"/>
    <x v="398"/>
    <x v="0"/>
    <x v="1"/>
    <s v="NPW0264"/>
    <x v="3"/>
    <s v="Mytel Phase 1a Colo"/>
    <s v="On Air"/>
    <s v="Colocation"/>
    <m/>
    <x v="70"/>
    <m/>
    <n v="2"/>
    <n v="6"/>
    <s v="EPA"/>
    <s v="55"/>
    <s v="60"/>
    <x v="1"/>
    <m/>
    <s v="OK"/>
    <s v="04-Apr-18: Okay for TI installation,  Lease hike request may raise while TI installation"/>
    <x v="0"/>
    <m/>
    <s v="OK"/>
    <s v="3-Leg free(ACD)"/>
    <s v="OK"/>
    <m/>
    <m/>
    <m/>
    <s v="Review-EPA almost over desing need to check tower and strengthening if need"/>
    <s v="OK"/>
    <s v="1 week "/>
    <m/>
    <d v="1900-01-01T00:00:00"/>
    <s v="DG UG required"/>
    <s v="OK"/>
    <s v="Yes"/>
    <s v="Need to provide additional normal equipment slab with S2 type Platform"/>
    <m/>
    <m/>
    <m/>
    <m/>
    <m/>
    <m/>
    <m/>
    <m/>
    <d v="2018-12-19T09:05:42"/>
    <m/>
    <m/>
    <m/>
    <m/>
    <x v="116"/>
    <s v="Not  Calculated"/>
    <n v="0"/>
    <s v="No File"/>
    <s v="ANNP_0241 (NPW026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241 (NPW0264) Application.xlsx"/>
    <m/>
  </r>
  <r>
    <n v="36"/>
    <x v="108"/>
    <x v="0"/>
    <x v="2"/>
    <s v="KCN0349"/>
    <x v="3"/>
    <s v="Mytel Phase 1a Colo"/>
    <s v="RFI"/>
    <s v="Colocation"/>
    <m/>
    <x v="71"/>
    <m/>
    <n v="2"/>
    <n v="6"/>
    <s v="EPA"/>
    <s v="45"/>
    <s v="50"/>
    <x v="1"/>
    <m/>
    <s v="OK"/>
    <s v="04-Apr-18: Okay for TI installation,  Lease hike request may raise while TI installation"/>
    <x v="0"/>
    <m/>
    <s v="OK"/>
    <s v="Extension not required"/>
    <s v="OK"/>
    <m/>
    <m/>
    <m/>
    <m/>
    <s v="OK"/>
    <s v="FC WK19-20"/>
    <m/>
    <d v="1900-01-01T00:00:00"/>
    <s v="DG &amp; BB UG required need to re-order"/>
    <s v="OK"/>
    <s v="Yes"/>
    <s v="Normal Slab and need to extend"/>
    <m/>
    <m/>
    <m/>
    <m/>
    <m/>
    <m/>
    <m/>
    <m/>
    <d v="2018-12-19T09:05:40"/>
    <m/>
    <m/>
    <m/>
    <m/>
    <x v="117"/>
    <s v="Not  Calculated"/>
    <n v="0"/>
    <s v="No File"/>
    <s v="ANKC_0017 (KCN034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KC_0017 (KCN0349) Application.xlsx"/>
    <m/>
  </r>
  <r>
    <n v="37"/>
    <x v="367"/>
    <x v="0"/>
    <x v="2"/>
    <s v="MDY0002"/>
    <x v="3"/>
    <s v="Mytel Phase 1a Colo"/>
    <s v="On Air"/>
    <s v="Colocation"/>
    <m/>
    <x v="71"/>
    <m/>
    <n v="2"/>
    <n v="6"/>
    <s v="EPA"/>
    <s v="45"/>
    <s v="50"/>
    <x v="1"/>
    <m/>
    <s v="OK"/>
    <s v="04-Apr-18: Okay for TI installation,  Lease hike request may raise while TI installation"/>
    <x v="0"/>
    <m/>
    <s v="OK"/>
    <s v="Extension not required"/>
    <s v="OK"/>
    <m/>
    <m/>
    <m/>
    <m/>
    <s v="OK"/>
    <s v="FC WK19-20"/>
    <m/>
    <d v="1900-01-01T00:00:00"/>
    <s v="PE UG required. Need to re-order "/>
    <s v="OK"/>
    <s v="No"/>
    <m/>
    <m/>
    <m/>
    <m/>
    <m/>
    <m/>
    <m/>
    <m/>
    <m/>
    <d v="2018-12-19T09:05:40"/>
    <m/>
    <m/>
    <m/>
    <m/>
    <x v="117"/>
    <s v="Not  Calculated"/>
    <n v="0"/>
    <s v="No File"/>
    <s v="ANMD_0073 (MDY0002)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73 (MDY0002) Application.xlsx"/>
    <m/>
  </r>
  <r>
    <n v="38"/>
    <x v="387"/>
    <x v="0"/>
    <x v="2"/>
    <s v="MDY0023"/>
    <x v="3"/>
    <s v="Colocation"/>
    <m/>
    <s v="Colocation"/>
    <m/>
    <x v="71"/>
    <m/>
    <n v="2"/>
    <n v="6"/>
    <s v="EPA"/>
    <s v="20"/>
    <s v="25"/>
    <x v="3"/>
    <m/>
    <s v="Rejected"/>
    <s v="04-Apr-18: Still same owner rejected_x000a_26-May-17: Owner not allowed additional equipment."/>
    <x v="0"/>
    <m/>
    <s v="OK"/>
    <s v="Need to check Pole Availabilty"/>
    <s v="Review"/>
    <m/>
    <m/>
    <m/>
    <s v="Review-RTP"/>
    <s v="OK"/>
    <s v="FC WK19-20"/>
    <m/>
    <d v="1900-01-01T00:00:00"/>
    <s v="PE UG required. Need to re-order  DG-N/A"/>
    <m/>
    <m/>
    <m/>
    <m/>
    <m/>
    <m/>
    <m/>
    <m/>
    <m/>
    <m/>
    <m/>
    <d v="2018-12-19T09:05:40"/>
    <m/>
    <m/>
    <m/>
    <m/>
    <x v="117"/>
    <s v="Not  Calculated"/>
    <n v="0"/>
    <s v="No File"/>
    <s v="ANMD_0088 (MDY002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88 (MDY0023) Application.xlsx"/>
    <m/>
  </r>
  <r>
    <n v="39"/>
    <x v="399"/>
    <x v="0"/>
    <x v="1"/>
    <s v="MGY0153"/>
    <x v="3"/>
    <s v="Colocation"/>
    <m/>
    <s v="Colocation"/>
    <m/>
    <x v="71"/>
    <m/>
    <n v="2"/>
    <n v="6"/>
    <s v="EPA"/>
    <s v="55"/>
    <s v="60"/>
    <x v="3"/>
    <m/>
    <s v="OK"/>
    <s v="04-Apr-18: Okay for TI installation,  Lease hike request may raise while TI installation"/>
    <x v="0"/>
    <m/>
    <s v="OK"/>
    <s v="MW can get higher height for LOS"/>
    <s v="Review"/>
    <m/>
    <m/>
    <m/>
    <s v="Review-EPA over desing need to check tower"/>
    <s v="OK"/>
    <s v="FC WK19-20"/>
    <m/>
    <d v="1900-01-01T00:00:00"/>
    <s v="DG &amp; BB UG required need to re-order"/>
    <m/>
    <s v="Yes"/>
    <s v="Need to provide additional slab "/>
    <m/>
    <m/>
    <m/>
    <m/>
    <m/>
    <m/>
    <m/>
    <m/>
    <d v="2018-12-19T09:05:40"/>
    <m/>
    <m/>
    <m/>
    <m/>
    <x v="117"/>
    <s v="Not  Calculated"/>
    <n v="0"/>
    <s v="No File"/>
    <s v="ANMG_0024 (MGY015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024 (MGY0153) Application.xlsx"/>
    <m/>
  </r>
  <r>
    <n v="40"/>
    <x v="400"/>
    <x v="0"/>
    <x v="1"/>
    <s v="MGY0444"/>
    <x v="3"/>
    <s v="Mytel Phase 1a Colo"/>
    <s v="On Air"/>
    <s v="Colocation"/>
    <m/>
    <x v="71"/>
    <m/>
    <n v="2"/>
    <n v="6"/>
    <s v="EPA"/>
    <s v="20"/>
    <s v="25"/>
    <x v="1"/>
    <m/>
    <s v="OK"/>
    <s v="04-Apr-18: Okay for TI installation,  Lease hike request may raise while TI installation"/>
    <x v="0"/>
    <m/>
    <s v="OK"/>
    <m/>
    <s v="OK"/>
    <m/>
    <m/>
    <m/>
    <m/>
    <s v="OK"/>
    <s v="FC WK19-20"/>
    <m/>
    <d v="1900-01-01T00:00:00"/>
    <s v="PE UG required. Need to re-order "/>
    <s v="OK"/>
    <s v="No"/>
    <m/>
    <m/>
    <m/>
    <m/>
    <m/>
    <m/>
    <m/>
    <m/>
    <m/>
    <d v="2018-12-19T09:05:41"/>
    <m/>
    <m/>
    <m/>
    <m/>
    <x v="117"/>
    <s v="Not  Calculated"/>
    <n v="0"/>
    <s v="No File"/>
    <s v="ANMG_0187 (MGY044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187 (MGY0444) Application.xlsx"/>
    <m/>
  </r>
  <r>
    <n v="41"/>
    <x v="35"/>
    <x v="0"/>
    <x v="2"/>
    <s v="SHN1065"/>
    <x v="3"/>
    <m/>
    <m/>
    <m/>
    <m/>
    <x v="71"/>
    <m/>
    <n v="2"/>
    <n v="6"/>
    <s v="EPA"/>
    <s v="20"/>
    <s v="25"/>
    <x v="2"/>
    <m/>
    <s v="OK"/>
    <s v="04-Apr-18: Okay for TI installation,  Lease hike request may raise while TI installation"/>
    <x v="0"/>
    <m/>
    <s v="OK"/>
    <s v="only Macro Antenna Solution, MW can get higher height for LOS"/>
    <s v="Review"/>
    <m/>
    <m/>
    <m/>
    <s v="Review GMT if with small Rf will ok"/>
    <s v="OK"/>
    <s v="FC WK19-20"/>
    <m/>
    <d v="1900-01-01T00:00:00"/>
    <s v="PE UG required. Need to re-order  DG-N/A 24/7 run restriction"/>
    <s v="OK"/>
    <s v="No"/>
    <m/>
    <m/>
    <m/>
    <m/>
    <m/>
    <m/>
    <m/>
    <m/>
    <m/>
    <d v="2018-12-19T09:05:41"/>
    <m/>
    <m/>
    <m/>
    <m/>
    <x v="117"/>
    <s v="Not  Calculated"/>
    <n v="0"/>
    <s v="No File"/>
    <s v="ANSH_0034 (SHN1065)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SH_0034 (SHN1065) Application.xlsx"/>
    <m/>
  </r>
  <r>
    <n v="35"/>
    <x v="401"/>
    <x v="0"/>
    <x v="0"/>
    <s v="YGN02071"/>
    <x v="0"/>
    <s v="MPT  Phase 1a Colo"/>
    <s v="On Air"/>
    <s v="Colocation"/>
    <m/>
    <x v="72"/>
    <m/>
    <n v="1.3"/>
    <n v="5"/>
    <s v="EPA"/>
    <s v="22"/>
    <s v="27"/>
    <x v="1"/>
    <m/>
    <s v="OK"/>
    <s v="04-Apr-18: Okay for TI installation,  Lease hike request may raise while TI installation"/>
    <x v="0"/>
    <m/>
    <s v="OK"/>
    <s v="22-27m"/>
    <s v="OK"/>
    <m/>
    <m/>
    <m/>
    <m/>
    <s v="OK"/>
    <s v="READY"/>
    <m/>
    <d v="1899-12-31T07:12:00"/>
    <s v="Ready for Mytel 08 Nov 17"/>
    <s v="OK"/>
    <s v="No"/>
    <m/>
    <m/>
    <m/>
    <m/>
    <m/>
    <m/>
    <m/>
    <m/>
    <m/>
    <d v="2018-12-19T09:05:39"/>
    <m/>
    <m/>
    <m/>
    <m/>
    <x v="118"/>
    <s v="Not  Calculated"/>
    <n v="0"/>
    <s v="No File"/>
    <s v="AYYN_0135 (YGN02071)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135 (YGN02071) Application.xlsx"/>
    <m/>
  </r>
  <r>
    <n v="34"/>
    <x v="402"/>
    <x v="0"/>
    <x v="1"/>
    <s v="NPW0260"/>
    <x v="3"/>
    <s v="Mytel Phase 1a Colo"/>
    <s v="On Air"/>
    <s v="Colocation"/>
    <m/>
    <x v="73"/>
    <m/>
    <n v="2"/>
    <n v="6"/>
    <s v="EPA"/>
    <s v="30"/>
    <s v="35"/>
    <x v="1"/>
    <m/>
    <s v="OK"/>
    <s v="04-Apr-18: Okay for TI installation,  Lease hike request may raise while TI installation"/>
    <x v="0"/>
    <m/>
    <s v="OK"/>
    <s v="Ok"/>
    <s v="OK"/>
    <m/>
    <m/>
    <m/>
    <m/>
    <s v="OK"/>
    <s v="FC WK19-20"/>
    <m/>
    <d v="1900-01-01T00:00:00"/>
    <s v="PE UG required. Need to re-order "/>
    <s v="OK"/>
    <s v="No"/>
    <m/>
    <m/>
    <m/>
    <m/>
    <m/>
    <m/>
    <m/>
    <m/>
    <m/>
    <d v="2018-12-19T09:05:39"/>
    <m/>
    <m/>
    <m/>
    <m/>
    <x v="119"/>
    <s v="Not  Calculated"/>
    <n v="0"/>
    <s v="No File"/>
    <s v="ANNP_0252 (NPW026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252 (NPW0260) Application.xlsx"/>
    <m/>
  </r>
  <r>
    <n v="33"/>
    <x v="203"/>
    <x v="0"/>
    <x v="2"/>
    <s v="SAW0697"/>
    <x v="2"/>
    <s v="OML Phase 2 Colo"/>
    <s v="On Air"/>
    <s v="Colocation"/>
    <m/>
    <x v="74"/>
    <m/>
    <n v="3.5"/>
    <n v="5.5"/>
    <s v="EPA"/>
    <s v="27"/>
    <s v="32"/>
    <x v="1"/>
    <m/>
    <s v="OK"/>
    <s v="04-Apr-18: Okay for TI installation,  Lease hike request may raise while TI installation"/>
    <x v="0"/>
    <s v="Already RFI. (Rent increase to be negotiated for operator)"/>
    <s v="OK"/>
    <m/>
    <s v="OK"/>
    <m/>
    <m/>
    <m/>
    <s v="OML need to put small RF 5.4m2"/>
    <s v="OK"/>
    <m/>
    <m/>
    <m/>
    <s v="Proceed. Order Eqpt &amp; U/G later - Swap &amp; Expand to 1200AH"/>
    <s v="OK"/>
    <s v="Yes"/>
    <s v="Normal Slab and need to extend"/>
    <m/>
    <m/>
    <m/>
    <m/>
    <m/>
    <m/>
    <m/>
    <m/>
    <d v="2018-12-19T09:05:39"/>
    <m/>
    <m/>
    <m/>
    <m/>
    <x v="120"/>
    <s v="Not  Calculated"/>
    <n v="0"/>
    <s v="No File"/>
    <s v="ANSG_0343 (SAW069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43 (SAW0697) Application.xlsx"/>
    <m/>
  </r>
  <r>
    <n v="1"/>
    <x v="403"/>
    <x v="0"/>
    <x v="1"/>
    <s v="RKE0090"/>
    <x v="3"/>
    <s v="Colocation"/>
    <m/>
    <s v="Colocation"/>
    <m/>
    <x v="75"/>
    <m/>
    <m/>
    <m/>
    <s v="EPA"/>
    <m/>
    <m/>
    <x v="5"/>
    <m/>
    <s v="OK"/>
    <s v="04-Apr-18: Okay for TI installation,  Lease hike request may raise while TI installation"/>
    <x v="2"/>
    <s v="Only if grid connected"/>
    <s v="OK"/>
    <s v="47-50M"/>
    <s v="OK"/>
    <m/>
    <m/>
    <m/>
    <m/>
    <s v="OK"/>
    <m/>
    <m/>
    <m/>
    <s v="Proceed.  Order Eqpt &amp; U/G later - DG &amp; Batt UG 1200Ah"/>
    <s v="OK"/>
    <s v="No"/>
    <m/>
    <m/>
    <m/>
    <m/>
    <m/>
    <m/>
    <m/>
    <m/>
    <m/>
    <d v="2018-12-19T09:05:34"/>
    <m/>
    <m/>
    <m/>
    <m/>
    <x v="0"/>
    <s v="Not  Calculated"/>
    <n v="0"/>
    <s v="No File"/>
    <s v="ACRK_0023 (RKE009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RK_0023 (RKE0090) Application.xlsx"/>
    <m/>
  </r>
  <r>
    <n v="2"/>
    <x v="404"/>
    <x v="0"/>
    <x v="2"/>
    <s v="KCN0160"/>
    <x v="3"/>
    <s v="Mytel Phase 1a Colo"/>
    <s v="On Air"/>
    <s v="Colocation"/>
    <m/>
    <x v="75"/>
    <m/>
    <m/>
    <m/>
    <s v="EPA"/>
    <m/>
    <m/>
    <x v="1"/>
    <m/>
    <s v="OK"/>
    <s v="04-Apr-18: Okay for TI installation,  Lease hike request may raise while TI installation"/>
    <x v="0"/>
    <m/>
    <s v="OK"/>
    <s v="23-27M"/>
    <s v="OK"/>
    <m/>
    <m/>
    <m/>
    <m/>
    <s v="OK"/>
    <m/>
    <m/>
    <m/>
    <s v="Proceed.  Order Eqpt &amp; U/G later - Batt UG 1200AH"/>
    <s v="OK"/>
    <s v="No"/>
    <s v="Need to provide new equipment slab"/>
    <m/>
    <m/>
    <m/>
    <m/>
    <m/>
    <m/>
    <m/>
    <m/>
    <d v="2018-12-19T09:05:35"/>
    <m/>
    <m/>
    <m/>
    <m/>
    <x v="121"/>
    <s v="Not  Calculated"/>
    <n v="0"/>
    <s v="No File"/>
    <s v="ANKC_0015 (KCN016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KC_0015 (KCN0160) Application.xlsx"/>
    <m/>
  </r>
  <r>
    <n v="3"/>
    <x v="405"/>
    <x v="0"/>
    <x v="2"/>
    <s v="MDY0723"/>
    <x v="3"/>
    <s v="Mytel Phase 1a Colo"/>
    <s v="On Air"/>
    <s v="Colocation"/>
    <m/>
    <x v="75"/>
    <m/>
    <m/>
    <m/>
    <s v="EPA"/>
    <m/>
    <m/>
    <x v="1"/>
    <m/>
    <s v="OK"/>
    <s v="04-Apr-18: Okay for TI installation,  Lease hike request may raise while TI installation"/>
    <x v="0"/>
    <m/>
    <s v="OK"/>
    <s v="47-50M"/>
    <s v="OK"/>
    <m/>
    <m/>
    <m/>
    <m/>
    <s v="OK"/>
    <m/>
    <m/>
    <m/>
    <s v="Proceed.  Order Eqpt &amp; U/G later - DG &amp; Batt 1200Ah"/>
    <s v="OK"/>
    <s v="No"/>
    <s v="Need to provide new equipment slab"/>
    <m/>
    <m/>
    <m/>
    <m/>
    <m/>
    <m/>
    <m/>
    <m/>
    <d v="2018-12-19T09:05:35"/>
    <m/>
    <m/>
    <m/>
    <m/>
    <x v="121"/>
    <s v="Not  Calculated"/>
    <n v="0"/>
    <s v="No File"/>
    <s v="ANMD_0065 (MDY072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65 (MDY0723) Application.xlsx"/>
    <m/>
  </r>
  <r>
    <n v="4"/>
    <x v="406"/>
    <x v="0"/>
    <x v="2"/>
    <s v="MDY0093"/>
    <x v="3"/>
    <s v="Mytel Phase 1a Colo"/>
    <s v="On Air"/>
    <s v="Colocation"/>
    <m/>
    <x v="75"/>
    <m/>
    <m/>
    <m/>
    <s v="EPA"/>
    <m/>
    <m/>
    <x v="1"/>
    <m/>
    <s v="OK"/>
    <s v="04-Apr-18: Okay for TI installation,  Lease hike request may raise while TI installation"/>
    <x v="0"/>
    <m/>
    <s v="OK"/>
    <s v="17-21M"/>
    <s v="OK"/>
    <m/>
    <m/>
    <m/>
    <s v="Ok with temporay height. EPA over desing need to check and strengthening Tower,"/>
    <s v="OK"/>
    <m/>
    <m/>
    <m/>
    <s v="Proceed.  Order Eqpt &amp; U/G later - Flex24 &amp; Batt 1200Ah"/>
    <s v="OK"/>
    <s v="No"/>
    <s v="Need to provide additional cable tray"/>
    <m/>
    <m/>
    <m/>
    <m/>
    <m/>
    <m/>
    <m/>
    <m/>
    <d v="2018-12-19T09:05:35"/>
    <m/>
    <m/>
    <m/>
    <m/>
    <x v="121"/>
    <s v="Not  Calculated"/>
    <n v="0"/>
    <s v="No File"/>
    <s v="ANMD_0119 (MDY009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119 (MDY0093) Application.xlsx"/>
    <m/>
  </r>
  <r>
    <n v="5"/>
    <x v="407"/>
    <x v="0"/>
    <x v="2"/>
    <s v="MDY0915"/>
    <x v="3"/>
    <s v="Colocation"/>
    <m/>
    <s v="Colocation"/>
    <m/>
    <x v="75"/>
    <m/>
    <m/>
    <m/>
    <s v="EPA"/>
    <m/>
    <m/>
    <x v="3"/>
    <m/>
    <s v="OK"/>
    <s v="04-Apr-18: Okay for TI installation,  Lease hike request may raise while TI installation"/>
    <x v="0"/>
    <m/>
    <s v="OK"/>
    <s v="with macro Solution"/>
    <s v="Rejected"/>
    <m/>
    <m/>
    <m/>
    <s v="GMT"/>
    <s v="OK"/>
    <m/>
    <m/>
    <m/>
    <s v="Proceed.  Order Eqpt &amp; U/G later - Flex21 &amp; Batt 1200Ah"/>
    <m/>
    <m/>
    <m/>
    <m/>
    <m/>
    <m/>
    <m/>
    <m/>
    <m/>
    <m/>
    <m/>
    <d v="2018-12-19T09:05:35"/>
    <m/>
    <m/>
    <m/>
    <m/>
    <x v="121"/>
    <s v="Not  Calculated"/>
    <n v="0"/>
    <s v="No File"/>
    <s v="ANMD_0148 (MDY0915)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148 (MDY0915) Application.xlsx"/>
    <m/>
  </r>
  <r>
    <n v="6"/>
    <x v="408"/>
    <x v="0"/>
    <x v="2"/>
    <s v="MDY0004"/>
    <x v="3"/>
    <s v="Mytel Phase 1a Colo"/>
    <s v="On Air"/>
    <s v="Colocation"/>
    <m/>
    <x v="75"/>
    <m/>
    <m/>
    <m/>
    <s v="EPA"/>
    <m/>
    <m/>
    <x v="1"/>
    <m/>
    <s v="OK"/>
    <s v="04-Apr-18: Okay for TI installation,  Lease hike request may raise while TI installation"/>
    <x v="0"/>
    <m/>
    <s v="OK"/>
    <s v="45-50M"/>
    <s v="OK"/>
    <m/>
    <m/>
    <m/>
    <m/>
    <s v="OK"/>
    <m/>
    <m/>
    <m/>
    <s v="Proceed.  Order Eqpt &amp; U/G later - Flex24 &amp; Batt 1200Ah"/>
    <s v="OK"/>
    <s v="No"/>
    <m/>
    <m/>
    <m/>
    <m/>
    <m/>
    <m/>
    <m/>
    <m/>
    <m/>
    <d v="2018-12-19T09:05:35"/>
    <m/>
    <m/>
    <m/>
    <m/>
    <x v="121"/>
    <s v="Not  Calculated"/>
    <n v="0"/>
    <s v="No File"/>
    <s v="ANMD_0174 (MDY000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174 (MDY0004) Application.xlsx"/>
    <m/>
  </r>
  <r>
    <n v="7"/>
    <x v="409"/>
    <x v="0"/>
    <x v="2"/>
    <s v="SGG0260"/>
    <x v="3"/>
    <s v="Mytel Phase 1a Colo"/>
    <s v="On Air"/>
    <s v="Colocation"/>
    <m/>
    <x v="75"/>
    <m/>
    <m/>
    <m/>
    <s v="EPA"/>
    <m/>
    <m/>
    <x v="1"/>
    <m/>
    <s v="OK"/>
    <s v="04-Apr-18: Okay for TI installation,  Lease hike request may raise while TI installation"/>
    <x v="0"/>
    <m/>
    <s v="OK"/>
    <s v="42-45"/>
    <s v="OK"/>
    <m/>
    <m/>
    <m/>
    <m/>
    <s v="OK"/>
    <m/>
    <m/>
    <m/>
    <s v="Proceed.  Order Eqpt &amp; U/G later - DG &amp; Batt UG 1200Ah"/>
    <s v="OK"/>
    <s v="No"/>
    <m/>
    <m/>
    <m/>
    <m/>
    <m/>
    <m/>
    <m/>
    <m/>
    <m/>
    <d v="2018-12-19T09:05:36"/>
    <m/>
    <m/>
    <m/>
    <m/>
    <x v="121"/>
    <s v="Not  Calculated"/>
    <n v="0"/>
    <s v="No File"/>
    <s v="ANSG_0344 (SGG026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SG_0344 (SGG0260) Application.xlsx"/>
    <m/>
  </r>
  <r>
    <n v="8"/>
    <x v="410"/>
    <x v="0"/>
    <x v="2"/>
    <s v="SGG0028"/>
    <x v="3"/>
    <s v="Colocation"/>
    <m/>
    <s v="Colocation"/>
    <m/>
    <x v="75"/>
    <m/>
    <m/>
    <m/>
    <s v="EPA"/>
    <m/>
    <m/>
    <x v="3"/>
    <m/>
    <s v="OK"/>
    <s v="04-Apr-18: Okay for TI installation,  Lease hike request may raise while TI installation"/>
    <x v="0"/>
    <m/>
    <m/>
    <s v="new 3M Pole//Need to Review"/>
    <s v="Rejected"/>
    <m/>
    <m/>
    <m/>
    <s v="No space for new pole"/>
    <s v="OK"/>
    <m/>
    <m/>
    <m/>
    <s v="Proceed. Order Eqpt &amp; U/G later - Add Lio4 batteries "/>
    <m/>
    <m/>
    <m/>
    <m/>
    <m/>
    <m/>
    <m/>
    <m/>
    <m/>
    <m/>
    <m/>
    <d v="2018-12-19T09:05:36"/>
    <m/>
    <m/>
    <m/>
    <m/>
    <x v="121"/>
    <s v="Not  Calculated"/>
    <n v="0"/>
    <s v="No File"/>
    <s v="ANSG_0363 (SGG002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SG_0363 (SGG0028) Application.xlsx"/>
    <m/>
  </r>
  <r>
    <n v="9"/>
    <x v="411"/>
    <x v="0"/>
    <x v="1"/>
    <s v="SHN0876"/>
    <x v="3"/>
    <s v="Mytel Phase 1a Colo"/>
    <s v="On Air"/>
    <s v="Colocation"/>
    <m/>
    <x v="75"/>
    <m/>
    <m/>
    <m/>
    <s v="EPA"/>
    <m/>
    <m/>
    <x v="1"/>
    <m/>
    <s v="OK"/>
    <s v="04-Apr-18: Okay for TI installation,  Lease hike request may raise while TI installation"/>
    <x v="0"/>
    <m/>
    <s v="OK"/>
    <s v="RF-25M-30M//MW-can get higher"/>
    <s v="OK"/>
    <m/>
    <m/>
    <m/>
    <m/>
    <s v="OK"/>
    <m/>
    <m/>
    <m/>
    <s v="Proceed. Swap existing 1200AH BB re order batteries for stock"/>
    <s v="OK"/>
    <s v="No"/>
    <m/>
    <m/>
    <m/>
    <m/>
    <m/>
    <m/>
    <m/>
    <m/>
    <m/>
    <d v="2018-12-19T09:05:36"/>
    <m/>
    <m/>
    <m/>
    <m/>
    <x v="121"/>
    <s v="Not  Calculated"/>
    <n v="0"/>
    <s v="No File"/>
    <s v="ANSH_0006 (SHN0876)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SH_0006 (SHN0876) Application.xlsx"/>
    <m/>
  </r>
  <r>
    <n v="10"/>
    <x v="412"/>
    <x v="0"/>
    <x v="0"/>
    <s v="KYN0014"/>
    <x v="3"/>
    <s v="Mytel Phase 1a Colo"/>
    <s v="On Air"/>
    <s v="Colocation"/>
    <m/>
    <x v="75"/>
    <m/>
    <m/>
    <m/>
    <s v="EPA"/>
    <m/>
    <m/>
    <x v="1"/>
    <m/>
    <s v="OK"/>
    <s v="04-Apr-18: Okay for TI installation,  Lease hike request may raise while TI installation"/>
    <x v="0"/>
    <m/>
    <s v="OK"/>
    <s v="RF &amp; MW-48-53M"/>
    <s v="OK"/>
    <m/>
    <m/>
    <m/>
    <m/>
    <s v="OK"/>
    <m/>
    <m/>
    <m/>
    <s v="Proceed.  Order Eqpt &amp; U/G later "/>
    <s v="OK"/>
    <s v="No"/>
    <m/>
    <m/>
    <m/>
    <m/>
    <m/>
    <m/>
    <m/>
    <m/>
    <m/>
    <d v="2018-12-19T09:05:36"/>
    <m/>
    <m/>
    <m/>
    <m/>
    <x v="121"/>
    <s v="Not  Calculated"/>
    <n v="0"/>
    <s v="No File"/>
    <s v="ASKA_0150 (KYN001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SKA_0150 (KYN0014) Application.xlsx"/>
    <m/>
  </r>
  <r>
    <n v="11"/>
    <x v="413"/>
    <x v="0"/>
    <x v="0"/>
    <s v="MON0306"/>
    <x v="3"/>
    <s v="Mytel Phase 1a Colo"/>
    <s v="On Air"/>
    <s v="Colocation"/>
    <m/>
    <x v="75"/>
    <m/>
    <m/>
    <m/>
    <s v="EPA"/>
    <m/>
    <m/>
    <x v="1"/>
    <m/>
    <s v="OK"/>
    <s v="04-Apr-18: Okay for TI installation,  Lease hike request may raise while TI installation"/>
    <x v="0"/>
    <m/>
    <s v="OK"/>
    <s v="31-35"/>
    <s v="OK"/>
    <m/>
    <m/>
    <m/>
    <m/>
    <s v="OK"/>
    <m/>
    <m/>
    <m/>
    <s v="Proceed.  Order Eqpt &amp; U/G later  - BB U/G 1200AH &amp; Grid Con"/>
    <s v="OK"/>
    <s v="No"/>
    <m/>
    <m/>
    <m/>
    <m/>
    <m/>
    <m/>
    <m/>
    <m/>
    <m/>
    <d v="2018-12-19T09:05:36"/>
    <m/>
    <m/>
    <m/>
    <m/>
    <x v="121"/>
    <s v="Not  Calculated"/>
    <n v="0"/>
    <s v="No File"/>
    <s v="ASMO_0275 (MON0306)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SMO_0275 (MON0306) Application.xlsx"/>
    <m/>
  </r>
  <r>
    <n v="12"/>
    <x v="414"/>
    <x v="0"/>
    <x v="0"/>
    <s v="YGN0408"/>
    <x v="3"/>
    <s v="Colocation"/>
    <m/>
    <s v="Colocation"/>
    <m/>
    <x v="75"/>
    <m/>
    <m/>
    <m/>
    <s v="EPA"/>
    <m/>
    <m/>
    <x v="3"/>
    <m/>
    <s v="OK"/>
    <s v="04-Apr-18: Okay for TI installation,  Lease hike request may raise while TI installation"/>
    <x v="0"/>
    <m/>
    <s v="OK"/>
    <s v="RF-15M-20M// MW-can get higher"/>
    <s v="OK"/>
    <m/>
    <m/>
    <m/>
    <m/>
    <s v="OK"/>
    <m/>
    <m/>
    <m/>
    <s v="Proceed.  Order Eqpt &amp; U/G later  - swap 600AH"/>
    <s v="OK"/>
    <s v="No"/>
    <m/>
    <m/>
    <m/>
    <m/>
    <m/>
    <m/>
    <m/>
    <m/>
    <m/>
    <d v="2018-12-19T09:05:36"/>
    <m/>
    <m/>
    <m/>
    <m/>
    <x v="121"/>
    <s v="Not  Calculated"/>
    <n v="0"/>
    <s v="No File"/>
    <s v="AYYN_0095 (YGN040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095 (YGN0408) Application.xlsx"/>
    <m/>
  </r>
  <r>
    <n v="13"/>
    <x v="415"/>
    <x v="0"/>
    <x v="0"/>
    <s v="YGN1319"/>
    <x v="3"/>
    <s v="Mytel Phase 1a Colo"/>
    <s v="On Air"/>
    <s v="Colocation"/>
    <m/>
    <x v="75"/>
    <m/>
    <m/>
    <m/>
    <s v="EPA"/>
    <m/>
    <m/>
    <x v="1"/>
    <m/>
    <s v="OK"/>
    <s v="04-Apr-18: Okay for TI installation,  Lease hike request may raise while TI installation"/>
    <x v="0"/>
    <m/>
    <s v="OK"/>
    <s v="25-28//Under 16M"/>
    <s v="OK"/>
    <m/>
    <m/>
    <m/>
    <s v="Ok with temporay height. EPA over desing need to check and strengthening Tower,"/>
    <s v="OK"/>
    <m/>
    <m/>
    <m/>
    <s v="Proceed.  Order Eqpt &amp; U/G later - Flex24 &amp; Batt 1200Ah"/>
    <s v="OK"/>
    <s v="No"/>
    <m/>
    <m/>
    <m/>
    <m/>
    <m/>
    <m/>
    <m/>
    <m/>
    <m/>
    <d v="2018-12-19T09:05:37"/>
    <m/>
    <m/>
    <m/>
    <m/>
    <x v="121"/>
    <s v="Not  Calculated"/>
    <n v="0"/>
    <s v="No File"/>
    <s v="AYYN_0121 (YGN131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121 (YGN1319) Application.xlsx"/>
    <m/>
  </r>
  <r>
    <n v="14"/>
    <x v="416"/>
    <x v="0"/>
    <x v="0"/>
    <s v="YGN1354"/>
    <x v="3"/>
    <s v="Colocation"/>
    <m/>
    <s v="Colocation"/>
    <m/>
    <x v="75"/>
    <m/>
    <m/>
    <m/>
    <s v="EPA"/>
    <m/>
    <m/>
    <x v="3"/>
    <m/>
    <s v="OK"/>
    <s v="04-Apr-18: Okay for TI installation,  Lease hike request may raise while TI installation"/>
    <x v="2"/>
    <s v="Contractual issue with the owner, to check with Saq"/>
    <s v="OK"/>
    <s v="20-23"/>
    <s v="Review"/>
    <m/>
    <m/>
    <m/>
    <s v="Review-RTP"/>
    <s v="OK"/>
    <m/>
    <m/>
    <m/>
    <s v="Proceed.  Order Eqpt &amp; U/G later - Swap to GP PE"/>
    <s v="Rejected"/>
    <m/>
    <s v="Yoyoyoyoyoo"/>
    <m/>
    <m/>
    <m/>
    <m/>
    <m/>
    <m/>
    <m/>
    <m/>
    <d v="2018-12-19T09:05:37"/>
    <m/>
    <m/>
    <m/>
    <m/>
    <x v="121"/>
    <s v="Not  Calculated"/>
    <n v="0"/>
    <s v="No File"/>
    <s v="AYYN_0148 (YGN135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148 (YGN1354) Application.xlsx"/>
    <m/>
  </r>
  <r>
    <n v="15"/>
    <x v="417"/>
    <x v="0"/>
    <x v="0"/>
    <s v="YGN0038"/>
    <x v="3"/>
    <s v="Colocation"/>
    <m/>
    <s v="Colocation"/>
    <m/>
    <x v="75"/>
    <m/>
    <m/>
    <m/>
    <s v="EPA"/>
    <m/>
    <m/>
    <x v="3"/>
    <m/>
    <s v="OK"/>
    <s v="04-Apr-18: Okay for TI installation,  Lease hike request may raise while TI installation"/>
    <x v="0"/>
    <m/>
    <s v="OK"/>
    <s v="45M (New Pole)"/>
    <s v="Review"/>
    <m/>
    <m/>
    <m/>
    <s v="Review-RTP"/>
    <s v="Rejected"/>
    <m/>
    <m/>
    <m/>
    <s v="Not possible to UG PE no access no space"/>
    <s v="OK"/>
    <m/>
    <s v="Yoyoyoyoyoo"/>
    <m/>
    <m/>
    <m/>
    <m/>
    <m/>
    <m/>
    <m/>
    <m/>
    <m/>
    <m/>
    <m/>
    <m/>
    <m/>
    <x v="121"/>
    <s v="Not  Calculated"/>
    <n v="0"/>
    <s v="No File"/>
    <s v="AYYN_0153 (YGN003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153 (YGN0038) Application.xlsx"/>
    <m/>
  </r>
  <r>
    <n v="16"/>
    <x v="418"/>
    <x v="0"/>
    <x v="0"/>
    <s v="YGN1489"/>
    <x v="3"/>
    <s v="Colocation"/>
    <m/>
    <s v="Colocation"/>
    <m/>
    <x v="75"/>
    <m/>
    <m/>
    <m/>
    <s v="EPA"/>
    <m/>
    <m/>
    <x v="3"/>
    <m/>
    <s v="OK"/>
    <s v="04-Apr-18: Okay for TI installation,  Lease hike request may raise while TI installation"/>
    <x v="0"/>
    <m/>
    <s v="OK"/>
    <s v="6m Pole + 18.6m (Building ht)"/>
    <s v="Rejected"/>
    <m/>
    <m/>
    <m/>
    <s v="Pole over load"/>
    <s v="Rejected"/>
    <m/>
    <m/>
    <m/>
    <s v="Not possible to UG PE no access no space"/>
    <s v="Rejected"/>
    <m/>
    <s v="Yoyoyoyoyoo"/>
    <m/>
    <m/>
    <m/>
    <m/>
    <m/>
    <m/>
    <m/>
    <m/>
    <m/>
    <m/>
    <m/>
    <m/>
    <m/>
    <x v="121"/>
    <s v="Not  Calculated"/>
    <n v="0"/>
    <s v="No File"/>
    <s v="AYYN_0363 (YGN148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363 (YGN1489) Application.xlsx"/>
    <m/>
  </r>
  <r>
    <n v="17"/>
    <x v="419"/>
    <x v="0"/>
    <x v="0"/>
    <s v="YGN0167"/>
    <x v="3"/>
    <s v="Colocation"/>
    <m/>
    <s v="Colocation"/>
    <m/>
    <x v="75"/>
    <m/>
    <m/>
    <m/>
    <s v="EPA"/>
    <m/>
    <m/>
    <x v="1"/>
    <m/>
    <s v="OK"/>
    <s v="04-Apr-18: Okay for TI installation,  Lease hike request may raise while TI installation"/>
    <x v="0"/>
    <m/>
    <s v="OK"/>
    <s v="6m Pole + 22.2m (building ht)"/>
    <s v="OK"/>
    <m/>
    <m/>
    <m/>
    <s v="Need to build new pole at down floor"/>
    <s v="OK"/>
    <s v="No ETA"/>
    <m/>
    <m/>
    <s v="Awaiting VISION Lio4 option to arrive no ETA "/>
    <s v="OK"/>
    <m/>
    <s v="Yoyoyoyoyoo"/>
    <m/>
    <m/>
    <m/>
    <m/>
    <m/>
    <m/>
    <m/>
    <m/>
    <d v="2018-12-19T09:05:37"/>
    <m/>
    <m/>
    <m/>
    <m/>
    <x v="121"/>
    <s v="Not  Calculated"/>
    <n v="0"/>
    <s v="No File"/>
    <s v="AYYN_0389 (YGN0167)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389 (YGN0167) Application.xlsx"/>
    <m/>
  </r>
  <r>
    <n v="18"/>
    <x v="420"/>
    <x v="0"/>
    <x v="0"/>
    <s v="YGN0171"/>
    <x v="3"/>
    <s v="Colocation"/>
    <m/>
    <s v="Colocation"/>
    <m/>
    <x v="75"/>
    <m/>
    <m/>
    <m/>
    <s v="EPA"/>
    <m/>
    <m/>
    <x v="1"/>
    <m/>
    <s v="OK"/>
    <s v="04-Apr-18: Okay for TI installation,  Lease hike request may raise while TI installation"/>
    <x v="0"/>
    <m/>
    <s v="OK"/>
    <s v="6m Pole + 23.75m (Building ht)"/>
    <s v="OK"/>
    <m/>
    <m/>
    <m/>
    <s v="Need to build new slab"/>
    <s v="OK"/>
    <m/>
    <m/>
    <m/>
    <s v="Proceed.  Order Eqpt &amp; U/G later - Swap to GP PE"/>
    <s v="OK"/>
    <m/>
    <s v="Yoyoyoyoyoo"/>
    <m/>
    <m/>
    <m/>
    <m/>
    <m/>
    <m/>
    <m/>
    <m/>
    <d v="2018-12-19T09:05:37"/>
    <m/>
    <m/>
    <m/>
    <m/>
    <x v="121"/>
    <s v="Not  Calculated"/>
    <n v="0"/>
    <s v="No File"/>
    <s v="AYYN_0396 (YGN017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396 (YGN0171) Application.xlsx"/>
    <m/>
  </r>
  <r>
    <n v="19"/>
    <x v="185"/>
    <x v="0"/>
    <x v="0"/>
    <s v="YGN1201"/>
    <x v="3"/>
    <s v="Mytel Phase 1a Colo"/>
    <s v="On Air"/>
    <s v="Colocation"/>
    <m/>
    <x v="75"/>
    <m/>
    <m/>
    <m/>
    <s v="EPA"/>
    <m/>
    <m/>
    <x v="1"/>
    <m/>
    <s v="OK"/>
    <s v="04-Apr-18: Okay for TI installation,  Lease hike request may raise while TI installation"/>
    <x v="0"/>
    <m/>
    <s v="OK"/>
    <s v="23-26.5"/>
    <s v="OK"/>
    <m/>
    <m/>
    <m/>
    <s v="Ok with temporay height. EPA over desing need to check and strengthening Tower,"/>
    <s v="OK"/>
    <m/>
    <m/>
    <m/>
    <s v="Proceed. Order Eqpt &amp; U/G later - 1200AH Swap.  30KVA DG"/>
    <s v="OK"/>
    <m/>
    <s v="Yoyoyoyoyoo"/>
    <m/>
    <m/>
    <m/>
    <m/>
    <m/>
    <m/>
    <m/>
    <m/>
    <d v="2018-12-19T09:05:37"/>
    <m/>
    <m/>
    <m/>
    <m/>
    <x v="121"/>
    <s v="Not  Calculated"/>
    <n v="0"/>
    <s v="No File"/>
    <s v="AYYN_0583 (YGN120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583 (YGN1201) Application.xlsx"/>
    <m/>
  </r>
  <r>
    <n v="20"/>
    <x v="241"/>
    <x v="0"/>
    <x v="2"/>
    <s v="MDY0760"/>
    <x v="3"/>
    <s v="Colocation"/>
    <m/>
    <s v="Colocation"/>
    <m/>
    <x v="75"/>
    <m/>
    <m/>
    <m/>
    <s v="EPA"/>
    <m/>
    <m/>
    <x v="3"/>
    <m/>
    <s v="OK"/>
    <s v="04-Apr-18: Okay for TI installation,  Lease hike request may raise while TI installation"/>
    <x v="3"/>
    <s v="24/7 DG restriction and long grid outages"/>
    <s v="OK"/>
    <s v="Building HT. 34 + 6m Pole"/>
    <s v="OK"/>
    <m/>
    <m/>
    <m/>
    <m/>
    <s v="OK"/>
    <s v="No ETA"/>
    <m/>
    <m/>
    <s v="Awaiting VISION Lio4 option to arrive no ETA "/>
    <s v="OK"/>
    <s v="No"/>
    <s v="Need to extend equipment slab between Tower beam and existing equipment slab"/>
    <m/>
    <m/>
    <m/>
    <m/>
    <m/>
    <m/>
    <m/>
    <m/>
    <d v="2018-12-19T09:05:37"/>
    <m/>
    <m/>
    <m/>
    <m/>
    <x v="121"/>
    <s v="Not  Calculated"/>
    <n v="0"/>
    <s v="No File"/>
    <s v="ANMD_0273 (MDY076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273 (MDY0760) Application.xlsx"/>
    <m/>
  </r>
  <r>
    <n v="21"/>
    <x v="421"/>
    <x v="0"/>
    <x v="0"/>
    <s v="YGNINSN052"/>
    <x v="1"/>
    <s v="Amara Phase 1"/>
    <s v="On Air"/>
    <s v="Colocation"/>
    <m/>
    <x v="75"/>
    <m/>
    <m/>
    <m/>
    <s v="EPA"/>
    <m/>
    <m/>
    <x v="1"/>
    <m/>
    <s v="OK"/>
    <s v="04-Apr-18: Okay for TI installation,  Lease hike request may raise while TI installation"/>
    <x v="0"/>
    <m/>
    <s v="OK"/>
    <m/>
    <s v="OK"/>
    <m/>
    <m/>
    <m/>
    <m/>
    <s v="OK"/>
    <m/>
    <m/>
    <m/>
    <s v="ACDB &amp; Smart meter installation planned for WK12"/>
    <s v="OK"/>
    <m/>
    <m/>
    <m/>
    <m/>
    <m/>
    <m/>
    <m/>
    <m/>
    <m/>
    <m/>
    <d v="2018-12-19T09:05:38"/>
    <m/>
    <m/>
    <m/>
    <m/>
    <x v="121"/>
    <s v="Not  Calculated"/>
    <n v="0"/>
    <s v="No File"/>
    <s v="AYYN_0269 (YGNINSN052)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269 (YGNINSN052) Application.xlsx"/>
    <m/>
  </r>
  <r>
    <n v="22"/>
    <x v="422"/>
    <x v="0"/>
    <x v="0"/>
    <s v="YGN01927"/>
    <x v="0"/>
    <s v="MPT  Phase 1a Colo"/>
    <s v="On Air"/>
    <s v="Colocation"/>
    <m/>
    <x v="75"/>
    <m/>
    <m/>
    <m/>
    <s v="EPA"/>
    <m/>
    <m/>
    <x v="1"/>
    <m/>
    <s v="OK"/>
    <s v="04-Apr-18: Okay for TI installation,  Lease hike request may raise while TI installation"/>
    <x v="0"/>
    <m/>
    <s v="OK"/>
    <m/>
    <s v="OK"/>
    <m/>
    <m/>
    <m/>
    <m/>
    <s v="OK"/>
    <m/>
    <m/>
    <m/>
    <s v="Proceed"/>
    <s v="OK"/>
    <s v="No"/>
    <m/>
    <m/>
    <m/>
    <m/>
    <m/>
    <m/>
    <m/>
    <m/>
    <m/>
    <d v="2018-12-19T09:05:38"/>
    <m/>
    <m/>
    <m/>
    <m/>
    <x v="121"/>
    <s v="Not  Calculated"/>
    <n v="0"/>
    <s v="No File"/>
    <s v="AYYN_0171 (YGN01927)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171 (YGN01927) Application.xlsx"/>
    <m/>
  </r>
  <r>
    <n v="23"/>
    <x v="423"/>
    <x v="0"/>
    <x v="2"/>
    <s v="SGG01165"/>
    <x v="0"/>
    <s v="MPT  Phase 1a Colo"/>
    <s v="On Air"/>
    <s v="Colocation"/>
    <m/>
    <x v="75"/>
    <m/>
    <m/>
    <m/>
    <s v="EPA"/>
    <m/>
    <m/>
    <x v="1"/>
    <m/>
    <s v="OK"/>
    <s v="04-Apr-18: Okay for TI installation,  Lease hike request may raise while TI installation"/>
    <x v="0"/>
    <m/>
    <s v="OK"/>
    <m/>
    <s v="OK"/>
    <m/>
    <m/>
    <m/>
    <m/>
    <s v="OK"/>
    <m/>
    <m/>
    <m/>
    <s v="BB to order"/>
    <s v="OK"/>
    <s v="No"/>
    <m/>
    <m/>
    <m/>
    <m/>
    <m/>
    <m/>
    <m/>
    <m/>
    <m/>
    <d v="2018-12-19T09:05:38"/>
    <m/>
    <m/>
    <m/>
    <m/>
    <x v="121"/>
    <s v="Not  Calculated"/>
    <n v="0"/>
    <s v="No File"/>
    <s v="ANSG_0355 (SGG01165)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355 (SGG01165) Application.xlsx"/>
    <m/>
  </r>
  <r>
    <n v="24"/>
    <x v="424"/>
    <x v="0"/>
    <x v="0"/>
    <s v="YGN02508"/>
    <x v="0"/>
    <s v="MPT  Phase 1a Colo"/>
    <s v="On Air"/>
    <s v="Colocation"/>
    <m/>
    <x v="75"/>
    <m/>
    <m/>
    <m/>
    <s v="EPA"/>
    <m/>
    <m/>
    <x v="1"/>
    <m/>
    <s v="OK"/>
    <s v="04-Apr-18: Okay for TI installation,  Lease hike request may raise while TI installation"/>
    <x v="0"/>
    <m/>
    <s v="OK"/>
    <m/>
    <s v="OK"/>
    <m/>
    <m/>
    <m/>
    <m/>
    <s v="OK"/>
    <m/>
    <m/>
    <m/>
    <s v="24KW PE UG required "/>
    <s v="OK"/>
    <s v="No"/>
    <m/>
    <m/>
    <m/>
    <m/>
    <m/>
    <m/>
    <m/>
    <m/>
    <m/>
    <d v="2018-12-19T09:05:38"/>
    <m/>
    <m/>
    <m/>
    <m/>
    <x v="121"/>
    <s v="Not  Calculated"/>
    <n v="0"/>
    <s v="No File"/>
    <s v="AYYN_0099 (YGN02508)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099 (YGN02508) Application.xlsx"/>
    <m/>
  </r>
  <r>
    <n v="25"/>
    <x v="92"/>
    <x v="0"/>
    <x v="0"/>
    <s v="YGN01769"/>
    <x v="0"/>
    <s v="MPT  Phase 1a Colo"/>
    <s v="On Air"/>
    <s v="Colocation"/>
    <m/>
    <x v="75"/>
    <m/>
    <m/>
    <m/>
    <s v="EPA"/>
    <m/>
    <m/>
    <x v="1"/>
    <m/>
    <s v="OK"/>
    <s v="04-Apr-18: Okay for TI installation,  Lease hike request may raise while TI installation"/>
    <x v="0"/>
    <m/>
    <s v="OK"/>
    <m/>
    <s v="OK"/>
    <m/>
    <m/>
    <m/>
    <m/>
    <s v="OK"/>
    <m/>
    <m/>
    <m/>
    <s v="Proceed. Order Eqpt &amp; U/G later - EOL Swap 600AH -  20KVA DG"/>
    <s v="OK"/>
    <s v="No"/>
    <m/>
    <m/>
    <m/>
    <m/>
    <m/>
    <m/>
    <m/>
    <m/>
    <m/>
    <d v="2018-12-19T09:05:38"/>
    <m/>
    <m/>
    <m/>
    <m/>
    <x v="121"/>
    <s v="Not  Calculated"/>
    <n v="0"/>
    <s v="No File"/>
    <s v="AYYN_0251 (YGN01769)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251 (YGN01769) Application.xlsx"/>
    <m/>
  </r>
  <r>
    <n v="26"/>
    <x v="185"/>
    <x v="0"/>
    <x v="0"/>
    <s v="YGN02364"/>
    <x v="0"/>
    <s v="MPT  Phase 1a Colo"/>
    <s v="On Air"/>
    <s v="Colocation"/>
    <m/>
    <x v="75"/>
    <m/>
    <m/>
    <m/>
    <s v="EPA"/>
    <m/>
    <m/>
    <x v="1"/>
    <m/>
    <s v="OK"/>
    <s v="04-Apr-18: Okay for TI installation,  Lease hike request may raise while TI installation"/>
    <x v="0"/>
    <m/>
    <s v="OK"/>
    <m/>
    <s v="OK"/>
    <m/>
    <m/>
    <m/>
    <s v="Ok with easy Macro solution"/>
    <s v="OK"/>
    <m/>
    <m/>
    <m/>
    <s v="Proceed. Order Eqpt &amp; U/G later - 1200AH Swap.  30KVA DG"/>
    <s v="OK"/>
    <s v="No"/>
    <m/>
    <m/>
    <m/>
    <m/>
    <m/>
    <m/>
    <m/>
    <m/>
    <m/>
    <d v="2018-12-19T09:05:38"/>
    <m/>
    <m/>
    <m/>
    <m/>
    <x v="121"/>
    <s v="Not  Calculated"/>
    <n v="0"/>
    <s v="No File"/>
    <s v="AYYN_0583 (YGN02364)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583 (YGN02364) Application.xlsx"/>
    <m/>
  </r>
  <r>
    <n v="27"/>
    <x v="425"/>
    <x v="0"/>
    <x v="2"/>
    <s v="MAW2259"/>
    <x v="2"/>
    <s v="OML Phase 1 Colo"/>
    <s v="On Air"/>
    <s v="Colocation"/>
    <m/>
    <x v="75"/>
    <m/>
    <m/>
    <m/>
    <s v="EPA"/>
    <m/>
    <m/>
    <x v="1"/>
    <m/>
    <s v="OK"/>
    <s v="04-Apr-18: Okay for TI installation,  Lease hike request may raise while TI installation"/>
    <x v="0"/>
    <m/>
    <s v="OK"/>
    <m/>
    <s v="OK"/>
    <m/>
    <m/>
    <m/>
    <m/>
    <s v="OK"/>
    <m/>
    <m/>
    <m/>
    <s v="Ready 28 March"/>
    <s v="OK"/>
    <m/>
    <s v="Already RFI"/>
    <m/>
    <m/>
    <m/>
    <m/>
    <m/>
    <m/>
    <m/>
    <m/>
    <d v="2018-12-19T09:05:38"/>
    <m/>
    <m/>
    <m/>
    <m/>
    <x v="121"/>
    <s v="Not  Calculated"/>
    <n v="0"/>
    <s v="No File"/>
    <s v="ANMD_0224 (MAW225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224 (MAW2259) Application.xlsx"/>
    <m/>
  </r>
  <r>
    <n v="28"/>
    <x v="426"/>
    <x v="0"/>
    <x v="0"/>
    <s v="MOW6065"/>
    <x v="2"/>
    <s v="OML Phase 1 Colo"/>
    <s v="On Air"/>
    <s v="Colocation"/>
    <m/>
    <x v="75"/>
    <m/>
    <m/>
    <m/>
    <s v="EPA"/>
    <m/>
    <m/>
    <x v="1"/>
    <m/>
    <s v="OK"/>
    <s v="04-Apr-18: Okay for TI installation,  Lease hike request may raise while TI installation"/>
    <x v="0"/>
    <m/>
    <s v="OK"/>
    <m/>
    <s v="OK"/>
    <m/>
    <m/>
    <m/>
    <m/>
    <s v="OK"/>
    <m/>
    <m/>
    <m/>
    <s v="PE UG required - 30 March "/>
    <s v="OK"/>
    <s v="No"/>
    <m/>
    <m/>
    <m/>
    <m/>
    <m/>
    <m/>
    <m/>
    <m/>
    <m/>
    <d v="2018-12-19T09:05:38"/>
    <m/>
    <m/>
    <m/>
    <m/>
    <x v="121"/>
    <s v="Not  Calculated"/>
    <n v="0"/>
    <s v="No File"/>
    <s v="ASMO_0163 (MOW606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3 (MOW6065) Application.xlsx"/>
    <m/>
  </r>
  <r>
    <n v="29"/>
    <x v="427"/>
    <x v="0"/>
    <x v="0"/>
    <s v="YAW4265"/>
    <x v="2"/>
    <s v="Colocation"/>
    <m/>
    <s v="Colocation"/>
    <m/>
    <x v="75"/>
    <m/>
    <m/>
    <m/>
    <s v="EPA"/>
    <m/>
    <m/>
    <x v="3"/>
    <m/>
    <s v="OK"/>
    <s v="04-Apr-18: Okay for TI installation,  Lease hike request may raise while TI installation"/>
    <x v="0"/>
    <m/>
    <m/>
    <s v="Required Latest Audit Report"/>
    <s v="Review"/>
    <m/>
    <m/>
    <m/>
    <s v="Review-EPA over desing need to check tower"/>
    <s v="OK"/>
    <s v="90 Days"/>
    <m/>
    <d v="1900-01-02T12:00:00"/>
    <s v="BB DG"/>
    <s v="OK"/>
    <s v="Yes"/>
    <s v="Need to provide additional cable tray"/>
    <m/>
    <m/>
    <m/>
    <m/>
    <m/>
    <m/>
    <m/>
    <m/>
    <d v="2018-12-19T09:05:39"/>
    <m/>
    <m/>
    <m/>
    <m/>
    <x v="121"/>
    <s v="Not  Calculated"/>
    <n v="0"/>
    <s v="No File"/>
    <s v="AYYN_0338 (YAW426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38 (YAW4265) Application.xlsx"/>
    <m/>
  </r>
  <r>
    <n v="30"/>
    <x v="180"/>
    <x v="0"/>
    <x v="0"/>
    <s v="YAW4436"/>
    <x v="2"/>
    <s v="Colocation"/>
    <m/>
    <s v="Colocation"/>
    <m/>
    <x v="75"/>
    <m/>
    <m/>
    <m/>
    <s v="EPA"/>
    <m/>
    <m/>
    <x v="1"/>
    <m/>
    <s v="OK"/>
    <s v="04-Apr-18: Okay for TI installation,  Lease hike request may raise while TI installation"/>
    <x v="2"/>
    <s v="DG noise issue"/>
    <s v="OK"/>
    <m/>
    <s v="Review"/>
    <m/>
    <m/>
    <m/>
    <s v="Review-EPA over desing need to check tower"/>
    <s v="Review"/>
    <m/>
    <m/>
    <m/>
    <s v="BB DG+ Grid"/>
    <s v="OK"/>
    <s v="No"/>
    <m/>
    <m/>
    <m/>
    <m/>
    <m/>
    <m/>
    <m/>
    <m/>
    <m/>
    <m/>
    <m/>
    <m/>
    <m/>
    <m/>
    <x v="0"/>
    <s v="Not  Calculated"/>
    <n v="0"/>
    <s v="No File"/>
    <s v="AYYN_0611 (YAW443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611 (YAW4436) Application.xlsx"/>
    <m/>
  </r>
  <r>
    <n v="31"/>
    <x v="182"/>
    <x v="0"/>
    <x v="0"/>
    <s v="YAW4447"/>
    <x v="2"/>
    <m/>
    <m/>
    <m/>
    <m/>
    <x v="75"/>
    <m/>
    <m/>
    <m/>
    <s v="EPA"/>
    <m/>
    <m/>
    <x v="2"/>
    <m/>
    <s v="OK"/>
    <s v="04-Apr-18: Okay for TI installation,  Lease hike request may raise while TI installation"/>
    <x v="0"/>
    <m/>
    <m/>
    <s v="Required Latest Audit Report"/>
    <s v="OK"/>
    <m/>
    <m/>
    <m/>
    <m/>
    <s v="OK"/>
    <m/>
    <m/>
    <m/>
    <s v="PE UG required - ready 30 March "/>
    <s v="OK"/>
    <s v="Yes"/>
    <m/>
    <m/>
    <m/>
    <m/>
    <m/>
    <m/>
    <m/>
    <m/>
    <m/>
    <d v="2018-12-19T09:05:39"/>
    <m/>
    <m/>
    <m/>
    <m/>
    <x v="121"/>
    <s v="Not  Calculated"/>
    <n v="0"/>
    <s v="No File"/>
    <s v="AYYN_0529 (YAW444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29 (YAW4447) Application.xlsx"/>
    <m/>
  </r>
  <r>
    <n v="32"/>
    <x v="428"/>
    <x v="0"/>
    <x v="2"/>
    <s v="SAW0729"/>
    <x v="2"/>
    <s v="OML Phase 1 Colo"/>
    <s v="On Air"/>
    <s v="Colocation"/>
    <m/>
    <x v="75"/>
    <m/>
    <m/>
    <m/>
    <s v="EPA"/>
    <m/>
    <m/>
    <x v="1"/>
    <m/>
    <s v="OK"/>
    <s v="04-Apr-18: Okay for TI installation,  Lease hike request may raise while TI installation"/>
    <x v="0"/>
    <m/>
    <s v="OK"/>
    <m/>
    <s v="OK"/>
    <m/>
    <m/>
    <m/>
    <s v="OML need to put small RF 5.4m2"/>
    <s v="OK"/>
    <m/>
    <m/>
    <m/>
    <s v="Add Lio4 mods"/>
    <s v="OK"/>
    <s v="No"/>
    <m/>
    <m/>
    <m/>
    <m/>
    <m/>
    <m/>
    <m/>
    <m/>
    <m/>
    <d v="2018-12-19T09:05:39"/>
    <m/>
    <m/>
    <m/>
    <m/>
    <x v="121"/>
    <s v="Not  Calculated"/>
    <n v="0"/>
    <s v="No File"/>
    <s v="ANSG_0380 (SAW072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80 (SAW0729) Application.xlsx"/>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3BB6A7-4207-4208-9C79-5A925C3EFC11}" name="PivotTable1" cacheId="12" applyNumberFormats="0" applyBorderFormats="0" applyFontFormats="0" applyPatternFormats="0" applyAlignmentFormats="0" applyWidthHeightFormats="1" dataCaption="Values" updatedVersion="6" minRefreshableVersion="5" showDrill="0" itemPrintTitles="1" createdVersion="6" indent="0" showHeaders="0" outline="1" outlineData="1" multipleFieldFilters="0">
  <location ref="C29:E39" firstHeaderRow="1" firstDataRow="2" firstDataCol="1" rowPageCount="2" colPageCount="1"/>
  <pivotFields count="63">
    <pivotField numFmtId="304" showAll="0"/>
    <pivotField dataField="1" showAll="0"/>
    <pivotField axis="axisRow" showAll="0">
      <items count="3">
        <item x="0"/>
        <item x="1"/>
        <item t="default"/>
      </items>
    </pivotField>
    <pivotField showAll="0">
      <items count="4">
        <item x="1"/>
        <item x="2"/>
        <item x="0"/>
        <item t="default"/>
      </items>
    </pivotField>
    <pivotField showAll="0"/>
    <pivotField axis="axisCol" showAll="0" nonAutoSortDefault="1">
      <items count="6">
        <item h="1" x="0"/>
        <item x="1"/>
        <item h="1" x="2"/>
        <item h="1" x="3"/>
        <item h="1" x="4"/>
        <item t="default"/>
      </items>
    </pivotField>
    <pivotField showAll="0"/>
    <pivotField showAll="0"/>
    <pivotField showAll="0"/>
    <pivotField showAll="0"/>
    <pivotField axis="axisPage" numFmtId="14" multipleItemSelectionAllowed="1"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axis="axisRow" showAll="0">
      <items count="8">
        <item x="1"/>
        <item x="0"/>
        <item x="3"/>
        <item x="2"/>
        <item x="5"/>
        <item x="4"/>
        <item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23">
        <item x="121"/>
        <item x="120"/>
        <item x="119"/>
        <item x="118"/>
        <item x="117"/>
        <item x="116"/>
        <item x="115"/>
        <item x="114"/>
        <item x="113"/>
        <item x="112"/>
        <item x="107"/>
        <item x="106"/>
        <item x="105"/>
        <item x="104"/>
        <item x="103"/>
        <item x="102"/>
        <item x="100"/>
        <item x="99"/>
        <item x="98"/>
        <item x="97"/>
        <item x="96"/>
        <item x="95"/>
        <item x="94"/>
        <item x="93"/>
        <item x="92"/>
        <item x="90"/>
        <item x="89"/>
        <item x="88"/>
        <item x="86"/>
        <item x="84"/>
        <item x="83"/>
        <item x="82"/>
        <item x="81"/>
        <item x="79"/>
        <item x="78"/>
        <item x="76"/>
        <item x="75"/>
        <item x="74"/>
        <item x="73"/>
        <item x="85"/>
        <item x="87"/>
        <item x="68"/>
        <item x="69"/>
        <item x="72"/>
        <item x="65"/>
        <item x="60"/>
        <item x="61"/>
        <item x="62"/>
        <item x="63"/>
        <item x="111"/>
        <item x="58"/>
        <item x="59"/>
        <item x="80"/>
        <item x="56"/>
        <item x="71"/>
        <item x="54"/>
        <item x="55"/>
        <item x="50"/>
        <item x="52"/>
        <item x="53"/>
        <item x="77"/>
        <item x="41"/>
        <item x="42"/>
        <item x="44"/>
        <item x="40"/>
        <item x="38"/>
        <item x="70"/>
        <item x="66"/>
        <item x="67"/>
        <item x="36"/>
        <item x="64"/>
        <item x="57"/>
        <item x="45"/>
        <item x="35"/>
        <item x="37"/>
        <item x="39"/>
        <item x="33"/>
        <item x="34"/>
        <item x="108"/>
        <item x="109"/>
        <item x="110"/>
        <item x="32"/>
        <item x="101"/>
        <item x="91"/>
        <item x="25"/>
        <item x="24"/>
        <item x="26"/>
        <item x="27"/>
        <item x="47"/>
        <item x="48"/>
        <item x="18"/>
        <item x="20"/>
        <item x="43"/>
        <item x="15"/>
        <item x="17"/>
        <item x="19"/>
        <item x="12"/>
        <item x="30"/>
        <item x="9"/>
        <item x="49"/>
        <item x="11"/>
        <item x="21"/>
        <item x="13"/>
        <item x="31"/>
        <item x="29"/>
        <item x="28"/>
        <item x="22"/>
        <item x="14"/>
        <item x="10"/>
        <item x="23"/>
        <item x="16"/>
        <item x="51"/>
        <item x="46"/>
        <item x="6"/>
        <item x="7"/>
        <item x="5"/>
        <item x="4"/>
        <item x="8"/>
        <item x="2"/>
        <item x="3"/>
        <item x="1"/>
        <item x="0"/>
        <item t="default"/>
      </items>
    </pivotField>
    <pivotField showAll="0"/>
    <pivotField showAll="0"/>
    <pivotField showAll="0"/>
    <pivotField showAll="0"/>
    <pivotField showAll="0"/>
    <pivotField showAll="0"/>
    <pivotField showAll="0"/>
    <pivotField showAll="0"/>
    <pivotField showAll="0"/>
    <pivotField showAll="0"/>
    <pivotField axis="axisPage" multipleItemSelectionAllowed="1" showAll="0">
      <items count="15">
        <item sd="0" x="0"/>
        <item sd="0" x="1"/>
        <item sd="0" x="2"/>
        <item sd="0" x="3"/>
        <item sd="0" x="4"/>
        <item sd="0" x="5"/>
        <item sd="0" x="6"/>
        <item sd="0" x="7"/>
        <item sd="0" x="8"/>
        <item sd="0" x="9"/>
        <item sd="0" x="10"/>
        <item sd="0" x="11"/>
        <item sd="0" x="12"/>
        <item sd="0" x="13"/>
        <item t="default"/>
      </items>
    </pivotField>
  </pivotFields>
  <rowFields count="2">
    <field x="17"/>
    <field x="2"/>
  </rowFields>
  <rowItems count="9">
    <i>
      <x/>
    </i>
    <i r="1">
      <x/>
    </i>
    <i r="1">
      <x v="1"/>
    </i>
    <i>
      <x v="1"/>
    </i>
    <i r="1">
      <x/>
    </i>
    <i r="1">
      <x v="1"/>
    </i>
    <i>
      <x v="3"/>
    </i>
    <i r="1">
      <x/>
    </i>
    <i t="grand">
      <x/>
    </i>
  </rowItems>
  <colFields count="1">
    <field x="5"/>
  </colFields>
  <colItems count="2">
    <i>
      <x v="1"/>
    </i>
    <i t="grand">
      <x/>
    </i>
  </colItems>
  <pageFields count="2">
    <pageField fld="10" hier="-1"/>
    <pageField fld="62" hier="-1"/>
  </pageFields>
  <dataFields count="1">
    <dataField name="Count of Site ID" fld="1" subtotal="count" baseField="0" baseItem="0"/>
  </dataFields>
  <formats count="47">
    <format dxfId="613">
      <pivotArea type="all" dataOnly="0" outline="0" fieldPosition="0"/>
    </format>
    <format dxfId="614">
      <pivotArea outline="0" collapsedLevelsAreSubtotals="1" fieldPosition="0"/>
    </format>
    <format dxfId="615">
      <pivotArea dataOnly="0" labelOnly="1" outline="0" axis="axisValues" fieldPosition="0"/>
    </format>
    <format dxfId="616">
      <pivotArea type="all" dataOnly="0" outline="0" fieldPosition="0"/>
    </format>
    <format dxfId="617">
      <pivotArea outline="0" collapsedLevelsAreSubtotals="1" fieldPosition="0"/>
    </format>
    <format dxfId="618">
      <pivotArea type="origin" dataOnly="0" labelOnly="1" outline="0" fieldPosition="0"/>
    </format>
    <format dxfId="619">
      <pivotArea field="5" type="button" dataOnly="0" labelOnly="1" outline="0" axis="axisCol" fieldPosition="0"/>
    </format>
    <format dxfId="620">
      <pivotArea type="topRight" dataOnly="0" labelOnly="1" outline="0" fieldPosition="0"/>
    </format>
    <format dxfId="621">
      <pivotArea field="17" type="button" dataOnly="0" labelOnly="1" outline="0" axis="axisRow" fieldPosition="0"/>
    </format>
    <format dxfId="622">
      <pivotArea dataOnly="0" labelOnly="1" fieldPosition="0">
        <references count="1">
          <reference field="17" count="3">
            <x v="0"/>
            <x v="1"/>
            <x v="3"/>
          </reference>
        </references>
      </pivotArea>
    </format>
    <format dxfId="623">
      <pivotArea dataOnly="0" labelOnly="1" grandRow="1" outline="0" fieldPosition="0"/>
    </format>
    <format dxfId="624">
      <pivotArea dataOnly="0" labelOnly="1" fieldPosition="0">
        <references count="1">
          <reference field="5" count="0"/>
        </references>
      </pivotArea>
    </format>
    <format dxfId="625">
      <pivotArea dataOnly="0" labelOnly="1" grandCol="1" outline="0" fieldPosition="0"/>
    </format>
    <format dxfId="626">
      <pivotArea collapsedLevelsAreSubtotals="1" fieldPosition="0">
        <references count="1">
          <reference field="17" count="1">
            <x v="1"/>
          </reference>
        </references>
      </pivotArea>
    </format>
    <format dxfId="627">
      <pivotArea collapsedLevelsAreSubtotals="1" fieldPosition="0">
        <references count="2">
          <reference field="2" count="0"/>
          <reference field="17" count="1" selected="0">
            <x v="1"/>
          </reference>
        </references>
      </pivotArea>
    </format>
    <format dxfId="628">
      <pivotArea collapsedLevelsAreSubtotals="1" fieldPosition="0">
        <references count="1">
          <reference field="17" count="1">
            <x v="0"/>
          </reference>
        </references>
      </pivotArea>
    </format>
    <format dxfId="629">
      <pivotArea collapsedLevelsAreSubtotals="1" fieldPosition="0">
        <references count="2">
          <reference field="2" count="0"/>
          <reference field="17" count="1" selected="0">
            <x v="0"/>
          </reference>
        </references>
      </pivotArea>
    </format>
    <format dxfId="630">
      <pivotArea collapsedLevelsAreSubtotals="1" fieldPosition="0">
        <references count="1">
          <reference field="17" count="1">
            <x v="3"/>
          </reference>
        </references>
      </pivotArea>
    </format>
    <format dxfId="631">
      <pivotArea collapsedLevelsAreSubtotals="1" fieldPosition="0">
        <references count="1">
          <reference field="17" count="1">
            <x v="3"/>
          </reference>
        </references>
      </pivotArea>
    </format>
    <format dxfId="632">
      <pivotArea dataOnly="0" labelOnly="1" fieldPosition="0">
        <references count="1">
          <reference field="17" count="1">
            <x v="3"/>
          </reference>
        </references>
      </pivotArea>
    </format>
    <format dxfId="633">
      <pivotArea outline="0" collapsedLevelsAreSubtotals="1" fieldPosition="0"/>
    </format>
    <format dxfId="634">
      <pivotArea dataOnly="0" labelOnly="1" fieldPosition="0">
        <references count="1">
          <reference field="5" count="0"/>
        </references>
      </pivotArea>
    </format>
    <format dxfId="635">
      <pivotArea dataOnly="0" labelOnly="1" grandCol="1" outline="0" fieldPosition="0"/>
    </format>
    <format dxfId="636">
      <pivotArea dataOnly="0" fieldPosition="0">
        <references count="2">
          <reference field="2" count="0" defaultSubtotal="1" sumSubtotal="1" countASubtotal="1" avgSubtotal="1" maxSubtotal="1" minSubtotal="1" productSubtotal="1" countSubtotal="1" stdDevSubtotal="1" stdDevPSubtotal="1" varSubtotal="1" varPSubtotal="1"/>
          <reference field="17" count="2">
            <x v="2"/>
            <x v="3"/>
          </reference>
        </references>
      </pivotArea>
    </format>
    <format dxfId="637">
      <pivotArea dataOnly="0" fieldPosition="0">
        <references count="1">
          <reference field="17" count="1">
            <x v="0"/>
          </reference>
        </references>
      </pivotArea>
    </format>
    <format dxfId="638">
      <pivotArea collapsedLevelsAreSubtotals="1" fieldPosition="0">
        <references count="1">
          <reference field="17" count="1">
            <x v="1"/>
          </reference>
        </references>
      </pivotArea>
    </format>
    <format dxfId="639">
      <pivotArea dataOnly="0" labelOnly="1" fieldPosition="0">
        <references count="1">
          <reference field="17" count="1">
            <x v="1"/>
          </reference>
        </references>
      </pivotArea>
    </format>
    <format dxfId="640">
      <pivotArea collapsedLevelsAreSubtotals="1" fieldPosition="0">
        <references count="1">
          <reference field="17" count="1">
            <x v="2"/>
          </reference>
        </references>
      </pivotArea>
    </format>
    <format dxfId="641">
      <pivotArea dataOnly="0" labelOnly="1" fieldPosition="0">
        <references count="1">
          <reference field="17" count="1">
            <x v="2"/>
          </reference>
        </references>
      </pivotArea>
    </format>
    <format dxfId="642">
      <pivotArea collapsedLevelsAreSubtotals="1" fieldPosition="0">
        <references count="1">
          <reference field="17" count="1">
            <x v="4"/>
          </reference>
        </references>
      </pivotArea>
    </format>
    <format dxfId="643">
      <pivotArea collapsedLevelsAreSubtotals="1" fieldPosition="0">
        <references count="2">
          <reference field="2" count="1">
            <x v="0"/>
          </reference>
          <reference field="17" count="1" selected="0">
            <x v="4"/>
          </reference>
        </references>
      </pivotArea>
    </format>
    <format dxfId="644">
      <pivotArea collapsedLevelsAreSubtotals="1" fieldPosition="0">
        <references count="1">
          <reference field="17" count="1">
            <x v="5"/>
          </reference>
        </references>
      </pivotArea>
    </format>
    <format dxfId="645">
      <pivotArea collapsedLevelsAreSubtotals="1" fieldPosition="0">
        <references count="2">
          <reference field="2" count="1">
            <x v="0"/>
          </reference>
          <reference field="17" count="1" selected="0">
            <x v="5"/>
          </reference>
        </references>
      </pivotArea>
    </format>
    <format dxfId="646">
      <pivotArea dataOnly="0" labelOnly="1" fieldPosition="0">
        <references count="1">
          <reference field="17" count="2">
            <x v="4"/>
            <x v="5"/>
          </reference>
        </references>
      </pivotArea>
    </format>
    <format dxfId="647">
      <pivotArea dataOnly="0" labelOnly="1" fieldPosition="0">
        <references count="2">
          <reference field="2" count="1">
            <x v="0"/>
          </reference>
          <reference field="17" count="1" selected="0">
            <x v="3"/>
          </reference>
        </references>
      </pivotArea>
    </format>
    <format dxfId="648">
      <pivotArea collapsedLevelsAreSubtotals="1" fieldPosition="0">
        <references count="2">
          <reference field="2" count="0"/>
          <reference field="17" count="1" selected="0">
            <x v="2"/>
          </reference>
        </references>
      </pivotArea>
    </format>
    <format dxfId="649">
      <pivotArea dataOnly="0" labelOnly="1" fieldPosition="0">
        <references count="2">
          <reference field="2" count="0"/>
          <reference field="17" count="1" selected="0">
            <x v="2"/>
          </reference>
        </references>
      </pivotArea>
    </format>
    <format dxfId="650">
      <pivotArea collapsedLevelsAreSubtotals="1" fieldPosition="0">
        <references count="1">
          <reference field="17" count="1">
            <x v="3"/>
          </reference>
        </references>
      </pivotArea>
    </format>
    <format dxfId="651">
      <pivotArea dataOnly="0" labelOnly="1" fieldPosition="0">
        <references count="1">
          <reference field="17" count="1">
            <x v="3"/>
          </reference>
        </references>
      </pivotArea>
    </format>
    <format dxfId="652">
      <pivotArea dataOnly="0" labelOnly="1" fieldPosition="0">
        <references count="2">
          <reference field="2" count="1">
            <x v="0"/>
          </reference>
          <reference field="17" count="1" selected="0">
            <x v="3"/>
          </reference>
        </references>
      </pivotArea>
    </format>
    <format dxfId="653">
      <pivotArea collapsedLevelsAreSubtotals="1" fieldPosition="0">
        <references count="2">
          <reference field="2" count="0"/>
          <reference field="17" count="1" selected="0">
            <x v="0"/>
          </reference>
        </references>
      </pivotArea>
    </format>
    <format dxfId="654">
      <pivotArea dataOnly="0" labelOnly="1" fieldPosition="0">
        <references count="2">
          <reference field="2" count="0"/>
          <reference field="17" count="1" selected="0">
            <x v="0"/>
          </reference>
        </references>
      </pivotArea>
    </format>
    <format dxfId="655">
      <pivotArea collapsedLevelsAreSubtotals="1" fieldPosition="0">
        <references count="2">
          <reference field="2" count="0"/>
          <reference field="17" count="1" selected="0">
            <x v="1"/>
          </reference>
        </references>
      </pivotArea>
    </format>
    <format dxfId="656">
      <pivotArea dataOnly="0" labelOnly="1" fieldPosition="0">
        <references count="2">
          <reference field="2" count="0"/>
          <reference field="17" count="1" selected="0">
            <x v="1"/>
          </reference>
        </references>
      </pivotArea>
    </format>
    <format dxfId="657">
      <pivotArea dataOnly="0" labelOnly="1" fieldPosition="0">
        <references count="2">
          <reference field="2" count="1">
            <x v="1"/>
          </reference>
          <reference field="17" count="1" selected="0">
            <x v="3"/>
          </reference>
        </references>
      </pivotArea>
    </format>
    <format dxfId="658">
      <pivotArea collapsedLevelsAreSubtotals="1" fieldPosition="0">
        <references count="2">
          <reference field="2" count="0"/>
          <reference field="17" count="1" selected="0">
            <x v="3"/>
          </reference>
        </references>
      </pivotArea>
    </format>
    <format dxfId="659">
      <pivotArea collapsedLevelsAreSubtotals="1" fieldPosition="0">
        <references count="2">
          <reference field="2" count="0"/>
          <reference field="17" count="1" selected="0">
            <x v="3"/>
          </reference>
        </references>
      </pivotArea>
    </format>
  </formats>
  <pivotTableStyleInfo name="PivotStyleLight15" showRowHeaders="1" showColHeaders="1" showRowStripes="0" showColStripes="0" showLastColumn="1"/>
  <filters count="1">
    <filter fld="10" type="dateBetween" evalOrder="-1" id="33" name="Request Date">
      <autoFilter ref="A1">
        <filterColumn colId="0">
          <customFilters and="1">
            <customFilter operator="greaterThanOrEqual" val="43344"/>
            <customFilter operator="lessThanOrEqual" val="4383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C7ADC1A-D575-4F66-A4A3-11E627991504}" name="PivotTable3" cacheId="1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A3:B7" firstHeaderRow="1" firstDataRow="1" firstDataCol="1"/>
  <pivotFields count="63">
    <pivotField numFmtId="304" showAll="0"/>
    <pivotField dataField="1" showAll="0"/>
    <pivotField showAll="0">
      <items count="3">
        <item x="0"/>
        <item x="1"/>
        <item t="default"/>
      </items>
    </pivotField>
    <pivotField showAll="0">
      <items count="4">
        <item x="1"/>
        <item x="2"/>
        <item x="0"/>
        <item t="default"/>
      </items>
    </pivotField>
    <pivotField showAll="0"/>
    <pivotField showAll="0">
      <items count="6">
        <item x="1"/>
        <item h="1" x="0"/>
        <item h="1" x="3"/>
        <item h="1" x="2"/>
        <item h="1" x="4"/>
        <item t="default"/>
      </items>
    </pivotField>
    <pivotField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axis="axisRow" showAll="0" nonAutoSortDefault="1">
      <items count="8">
        <item m="1" x="6"/>
        <item x="1"/>
        <item x="0"/>
        <item x="3"/>
        <item x="2"/>
        <item x="4"/>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23">
        <item x="121"/>
        <item x="120"/>
        <item x="119"/>
        <item x="118"/>
        <item x="117"/>
        <item x="116"/>
        <item x="115"/>
        <item x="114"/>
        <item x="113"/>
        <item x="112"/>
        <item x="107"/>
        <item x="106"/>
        <item x="105"/>
        <item x="104"/>
        <item x="103"/>
        <item x="102"/>
        <item x="100"/>
        <item x="99"/>
        <item x="98"/>
        <item x="97"/>
        <item x="96"/>
        <item x="95"/>
        <item x="94"/>
        <item x="93"/>
        <item x="92"/>
        <item x="90"/>
        <item x="89"/>
        <item x="88"/>
        <item x="86"/>
        <item x="84"/>
        <item x="83"/>
        <item x="82"/>
        <item x="81"/>
        <item x="79"/>
        <item x="78"/>
        <item x="76"/>
        <item x="75"/>
        <item x="74"/>
        <item x="73"/>
        <item x="85"/>
        <item x="87"/>
        <item x="68"/>
        <item x="69"/>
        <item x="72"/>
        <item x="65"/>
        <item x="60"/>
        <item x="61"/>
        <item x="62"/>
        <item x="63"/>
        <item x="111"/>
        <item x="58"/>
        <item x="59"/>
        <item x="80"/>
        <item x="56"/>
        <item x="71"/>
        <item x="54"/>
        <item x="55"/>
        <item x="50"/>
        <item x="52"/>
        <item x="53"/>
        <item x="77"/>
        <item x="41"/>
        <item x="42"/>
        <item x="44"/>
        <item x="40"/>
        <item x="38"/>
        <item x="70"/>
        <item x="66"/>
        <item x="67"/>
        <item x="36"/>
        <item x="64"/>
        <item x="57"/>
        <item x="45"/>
        <item x="35"/>
        <item x="37"/>
        <item x="39"/>
        <item x="33"/>
        <item x="34"/>
        <item x="108"/>
        <item x="109"/>
        <item x="110"/>
        <item x="32"/>
        <item x="101"/>
        <item x="91"/>
        <item x="25"/>
        <item x="24"/>
        <item x="26"/>
        <item x="27"/>
        <item x="47"/>
        <item x="48"/>
        <item x="18"/>
        <item x="20"/>
        <item x="43"/>
        <item x="15"/>
        <item x="17"/>
        <item x="19"/>
        <item x="12"/>
        <item x="30"/>
        <item x="9"/>
        <item x="49"/>
        <item x="11"/>
        <item x="21"/>
        <item x="13"/>
        <item x="31"/>
        <item x="29"/>
        <item x="28"/>
        <item x="22"/>
        <item x="14"/>
        <item x="10"/>
        <item x="23"/>
        <item x="16"/>
        <item x="51"/>
        <item x="46"/>
        <item x="6"/>
        <item x="7"/>
        <item x="5"/>
        <item x="4"/>
        <item x="8"/>
        <item x="2"/>
        <item x="3"/>
        <item x="1"/>
        <item x="0"/>
        <item t="default"/>
      </items>
    </pivotField>
    <pivotField showAll="0"/>
    <pivotField showAll="0"/>
    <pivotField showAll="0"/>
    <pivotField showAll="0"/>
    <pivotField showAll="0"/>
    <pivotField showAll="0"/>
    <pivotField showAll="0"/>
    <pivotField showAll="0"/>
    <pivotField showAll="0"/>
    <pivotField showAll="0"/>
    <pivotField showAll="0" defaultSubtotal="0"/>
  </pivotFields>
  <rowFields count="1">
    <field x="17"/>
  </rowFields>
  <rowItems count="4">
    <i>
      <x v="1"/>
    </i>
    <i>
      <x v="2"/>
    </i>
    <i>
      <x v="4"/>
    </i>
    <i t="grand">
      <x/>
    </i>
  </rowItems>
  <colItems count="1">
    <i/>
  </colItems>
  <dataFields count="1">
    <dataField name="Count of Site ID" fld="1" subtotal="count" baseField="0" baseItem="0"/>
  </dataFields>
  <formats count="2">
    <format dxfId="611">
      <pivotArea outline="0" collapsedLevelsAreSubtotals="1" fieldPosition="0"/>
    </format>
    <format dxfId="612">
      <pivotArea dataOnly="0" labelOnly="1" outline="0" axis="axisValues" fieldPosition="0"/>
    </format>
  </formats>
  <chartFormats count="10">
    <chartFormat chart="0" format="1"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17" count="1" selected="0">
            <x v="4"/>
          </reference>
        </references>
      </pivotArea>
    </chartFormat>
    <chartFormat chart="2" format="9">
      <pivotArea type="data" outline="0" fieldPosition="0">
        <references count="2">
          <reference field="4294967294" count="1" selected="0">
            <x v="0"/>
          </reference>
          <reference field="17" count="1" selected="0">
            <x v="1"/>
          </reference>
        </references>
      </pivotArea>
    </chartFormat>
    <chartFormat chart="2" format="10">
      <pivotArea type="data" outline="0" fieldPosition="0">
        <references count="2">
          <reference field="4294967294" count="1" selected="0">
            <x v="0"/>
          </reference>
          <reference field="17" count="1" selected="0">
            <x v="3"/>
          </reference>
        </references>
      </pivotArea>
    </chartFormat>
    <chartFormat chart="2" format="11">
      <pivotArea type="data" outline="0" fieldPosition="0">
        <references count="2">
          <reference field="4294967294" count="1" selected="0">
            <x v="0"/>
          </reference>
          <reference field="17" count="1" selected="0">
            <x v="2"/>
          </reference>
        </references>
      </pivotArea>
    </chartFormat>
    <chartFormat chart="0" format="2">
      <pivotArea type="data" outline="0" fieldPosition="0">
        <references count="2">
          <reference field="4294967294" count="1" selected="0">
            <x v="0"/>
          </reference>
          <reference field="17" count="1" selected="0">
            <x v="1"/>
          </reference>
        </references>
      </pivotArea>
    </chartFormat>
    <chartFormat chart="0" format="3">
      <pivotArea type="data" outline="0" fieldPosition="0">
        <references count="2">
          <reference field="4294967294" count="1" selected="0">
            <x v="0"/>
          </reference>
          <reference field="17" count="1" selected="0">
            <x v="2"/>
          </reference>
        </references>
      </pivotArea>
    </chartFormat>
    <chartFormat chart="0" format="4">
      <pivotArea type="data" outline="0" fieldPosition="0">
        <references count="2">
          <reference field="4294967294" count="1" selected="0">
            <x v="0"/>
          </reference>
          <reference field="17" count="1" selected="0">
            <x v="3"/>
          </reference>
        </references>
      </pivotArea>
    </chartFormat>
    <chartFormat chart="0" format="5">
      <pivotArea type="data" outline="0" fieldPosition="0">
        <references count="2">
          <reference field="4294967294" count="1" selected="0">
            <x v="0"/>
          </reference>
          <reference field="17" count="1" selected="0">
            <x v="4"/>
          </reference>
        </references>
      </pivotArea>
    </chartFormat>
  </chartFormats>
  <pivotTableStyleInfo name="PivotStyleLight16" showRowHeaders="1" showColHeaders="1" showRowStripes="0" showColStripes="0" showLastColumn="1"/>
  <filters count="1">
    <filter fld="10" type="dateBetween" evalOrder="-1" id="19" name="Request Date">
      <autoFilter ref="A1">
        <filterColumn colId="0">
          <customFilters and="1">
            <customFilter operator="greaterThanOrEqual" val="43344"/>
            <customFilter operator="lessThanOrEqual" val="4383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224BF3-DDBD-429C-AADF-0A7B405C55F3}" name="PivotTable2"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3:C5" firstHeaderRow="1" firstDataRow="2" firstDataCol="1" rowPageCount="1" colPageCount="1"/>
  <pivotFields count="63">
    <pivotField numFmtId="304" showAll="0"/>
    <pivotField dataField="1" showAll="0">
      <items count="430">
        <item x="90"/>
        <item x="84"/>
        <item x="163"/>
        <item x="95"/>
        <item x="87"/>
        <item x="130"/>
        <item x="205"/>
        <item x="107"/>
        <item x="78"/>
        <item x="45"/>
        <item x="15"/>
        <item x="76"/>
        <item x="113"/>
        <item x="114"/>
        <item x="100"/>
        <item x="73"/>
        <item x="150"/>
        <item x="9"/>
        <item x="187"/>
        <item x="110"/>
        <item x="47"/>
        <item x="32"/>
        <item x="37"/>
        <item x="188"/>
        <item x="154"/>
        <item x="38"/>
        <item x="160"/>
        <item x="117"/>
        <item x="149"/>
        <item x="152"/>
        <item x="162"/>
        <item x="153"/>
        <item x="161"/>
        <item x="208"/>
        <item x="148"/>
        <item x="5"/>
        <item x="118"/>
        <item x="230"/>
        <item x="193"/>
        <item x="34"/>
        <item x="190"/>
        <item x="192"/>
        <item x="11"/>
        <item x="186"/>
        <item x="183"/>
        <item x="14"/>
        <item x="194"/>
        <item x="12"/>
        <item x="158"/>
        <item x="41"/>
        <item x="167"/>
        <item x="212"/>
        <item x="44"/>
        <item x="151"/>
        <item x="115"/>
        <item x="201"/>
        <item x="116"/>
        <item x="46"/>
        <item x="10"/>
        <item x="4"/>
        <item x="127"/>
        <item x="49"/>
        <item x="51"/>
        <item x="48"/>
        <item x="50"/>
        <item x="52"/>
        <item x="140"/>
        <item x="139"/>
        <item x="111"/>
        <item x="59"/>
        <item x="191"/>
        <item x="2"/>
        <item x="103"/>
        <item x="89"/>
        <item x="98"/>
        <item x="3"/>
        <item x="88"/>
        <item x="39"/>
        <item x="202"/>
        <item x="164"/>
        <item x="155"/>
        <item x="213"/>
        <item x="99"/>
        <item x="57"/>
        <item x="216"/>
        <item x="197"/>
        <item x="159"/>
        <item x="20"/>
        <item x="204"/>
        <item x="109"/>
        <item x="156"/>
        <item x="210"/>
        <item x="157"/>
        <item x="104"/>
        <item x="30"/>
        <item x="214"/>
        <item x="171"/>
        <item x="195"/>
        <item x="65"/>
        <item x="75"/>
        <item x="42"/>
        <item x="97"/>
        <item x="209"/>
        <item x="206"/>
        <item x="72"/>
        <item x="64"/>
        <item x="63"/>
        <item x="390"/>
        <item x="211"/>
        <item x="184"/>
        <item x="166"/>
        <item x="120"/>
        <item x="96"/>
        <item x="55"/>
        <item x="170"/>
        <item x="121"/>
        <item x="6"/>
        <item x="25"/>
        <item x="7"/>
        <item x="165"/>
        <item x="119"/>
        <item x="128"/>
        <item x="40"/>
        <item x="102"/>
        <item x="112"/>
        <item x="85"/>
        <item x="217"/>
        <item x="189"/>
        <item x="134"/>
        <item x="215"/>
        <item x="122"/>
        <item x="123"/>
        <item x="133"/>
        <item x="207"/>
        <item x="86"/>
        <item x="36"/>
        <item x="101"/>
        <item x="74"/>
        <item x="135"/>
        <item x="23"/>
        <item x="83"/>
        <item x="82"/>
        <item x="0"/>
        <item x="21"/>
        <item x="1"/>
        <item x="278"/>
        <item x="336"/>
        <item x="334"/>
        <item x="335"/>
        <item x="221"/>
        <item x="295"/>
        <item x="265"/>
        <item x="105"/>
        <item x="318"/>
        <item x="222"/>
        <item x="315"/>
        <item x="345"/>
        <item x="220"/>
        <item x="350"/>
        <item x="378"/>
        <item x="245"/>
        <item x="330"/>
        <item x="328"/>
        <item x="29"/>
        <item x="332"/>
        <item x="331"/>
        <item x="327"/>
        <item x="329"/>
        <item x="310"/>
        <item x="391"/>
        <item x="198"/>
        <item x="285"/>
        <item x="395"/>
        <item x="394"/>
        <item x="393"/>
        <item x="316"/>
        <item x="284"/>
        <item x="226"/>
        <item x="225"/>
        <item x="300"/>
        <item x="392"/>
        <item x="396"/>
        <item x="333"/>
        <item x="326"/>
        <item x="43"/>
        <item x="324"/>
        <item x="377"/>
        <item x="281"/>
        <item x="223"/>
        <item x="403"/>
        <item x="275"/>
        <item x="404"/>
        <item x="108"/>
        <item x="58"/>
        <item x="54"/>
        <item x="365"/>
        <item x="138"/>
        <item x="227"/>
        <item x="341"/>
        <item x="338"/>
        <item x="347"/>
        <item x="126"/>
        <item x="405"/>
        <item x="16"/>
        <item x="17"/>
        <item x="141"/>
        <item x="142"/>
        <item x="143"/>
        <item x="367"/>
        <item x="144"/>
        <item x="242"/>
        <item x="372"/>
        <item x="236"/>
        <item x="387"/>
        <item x="252"/>
        <item x="256"/>
        <item x="366"/>
        <item x="257"/>
        <item x="348"/>
        <item x="228"/>
        <item x="362"/>
        <item x="258"/>
        <item x="364"/>
        <item x="251"/>
        <item x="406"/>
        <item x="237"/>
        <item x="172"/>
        <item x="106"/>
        <item x="407"/>
        <item x="147"/>
        <item x="268"/>
        <item x="343"/>
        <item x="137"/>
        <item x="18"/>
        <item x="53"/>
        <item x="146"/>
        <item x="368"/>
        <item x="129"/>
        <item x="357"/>
        <item x="349"/>
        <item x="19"/>
        <item x="136"/>
        <item x="408"/>
        <item x="93"/>
        <item x="238"/>
        <item x="131"/>
        <item x="31"/>
        <item x="425"/>
        <item x="24"/>
        <item x="145"/>
        <item x="241"/>
        <item x="169"/>
        <item x="352"/>
        <item x="253"/>
        <item x="369"/>
        <item x="269"/>
        <item x="399"/>
        <item x="353"/>
        <item x="247"/>
        <item x="56"/>
        <item x="91"/>
        <item x="351"/>
        <item x="270"/>
        <item x="232"/>
        <item x="254"/>
        <item x="271"/>
        <item x="355"/>
        <item x="358"/>
        <item x="359"/>
        <item x="379"/>
        <item x="400"/>
        <item x="371"/>
        <item x="262"/>
        <item x="81"/>
        <item x="273"/>
        <item x="398"/>
        <item x="397"/>
        <item x="402"/>
        <item x="219"/>
        <item x="370"/>
        <item x="235"/>
        <item x="272"/>
        <item x="203"/>
        <item x="409"/>
        <item x="363"/>
        <item x="267"/>
        <item x="342"/>
        <item x="339"/>
        <item x="423"/>
        <item x="340"/>
        <item x="356"/>
        <item x="410"/>
        <item x="264"/>
        <item x="274"/>
        <item x="22"/>
        <item x="344"/>
        <item x="361"/>
        <item x="428"/>
        <item x="354"/>
        <item x="346"/>
        <item x="168"/>
        <item x="261"/>
        <item x="94"/>
        <item x="199"/>
        <item x="380"/>
        <item x="60"/>
        <item x="124"/>
        <item x="200"/>
        <item x="33"/>
        <item x="411"/>
        <item x="248"/>
        <item x="35"/>
        <item x="239"/>
        <item x="360"/>
        <item x="386"/>
        <item x="412"/>
        <item x="80"/>
        <item x="373"/>
        <item x="266"/>
        <item x="307"/>
        <item x="79"/>
        <item x="224"/>
        <item x="319"/>
        <item x="426"/>
        <item x="320"/>
        <item x="322"/>
        <item x="321"/>
        <item x="323"/>
        <item x="325"/>
        <item x="305"/>
        <item x="71"/>
        <item x="280"/>
        <item x="177"/>
        <item x="70"/>
        <item x="246"/>
        <item x="234"/>
        <item x="337"/>
        <item x="289"/>
        <item x="287"/>
        <item x="413"/>
        <item x="376"/>
        <item x="301"/>
        <item x="279"/>
        <item x="77"/>
        <item x="375"/>
        <item x="374"/>
        <item x="229"/>
        <item x="385"/>
        <item x="296"/>
        <item x="196"/>
        <item x="317"/>
        <item x="414"/>
        <item x="424"/>
        <item x="250"/>
        <item x="293"/>
        <item x="260"/>
        <item x="290"/>
        <item x="415"/>
        <item x="291"/>
        <item x="401"/>
        <item x="244"/>
        <item x="384"/>
        <item x="416"/>
        <item x="417"/>
        <item x="422"/>
        <item x="383"/>
        <item x="382"/>
        <item x="132"/>
        <item x="283"/>
        <item x="92"/>
        <item x="173"/>
        <item x="421"/>
        <item x="66"/>
        <item x="125"/>
        <item x="181"/>
        <item x="314"/>
        <item x="276"/>
        <item x="302"/>
        <item x="231"/>
        <item x="299"/>
        <item x="174"/>
        <item x="27"/>
        <item x="427"/>
        <item x="243"/>
        <item x="418"/>
        <item x="26"/>
        <item x="419"/>
        <item x="420"/>
        <item x="68"/>
        <item x="303"/>
        <item x="286"/>
        <item x="240"/>
        <item x="389"/>
        <item x="249"/>
        <item x="263"/>
        <item x="292"/>
        <item x="309"/>
        <item x="282"/>
        <item x="311"/>
        <item x="233"/>
        <item x="313"/>
        <item x="178"/>
        <item x="255"/>
        <item x="308"/>
        <item x="259"/>
        <item x="388"/>
        <item x="182"/>
        <item x="61"/>
        <item x="288"/>
        <item x="179"/>
        <item x="306"/>
        <item x="277"/>
        <item x="28"/>
        <item x="312"/>
        <item x="304"/>
        <item x="176"/>
        <item x="69"/>
        <item x="298"/>
        <item x="67"/>
        <item x="297"/>
        <item x="175"/>
        <item x="294"/>
        <item x="185"/>
        <item x="381"/>
        <item x="218"/>
        <item x="180"/>
        <item x="62"/>
        <item x="8"/>
        <item x="13"/>
        <item t="default"/>
      </items>
    </pivotField>
    <pivotField showAll="0">
      <items count="3">
        <item x="0"/>
        <item x="1"/>
        <item t="default"/>
      </items>
    </pivotField>
    <pivotField showAll="0">
      <items count="4">
        <item x="1"/>
        <item x="2"/>
        <item x="0"/>
        <item t="default"/>
      </items>
    </pivotField>
    <pivotField showAll="0"/>
    <pivotField showAll="0">
      <items count="6">
        <item x="1"/>
        <item h="1" x="0"/>
        <item h="1" x="3"/>
        <item h="1" x="2"/>
        <item h="1" x="4"/>
        <item t="default"/>
      </items>
    </pivotField>
    <pivotField showAll="0"/>
    <pivotField showAll="0"/>
    <pivotField showAll="0"/>
    <pivotField showAll="0"/>
    <pivotField numFmtId="14" showAll="0"/>
    <pivotField showAll="0"/>
    <pivotField showAll="0"/>
    <pivotField showAll="0"/>
    <pivotField showAll="0"/>
    <pivotField showAll="0"/>
    <pivotField showAll="0"/>
    <pivotField axis="axisPage" multipleItemSelectionAllowed="1" showAll="0">
      <items count="8">
        <item m="1" x="6"/>
        <item h="1" x="4"/>
        <item h="1" x="5"/>
        <item h="1" x="2"/>
        <item h="1" x="1"/>
        <item h="1" x="3"/>
        <item x="0"/>
        <item t="default"/>
      </items>
    </pivotField>
    <pivotField showAll="0"/>
    <pivotField showAll="0"/>
    <pivotField showAll="0"/>
    <pivotField axis="axisCol" showAll="0">
      <items count="5">
        <item x="0"/>
        <item x="3"/>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s>
  <rowItems count="1">
    <i/>
  </rowItems>
  <colFields count="1">
    <field x="21"/>
  </colFields>
  <colItems count="2">
    <i>
      <x/>
    </i>
    <i t="grand">
      <x/>
    </i>
  </colItems>
  <pageFields count="1">
    <pageField fld="17" hier="-1"/>
  </pageFields>
  <dataFields count="1">
    <dataField name="Count of Site ID" fld="1" subtotal="count" baseField="0" baseItem="0"/>
  </dataFields>
  <formats count="6">
    <format dxfId="605">
      <pivotArea type="all" dataOnly="0" outline="0" fieldPosition="0"/>
    </format>
    <format dxfId="606">
      <pivotArea outline="0" collapsedLevelsAreSubtotals="1" fieldPosition="0"/>
    </format>
    <format dxfId="607">
      <pivotArea type="origin" dataOnly="0" labelOnly="1" outline="0" fieldPosition="0"/>
    </format>
    <format dxfId="608">
      <pivotArea dataOnly="0" labelOnly="1" outline="0" axis="axisValues" fieldPosition="0"/>
    </format>
    <format dxfId="609">
      <pivotArea field="21" type="button" dataOnly="0" labelOnly="1" outline="0" axis="axisCol" fieldPosition="0"/>
    </format>
    <format dxfId="610">
      <pivotArea type="topRight" dataOnly="0" labelOnly="1" outline="0" fieldPosition="0"/>
    </format>
  </format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21" count="1" selected="0">
            <x v="3"/>
          </reference>
        </references>
      </pivotArea>
    </chartFormat>
    <chartFormat chart="0" format="2" series="1">
      <pivotArea type="data" outline="0" fieldPosition="0">
        <references count="2">
          <reference field="4294967294" count="1" selected="0">
            <x v="0"/>
          </reference>
          <reference field="21" count="1" selected="0">
            <x v="0"/>
          </reference>
        </references>
      </pivotArea>
    </chartFormat>
    <chartFormat chart="0" format="3" series="1">
      <pivotArea type="data" outline="0" fieldPosition="0">
        <references count="2">
          <reference field="4294967294" count="1" selected="0">
            <x v="0"/>
          </reference>
          <reference field="21" count="1" selected="0">
            <x v="2"/>
          </reference>
        </references>
      </pivotArea>
    </chartFormat>
    <chartFormat chart="5" format="8" series="1">
      <pivotArea type="data" outline="0" fieldPosition="0">
        <references count="2">
          <reference field="4294967294" count="1" selected="0">
            <x v="0"/>
          </reference>
          <reference field="21" count="1" selected="0">
            <x v="0"/>
          </reference>
        </references>
      </pivotArea>
    </chartFormat>
    <chartFormat chart="5" format="9" series="1">
      <pivotArea type="data" outline="0" fieldPosition="0">
        <references count="2">
          <reference field="4294967294" count="1" selected="0">
            <x v="0"/>
          </reference>
          <reference field="21" count="1" selected="0">
            <x v="1"/>
          </reference>
        </references>
      </pivotArea>
    </chartFormat>
    <chartFormat chart="5" format="10" series="1">
      <pivotArea type="data" outline="0" fieldPosition="0">
        <references count="2">
          <reference field="4294967294" count="1" selected="0">
            <x v="0"/>
          </reference>
          <reference field="21" count="1" selected="0">
            <x v="2"/>
          </reference>
        </references>
      </pivotArea>
    </chartFormat>
    <chartFormat chart="5" format="11" series="1">
      <pivotArea type="data" outline="0" fieldPosition="0">
        <references count="2">
          <reference field="4294967294" count="1" selected="0">
            <x v="0"/>
          </reference>
          <reference field="21" count="1" selected="0">
            <x v="3"/>
          </reference>
        </references>
      </pivotArea>
    </chartFormat>
    <chartFormat chart="0" format="4" series="1">
      <pivotArea type="data" outline="0" fieldPosition="0">
        <references count="2">
          <reference field="4294967294" count="1" selected="0">
            <x v="0"/>
          </reference>
          <reference field="21" count="1" selected="0">
            <x v="1"/>
          </reference>
        </references>
      </pivotArea>
    </chartFormat>
    <chartFormat chart="5"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adjustColumnWidth="0" connectionId="1" xr16:uid="{62A6B21E-3379-42D4-BA47-4B96E84A3930}" autoFormatId="16" applyNumberFormats="0" applyBorderFormats="0" applyFontFormats="0" applyPatternFormats="0" applyAlignmentFormats="0" applyWidthHeightFormats="0">
  <queryTableRefresh nextId="181" unboundColumnsRight="10">
    <queryTableFields count="62">
      <queryTableField id="58" name="Request ID" tableColumnId="54"/>
      <queryTableField id="59" name="Site ID" tableColumnId="55"/>
      <queryTableField id="3" name="Legacy" tableColumnId="3"/>
      <queryTableField id="41" name="Region" tableColumnId="41"/>
      <queryTableField id="60" name="tenant id" tableColumnId="56"/>
      <queryTableField id="5" name="Operator" tableColumnId="5"/>
      <queryTableField id="137" name="Tenant Category" tableColumnId="1"/>
      <queryTableField id="138" name="Tenant Status" tableColumnId="2"/>
      <queryTableField id="139" name="Scope" tableColumnId="4"/>
      <queryTableField id="61" name="Colo Rev" tableColumnId="57"/>
      <queryTableField id="62" name="Request Date" tableColumnId="58"/>
      <queryTableField id="140" name="Average Power Requested" tableColumnId="6"/>
      <queryTableField id="141" name="Peak Power Requested" tableColumnId="7"/>
      <queryTableField id="63" name="Capacity Requested" tableColumnId="59"/>
      <queryTableField id="64" name="Capacity Model" tableColumnId="60"/>
      <queryTableField id="147" name="Lower Space Requested" tableColumnId="8"/>
      <queryTableField id="148" name="Upper Space Requested" tableColumnId="9"/>
      <queryTableField id="149" name="Prevalidation Status" tableColumnId="10"/>
      <queryTableField id="67" name="General Remark" tableColumnId="63"/>
      <queryTableField id="68" name="LandLord" tableColumnId="64"/>
      <queryTableField id="69" name="LandLord Remarks" tableColumnId="65"/>
      <queryTableField id="83" name="Community" tableColumnId="79"/>
      <queryTableField id="84" name="Community Remarks" tableColumnId="80"/>
      <queryTableField id="70" name="Tower Space" tableColumnId="66"/>
      <queryTableField id="71" name="Tower Space Remarks" tableColumnId="67"/>
      <queryTableField id="72" name="Structural" tableColumnId="68"/>
      <queryTableField id="175" name="Tower Strengthening" tableColumnId="22"/>
      <queryTableField id="176" name="Foundation Retrofit" tableColumnId="23"/>
      <queryTableField id="73" name="Tower Extension" tableColumnId="69"/>
      <queryTableField id="74" name="Structural Remarks" tableColumnId="70"/>
      <queryTableField id="78" name="Power" tableColumnId="74"/>
      <queryTableField id="81" name="Power Forecast" tableColumnId="77"/>
      <queryTableField id="79" name="Power Average" tableColumnId="75"/>
      <queryTableField id="80" name="Power Peak" tableColumnId="76"/>
      <queryTableField id="82" name="Power Remarks" tableColumnId="78"/>
      <queryTableField id="75" name="Ground Space" tableColumnId="71"/>
      <queryTableField id="76" name="Slab Extension Needed" tableColumnId="72"/>
      <queryTableField id="77" name="Ground Space Remarks" tableColumnId="73"/>
      <queryTableField id="85" name="RM Review" tableColumnId="81"/>
      <queryTableField id="86" name="RM Remarks" tableColumnId="82"/>
      <queryTableField id="87" name="PM Forecast" tableColumnId="83"/>
      <queryTableField id="88" name="PM Review" tableColumnId="84"/>
      <queryTableField id="89" name="PM Remarks" tableColumnId="85"/>
      <queryTableField id="127" name="AM Review" tableColumnId="89"/>
      <queryTableField id="128" name="AM Remarks" tableColumnId="90"/>
      <queryTableField id="129" name="Tower Space Time" tableColumnId="91"/>
      <queryTableField id="130" name="Power Time" tableColumnId="92"/>
      <queryTableField id="131" name="Structural Time" tableColumnId="93"/>
      <queryTableField id="132" name="CW Time" tableColumnId="94"/>
      <queryTableField id="133" name="LandLord Time" tableColumnId="95"/>
      <queryTableField id="134" name="Community Time" tableColumnId="96"/>
      <queryTableField id="170" name="Close Date" tableColumnId="20"/>
      <queryTableField id="160" dataBound="0" tableColumnId="11"/>
      <queryTableField id="169" dataBound="0" tableColumnId="21"/>
      <queryTableField id="161" dataBound="0" tableColumnId="12"/>
      <queryTableField id="162" dataBound="0" tableColumnId="13"/>
      <queryTableField id="163" dataBound="0" tableColumnId="14"/>
      <queryTableField id="164" dataBound="0" tableColumnId="15"/>
      <queryTableField id="165" dataBound="0" tableColumnId="16"/>
      <queryTableField id="166" dataBound="0" tableColumnId="17"/>
      <queryTableField id="167" dataBound="0" tableColumnId="18"/>
      <queryTableField id="168" dataBound="0"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gacy" xr10:uid="{53B5A352-EDBE-449E-9D77-90ABF1B88871}" sourceName="Legacy">
  <pivotTables>
    <pivotTable tabId="79" name="PivotTable1"/>
    <pivotTable tabId="81" name="PivotTable3"/>
    <pivotTable tabId="82" name="PivotTable2"/>
  </pivotTables>
  <data>
    <tabular pivotCacheId="1124477292">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AE07BBF-12C0-4C2C-8F29-20A2F87FBC03}" sourceName="Region">
  <pivotTables>
    <pivotTable tabId="79" name="PivotTable1"/>
    <pivotTable tabId="81" name="PivotTable3"/>
    <pivotTable tabId="82" name="PivotTable2"/>
  </pivotTables>
  <data>
    <tabular pivotCacheId="1124477292">
      <items count="3">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 xr10:uid="{F582DC46-1BAB-4BDA-95FF-E176CB86A00D}" sourceName="Operator">
  <pivotTables>
    <pivotTable tabId="79" name="PivotTable1"/>
    <pivotTable tabId="81" name="PivotTable3"/>
    <pivotTable tabId="82" name="PivotTable2"/>
  </pivotTables>
  <data>
    <tabular pivotCacheId="1124477292">
      <items count="5">
        <i x="1" s="1"/>
        <i x="0"/>
        <i x="3"/>
        <i x="2"/>
        <i x="4"/>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evalidation_Status" xr10:uid="{FEB76F7A-47E7-4833-B664-76C94A766047}" sourceName="Prevalidation Status">
  <pivotTables>
    <pivotTable tabId="79" name="PivotTable1"/>
    <pivotTable tabId="81" name="PivotTable3"/>
  </pivotTables>
  <data>
    <tabular pivotCacheId="1124477292" sortOrder="descending" showMissing="0">
      <items count="7">
        <i x="0" s="1"/>
        <i x="3" s="1"/>
        <i x="1" s="1"/>
        <i x="2" s="1"/>
        <i x="5" s="1" nd="1"/>
        <i x="4" s="1" nd="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gacy" xr10:uid="{384D18DA-9B82-4466-B8D3-199325555FE7}" cache="Slicer_Legacy" caption="Entity" style="SlicerStyleLight1 2" rowHeight="241300"/>
  <slicer name="Region" xr10:uid="{98E5891D-2FD1-405C-8377-3142C0827D86}" cache="Slicer_Region" caption="Region" style="SlicerStyleLight2 2" rowHeight="241300"/>
  <slicer name="Operator" xr10:uid="{06DE62E2-DD6F-428A-84BA-C749E5742076}" cache="Slicer_Operator" caption="Operator" style="SlicerStyleLight4 2" rowHeight="241300"/>
  <slicer name="Prevalidation Status" xr10:uid="{8140D250-17E7-4E06-96AE-9F418C8BD74B}" cache="Slicer_Prevalidation_Status" caption="Prevalidation Status" style="SlicerStyleLight6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1194A30-2FF4-4103-808A-851E2E23C22F}" name="_05preva_view43" displayName="_05preva_view43" ref="A15:BJ525" tableType="queryTable" totalsRowShown="0" headerRowDxfId="2762" dataDxfId="2760" headerRowBorderDxfId="2761" tableBorderDxfId="2759" totalsRowBorderDxfId="2758">
  <autoFilter ref="A15:BJ525" xr:uid="{70CBA71C-3365-4A47-B443-03D3AAF30D7E}"/>
  <tableColumns count="62">
    <tableColumn id="54" xr3:uid="{62A2B9C1-3922-4BED-A409-972861C6BF2D}" uniqueName="54" name="Request ID" queryTableFieldId="58" dataDxfId="2757"/>
    <tableColumn id="55" xr3:uid="{B8B9E131-829C-41EA-80B9-7824C28B0069}" uniqueName="55" name="Site ID" queryTableFieldId="59" dataDxfId="2756"/>
    <tableColumn id="3" xr3:uid="{22B8728B-0A35-402A-8D5F-0DA0665ADA3D}" uniqueName="3" name="Legacy" queryTableFieldId="3" dataDxfId="2755"/>
    <tableColumn id="41" xr3:uid="{543424FC-C036-4C46-B765-F9DE2FAF4527}" uniqueName="41" name="Region" queryTableFieldId="41" dataDxfId="2754"/>
    <tableColumn id="56" xr3:uid="{6641A20C-AA99-4156-82C8-B5457C0E6398}" uniqueName="56" name="tenant id" queryTableFieldId="60" dataDxfId="2753"/>
    <tableColumn id="5" xr3:uid="{BA91B3B5-96E2-4352-B7F6-C233BD4E40D6}" uniqueName="5" name="Operator" queryTableFieldId="5" dataDxfId="2752"/>
    <tableColumn id="1" xr3:uid="{C104C8DD-45A0-40E3-B550-5E0ABD926F9F}" uniqueName="1" name="Tenant Category" queryTableFieldId="137" dataDxfId="2751"/>
    <tableColumn id="2" xr3:uid="{B5D38774-272D-4DC4-82FF-815C954E666A}" uniqueName="2" name="Tenant Status" queryTableFieldId="138" dataDxfId="2750"/>
    <tableColumn id="4" xr3:uid="{4361FAA3-DB30-47DB-AB01-15514B15AEA7}" uniqueName="4" name="Scope" queryTableFieldId="139" dataDxfId="2749"/>
    <tableColumn id="57" xr3:uid="{52E3523B-9B03-4AE3-8B89-7EAA7AB2DEC1}" uniqueName="57" name="Colo Rev" queryTableFieldId="61" dataDxfId="2748"/>
    <tableColumn id="58" xr3:uid="{5EF073EE-125D-4B3B-8C05-EC0014906759}" uniqueName="58" name="Request Date" queryTableFieldId="62" dataDxfId="2747"/>
    <tableColumn id="6" xr3:uid="{6DA0110C-FA68-4920-92E6-EF809DF55DAC}" uniqueName="6" name="Average Power Requested" queryTableFieldId="140" dataDxfId="2746"/>
    <tableColumn id="7" xr3:uid="{D64778D4-26C2-4676-BF0F-25DF82985C27}" uniqueName="7" name="Peak Power Requested" queryTableFieldId="141" dataDxfId="2745"/>
    <tableColumn id="59" xr3:uid="{CD47B2EB-57FE-4890-8264-6955E009862B}" uniqueName="59" name="Capacity Requested" queryTableFieldId="63" dataDxfId="2744"/>
    <tableColumn id="60" xr3:uid="{174B9820-CFBE-45DF-AB85-412C68BEC4B6}" uniqueName="60" name="Capacity Model" queryTableFieldId="64" dataDxfId="2743"/>
    <tableColumn id="8" xr3:uid="{32259D7F-4F2D-460E-BE53-ED542E2BD206}" uniqueName="8" name="Lower Space Requested" queryTableFieldId="147" dataDxfId="2742"/>
    <tableColumn id="9" xr3:uid="{3B2A378A-CAD1-4E74-A585-4CCB5E1197CE}" uniqueName="9" name="Upper Space Requested" queryTableFieldId="148" dataDxfId="2741"/>
    <tableColumn id="10" xr3:uid="{49875419-6610-47D2-BD2C-DC26ABFEFF86}" uniqueName="10" name="Prevalidation Status" queryTableFieldId="149" dataDxfId="2740"/>
    <tableColumn id="63" xr3:uid="{2D396A95-525A-4D40-99DB-EBC76DEA746B}" uniqueName="63" name="General Remark" queryTableFieldId="67" dataDxfId="2739"/>
    <tableColumn id="64" xr3:uid="{AAE77C60-1D40-41D7-AA06-BF433F0D4075}" uniqueName="64" name="LandLord" queryTableFieldId="68" dataDxfId="2738"/>
    <tableColumn id="65" xr3:uid="{D0C3DD2C-49B4-47D5-BC20-C9B0FA8455E2}" uniqueName="65" name="LandLord Remarks" queryTableFieldId="69" dataDxfId="2737"/>
    <tableColumn id="79" xr3:uid="{2D518667-8BD0-4724-B1AA-DDF10052875A}" uniqueName="79" name="Community" queryTableFieldId="83" dataDxfId="2736"/>
    <tableColumn id="80" xr3:uid="{8468CD52-49AB-4F07-9663-B60ED03608B3}" uniqueName="80" name="Community Remarks" queryTableFieldId="84" dataDxfId="2735"/>
    <tableColumn id="66" xr3:uid="{D9DDBBEA-8ABA-4EE4-9867-36DCEE1D7462}" uniqueName="66" name="Tower Space" queryTableFieldId="70" dataDxfId="2734"/>
    <tableColumn id="67" xr3:uid="{83F25E90-AAAE-4188-B9A6-13B931E3A3A9}" uniqueName="67" name="Tower Space Remarks" queryTableFieldId="71" dataDxfId="2733"/>
    <tableColumn id="68" xr3:uid="{713DF634-7898-4688-9D77-8B3820C1618B}" uniqueName="68" name="Structural" queryTableFieldId="72" dataDxfId="2732"/>
    <tableColumn id="22" xr3:uid="{45E9DAE5-4B95-4A85-B4BB-9D51B6C82862}" uniqueName="22" name="Tower Strengthening" queryTableFieldId="175" dataDxfId="2731"/>
    <tableColumn id="23" xr3:uid="{418DEC3F-B998-461E-8BDF-35C94E5AFAA5}" uniqueName="23" name="Foundation Retrofit" queryTableFieldId="176" dataDxfId="2730"/>
    <tableColumn id="69" xr3:uid="{1279078D-CD15-413E-B3CC-7AE7E90B0D56}" uniqueName="69" name="Tower Extension" queryTableFieldId="73" dataDxfId="2729"/>
    <tableColumn id="70" xr3:uid="{BF5D19F5-D86B-4917-B6E4-00C6CE9D78F8}" uniqueName="70" name="Structural Remarks" queryTableFieldId="74" dataDxfId="2728"/>
    <tableColumn id="74" xr3:uid="{B2FF5A31-C436-4E31-83C8-9AA09C3F30CF}" uniqueName="74" name="Power" queryTableFieldId="78" dataDxfId="2727"/>
    <tableColumn id="77" xr3:uid="{7AC621D4-9EEA-4A1B-9583-DB876F889E62}" uniqueName="77" name="Power Forecast" queryTableFieldId="81" dataDxfId="2726"/>
    <tableColumn id="75" xr3:uid="{9F2B8D84-212A-43E8-8DD2-EADBC8DA8780}" uniqueName="75" name="Power Average" queryTableFieldId="79" dataDxfId="2725"/>
    <tableColumn id="76" xr3:uid="{07616BA6-EBD9-4471-A4E1-5ECFC56091FC}" uniqueName="76" name="Power Peak" queryTableFieldId="80" dataDxfId="2724"/>
    <tableColumn id="78" xr3:uid="{A2F27213-63A5-4BDA-90BE-22C91C01EBCD}" uniqueName="78" name="Power Remarks" queryTableFieldId="82" dataDxfId="2723"/>
    <tableColumn id="71" xr3:uid="{8A0B0B90-D80A-4F31-9D97-1D651E3948DF}" uniqueName="71" name="Ground Space" queryTableFieldId="75" dataDxfId="2722"/>
    <tableColumn id="72" xr3:uid="{A8F5875F-0374-4CB5-A1BC-51382D045BA4}" uniqueName="72" name="Slab Extension Needed" queryTableFieldId="76" dataDxfId="2721"/>
    <tableColumn id="73" xr3:uid="{7A0DEBF3-7286-44A3-BCA0-1DDE26426A79}" uniqueName="73" name="Ground Space Remarks" queryTableFieldId="77" dataDxfId="2720"/>
    <tableColumn id="81" xr3:uid="{02C9A0BD-8025-46AA-9B10-CC816554F0D3}" uniqueName="81" name="RM Review" queryTableFieldId="85" dataDxfId="2719"/>
    <tableColumn id="82" xr3:uid="{B0BFF7AA-76C2-4518-8225-D1726DF09FD8}" uniqueName="82" name="RM Remarks" queryTableFieldId="86" dataDxfId="2718"/>
    <tableColumn id="83" xr3:uid="{D883C152-46E5-4A07-B9A1-E886E5669501}" uniqueName="83" name="PM Forecast" queryTableFieldId="87" dataDxfId="2717"/>
    <tableColumn id="84" xr3:uid="{58553CD6-9678-420B-8F6E-CB6E2AD53164}" uniqueName="84" name="PM Review" queryTableFieldId="88" dataDxfId="2716"/>
    <tableColumn id="85" xr3:uid="{9FD987B7-5A39-41E9-85EC-CA48E83ACAF8}" uniqueName="85" name="PM Remarks" queryTableFieldId="89" dataDxfId="2715"/>
    <tableColumn id="89" xr3:uid="{54E40D0D-45AA-4D13-9E1F-274AC026DF20}" uniqueName="89" name="AM Review" queryTableFieldId="127" dataDxfId="2714"/>
    <tableColumn id="90" xr3:uid="{EDF9B05A-449E-46B3-AF6A-E48478A264C6}" uniqueName="90" name="AM Remarks" queryTableFieldId="128" dataDxfId="2713"/>
    <tableColumn id="91" xr3:uid="{452B98D4-79E6-4F6A-9B8D-31E4EB0795A1}" uniqueName="91" name="Tower Space Time" queryTableFieldId="129" dataDxfId="2712"/>
    <tableColumn id="92" xr3:uid="{D12E1EFD-CB79-46D2-88BC-CA2F4EB3DEFB}" uniqueName="92" name="Power Time" queryTableFieldId="130" dataDxfId="2711"/>
    <tableColumn id="93" xr3:uid="{3ECB135B-2850-495F-9149-40556F8B1164}" uniqueName="93" name="Structural Time" queryTableFieldId="131" dataDxfId="2710"/>
    <tableColumn id="94" xr3:uid="{722C167F-1834-44FD-8063-E92C6375D25B}" uniqueName="94" name="CW Time" queryTableFieldId="132" dataDxfId="2709"/>
    <tableColumn id="95" xr3:uid="{01408E78-E8EF-4C2D-AEB1-D26B09D77847}" uniqueName="95" name="LandLord Time" queryTableFieldId="133" dataDxfId="2708"/>
    <tableColumn id="96" xr3:uid="{C548978D-1120-44BE-9DD1-35AFC72843C6}" uniqueName="96" name="Community Time" queryTableFieldId="134" dataDxfId="2707"/>
    <tableColumn id="20" xr3:uid="{8B66D146-649D-44FF-84DA-291690033276}" uniqueName="20" name="Close Date" queryTableFieldId="170" dataDxfId="2706"/>
    <tableColumn id="11" xr3:uid="{1B145FC2-2CC3-4B5C-8544-6B6674F11278}" uniqueName="11" name="Prevalidation Leadtime" queryTableFieldId="160" dataDxfId="2705">
      <calculatedColumnFormula>IF(_05preva_view43[[#This Row],[Prevalidation Status]]="Under Prevalidation",NOW()-_05preva_view43[[#This Row],[Request Date]],IF(_05preva_view43[[#This Row],[Close Date]]&gt;_05preva_view43[[#This Row],[Request Date]],_05preva_view43[[#This Row],[Close Date]]-_05preva_view43[[#This Row],[Request Date]],"Not  Calculated"))</calculatedColumnFormula>
    </tableColumn>
    <tableColumn id="21" xr3:uid="{45D8CFC6-6E16-4843-AAE7-29F69506CF25}" uniqueName="21" name="Crossover" queryTableFieldId="169" dataDxfId="2704">
      <calculatedColumnFormula>COUNTIFS(_05preva_view43[Site ID],_05preva_view43[[#This Row],[Site ID]],_05preva_view43[Prevalidation Status],"Under Prevalidation")</calculatedColumnFormula>
    </tableColumn>
    <tableColumn id="12" xr3:uid="{99853FA3-4503-45C9-8BF5-E0F1C6AF8B39}" uniqueName="12" name="Colo Application" queryTableFieldId="161" dataDxfId="2703" dataCellStyle="Hyperlink">
      <calculatedColumnFormula>HYPERLINK(CheckPath(_05preva_view43[[#This Row],[File Path]],_05preva_view43[[#This Row],[File Path]],_05preva_view43[[#This Row],[Folder Path3]]),CheckPath(_05preva_view43[[#This Row],[File Path]],"Open File","No File"))</calculatedColumnFormula>
    </tableColumn>
    <tableColumn id="13" xr3:uid="{5F164BD8-57B0-4F3F-8703-6450633C10CC}" uniqueName="13" name="File Name" queryTableFieldId="162" dataDxfId="2702">
      <calculatedColumnFormula>CONCATENATE(_05preva_view43[[#This Row],[Site ID]]," (",_05preva_view43[[#This Row],[tenant id]],") Application",IF(_05preva_view43[[#This Row],[Colo Rev]]&gt;0," Rev "&amp;_05preva_view43[[#This Row],[Colo Rev]],""),".xlsx")</calculatedColumnFormula>
    </tableColumn>
    <tableColumn id="14" xr3:uid="{364E0454-9E3E-44D7-A8C5-7F23F9C634C1}" uniqueName="14" name="Find Process &amp; Database" queryTableFieldId="163" dataDxfId="2701">
      <calculatedColumnFormula>FIND("Process &amp; Database\",CELL("filename",$A$1))</calculatedColumnFormula>
    </tableColumn>
    <tableColumn id="15" xr3:uid="{F565D522-84F9-4977-86FF-25BD94E74030}" uniqueName="15" name="Folder Path1" queryTableFieldId="164" dataDxfId="2700">
      <calculatedColumnFormula>LEFT(CELL("filename",A1),_05preva_view43[[#This Row],[Find Process &amp; Database]]-1)</calculatedColumnFormula>
    </tableColumn>
    <tableColumn id="16" xr3:uid="{6F3D65C8-422A-448B-96CB-D42CFAFEDCA3}" uniqueName="16" name="Folder Path2" queryTableFieldId="165" dataDxfId="2699">
      <calculatedColumnFormula>_05preva_view43[Folder Path1]&amp;"Process &amp; Database\Documentation\Colo Applications"</calculatedColumnFormula>
    </tableColumn>
    <tableColumn id="17" xr3:uid="{AB897926-5ABE-4114-AB76-A575C3B326CB}" uniqueName="17" name="Folder Path3" queryTableFieldId="166" dataDxfId="2698">
      <calculatedColumnFormula>_05preva_view43[Folder Path2]&amp;"\Colo App "&amp;_05preva_view43[[#This Row],[Operator]]&amp;"\"</calculatedColumnFormula>
    </tableColumn>
    <tableColumn id="18" xr3:uid="{53516091-646C-4EB3-8B33-DF067DA72DE1}" uniqueName="18" name="File Path" queryTableFieldId="167" dataDxfId="2697">
      <calculatedColumnFormula>_05preva_view43[[#This Row],[Folder Path3]]&amp;_05preva_view43[[#This Row],[File Name]]</calculatedColumnFormula>
    </tableColumn>
    <tableColumn id="19" xr3:uid="{DA1B9A28-E32F-49C9-B32D-3129CB72644A}" uniqueName="19" name="Count Validated" queryTableFieldId="168" dataDxfId="269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Request_Date" xr10:uid="{073CEB97-17E5-4F11-AB07-4159BAC48D77}" sourceName="Request Date">
  <pivotTables>
    <pivotTable tabId="79" name="PivotTable1"/>
    <pivotTable tabId="81" name="PivotTable3"/>
  </pivotTables>
  <state minimalRefreshVersion="6" lastRefreshVersion="6" pivotCacheId="1124477292" filterType="dateBetween">
    <selection startDate="2018-09-01T00:00:00" endDate="2019-12-31T00:00:00"/>
    <bounds startDate="2018-01-01T00:00:00" endDate="2020-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Close_Date" xr10:uid="{8EAD8232-4527-43E0-8050-33FFEA5C0CA8}" sourceName="Close Date">
  <pivotTables>
    <pivotTable tabId="79" name="PivotTable1"/>
    <pivotTable tabId="81" name="PivotTable3"/>
  </pivotTables>
  <state minimalRefreshVersion="6" lastRefreshVersion="6" pivotCacheId="1124477292" filterType="unknown">
    <bounds startDate="2018-01-01T00:00:00" endDate="2020-01-01T10:22:21"/>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Request Date" xr10:uid="{F1641BBE-A3B8-427F-9958-26B76FC9257A}" cache="NativeTimeline_Request_Date" caption="Request Date" level="2" selectionLevel="2" scrollPosition="2018-08-01T00:00:00" style="TimeSlicerStyleLight6 2"/>
  <timeline name="Close Date" xr10:uid="{90E31EFE-0427-4CD8-8B9A-FE3A5039E4F8}" cache="NativeTimeline_Close_Date" caption="Close Date" level="2" selectionLevel="2" scrollPosition="2018-06-06T00:00:00" style="TimeSlicerStyleLight1 2"/>
</timeline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1A096-54A5-4F5B-9B4B-AF988C66057A}">
  <sheetPr codeName="Sheet1">
    <tabColor theme="4" tint="0.39997558519241921"/>
  </sheetPr>
  <dimension ref="A1:AD144"/>
  <sheetViews>
    <sheetView showGridLines="0" showRowColHeaders="0" tabSelected="1" topLeftCell="A2" workbookViewId="0">
      <selection activeCell="J18" sqref="J18"/>
    </sheetView>
  </sheetViews>
  <sheetFormatPr defaultColWidth="0" defaultRowHeight="14.5" zeroHeight="1"/>
  <cols>
    <col min="1" max="1" width="27.26953125" style="1" customWidth="1"/>
    <col min="2" max="2" width="8.7265625" style="1" customWidth="1"/>
    <col min="3" max="3" width="20.90625" style="1" customWidth="1"/>
    <col min="4" max="9" width="12.26953125" style="1" customWidth="1"/>
    <col min="10" max="10" width="11.26953125" style="1" customWidth="1"/>
    <col min="11" max="11" width="20.81640625" style="1" bestFit="1" customWidth="1"/>
    <col min="12" max="12" width="6" style="1" bestFit="1" customWidth="1"/>
    <col min="13" max="13" width="4.90625" style="1" bestFit="1" customWidth="1"/>
    <col min="14" max="14" width="23.81640625" style="1" bestFit="1" customWidth="1"/>
    <col min="15" max="15" width="13.36328125" style="1" bestFit="1" customWidth="1"/>
    <col min="16" max="16" width="4.7265625" style="1" hidden="1" customWidth="1"/>
    <col min="17" max="17" width="6" style="1" hidden="1" customWidth="1"/>
    <col min="18" max="18" width="4.90625" style="1" hidden="1" customWidth="1"/>
    <col min="19" max="19" width="7.453125" style="1" hidden="1" customWidth="1"/>
    <col min="20" max="20" width="16.6328125" style="1" hidden="1" customWidth="1"/>
    <col min="21" max="21" width="22.1796875" style="1" hidden="1" customWidth="1"/>
    <col min="22" max="22" width="6" style="1" hidden="1" customWidth="1"/>
    <col min="23" max="23" width="4.90625" style="1" hidden="1" customWidth="1"/>
    <col min="24" max="24" width="25.36328125" style="1" hidden="1" customWidth="1"/>
    <col min="25" max="25" width="19.90625" style="1" hidden="1" customWidth="1"/>
    <col min="26" max="26" width="4.7265625" style="1" hidden="1" customWidth="1"/>
    <col min="27" max="27" width="6" style="1" hidden="1" customWidth="1"/>
    <col min="28" max="28" width="4.90625" style="1" hidden="1" customWidth="1"/>
    <col min="29" max="29" width="23" style="1" hidden="1" customWidth="1"/>
    <col min="30" max="30" width="10.7265625" style="1" hidden="1" customWidth="1"/>
    <col min="31" max="16384" width="8.7265625" style="1" hidden="1"/>
  </cols>
  <sheetData>
    <row r="1" spans="3:10"/>
    <row r="2" spans="3:10" ht="23.5">
      <c r="C2" s="155" t="s">
        <v>1813</v>
      </c>
      <c r="D2" s="155"/>
      <c r="E2" s="155"/>
      <c r="F2" s="155"/>
      <c r="G2" s="155"/>
      <c r="H2" s="155"/>
      <c r="I2" s="155"/>
      <c r="J2" s="155"/>
    </row>
    <row r="3" spans="3:10" ht="14.5" customHeight="1">
      <c r="C3" s="109"/>
    </row>
    <row r="4" spans="3:10" ht="14.5" customHeight="1">
      <c r="C4" s="109"/>
    </row>
    <row r="5" spans="3:10" ht="14.5" customHeight="1">
      <c r="C5" s="109"/>
    </row>
    <row r="6" spans="3:10" ht="14.5" customHeight="1">
      <c r="C6" s="109"/>
      <c r="F6" s="177" t="s">
        <v>2127</v>
      </c>
    </row>
    <row r="7" spans="3:10" ht="14.5" customHeight="1">
      <c r="C7" s="109"/>
    </row>
    <row r="8" spans="3:10" ht="14.5" customHeight="1">
      <c r="C8" s="109"/>
    </row>
    <row r="9" spans="3:10" ht="14.5" customHeight="1">
      <c r="C9" s="109"/>
    </row>
    <row r="10" spans="3:10" ht="14.5" customHeight="1">
      <c r="C10" s="109"/>
    </row>
    <row r="11" spans="3:10" ht="14.5" customHeight="1">
      <c r="C11" s="109"/>
      <c r="F11" s="177" t="s">
        <v>2130</v>
      </c>
    </row>
    <row r="12" spans="3:10" ht="14.5" customHeight="1">
      <c r="C12" s="109"/>
    </row>
    <row r="13" spans="3:10" ht="14.5" customHeight="1">
      <c r="C13" s="109"/>
    </row>
    <row r="14" spans="3:10" ht="14.5" customHeight="1">
      <c r="C14" s="109"/>
    </row>
    <row r="15" spans="3:10" ht="14.5" customHeight="1">
      <c r="C15" s="109"/>
    </row>
    <row r="16" spans="3:10" ht="14.5" customHeight="1">
      <c r="C16" s="109"/>
      <c r="F16" s="177" t="s">
        <v>2128</v>
      </c>
    </row>
    <row r="17" spans="3:30" ht="14.5" customHeight="1">
      <c r="C17" s="109"/>
    </row>
    <row r="18" spans="3:30" ht="14.5" customHeight="1">
      <c r="C18" s="109"/>
    </row>
    <row r="19" spans="3:30" ht="14.5" customHeight="1">
      <c r="C19" s="109"/>
    </row>
    <row r="20" spans="3:30" ht="14.5" customHeight="1">
      <c r="C20" s="109"/>
    </row>
    <row r="21" spans="3:30" ht="14.5" customHeight="1">
      <c r="C21" s="109"/>
      <c r="F21" s="177" t="s">
        <v>2129</v>
      </c>
    </row>
    <row r="22" spans="3:30" ht="14.5" customHeight="1">
      <c r="C22" s="109"/>
    </row>
    <row r="23" spans="3:30" ht="14.5" customHeight="1">
      <c r="C23" s="109"/>
    </row>
    <row r="24" spans="3:30" ht="14.5" customHeight="1">
      <c r="C24" s="109"/>
    </row>
    <row r="25" spans="3:30" ht="14.5" customHeight="1">
      <c r="C25" s="109"/>
    </row>
    <row r="26" spans="3:30" ht="14.5" hidden="1" customHeight="1">
      <c r="C26" s="137" t="s">
        <v>3</v>
      </c>
      <c r="D26" s="138" t="s">
        <v>1768</v>
      </c>
    </row>
    <row r="27" spans="3:30" ht="14.5" hidden="1" customHeight="1">
      <c r="C27" s="137" t="s">
        <v>1769</v>
      </c>
      <c r="D27" s="138" t="s">
        <v>1768</v>
      </c>
    </row>
    <row r="28" spans="3:30" hidden="1">
      <c r="C28"/>
      <c r="D28"/>
      <c r="E28"/>
      <c r="F28"/>
      <c r="G28"/>
      <c r="H28"/>
      <c r="I28"/>
    </row>
    <row r="29" spans="3:30" hidden="1">
      <c r="C29" s="137" t="s">
        <v>1767</v>
      </c>
      <c r="D29" s="138"/>
      <c r="E29" s="138"/>
      <c r="F29"/>
      <c r="G29"/>
      <c r="H29"/>
      <c r="I29"/>
    </row>
    <row r="30" spans="3:30">
      <c r="C30" s="138"/>
      <c r="D30" s="140" t="s">
        <v>41</v>
      </c>
      <c r="E30" s="140" t="s">
        <v>1766</v>
      </c>
      <c r="F30"/>
      <c r="G30"/>
      <c r="H30"/>
      <c r="I30"/>
    </row>
    <row r="31" spans="3:30">
      <c r="C31" s="141" t="s">
        <v>24</v>
      </c>
      <c r="D31" s="142">
        <v>32</v>
      </c>
      <c r="E31" s="142">
        <v>32</v>
      </c>
      <c r="F31"/>
      <c r="G31"/>
      <c r="H31"/>
      <c r="I31"/>
      <c r="J31"/>
      <c r="K31"/>
      <c r="L31"/>
      <c r="M31"/>
      <c r="N31"/>
      <c r="O31"/>
      <c r="P31"/>
      <c r="Q31"/>
      <c r="R31"/>
      <c r="S31"/>
      <c r="T31"/>
      <c r="U31"/>
      <c r="V31"/>
      <c r="W31"/>
      <c r="X31"/>
      <c r="Y31"/>
      <c r="Z31"/>
      <c r="AA31"/>
      <c r="AB31"/>
      <c r="AC31"/>
      <c r="AD31"/>
    </row>
    <row r="32" spans="3:30">
      <c r="C32" s="150" t="s">
        <v>116</v>
      </c>
      <c r="D32" s="149">
        <v>31</v>
      </c>
      <c r="E32" s="149">
        <v>31</v>
      </c>
      <c r="F32"/>
      <c r="G32"/>
      <c r="H32"/>
      <c r="I32"/>
      <c r="J32"/>
      <c r="K32"/>
      <c r="L32"/>
      <c r="M32"/>
      <c r="N32"/>
      <c r="O32"/>
      <c r="P32"/>
      <c r="Q32"/>
      <c r="R32"/>
      <c r="S32"/>
      <c r="T32"/>
      <c r="U32"/>
      <c r="V32"/>
      <c r="W32"/>
      <c r="X32"/>
      <c r="Y32"/>
      <c r="Z32"/>
      <c r="AA32"/>
      <c r="AB32"/>
      <c r="AC32"/>
      <c r="AD32"/>
    </row>
    <row r="33" spans="3:30">
      <c r="C33" s="150" t="s">
        <v>331</v>
      </c>
      <c r="D33" s="149">
        <v>1</v>
      </c>
      <c r="E33" s="149">
        <v>1</v>
      </c>
      <c r="F33"/>
      <c r="G33"/>
      <c r="H33"/>
      <c r="I33"/>
      <c r="J33"/>
      <c r="K33"/>
      <c r="L33"/>
      <c r="M33"/>
      <c r="N33"/>
      <c r="O33"/>
      <c r="P33"/>
      <c r="Q33"/>
      <c r="R33"/>
      <c r="S33"/>
      <c r="T33"/>
      <c r="U33"/>
      <c r="V33"/>
      <c r="W33"/>
      <c r="X33"/>
      <c r="Y33"/>
      <c r="Z33"/>
      <c r="AA33"/>
      <c r="AB33"/>
      <c r="AC33"/>
      <c r="AD33"/>
    </row>
    <row r="34" spans="3:30">
      <c r="C34" s="144" t="s">
        <v>25</v>
      </c>
      <c r="D34" s="143">
        <v>8</v>
      </c>
      <c r="E34" s="143">
        <v>8</v>
      </c>
      <c r="F34"/>
      <c r="G34"/>
      <c r="H34"/>
      <c r="I34"/>
      <c r="J34"/>
      <c r="K34"/>
      <c r="L34"/>
      <c r="M34"/>
      <c r="N34"/>
      <c r="O34"/>
      <c r="P34"/>
      <c r="Q34"/>
      <c r="R34"/>
      <c r="S34"/>
      <c r="T34"/>
      <c r="U34"/>
      <c r="V34"/>
      <c r="W34"/>
      <c r="X34"/>
      <c r="Y34"/>
      <c r="Z34"/>
      <c r="AA34"/>
      <c r="AB34"/>
      <c r="AC34"/>
      <c r="AD34"/>
    </row>
    <row r="35" spans="3:30">
      <c r="C35" s="152" t="s">
        <v>116</v>
      </c>
      <c r="D35" s="151">
        <v>1</v>
      </c>
      <c r="E35" s="151">
        <v>1</v>
      </c>
      <c r="F35"/>
      <c r="G35"/>
      <c r="H35"/>
      <c r="I35"/>
      <c r="J35"/>
      <c r="K35"/>
    </row>
    <row r="36" spans="3:30">
      <c r="C36" s="152" t="s">
        <v>331</v>
      </c>
      <c r="D36" s="151">
        <v>7</v>
      </c>
      <c r="E36" s="151">
        <v>7</v>
      </c>
      <c r="F36"/>
      <c r="G36"/>
      <c r="H36"/>
      <c r="I36"/>
      <c r="J36"/>
      <c r="K36"/>
    </row>
    <row r="37" spans="3:30">
      <c r="C37" s="146" t="s">
        <v>27</v>
      </c>
      <c r="D37" s="145">
        <v>1</v>
      </c>
      <c r="E37" s="145">
        <v>1</v>
      </c>
      <c r="F37"/>
      <c r="G37"/>
      <c r="H37"/>
      <c r="I37"/>
      <c r="J37"/>
      <c r="K37"/>
    </row>
    <row r="38" spans="3:30">
      <c r="C38" s="148" t="s">
        <v>116</v>
      </c>
      <c r="D38" s="147">
        <v>1</v>
      </c>
      <c r="E38" s="147">
        <v>1</v>
      </c>
      <c r="F38"/>
      <c r="G38"/>
      <c r="H38"/>
      <c r="I38"/>
      <c r="J38"/>
      <c r="K38"/>
    </row>
    <row r="39" spans="3:30">
      <c r="C39" s="139" t="s">
        <v>1766</v>
      </c>
      <c r="D39" s="140">
        <v>41</v>
      </c>
      <c r="E39" s="140">
        <v>41</v>
      </c>
      <c r="F39"/>
      <c r="G39"/>
      <c r="H39"/>
      <c r="I39"/>
    </row>
    <row r="40" spans="3:30">
      <c r="C40"/>
      <c r="D40"/>
      <c r="E40"/>
      <c r="F40"/>
      <c r="G40"/>
      <c r="H40"/>
      <c r="I40"/>
    </row>
    <row r="41" spans="3:30">
      <c r="C41"/>
      <c r="D41"/>
      <c r="E41"/>
      <c r="F41"/>
      <c r="G41"/>
      <c r="H41"/>
      <c r="I41"/>
    </row>
    <row r="42" spans="3:30">
      <c r="C42"/>
      <c r="D42"/>
      <c r="E42"/>
      <c r="F42"/>
      <c r="G42"/>
      <c r="H42"/>
      <c r="I42"/>
    </row>
    <row r="43" spans="3:30">
      <c r="C43"/>
      <c r="D43"/>
      <c r="E43"/>
      <c r="F43"/>
      <c r="G43"/>
      <c r="H43"/>
      <c r="I43"/>
    </row>
    <row r="44" spans="3:30">
      <c r="C44"/>
      <c r="D44"/>
      <c r="E44"/>
      <c r="F44"/>
      <c r="G44"/>
      <c r="H44"/>
      <c r="I44"/>
    </row>
    <row r="45" spans="3:30">
      <c r="C45"/>
      <c r="D45"/>
      <c r="E45"/>
      <c r="F45"/>
      <c r="G45"/>
      <c r="H45"/>
      <c r="I45"/>
    </row>
    <row r="46" spans="3:30">
      <c r="C46"/>
      <c r="D46"/>
      <c r="E46"/>
      <c r="F46"/>
      <c r="G46"/>
      <c r="H46"/>
      <c r="I46"/>
    </row>
    <row r="47" spans="3:30">
      <c r="C47"/>
      <c r="D47"/>
      <c r="E47"/>
      <c r="F47"/>
      <c r="G47"/>
      <c r="H47"/>
      <c r="I47"/>
    </row>
    <row r="48" spans="3:30">
      <c r="C48"/>
      <c r="D48"/>
      <c r="E48"/>
      <c r="F48"/>
      <c r="G48"/>
      <c r="H48"/>
      <c r="I48"/>
    </row>
    <row r="49" spans="3:9">
      <c r="C49"/>
      <c r="D49"/>
      <c r="E49"/>
      <c r="F49"/>
      <c r="G49"/>
      <c r="H49"/>
      <c r="I49"/>
    </row>
    <row r="50" spans="3:9">
      <c r="C50"/>
      <c r="D50"/>
      <c r="E50"/>
      <c r="F50"/>
      <c r="G50"/>
      <c r="H50"/>
      <c r="I50"/>
    </row>
    <row r="51" spans="3:9">
      <c r="C51"/>
      <c r="D51"/>
      <c r="E51"/>
      <c r="F51"/>
      <c r="G51"/>
      <c r="H51"/>
      <c r="I51"/>
    </row>
    <row r="52" spans="3:9">
      <c r="C52"/>
      <c r="D52"/>
      <c r="E52"/>
      <c r="F52"/>
      <c r="G52"/>
      <c r="H52"/>
      <c r="I52"/>
    </row>
    <row r="53" spans="3:9">
      <c r="C53"/>
      <c r="D53"/>
      <c r="E53"/>
      <c r="F53"/>
      <c r="G53"/>
      <c r="H53"/>
      <c r="I53"/>
    </row>
    <row r="54" spans="3:9">
      <c r="C54"/>
      <c r="D54"/>
      <c r="E54"/>
      <c r="F54"/>
      <c r="G54"/>
      <c r="H54"/>
      <c r="I54"/>
    </row>
    <row r="55" spans="3:9">
      <c r="C55"/>
      <c r="D55"/>
      <c r="E55"/>
      <c r="F55"/>
      <c r="G55"/>
      <c r="H55"/>
      <c r="I55"/>
    </row>
    <row r="56" spans="3:9">
      <c r="C56"/>
      <c r="D56"/>
      <c r="E56"/>
      <c r="F56"/>
      <c r="G56"/>
      <c r="H56"/>
      <c r="I56"/>
    </row>
    <row r="57" spans="3:9">
      <c r="C57"/>
      <c r="D57"/>
      <c r="E57"/>
      <c r="F57"/>
      <c r="G57"/>
      <c r="H57"/>
      <c r="I57"/>
    </row>
    <row r="58" spans="3:9">
      <c r="C58"/>
      <c r="D58"/>
      <c r="E58"/>
      <c r="F58"/>
      <c r="G58"/>
      <c r="H58"/>
      <c r="I58"/>
    </row>
    <row r="59" spans="3:9">
      <c r="C59"/>
      <c r="D59"/>
      <c r="E59"/>
      <c r="F59"/>
      <c r="G59"/>
      <c r="H59"/>
      <c r="I59"/>
    </row>
    <row r="60" spans="3:9">
      <c r="C60"/>
      <c r="D60"/>
      <c r="E60"/>
      <c r="F60"/>
      <c r="G60"/>
      <c r="H60"/>
      <c r="I60"/>
    </row>
    <row r="61" spans="3:9">
      <c r="C61"/>
      <c r="D61"/>
      <c r="E61"/>
      <c r="F61"/>
      <c r="G61"/>
      <c r="H61"/>
      <c r="I61"/>
    </row>
    <row r="62" spans="3:9">
      <c r="C62"/>
      <c r="D62"/>
      <c r="E62"/>
      <c r="F62"/>
      <c r="G62"/>
      <c r="H62"/>
      <c r="I62"/>
    </row>
    <row r="63" spans="3:9">
      <c r="C63"/>
      <c r="D63"/>
      <c r="E63"/>
      <c r="F63"/>
      <c r="G63"/>
      <c r="H63"/>
      <c r="I63"/>
    </row>
    <row r="64" spans="3:9" hidden="1">
      <c r="C64"/>
      <c r="D64"/>
      <c r="E64"/>
      <c r="F64"/>
      <c r="G64"/>
      <c r="H64"/>
      <c r="I64"/>
    </row>
    <row r="65" spans="3:9" hidden="1">
      <c r="C65"/>
      <c r="D65"/>
      <c r="E65"/>
      <c r="F65"/>
      <c r="G65"/>
      <c r="H65"/>
      <c r="I65"/>
    </row>
    <row r="66" spans="3:9" hidden="1">
      <c r="C66"/>
      <c r="D66"/>
      <c r="E66"/>
      <c r="F66"/>
      <c r="G66"/>
      <c r="H66"/>
      <c r="I66"/>
    </row>
    <row r="67" spans="3:9" hidden="1">
      <c r="C67"/>
      <c r="D67"/>
      <c r="E67"/>
      <c r="F67"/>
      <c r="G67"/>
      <c r="H67"/>
      <c r="I67"/>
    </row>
    <row r="68" spans="3:9" hidden="1">
      <c r="C68"/>
      <c r="D68"/>
      <c r="E68"/>
      <c r="F68"/>
      <c r="G68"/>
      <c r="H68"/>
      <c r="I68"/>
    </row>
    <row r="69" spans="3:9" hidden="1">
      <c r="C69"/>
      <c r="D69"/>
      <c r="E69"/>
      <c r="F69"/>
      <c r="G69"/>
      <c r="H69"/>
      <c r="I69"/>
    </row>
    <row r="70" spans="3:9" hidden="1">
      <c r="C70"/>
      <c r="D70"/>
      <c r="E70"/>
      <c r="F70"/>
      <c r="G70"/>
      <c r="H70"/>
      <c r="I70"/>
    </row>
    <row r="71" spans="3:9" hidden="1">
      <c r="C71"/>
      <c r="D71"/>
      <c r="E71"/>
      <c r="F71"/>
      <c r="G71"/>
      <c r="H71"/>
      <c r="I71"/>
    </row>
    <row r="72" spans="3:9" hidden="1">
      <c r="C72"/>
      <c r="D72"/>
      <c r="E72"/>
      <c r="F72"/>
      <c r="G72"/>
      <c r="H72"/>
      <c r="I72"/>
    </row>
    <row r="73" spans="3:9" hidden="1">
      <c r="C73"/>
      <c r="D73"/>
      <c r="E73"/>
      <c r="F73"/>
      <c r="G73"/>
      <c r="H73"/>
      <c r="I73"/>
    </row>
    <row r="74" spans="3:9" hidden="1">
      <c r="C74"/>
      <c r="D74"/>
      <c r="E74"/>
      <c r="F74"/>
      <c r="G74"/>
      <c r="H74"/>
      <c r="I74"/>
    </row>
    <row r="75" spans="3:9" hidden="1">
      <c r="C75"/>
      <c r="D75"/>
      <c r="E75"/>
      <c r="F75"/>
      <c r="G75"/>
      <c r="H75"/>
      <c r="I75"/>
    </row>
    <row r="76" spans="3:9" hidden="1">
      <c r="C76"/>
      <c r="D76"/>
      <c r="E76"/>
      <c r="F76"/>
      <c r="G76"/>
      <c r="H76"/>
      <c r="I76"/>
    </row>
    <row r="77" spans="3:9" hidden="1">
      <c r="C77"/>
      <c r="D77"/>
      <c r="E77"/>
      <c r="F77"/>
      <c r="G77"/>
      <c r="H77"/>
      <c r="I77"/>
    </row>
    <row r="78" spans="3:9" hidden="1">
      <c r="C78"/>
      <c r="D78"/>
      <c r="E78"/>
      <c r="F78"/>
      <c r="G78"/>
      <c r="H78"/>
      <c r="I78"/>
    </row>
    <row r="79" spans="3:9" hidden="1">
      <c r="C79"/>
      <c r="D79"/>
      <c r="E79"/>
      <c r="F79"/>
      <c r="G79"/>
      <c r="H79"/>
      <c r="I79"/>
    </row>
    <row r="80" spans="3:9" hidden="1">
      <c r="C80"/>
      <c r="D80"/>
      <c r="E80"/>
      <c r="F80"/>
      <c r="G80"/>
      <c r="H80"/>
      <c r="I80"/>
    </row>
    <row r="81" spans="3:9" hidden="1">
      <c r="C81"/>
      <c r="D81"/>
      <c r="E81"/>
      <c r="F81"/>
      <c r="G81"/>
      <c r="H81"/>
      <c r="I81"/>
    </row>
    <row r="82" spans="3:9" hidden="1">
      <c r="C82"/>
      <c r="D82"/>
      <c r="E82"/>
      <c r="F82"/>
      <c r="G82"/>
      <c r="H82"/>
      <c r="I82"/>
    </row>
    <row r="83" spans="3:9" hidden="1">
      <c r="C83"/>
      <c r="D83"/>
      <c r="E83"/>
      <c r="F83"/>
      <c r="G83"/>
      <c r="H83"/>
      <c r="I83"/>
    </row>
    <row r="84" spans="3:9" hidden="1">
      <c r="C84"/>
      <c r="D84"/>
      <c r="E84"/>
      <c r="F84"/>
      <c r="G84"/>
      <c r="H84"/>
      <c r="I84"/>
    </row>
    <row r="85" spans="3:9" hidden="1">
      <c r="C85"/>
      <c r="D85"/>
      <c r="E85"/>
      <c r="F85"/>
      <c r="G85"/>
      <c r="H85"/>
      <c r="I85"/>
    </row>
    <row r="86" spans="3:9" hidden="1">
      <c r="C86"/>
      <c r="D86"/>
      <c r="E86"/>
      <c r="F86"/>
      <c r="G86"/>
      <c r="H86"/>
      <c r="I86"/>
    </row>
    <row r="87" spans="3:9" hidden="1">
      <c r="C87"/>
      <c r="D87"/>
      <c r="E87"/>
      <c r="F87"/>
      <c r="G87"/>
      <c r="H87"/>
      <c r="I87"/>
    </row>
    <row r="88" spans="3:9" hidden="1">
      <c r="C88"/>
      <c r="D88"/>
      <c r="E88"/>
      <c r="F88"/>
      <c r="G88"/>
      <c r="H88"/>
      <c r="I88"/>
    </row>
    <row r="89" spans="3:9" hidden="1">
      <c r="C89"/>
      <c r="D89"/>
      <c r="E89"/>
      <c r="F89"/>
      <c r="G89"/>
      <c r="H89"/>
      <c r="I89"/>
    </row>
    <row r="90" spans="3:9" hidden="1">
      <c r="C90"/>
      <c r="D90"/>
      <c r="E90"/>
      <c r="F90"/>
      <c r="G90"/>
      <c r="H90"/>
      <c r="I90"/>
    </row>
    <row r="91" spans="3:9" hidden="1">
      <c r="C91"/>
      <c r="D91"/>
      <c r="E91"/>
      <c r="F91"/>
      <c r="G91"/>
      <c r="H91"/>
      <c r="I91"/>
    </row>
    <row r="92" spans="3:9" hidden="1">
      <c r="C92"/>
      <c r="D92"/>
      <c r="E92"/>
      <c r="F92"/>
      <c r="G92"/>
      <c r="H92"/>
      <c r="I92"/>
    </row>
    <row r="93" spans="3:9" hidden="1">
      <c r="C93"/>
      <c r="D93"/>
      <c r="E93"/>
      <c r="F93"/>
      <c r="G93"/>
      <c r="H93"/>
      <c r="I93"/>
    </row>
    <row r="94" spans="3:9" hidden="1">
      <c r="C94"/>
      <c r="D94"/>
      <c r="E94"/>
      <c r="F94"/>
      <c r="G94"/>
      <c r="H94"/>
      <c r="I94"/>
    </row>
    <row r="95" spans="3:9" hidden="1">
      <c r="C95"/>
      <c r="D95"/>
      <c r="E95"/>
      <c r="F95"/>
      <c r="G95"/>
      <c r="H95"/>
      <c r="I95"/>
    </row>
    <row r="96" spans="3:9" hidden="1">
      <c r="C96"/>
      <c r="D96"/>
      <c r="E96"/>
      <c r="F96"/>
      <c r="G96"/>
      <c r="H96"/>
      <c r="I96"/>
    </row>
    <row r="97" spans="3:9" hidden="1">
      <c r="C97"/>
      <c r="D97"/>
      <c r="E97"/>
      <c r="F97"/>
      <c r="G97"/>
      <c r="H97"/>
      <c r="I97"/>
    </row>
    <row r="98" spans="3:9" hidden="1">
      <c r="C98"/>
      <c r="D98"/>
      <c r="E98"/>
      <c r="F98"/>
      <c r="G98"/>
      <c r="H98"/>
      <c r="I98"/>
    </row>
    <row r="99" spans="3:9" hidden="1">
      <c r="C99"/>
      <c r="D99"/>
      <c r="E99"/>
      <c r="F99"/>
      <c r="G99"/>
      <c r="H99"/>
      <c r="I99"/>
    </row>
    <row r="100" spans="3:9" hidden="1">
      <c r="C100"/>
      <c r="D100"/>
      <c r="E100"/>
      <c r="F100"/>
      <c r="G100"/>
      <c r="H100"/>
      <c r="I100"/>
    </row>
    <row r="101" spans="3:9" hidden="1">
      <c r="C101"/>
      <c r="D101"/>
      <c r="E101"/>
      <c r="F101"/>
      <c r="G101"/>
      <c r="H101"/>
      <c r="I101"/>
    </row>
    <row r="102" spans="3:9" hidden="1">
      <c r="C102"/>
      <c r="D102"/>
      <c r="E102"/>
      <c r="F102"/>
      <c r="G102"/>
      <c r="H102"/>
      <c r="I102"/>
    </row>
    <row r="103" spans="3:9" hidden="1">
      <c r="C103"/>
      <c r="D103"/>
      <c r="E103"/>
      <c r="F103"/>
      <c r="G103"/>
      <c r="H103"/>
      <c r="I103"/>
    </row>
    <row r="104" spans="3:9" hidden="1">
      <c r="C104"/>
      <c r="D104"/>
      <c r="E104"/>
      <c r="F104"/>
      <c r="G104"/>
      <c r="H104"/>
      <c r="I104"/>
    </row>
    <row r="105" spans="3:9" hidden="1">
      <c r="C105"/>
      <c r="D105"/>
      <c r="E105"/>
      <c r="F105"/>
      <c r="G105"/>
      <c r="H105"/>
      <c r="I105"/>
    </row>
    <row r="106" spans="3:9" hidden="1">
      <c r="C106"/>
      <c r="D106"/>
      <c r="E106"/>
      <c r="F106"/>
      <c r="G106"/>
      <c r="H106"/>
      <c r="I106"/>
    </row>
    <row r="107" spans="3:9" hidden="1">
      <c r="C107"/>
      <c r="D107"/>
      <c r="E107"/>
      <c r="F107"/>
      <c r="G107"/>
      <c r="H107"/>
      <c r="I107"/>
    </row>
    <row r="108" spans="3:9" hidden="1">
      <c r="C108"/>
      <c r="D108"/>
      <c r="E108"/>
      <c r="F108"/>
      <c r="G108"/>
      <c r="H108"/>
      <c r="I108"/>
    </row>
    <row r="109" spans="3:9" hidden="1">
      <c r="C109"/>
      <c r="D109"/>
      <c r="E109"/>
      <c r="F109"/>
      <c r="G109"/>
      <c r="H109"/>
      <c r="I109"/>
    </row>
    <row r="110" spans="3:9" hidden="1">
      <c r="C110"/>
      <c r="D110"/>
      <c r="E110"/>
      <c r="F110"/>
      <c r="G110"/>
      <c r="H110"/>
      <c r="I110"/>
    </row>
    <row r="111" spans="3:9" hidden="1">
      <c r="C111"/>
      <c r="D111"/>
      <c r="E111"/>
      <c r="F111"/>
      <c r="G111"/>
      <c r="H111"/>
      <c r="I111"/>
    </row>
    <row r="112" spans="3:9" hidden="1">
      <c r="C112"/>
      <c r="D112"/>
      <c r="E112"/>
      <c r="F112"/>
      <c r="G112"/>
      <c r="H112"/>
      <c r="I112"/>
    </row>
    <row r="113" spans="3:9" hidden="1">
      <c r="C113"/>
      <c r="D113"/>
      <c r="E113"/>
      <c r="F113"/>
      <c r="G113"/>
      <c r="H113"/>
      <c r="I113"/>
    </row>
    <row r="114" spans="3:9" hidden="1">
      <c r="C114"/>
      <c r="D114"/>
      <c r="E114"/>
      <c r="F114"/>
      <c r="G114"/>
      <c r="H114"/>
      <c r="I114"/>
    </row>
    <row r="115" spans="3:9" hidden="1">
      <c r="C115"/>
      <c r="D115"/>
      <c r="E115"/>
      <c r="F115"/>
      <c r="G115"/>
      <c r="H115"/>
      <c r="I115"/>
    </row>
    <row r="116" spans="3:9" hidden="1">
      <c r="C116"/>
      <c r="D116"/>
      <c r="E116"/>
      <c r="F116"/>
      <c r="G116"/>
      <c r="H116"/>
      <c r="I116"/>
    </row>
    <row r="117" spans="3:9" hidden="1">
      <c r="C117"/>
      <c r="D117"/>
      <c r="E117"/>
      <c r="F117"/>
      <c r="G117"/>
      <c r="H117"/>
      <c r="I117"/>
    </row>
    <row r="118" spans="3:9" hidden="1">
      <c r="C118"/>
      <c r="D118"/>
      <c r="E118"/>
      <c r="F118"/>
      <c r="G118"/>
      <c r="H118"/>
      <c r="I118"/>
    </row>
    <row r="119" spans="3:9" hidden="1">
      <c r="C119"/>
      <c r="D119"/>
      <c r="E119"/>
      <c r="F119"/>
      <c r="G119"/>
      <c r="H119"/>
      <c r="I119"/>
    </row>
    <row r="120" spans="3:9" hidden="1">
      <c r="C120"/>
      <c r="D120"/>
      <c r="E120"/>
      <c r="F120"/>
      <c r="G120"/>
      <c r="H120"/>
      <c r="I120"/>
    </row>
    <row r="121" spans="3:9" hidden="1">
      <c r="C121"/>
      <c r="D121"/>
      <c r="E121"/>
      <c r="F121"/>
      <c r="G121"/>
      <c r="H121"/>
      <c r="I121"/>
    </row>
    <row r="122" spans="3:9" hidden="1">
      <c r="C122"/>
      <c r="D122"/>
      <c r="E122"/>
      <c r="F122"/>
      <c r="G122"/>
      <c r="H122"/>
      <c r="I122"/>
    </row>
    <row r="123" spans="3:9" hidden="1">
      <c r="C123"/>
      <c r="D123"/>
      <c r="E123"/>
      <c r="F123"/>
      <c r="G123"/>
      <c r="H123"/>
      <c r="I123"/>
    </row>
    <row r="124" spans="3:9" hidden="1">
      <c r="C124"/>
      <c r="D124"/>
      <c r="E124"/>
      <c r="F124"/>
      <c r="G124"/>
      <c r="H124"/>
      <c r="I124"/>
    </row>
    <row r="125" spans="3:9" hidden="1">
      <c r="C125"/>
      <c r="D125"/>
      <c r="E125"/>
      <c r="F125"/>
      <c r="G125"/>
      <c r="H125"/>
      <c r="I125"/>
    </row>
    <row r="126" spans="3:9" hidden="1">
      <c r="C126"/>
      <c r="D126"/>
      <c r="E126"/>
      <c r="F126"/>
      <c r="G126"/>
      <c r="H126"/>
      <c r="I126"/>
    </row>
    <row r="127" spans="3:9" hidden="1">
      <c r="C127"/>
      <c r="D127"/>
      <c r="E127"/>
      <c r="F127"/>
      <c r="G127"/>
      <c r="H127"/>
      <c r="I127"/>
    </row>
    <row r="128" spans="3:9" hidden="1">
      <c r="C128"/>
      <c r="D128"/>
      <c r="E128"/>
      <c r="F128"/>
      <c r="G128"/>
      <c r="H128"/>
      <c r="I128"/>
    </row>
    <row r="129" spans="3:9" hidden="1">
      <c r="C129"/>
      <c r="D129"/>
      <c r="E129"/>
      <c r="F129"/>
      <c r="G129"/>
      <c r="H129"/>
      <c r="I129"/>
    </row>
    <row r="130" spans="3:9" hidden="1">
      <c r="C130"/>
      <c r="D130"/>
      <c r="E130"/>
      <c r="F130"/>
      <c r="G130"/>
      <c r="H130"/>
      <c r="I130"/>
    </row>
    <row r="131" spans="3:9" hidden="1">
      <c r="C131"/>
      <c r="D131"/>
      <c r="E131"/>
      <c r="F131"/>
      <c r="G131"/>
      <c r="H131"/>
      <c r="I131"/>
    </row>
    <row r="132" spans="3:9" hidden="1">
      <c r="C132"/>
      <c r="D132"/>
      <c r="E132"/>
      <c r="F132"/>
      <c r="G132"/>
      <c r="H132"/>
      <c r="I132"/>
    </row>
    <row r="133" spans="3:9" hidden="1">
      <c r="C133"/>
      <c r="D133"/>
      <c r="E133"/>
      <c r="F133"/>
      <c r="G133"/>
      <c r="H133"/>
      <c r="I133"/>
    </row>
    <row r="134" spans="3:9" hidden="1">
      <c r="C134"/>
      <c r="D134"/>
      <c r="E134"/>
      <c r="F134"/>
      <c r="G134"/>
      <c r="H134"/>
      <c r="I134"/>
    </row>
    <row r="135" spans="3:9" hidden="1">
      <c r="C135"/>
      <c r="D135"/>
      <c r="E135"/>
      <c r="F135"/>
      <c r="G135"/>
      <c r="H135"/>
      <c r="I135"/>
    </row>
    <row r="136" spans="3:9" hidden="1">
      <c r="C136"/>
      <c r="D136"/>
      <c r="E136"/>
      <c r="F136"/>
      <c r="G136"/>
      <c r="H136"/>
      <c r="I136"/>
    </row>
    <row r="137" spans="3:9" hidden="1">
      <c r="C137"/>
      <c r="D137"/>
      <c r="E137"/>
      <c r="F137"/>
      <c r="G137"/>
      <c r="H137"/>
      <c r="I137"/>
    </row>
    <row r="138" spans="3:9" hidden="1">
      <c r="C138"/>
      <c r="D138"/>
      <c r="E138"/>
      <c r="F138"/>
      <c r="G138"/>
      <c r="H138"/>
      <c r="I138"/>
    </row>
    <row r="139" spans="3:9" hidden="1">
      <c r="C139"/>
      <c r="D139"/>
      <c r="E139"/>
      <c r="F139"/>
      <c r="G139"/>
      <c r="H139"/>
      <c r="I139"/>
    </row>
    <row r="140" spans="3:9" hidden="1">
      <c r="C140"/>
      <c r="D140"/>
      <c r="E140"/>
      <c r="F140"/>
      <c r="G140"/>
      <c r="H140"/>
      <c r="I140"/>
    </row>
    <row r="141" spans="3:9" hidden="1">
      <c r="C141"/>
      <c r="D141"/>
      <c r="E141"/>
      <c r="F141"/>
      <c r="G141"/>
      <c r="H141"/>
      <c r="I141"/>
    </row>
    <row r="142" spans="3:9" hidden="1">
      <c r="C142"/>
      <c r="D142"/>
      <c r="E142"/>
      <c r="F142"/>
      <c r="G142"/>
      <c r="H142"/>
      <c r="I142"/>
    </row>
    <row r="143" spans="3:9" hidden="1">
      <c r="C143"/>
      <c r="D143"/>
      <c r="E143"/>
      <c r="F143"/>
      <c r="G143"/>
      <c r="H143"/>
      <c r="I143"/>
    </row>
    <row r="144" spans="3:9" hidden="1">
      <c r="C144"/>
      <c r="D144"/>
      <c r="E144"/>
      <c r="F144"/>
      <c r="G144"/>
      <c r="H144"/>
      <c r="I144"/>
    </row>
  </sheetData>
  <sheetProtection autoFilter="0" pivotTables="0"/>
  <mergeCells count="1">
    <mergeCell ref="C2:J2"/>
  </mergeCells>
  <pageMargins left="0.7" right="0.7" top="0.75" bottom="0.75" header="0.3" footer="0.3"/>
  <pageSetup paperSize="9" orientation="portrait" horizontalDpi="300" verticalDpi="30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tabColor theme="9" tint="0.39997558519241921"/>
    <outlinePr summaryBelow="0" summaryRight="0"/>
  </sheetPr>
  <dimension ref="A1:EV525"/>
  <sheetViews>
    <sheetView showGridLines="0" workbookViewId="0">
      <pane xSplit="6" ySplit="15" topLeftCell="G16" activePane="bottomRight" state="frozen"/>
      <selection activeCell="A12" sqref="A12"/>
      <selection pane="topRight" activeCell="G12" sqref="G12"/>
      <selection pane="bottomLeft" activeCell="A16" sqref="A16"/>
      <selection pane="bottomRight" activeCell="E22" sqref="E22"/>
    </sheetView>
  </sheetViews>
  <sheetFormatPr defaultColWidth="9.1796875" defaultRowHeight="14.5" outlineLevelCol="1"/>
  <cols>
    <col min="1" max="1" width="10.54296875" style="6" customWidth="1"/>
    <col min="2" max="2" width="16.7265625" style="3" bestFit="1" customWidth="1" collapsed="1"/>
    <col min="3" max="4" width="14.1796875" style="3" hidden="1" customWidth="1" outlineLevel="1"/>
    <col min="5" max="6" width="14.1796875" style="3" customWidth="1"/>
    <col min="7" max="7" width="20.453125" style="3" customWidth="1"/>
    <col min="8" max="8" width="14.1796875" style="3" customWidth="1"/>
    <col min="9" max="9" width="23.1796875" style="3" customWidth="1"/>
    <col min="10" max="10" width="14.1796875" style="3" customWidth="1"/>
    <col min="11" max="11" width="14.1796875" style="3" customWidth="1" collapsed="1"/>
    <col min="12" max="14" width="14.1796875" style="3" hidden="1" customWidth="1" outlineLevel="1"/>
    <col min="15" max="15" width="11" style="3" hidden="1" customWidth="1" outlineLevel="1"/>
    <col min="16" max="16" width="13.54296875" style="3" hidden="1" customWidth="1" outlineLevel="1"/>
    <col min="17" max="17" width="15.1796875" style="3" hidden="1" customWidth="1" outlineLevel="1"/>
    <col min="18" max="18" width="31.1796875" style="3" customWidth="1" collapsed="1"/>
    <col min="19" max="19" width="39.1796875" style="3" hidden="1" customWidth="1" outlineLevel="1"/>
    <col min="20" max="20" width="5.54296875" style="3" customWidth="1" collapsed="1"/>
    <col min="21" max="21" width="68.7265625" style="3" hidden="1" customWidth="1" outlineLevel="1"/>
    <col min="22" max="22" width="5.7265625" style="3" customWidth="1" collapsed="1"/>
    <col min="23" max="23" width="39" style="3" hidden="1" customWidth="1" outlineLevel="1"/>
    <col min="24" max="24" width="5.7265625" style="3" customWidth="1" collapsed="1"/>
    <col min="25" max="25" width="76.26953125" style="3" hidden="1" customWidth="1" outlineLevel="1"/>
    <col min="26" max="26" width="5.7265625" style="3" customWidth="1" collapsed="1"/>
    <col min="27" max="27" width="13.54296875" style="3" hidden="1" customWidth="1" outlineLevel="1"/>
    <col min="28" max="28" width="12.1796875" style="3" hidden="1" customWidth="1" outlineLevel="1"/>
    <col min="29" max="29" width="9.1796875" style="3" hidden="1" customWidth="1" outlineLevel="1"/>
    <col min="30" max="30" width="18.90625" style="3" hidden="1" customWidth="1" outlineLevel="1"/>
    <col min="31" max="31" width="5.7265625" style="3" customWidth="1" collapsed="1"/>
    <col min="32" max="32" width="13.453125" style="3" hidden="1" customWidth="1" outlineLevel="1"/>
    <col min="33" max="33" width="11.36328125" style="3" hidden="1" customWidth="1" outlineLevel="1"/>
    <col min="34" max="34" width="12.90625" style="3" hidden="1" customWidth="1" outlineLevel="1"/>
    <col min="35" max="35" width="65" style="3" hidden="1" customWidth="1" outlineLevel="1"/>
    <col min="36" max="36" width="5.7265625" style="3" customWidth="1" collapsed="1"/>
    <col min="37" max="37" width="12.26953125" style="3" hidden="1" customWidth="1" outlineLevel="1"/>
    <col min="38" max="38" width="87.26953125" style="3" hidden="1" customWidth="1" outlineLevel="1"/>
    <col min="39" max="39" width="7.6328125" style="3" customWidth="1" collapsed="1"/>
    <col min="40" max="40" width="34.1796875" style="3" hidden="1" customWidth="1" outlineLevel="1"/>
    <col min="41" max="41" width="13.7265625" style="3" hidden="1" customWidth="1" outlineLevel="1"/>
    <col min="42" max="42" width="9.6328125" style="8" customWidth="1" collapsed="1"/>
    <col min="43" max="43" width="15.1796875" style="6" hidden="1" customWidth="1" outlineLevel="1"/>
    <col min="44" max="44" width="10.08984375" style="6" customWidth="1" collapsed="1"/>
    <col min="45" max="52" width="15.1796875" style="6" hidden="1" customWidth="1" outlineLevel="1"/>
    <col min="53" max="54" width="15.1796875" style="6" customWidth="1"/>
    <col min="55" max="55" width="15.1796875" style="6" customWidth="1" collapsed="1"/>
    <col min="56" max="56" width="48.36328125" style="6" hidden="1" customWidth="1"/>
    <col min="57" max="57" width="15.1796875" style="6" hidden="1" customWidth="1"/>
    <col min="58" max="58" width="46" style="6" hidden="1" customWidth="1"/>
    <col min="59" max="59" width="15.1796875" style="64" hidden="1" customWidth="1"/>
    <col min="60" max="60" width="16.7265625" style="63" hidden="1" customWidth="1"/>
    <col min="61" max="61" width="13.81640625" style="63" hidden="1" customWidth="1"/>
    <col min="62" max="62" width="66.453125" style="63" hidden="1" customWidth="1"/>
    <col min="63" max="64" width="13.81640625" style="63" hidden="1" customWidth="1"/>
    <col min="65" max="89" width="13.81640625" style="3" customWidth="1"/>
    <col min="90" max="90" width="51.1796875" style="5" bestFit="1" customWidth="1"/>
    <col min="91" max="91" width="5.7265625" style="5" customWidth="1"/>
    <col min="92" max="92" width="61.26953125" style="3" customWidth="1"/>
    <col min="93" max="93" width="5.7265625" style="5" customWidth="1" collapsed="1"/>
    <col min="94" max="94" width="18.1796875" style="5" customWidth="1"/>
    <col min="95" max="95" width="58.453125" style="5" customWidth="1"/>
    <col min="96" max="96" width="17" style="5" customWidth="1" collapsed="1"/>
    <col min="97" max="97" width="54.453125" style="5" customWidth="1"/>
    <col min="98" max="98" width="5.7265625" style="3" customWidth="1" collapsed="1"/>
    <col min="99" max="99" width="81.1796875" style="3" customWidth="1"/>
    <col min="100" max="100" width="17" style="5" customWidth="1" collapsed="1"/>
    <col min="101" max="101" width="15.81640625" style="3" customWidth="1"/>
    <col min="102" max="102" width="5.26953125" style="3" customWidth="1"/>
    <col min="103" max="103" width="32" style="3" customWidth="1"/>
    <col min="104" max="104" width="24.1796875" style="3" customWidth="1"/>
    <col min="105" max="105" width="6" style="3" customWidth="1"/>
    <col min="106" max="107" width="24.1796875" style="3" customWidth="1"/>
    <col min="108" max="108" width="5.7265625" style="3" customWidth="1" collapsed="1"/>
    <col min="109" max="109" width="49" style="3" customWidth="1"/>
    <col min="110" max="110" width="5.7265625" style="3" customWidth="1" collapsed="1"/>
    <col min="111" max="111" width="24.1796875" style="3" customWidth="1"/>
    <col min="112" max="112" width="8" style="3" customWidth="1"/>
    <col min="113" max="121" width="38.81640625" style="3" customWidth="1"/>
    <col min="122" max="122" width="24.1796875" style="3" customWidth="1"/>
    <col min="123" max="123" width="35" style="3" customWidth="1"/>
    <col min="124" max="124" width="4.26953125" style="5" customWidth="1" collapsed="1"/>
    <col min="125" max="125" width="31.1796875" style="3" customWidth="1"/>
    <col min="126" max="126" width="4.26953125" style="3" customWidth="1" collapsed="1"/>
    <col min="127" max="127" width="22.1796875" style="3" customWidth="1"/>
    <col min="128" max="128" width="7.7265625" style="3" customWidth="1"/>
    <col min="129" max="131" width="34.81640625" style="3" customWidth="1"/>
    <col min="132" max="132" width="20" style="3" customWidth="1"/>
    <col min="133" max="134" width="22.1796875" style="3" customWidth="1"/>
    <col min="135" max="135" width="13.26953125" style="3" bestFit="1" customWidth="1"/>
    <col min="136" max="136" width="22.1796875" style="3" customWidth="1"/>
    <col min="137" max="137" width="14.1796875" style="3" customWidth="1"/>
    <col min="138" max="141" width="4.26953125" style="7" customWidth="1"/>
    <col min="142" max="142" width="58.453125" style="4" customWidth="1"/>
    <col min="143" max="143" width="10" style="4" customWidth="1"/>
    <col min="144" max="144" width="41.81640625" style="4" customWidth="1"/>
    <col min="145" max="145" width="12.54296875" style="4" customWidth="1"/>
    <col min="146" max="146" width="19.453125" style="4" customWidth="1"/>
    <col min="147" max="147" width="57.453125" style="4" customWidth="1"/>
    <col min="148" max="148" width="22.26953125" style="4" customWidth="1"/>
    <col min="149" max="149" width="30.1796875" style="4" customWidth="1"/>
    <col min="150" max="150" width="47.7265625" style="4" customWidth="1"/>
    <col min="151" max="152" width="9.1796875" style="4"/>
    <col min="153" max="16384" width="9.1796875" style="2"/>
  </cols>
  <sheetData>
    <row r="1" spans="1:152" s="17" customFormat="1" hidden="1">
      <c r="A1" s="9" t="s">
        <v>4</v>
      </c>
      <c r="B1" s="10" t="s">
        <v>75</v>
      </c>
      <c r="C1" s="11"/>
      <c r="D1" s="11"/>
      <c r="E1" s="11"/>
      <c r="F1" s="12"/>
      <c r="G1" s="13"/>
      <c r="H1" s="14"/>
      <c r="I1" s="15"/>
      <c r="J1" s="15"/>
      <c r="K1" s="15"/>
      <c r="L1" s="15"/>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54"/>
      <c r="BH1" s="54"/>
      <c r="BI1" s="54"/>
      <c r="BJ1" s="54"/>
      <c r="BK1" s="54"/>
      <c r="BL1" s="54"/>
      <c r="BM1" s="11"/>
      <c r="BN1" s="11"/>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1"/>
      <c r="CU1" s="11"/>
      <c r="CV1" s="11"/>
      <c r="CW1" s="11"/>
      <c r="CX1" s="16"/>
      <c r="CY1" s="16"/>
      <c r="CZ1" s="16"/>
      <c r="DA1" s="16"/>
    </row>
    <row r="2" spans="1:152" s="17" customFormat="1" hidden="1">
      <c r="A2" s="18" t="s">
        <v>7</v>
      </c>
      <c r="B2" s="15"/>
      <c r="C2" s="11"/>
      <c r="D2" s="11"/>
      <c r="E2" s="11"/>
      <c r="F2" s="19"/>
      <c r="G2" s="20"/>
      <c r="H2" s="20"/>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54"/>
      <c r="BH2" s="54"/>
      <c r="BI2" s="54"/>
      <c r="BJ2" s="54"/>
      <c r="BK2" s="54"/>
      <c r="BL2" s="54"/>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6"/>
      <c r="CY2" s="16"/>
      <c r="CZ2" s="16"/>
      <c r="DA2" s="16"/>
    </row>
    <row r="3" spans="1:152" s="17" customFormat="1" hidden="1">
      <c r="A3" s="21" t="s">
        <v>2</v>
      </c>
      <c r="B3" s="22"/>
      <c r="C3" s="23"/>
      <c r="D3" s="79"/>
      <c r="E3" s="23"/>
      <c r="F3" s="22"/>
      <c r="G3" s="22"/>
      <c r="H3" s="22"/>
      <c r="I3" s="22"/>
      <c r="J3" s="22"/>
      <c r="K3" s="22"/>
      <c r="L3" s="22"/>
      <c r="M3" s="39"/>
      <c r="N3" s="22"/>
      <c r="O3" s="22"/>
      <c r="P3" s="22"/>
      <c r="Q3" s="11"/>
      <c r="R3" s="11"/>
      <c r="S3" s="39"/>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54"/>
      <c r="BH3" s="54"/>
      <c r="BI3" s="54"/>
      <c r="BJ3" s="54"/>
      <c r="BK3" s="54"/>
      <c r="BL3" s="54"/>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6"/>
      <c r="CV3" s="16"/>
      <c r="CW3" s="16"/>
      <c r="CX3" s="16"/>
    </row>
    <row r="4" spans="1:152" s="25" customFormat="1" hidden="1">
      <c r="A4" s="24">
        <f>MATCH(A3,10:10,0)</f>
        <v>1</v>
      </c>
      <c r="B4" s="24"/>
      <c r="C4" s="24"/>
      <c r="D4" s="80"/>
      <c r="E4" s="24"/>
      <c r="F4" s="24"/>
      <c r="G4" s="24"/>
      <c r="H4" s="24"/>
      <c r="I4" s="24"/>
      <c r="J4" s="24"/>
      <c r="K4" s="24"/>
      <c r="L4" s="24"/>
      <c r="M4" s="24"/>
      <c r="N4" s="24"/>
      <c r="O4" s="24"/>
      <c r="P4" s="24"/>
      <c r="Q4" s="24"/>
      <c r="R4" s="24"/>
      <c r="S4" s="24"/>
      <c r="AN4" s="20"/>
      <c r="AO4" s="20"/>
      <c r="AP4" s="20"/>
      <c r="AQ4" s="20"/>
      <c r="AR4" s="20"/>
      <c r="AS4" s="20"/>
      <c r="AT4" s="20"/>
      <c r="AU4" s="20"/>
      <c r="AV4" s="20"/>
      <c r="AW4" s="20"/>
      <c r="AX4" s="20"/>
      <c r="AY4" s="20"/>
      <c r="AZ4" s="20"/>
      <c r="BA4" s="20"/>
      <c r="BB4" s="20"/>
      <c r="BC4" s="20"/>
      <c r="BD4" s="20"/>
      <c r="BE4" s="20"/>
      <c r="BF4" s="20"/>
      <c r="BG4" s="55"/>
      <c r="BH4" s="55"/>
      <c r="BI4" s="55"/>
      <c r="BJ4" s="55"/>
      <c r="BK4" s="55"/>
      <c r="BL4" s="55"/>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16"/>
      <c r="CV4" s="16"/>
      <c r="CW4" s="16"/>
      <c r="CX4" s="16"/>
    </row>
    <row r="5" spans="1:152" s="25" customFormat="1" hidden="1">
      <c r="A5" s="24">
        <v>22</v>
      </c>
      <c r="B5" s="24"/>
      <c r="C5" s="24"/>
      <c r="D5" s="80"/>
      <c r="E5" s="24"/>
      <c r="F5" s="24"/>
      <c r="G5" s="24"/>
      <c r="H5" s="24"/>
      <c r="I5" s="24"/>
      <c r="J5" s="24"/>
      <c r="K5" s="24"/>
      <c r="L5" s="24"/>
      <c r="M5" s="24"/>
      <c r="N5" s="24"/>
      <c r="O5" s="24"/>
      <c r="P5" s="24"/>
      <c r="Q5" s="24"/>
      <c r="R5" s="24"/>
      <c r="S5" s="24"/>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55"/>
      <c r="BH5" s="55"/>
      <c r="BI5" s="55"/>
      <c r="BJ5" s="55"/>
      <c r="BK5" s="55"/>
      <c r="BL5" s="55"/>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16"/>
      <c r="CV5" s="16"/>
      <c r="CW5" s="16"/>
      <c r="CX5" s="16"/>
    </row>
    <row r="6" spans="1:152" s="27" customFormat="1" hidden="1">
      <c r="A6" s="26" t="s">
        <v>5</v>
      </c>
      <c r="F6" s="28"/>
      <c r="G6" s="29"/>
      <c r="H6" s="29"/>
      <c r="AO6" s="30"/>
      <c r="AP6" s="30"/>
      <c r="AQ6" s="30"/>
      <c r="AR6" s="30"/>
      <c r="AS6" s="30"/>
      <c r="AT6" s="30"/>
      <c r="AU6" s="30"/>
      <c r="AV6" s="30"/>
      <c r="AW6" s="30"/>
      <c r="AX6" s="30"/>
      <c r="AY6" s="30"/>
      <c r="AZ6" s="30"/>
      <c r="BA6" s="30"/>
      <c r="BB6" s="30"/>
      <c r="BC6" s="30"/>
      <c r="BD6" s="30"/>
      <c r="BE6" s="30"/>
      <c r="BF6" s="30"/>
      <c r="BG6" s="56"/>
      <c r="BH6" s="56"/>
      <c r="BI6" s="56"/>
      <c r="BJ6" s="56"/>
      <c r="BK6" s="56"/>
      <c r="BL6" s="56"/>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1"/>
      <c r="CY6" s="31"/>
      <c r="CZ6" s="31"/>
      <c r="DA6" s="31"/>
    </row>
    <row r="7" spans="1:152" s="27" customFormat="1" hidden="1">
      <c r="A7" s="29" t="str">
        <f>IF(A8&lt;&gt;"","Operator","")</f>
        <v/>
      </c>
      <c r="B7" s="29" t="str">
        <f>IF(B8&lt;&gt;"","Status","")</f>
        <v/>
      </c>
      <c r="C7" s="29"/>
      <c r="D7" s="29"/>
      <c r="E7" s="29"/>
      <c r="F7" s="28"/>
      <c r="G7" s="29"/>
      <c r="H7" s="32" t="s">
        <v>24</v>
      </c>
      <c r="I7" s="32" t="s">
        <v>25</v>
      </c>
      <c r="J7" s="32" t="s">
        <v>26</v>
      </c>
      <c r="K7" s="32" t="s">
        <v>27</v>
      </c>
      <c r="L7" s="32"/>
      <c r="M7" s="32"/>
      <c r="N7" s="32"/>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5"/>
      <c r="AP7" s="30"/>
      <c r="AQ7" s="30"/>
      <c r="AR7" s="30"/>
      <c r="AS7" s="30"/>
      <c r="AT7" s="30"/>
      <c r="AU7" s="30"/>
      <c r="AV7" s="30"/>
      <c r="AW7" s="30"/>
      <c r="AX7" s="30"/>
      <c r="AY7" s="30"/>
      <c r="AZ7" s="30"/>
      <c r="BA7" s="30"/>
      <c r="BB7" s="30"/>
      <c r="BC7" s="30"/>
      <c r="BD7" s="30"/>
      <c r="BE7" s="30"/>
      <c r="BF7" s="30"/>
      <c r="BG7" s="56"/>
      <c r="BH7" s="56"/>
      <c r="BI7" s="56"/>
      <c r="BJ7" s="56"/>
      <c r="BK7" s="56"/>
      <c r="BL7" s="56"/>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0"/>
      <c r="CU7" s="30"/>
      <c r="CV7" s="30"/>
      <c r="CW7" s="30"/>
      <c r="CX7" s="31"/>
      <c r="CY7" s="31"/>
      <c r="CZ7" s="31"/>
      <c r="DA7" s="31"/>
    </row>
    <row r="8" spans="1:152" s="27" customFormat="1" hidden="1">
      <c r="A8" s="33" t="str">
        <f>IF($C$13&lt;&gt;"",$C$13,"")</f>
        <v/>
      </c>
      <c r="B8" s="33" t="str">
        <f>IF($R$13&lt;&gt;"",$R$13,"")</f>
        <v/>
      </c>
      <c r="C8" s="29"/>
      <c r="D8" s="29"/>
      <c r="E8" s="29"/>
      <c r="F8" s="75" t="s">
        <v>38</v>
      </c>
      <c r="G8" s="76" t="s">
        <v>41</v>
      </c>
      <c r="H8" s="76" t="s">
        <v>35</v>
      </c>
      <c r="I8" s="77" t="s">
        <v>34</v>
      </c>
      <c r="J8" s="77" t="s">
        <v>40</v>
      </c>
      <c r="AO8" s="30"/>
      <c r="AP8" s="30"/>
      <c r="AQ8" s="30"/>
      <c r="AR8" s="30"/>
      <c r="AS8" s="30"/>
      <c r="AT8" s="30"/>
      <c r="AU8" s="30"/>
      <c r="AV8" s="30"/>
      <c r="AW8" s="30"/>
      <c r="AX8" s="30"/>
      <c r="AY8" s="30"/>
      <c r="AZ8" s="30"/>
      <c r="BA8" s="30"/>
      <c r="BB8" s="30"/>
      <c r="BC8" s="30"/>
      <c r="BD8" s="30"/>
      <c r="BE8" s="30"/>
      <c r="BF8" s="30"/>
      <c r="BG8" s="56"/>
      <c r="BH8" s="56"/>
      <c r="BI8" s="56"/>
      <c r="BJ8" s="56"/>
      <c r="BK8" s="56"/>
      <c r="BL8" s="56"/>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0"/>
      <c r="CU8" s="30"/>
      <c r="CV8" s="30"/>
      <c r="CW8" s="30"/>
      <c r="CX8" s="31"/>
      <c r="CY8" s="31"/>
      <c r="CZ8" s="31"/>
      <c r="DA8" s="31"/>
    </row>
    <row r="9" spans="1:152" s="36" customFormat="1" hidden="1">
      <c r="A9" s="34" t="s">
        <v>6</v>
      </c>
      <c r="B9" s="29"/>
      <c r="C9" s="29"/>
      <c r="D9" s="29"/>
      <c r="E9" s="29"/>
      <c r="F9" s="76" t="str">
        <f ca="1">IFERROR(IF(FIND(F8,CELL("filename"),1)&gt;0,F8,""),"")</f>
        <v/>
      </c>
      <c r="G9" s="76" t="str">
        <f ca="1">IFERROR(IF(FIND(G8,CELL("filename"),1)&gt;0,G8,""),"")</f>
        <v/>
      </c>
      <c r="H9" s="76" t="str">
        <f t="shared" ref="H9:J9" ca="1" si="0">IFERROR(IF(FIND(H8,CELL("filename"),1)&gt;0,H8,""),"")</f>
        <v/>
      </c>
      <c r="I9" s="76" t="str">
        <f t="shared" ca="1" si="0"/>
        <v/>
      </c>
      <c r="J9" s="76" t="str">
        <f t="shared" ca="1" si="0"/>
        <v/>
      </c>
      <c r="K9" s="78" t="str">
        <f ca="1">CONCATENATE(F9,G9,H9,I9,J9)</f>
        <v/>
      </c>
      <c r="L9" s="29"/>
      <c r="M9" s="29"/>
      <c r="N9" s="29"/>
      <c r="O9" s="29"/>
      <c r="P9" s="29"/>
      <c r="Q9" s="29"/>
      <c r="R9" s="29"/>
      <c r="S9" s="29"/>
      <c r="T9" s="35">
        <v>1</v>
      </c>
      <c r="U9" s="29"/>
      <c r="V9" s="35">
        <v>1</v>
      </c>
      <c r="W9" s="29"/>
      <c r="X9" s="35">
        <v>1</v>
      </c>
      <c r="Y9" s="29"/>
      <c r="Z9" s="35">
        <v>1</v>
      </c>
      <c r="AA9" s="29"/>
      <c r="AB9" s="29"/>
      <c r="AC9" s="35">
        <v>1</v>
      </c>
      <c r="AD9" s="29"/>
      <c r="AE9" s="29"/>
      <c r="AF9" s="29"/>
      <c r="AG9" s="29"/>
      <c r="AH9" s="35">
        <v>1</v>
      </c>
      <c r="AI9" s="29"/>
      <c r="AJ9" s="29"/>
      <c r="AK9" s="29"/>
      <c r="AL9" s="29"/>
      <c r="AM9" s="29"/>
      <c r="AN9" s="29"/>
      <c r="AO9" s="29"/>
      <c r="AP9" s="29"/>
      <c r="AQ9" s="29"/>
      <c r="AR9" s="29"/>
      <c r="AS9" s="29"/>
      <c r="AT9" s="29"/>
      <c r="AU9" s="29"/>
      <c r="AV9" s="29"/>
      <c r="AW9" s="29"/>
      <c r="AX9" s="29"/>
      <c r="AY9" s="29"/>
      <c r="AZ9" s="29"/>
      <c r="BA9" s="29"/>
      <c r="BB9" s="29"/>
      <c r="BC9" s="29"/>
      <c r="BD9" s="29"/>
      <c r="BG9" s="57"/>
      <c r="BH9" s="57"/>
      <c r="BI9" s="57"/>
      <c r="BJ9" s="57"/>
      <c r="BK9" s="57"/>
      <c r="BL9" s="57"/>
      <c r="DA9" s="31"/>
      <c r="DB9" s="31"/>
      <c r="DC9" s="31"/>
      <c r="DD9" s="31"/>
    </row>
    <row r="10" spans="1:152" s="11" customFormat="1" hidden="1">
      <c r="A10" s="37" t="s">
        <v>2</v>
      </c>
      <c r="B10" s="38" t="s">
        <v>76</v>
      </c>
      <c r="C10" s="39" t="s">
        <v>36</v>
      </c>
      <c r="D10" s="81"/>
      <c r="E10" s="39" t="s">
        <v>74</v>
      </c>
      <c r="F10" s="23" t="s">
        <v>73</v>
      </c>
      <c r="G10" s="23" t="s">
        <v>72</v>
      </c>
      <c r="H10" s="38" t="s">
        <v>37</v>
      </c>
      <c r="I10" s="39" t="s">
        <v>0</v>
      </c>
      <c r="J10" s="39" t="s">
        <v>71</v>
      </c>
      <c r="K10" s="39" t="s">
        <v>1</v>
      </c>
      <c r="L10" s="39" t="s">
        <v>90</v>
      </c>
      <c r="M10" s="39" t="s">
        <v>91</v>
      </c>
      <c r="N10" s="23" t="s">
        <v>70</v>
      </c>
      <c r="O10" s="23" t="s">
        <v>69</v>
      </c>
      <c r="P10" s="39" t="s">
        <v>10</v>
      </c>
      <c r="Q10" s="39" t="s">
        <v>9</v>
      </c>
      <c r="R10" s="39" t="s">
        <v>23</v>
      </c>
      <c r="S10" s="39" t="s">
        <v>32</v>
      </c>
      <c r="T10" s="39" t="s">
        <v>68</v>
      </c>
      <c r="U10" s="39" t="s">
        <v>67</v>
      </c>
      <c r="V10" s="39" t="s">
        <v>20</v>
      </c>
      <c r="W10" s="39" t="s">
        <v>21</v>
      </c>
      <c r="X10" s="39" t="s">
        <v>66</v>
      </c>
      <c r="Y10" s="39" t="s">
        <v>65</v>
      </c>
      <c r="Z10" s="39" t="s">
        <v>15</v>
      </c>
      <c r="AA10" s="23" t="s">
        <v>64</v>
      </c>
      <c r="AB10" s="39" t="s">
        <v>16</v>
      </c>
      <c r="AC10" s="39" t="s">
        <v>11</v>
      </c>
      <c r="AD10" s="65" t="s">
        <v>13</v>
      </c>
      <c r="AE10" s="66" t="s">
        <v>88</v>
      </c>
      <c r="AF10" s="66" t="s">
        <v>89</v>
      </c>
      <c r="AG10" s="67" t="s">
        <v>12</v>
      </c>
      <c r="AH10" s="39" t="s">
        <v>17</v>
      </c>
      <c r="AI10" s="39" t="s">
        <v>63</v>
      </c>
      <c r="AJ10" s="39" t="s">
        <v>18</v>
      </c>
      <c r="AK10" s="39" t="s">
        <v>42</v>
      </c>
      <c r="AL10" s="39" t="s">
        <v>43</v>
      </c>
      <c r="AM10" s="39" t="s">
        <v>44</v>
      </c>
      <c r="AN10" s="39" t="s">
        <v>45</v>
      </c>
      <c r="AO10" s="39" t="s">
        <v>46</v>
      </c>
      <c r="AP10" s="39" t="s">
        <v>47</v>
      </c>
      <c r="AQ10" s="39" t="s">
        <v>48</v>
      </c>
      <c r="AR10" s="68" t="s">
        <v>94</v>
      </c>
      <c r="AS10" s="68" t="s">
        <v>95</v>
      </c>
      <c r="AT10" s="68" t="s">
        <v>96</v>
      </c>
      <c r="AU10" s="68" t="s">
        <v>97</v>
      </c>
      <c r="AV10" s="68"/>
      <c r="AW10" s="68"/>
      <c r="AX10" s="68"/>
      <c r="AY10" s="68"/>
      <c r="AZ10" s="68"/>
      <c r="BA10" s="68"/>
      <c r="BB10" s="68"/>
      <c r="BC10" s="68"/>
      <c r="BD10" s="68"/>
      <c r="BG10" s="54"/>
      <c r="BH10" s="54"/>
      <c r="BI10" s="54"/>
      <c r="BJ10" s="54"/>
      <c r="BK10" s="54"/>
      <c r="BL10" s="54"/>
      <c r="CX10" s="16"/>
      <c r="CY10" s="16"/>
      <c r="CZ10" s="16"/>
      <c r="DA10" s="16"/>
    </row>
    <row r="11" spans="1:152" s="29" customFormat="1" hidden="1">
      <c r="AP11" s="28"/>
      <c r="BG11" s="58"/>
      <c r="BH11" s="58"/>
      <c r="BI11" s="58"/>
      <c r="BJ11" s="58"/>
      <c r="BK11" s="58"/>
      <c r="BL11" s="58"/>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c r="DV11" s="36"/>
      <c r="DW11" s="36"/>
      <c r="DX11" s="36"/>
      <c r="DY11" s="36"/>
      <c r="DZ11" s="36"/>
      <c r="EA11" s="36"/>
      <c r="EB11" s="36"/>
      <c r="EC11" s="36"/>
      <c r="ED11" s="36"/>
      <c r="EE11" s="36"/>
      <c r="EF11" s="36"/>
      <c r="EG11" s="31"/>
      <c r="EH11" s="31"/>
      <c r="EI11" s="31"/>
      <c r="EJ11" s="31"/>
    </row>
    <row r="12" spans="1:152" s="41" customFormat="1" hidden="1">
      <c r="A12" s="40"/>
      <c r="C12" s="82"/>
      <c r="D12" s="82"/>
      <c r="AL12" s="43"/>
      <c r="AM12" s="40"/>
      <c r="AN12" s="40"/>
      <c r="BG12" s="59"/>
      <c r="BH12" s="59"/>
      <c r="BI12" s="59"/>
      <c r="BJ12" s="59"/>
      <c r="BK12" s="59"/>
      <c r="BL12" s="59"/>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5"/>
      <c r="ED12" s="45"/>
      <c r="EE12" s="45"/>
      <c r="EF12" s="45"/>
    </row>
    <row r="13" spans="1:152" s="41" customFormat="1" ht="21">
      <c r="A13" s="46" t="s">
        <v>1314</v>
      </c>
      <c r="B13" s="47"/>
      <c r="C13" s="83"/>
      <c r="D13" s="83"/>
      <c r="E13" s="42"/>
      <c r="F13" s="42"/>
      <c r="G13" s="42"/>
      <c r="H13" s="42"/>
      <c r="I13" s="42"/>
      <c r="J13" s="42"/>
      <c r="K13" s="42"/>
      <c r="L13" s="42"/>
      <c r="M13" s="42"/>
      <c r="N13" s="42"/>
      <c r="O13" s="42"/>
      <c r="P13" s="42"/>
      <c r="Q13" s="101"/>
      <c r="R13" s="84"/>
      <c r="S13" s="42"/>
      <c r="T13" s="42"/>
      <c r="U13" s="42"/>
      <c r="V13" s="42"/>
      <c r="W13" s="42"/>
      <c r="X13" s="42"/>
      <c r="Y13" s="42"/>
      <c r="Z13" s="42"/>
      <c r="AA13" s="42"/>
      <c r="AB13" s="42"/>
      <c r="AC13" s="42"/>
      <c r="AD13" s="42"/>
      <c r="AE13" s="42"/>
      <c r="AF13" s="42"/>
      <c r="AG13" s="42"/>
      <c r="AH13" s="42"/>
      <c r="AI13" s="42"/>
      <c r="AJ13" s="42"/>
      <c r="AK13" s="42"/>
      <c r="AL13" s="42"/>
      <c r="AM13" s="42"/>
      <c r="AN13" s="42"/>
      <c r="AO13" s="46"/>
      <c r="AP13" s="46"/>
      <c r="AQ13" s="48"/>
      <c r="AR13" s="48"/>
      <c r="AS13" s="48"/>
      <c r="AT13" s="48"/>
      <c r="AU13" s="48"/>
      <c r="AV13" s="48"/>
      <c r="AW13" s="48"/>
      <c r="AX13" s="48"/>
      <c r="AY13" s="48"/>
      <c r="AZ13" s="48"/>
      <c r="BA13" s="48"/>
      <c r="BB13" s="48"/>
      <c r="BC13" s="48"/>
      <c r="BD13" s="48"/>
      <c r="BE13" s="48"/>
      <c r="BF13" s="48"/>
      <c r="BG13" s="58"/>
      <c r="BH13" s="59"/>
      <c r="BI13" s="59"/>
      <c r="BJ13" s="59"/>
      <c r="BK13" s="59"/>
      <c r="BL13" s="59"/>
      <c r="BM13" s="42"/>
      <c r="BN13" s="42"/>
      <c r="BO13" s="42"/>
      <c r="BP13" s="42"/>
      <c r="BQ13" s="42"/>
      <c r="BR13" s="42"/>
      <c r="BS13" s="42"/>
      <c r="BT13" s="42"/>
      <c r="BU13" s="42"/>
      <c r="BV13" s="42"/>
      <c r="BW13" s="42"/>
      <c r="BX13" s="42"/>
      <c r="BY13" s="42"/>
      <c r="BZ13" s="42"/>
      <c r="CA13" s="42"/>
      <c r="CB13" s="42"/>
      <c r="CC13" s="42"/>
      <c r="CD13" s="42"/>
      <c r="CE13" s="42"/>
      <c r="CF13" s="42"/>
      <c r="CG13" s="42"/>
      <c r="CH13" s="42"/>
      <c r="CI13" s="42"/>
      <c r="CJ13" s="42"/>
      <c r="CK13" s="42"/>
      <c r="CL13" s="47"/>
      <c r="CM13" s="47"/>
      <c r="CN13" s="47"/>
      <c r="CO13" s="47"/>
      <c r="CP13" s="47"/>
      <c r="CQ13" s="47"/>
      <c r="CR13" s="47"/>
      <c r="CS13" s="47"/>
      <c r="CT13" s="47"/>
      <c r="CU13" s="47"/>
      <c r="CV13" s="47"/>
      <c r="CW13" s="47"/>
      <c r="CX13" s="47"/>
      <c r="CY13" s="47"/>
      <c r="CZ13" s="47"/>
      <c r="DA13" s="47"/>
      <c r="DB13" s="47"/>
      <c r="DC13" s="47"/>
      <c r="DD13" s="47"/>
      <c r="DE13" s="47"/>
      <c r="DF13" s="47"/>
      <c r="DG13" s="47"/>
      <c r="DH13" s="47"/>
      <c r="DI13" s="47"/>
      <c r="DJ13" s="47"/>
      <c r="DK13" s="47"/>
      <c r="DL13" s="47"/>
      <c r="DM13" s="47"/>
      <c r="DN13" s="47"/>
      <c r="DO13" s="47"/>
      <c r="DP13" s="47"/>
      <c r="DQ13" s="47"/>
      <c r="DR13" s="47"/>
      <c r="DS13" s="47"/>
      <c r="DT13" s="47"/>
      <c r="DU13" s="47"/>
      <c r="DV13" s="47"/>
      <c r="DW13" s="47"/>
      <c r="DX13" s="47"/>
      <c r="DY13" s="47"/>
      <c r="DZ13" s="47"/>
      <c r="EA13" s="47"/>
      <c r="EB13" s="47"/>
      <c r="EC13" s="47"/>
      <c r="ED13" s="47"/>
      <c r="EE13" s="47"/>
      <c r="EF13" s="47"/>
      <c r="EG13" s="49"/>
      <c r="EH13" s="49"/>
      <c r="EI13" s="49"/>
      <c r="EJ13" s="49"/>
    </row>
    <row r="14" spans="1:152" s="52" customFormat="1" ht="15" customHeight="1">
      <c r="A14" s="50"/>
      <c r="B14" s="50" t="str">
        <f>IFERROR(IF(HLOOKUP(B10,$3:$3,1,FALSE)&lt;&gt;"",".",""),"")</f>
        <v/>
      </c>
      <c r="C14" s="50" t="str">
        <f>IFERROR(IF(HLOOKUP(C10,$3:$3,1,FALSE)&lt;&gt;"",".",""),"")</f>
        <v/>
      </c>
      <c r="D14" s="50"/>
      <c r="E14" s="50" t="str">
        <f t="shared" ref="E14:AW14" si="1">IFERROR(IF(HLOOKUP(E10,$3:$3,1,FALSE)&lt;&gt;"",".",""),"")</f>
        <v/>
      </c>
      <c r="F14" s="50" t="str">
        <f t="shared" si="1"/>
        <v/>
      </c>
      <c r="G14" s="50" t="str">
        <f t="shared" si="1"/>
        <v/>
      </c>
      <c r="H14" s="50" t="str">
        <f t="shared" si="1"/>
        <v/>
      </c>
      <c r="I14" s="50" t="str">
        <f t="shared" si="1"/>
        <v/>
      </c>
      <c r="J14" s="50" t="str">
        <f t="shared" si="1"/>
        <v/>
      </c>
      <c r="K14" s="50" t="str">
        <f t="shared" si="1"/>
        <v/>
      </c>
      <c r="L14" s="50" t="str">
        <f t="shared" si="1"/>
        <v/>
      </c>
      <c r="M14" s="50" t="str">
        <f t="shared" si="1"/>
        <v/>
      </c>
      <c r="N14" s="50" t="str">
        <f t="shared" si="1"/>
        <v/>
      </c>
      <c r="O14" s="50" t="str">
        <f t="shared" si="1"/>
        <v/>
      </c>
      <c r="P14" s="50" t="str">
        <f t="shared" si="1"/>
        <v/>
      </c>
      <c r="Q14" s="50" t="str">
        <f t="shared" si="1"/>
        <v/>
      </c>
      <c r="R14" s="50" t="str">
        <f t="shared" si="1"/>
        <v/>
      </c>
      <c r="S14" s="50" t="str">
        <f t="shared" si="1"/>
        <v/>
      </c>
      <c r="T14" s="50" t="str">
        <f t="shared" si="1"/>
        <v/>
      </c>
      <c r="U14" s="50" t="str">
        <f t="shared" si="1"/>
        <v/>
      </c>
      <c r="V14" s="50" t="str">
        <f t="shared" si="1"/>
        <v/>
      </c>
      <c r="W14" s="50" t="str">
        <f t="shared" si="1"/>
        <v/>
      </c>
      <c r="X14" s="50" t="str">
        <f t="shared" si="1"/>
        <v/>
      </c>
      <c r="Y14" s="50" t="str">
        <f t="shared" si="1"/>
        <v/>
      </c>
      <c r="Z14" s="50" t="str">
        <f t="shared" si="1"/>
        <v/>
      </c>
      <c r="AA14" s="50" t="str">
        <f t="shared" si="1"/>
        <v/>
      </c>
      <c r="AB14" s="50" t="str">
        <f t="shared" si="1"/>
        <v/>
      </c>
      <c r="AC14" s="50" t="str">
        <f t="shared" si="1"/>
        <v/>
      </c>
      <c r="AD14" s="50" t="str">
        <f t="shared" si="1"/>
        <v/>
      </c>
      <c r="AE14" s="50" t="str">
        <f t="shared" si="1"/>
        <v/>
      </c>
      <c r="AF14" s="50" t="str">
        <f t="shared" si="1"/>
        <v/>
      </c>
      <c r="AG14" s="50" t="str">
        <f t="shared" si="1"/>
        <v/>
      </c>
      <c r="AH14" s="50" t="str">
        <f t="shared" si="1"/>
        <v/>
      </c>
      <c r="AI14" s="50" t="str">
        <f t="shared" si="1"/>
        <v/>
      </c>
      <c r="AJ14" s="50" t="str">
        <f t="shared" si="1"/>
        <v/>
      </c>
      <c r="AK14" s="50" t="str">
        <f t="shared" si="1"/>
        <v/>
      </c>
      <c r="AL14" s="50" t="str">
        <f t="shared" si="1"/>
        <v/>
      </c>
      <c r="AM14" s="50" t="str">
        <f t="shared" si="1"/>
        <v/>
      </c>
      <c r="AN14" s="50" t="str">
        <f t="shared" si="1"/>
        <v/>
      </c>
      <c r="AO14" s="50" t="str">
        <f t="shared" si="1"/>
        <v/>
      </c>
      <c r="AP14" s="50" t="str">
        <f t="shared" si="1"/>
        <v/>
      </c>
      <c r="AQ14" s="50" t="str">
        <f t="shared" si="1"/>
        <v/>
      </c>
      <c r="AR14" s="50" t="str">
        <f t="shared" si="1"/>
        <v/>
      </c>
      <c r="AS14" s="50" t="str">
        <f t="shared" si="1"/>
        <v/>
      </c>
      <c r="AT14" s="50" t="str">
        <f t="shared" si="1"/>
        <v/>
      </c>
      <c r="AU14" s="50" t="str">
        <f t="shared" si="1"/>
        <v/>
      </c>
      <c r="AV14" s="50" t="str">
        <f t="shared" si="1"/>
        <v/>
      </c>
      <c r="AW14" s="50" t="str">
        <f t="shared" si="1"/>
        <v/>
      </c>
      <c r="AX14" s="50"/>
      <c r="AY14" s="50"/>
      <c r="AZ14" s="50"/>
      <c r="BA14" s="50"/>
      <c r="BB14" s="50"/>
      <c r="BC14" s="50"/>
      <c r="BD14" s="50"/>
      <c r="BE14" s="50"/>
      <c r="BF14" s="50"/>
      <c r="BG14" s="60"/>
      <c r="BH14" s="60"/>
      <c r="BI14" s="60"/>
      <c r="BJ14" s="60"/>
      <c r="BK14" s="60"/>
      <c r="BL14" s="60"/>
      <c r="BM14" s="50"/>
      <c r="BN14" s="50"/>
      <c r="BO14" s="50"/>
      <c r="BP14" s="50"/>
      <c r="BQ14" s="50"/>
      <c r="BR14" s="50"/>
      <c r="BS14" s="50"/>
      <c r="BT14" s="50"/>
      <c r="BU14" s="50"/>
      <c r="BV14" s="50"/>
      <c r="BW14" s="50"/>
      <c r="BX14" s="50"/>
      <c r="BY14" s="50"/>
      <c r="BZ14" s="50"/>
      <c r="CA14" s="50"/>
      <c r="CB14" s="50"/>
      <c r="CC14" s="50"/>
      <c r="CD14" s="50"/>
      <c r="CE14" s="50"/>
      <c r="CF14" s="50"/>
      <c r="CG14" s="50"/>
      <c r="CH14" s="50"/>
      <c r="CI14" s="50"/>
      <c r="CJ14" s="50"/>
      <c r="CK14" s="50"/>
      <c r="CL14" s="51"/>
      <c r="CM14" s="51"/>
      <c r="CN14" s="51"/>
      <c r="CO14" s="51"/>
      <c r="CP14" s="51"/>
      <c r="CQ14" s="51"/>
      <c r="CR14" s="51"/>
      <c r="CS14" s="51"/>
      <c r="CT14" s="51"/>
      <c r="CU14" s="51"/>
      <c r="CV14" s="51"/>
      <c r="CW14" s="51"/>
      <c r="CX14" s="51"/>
      <c r="CY14" s="51"/>
      <c r="CZ14" s="51"/>
      <c r="DA14" s="51"/>
      <c r="DB14" s="51"/>
      <c r="DC14" s="51"/>
      <c r="DD14" s="51"/>
      <c r="DE14" s="51"/>
      <c r="DF14" s="51"/>
      <c r="DG14" s="51"/>
      <c r="DH14" s="51"/>
      <c r="DI14" s="51"/>
      <c r="DJ14" s="51"/>
      <c r="DK14" s="51"/>
      <c r="DL14" s="51"/>
      <c r="DM14" s="51"/>
      <c r="DN14" s="51"/>
      <c r="DO14" s="51"/>
      <c r="DP14" s="51"/>
      <c r="DQ14" s="51"/>
      <c r="DR14" s="51"/>
      <c r="DS14" s="51"/>
      <c r="DT14" s="51"/>
      <c r="DU14" s="51"/>
      <c r="DV14" s="51"/>
      <c r="DW14" s="51"/>
      <c r="DX14" s="51"/>
      <c r="DY14" s="51"/>
      <c r="DZ14" s="51"/>
      <c r="EA14" s="51"/>
      <c r="EB14" s="51"/>
      <c r="EC14" s="51"/>
      <c r="ED14" s="51"/>
      <c r="EE14" s="51"/>
      <c r="EF14" s="51"/>
      <c r="EG14" s="51"/>
      <c r="EH14" s="51"/>
      <c r="EI14" s="51"/>
      <c r="EJ14" s="51"/>
    </row>
    <row r="15" spans="1:152" ht="60.5" customHeight="1">
      <c r="A15" s="85" t="s">
        <v>8</v>
      </c>
      <c r="B15" s="86" t="s">
        <v>39</v>
      </c>
      <c r="C15" s="86" t="s">
        <v>36</v>
      </c>
      <c r="D15" s="86" t="s">
        <v>101</v>
      </c>
      <c r="E15" s="87" t="s">
        <v>102</v>
      </c>
      <c r="F15" s="87" t="s">
        <v>0</v>
      </c>
      <c r="G15" s="87" t="s">
        <v>77</v>
      </c>
      <c r="H15" s="88" t="s">
        <v>78</v>
      </c>
      <c r="I15" s="88" t="s">
        <v>99</v>
      </c>
      <c r="J15" s="88" t="s">
        <v>79</v>
      </c>
      <c r="K15" s="88" t="s">
        <v>3</v>
      </c>
      <c r="L15" s="74" t="s">
        <v>92</v>
      </c>
      <c r="M15" s="74" t="s">
        <v>93</v>
      </c>
      <c r="N15" s="74" t="s">
        <v>49</v>
      </c>
      <c r="O15" s="74" t="s">
        <v>50</v>
      </c>
      <c r="P15" s="74" t="s">
        <v>30</v>
      </c>
      <c r="Q15" s="74" t="s">
        <v>31</v>
      </c>
      <c r="R15" s="74" t="s">
        <v>51</v>
      </c>
      <c r="S15" s="74" t="s">
        <v>52</v>
      </c>
      <c r="T15" s="89" t="s">
        <v>53</v>
      </c>
      <c r="U15" s="90" t="s">
        <v>54</v>
      </c>
      <c r="V15" s="91" t="s">
        <v>55</v>
      </c>
      <c r="W15" s="92" t="s">
        <v>22</v>
      </c>
      <c r="X15" s="93" t="s">
        <v>56</v>
      </c>
      <c r="Y15" s="94" t="s">
        <v>57</v>
      </c>
      <c r="Z15" s="95" t="s">
        <v>58</v>
      </c>
      <c r="AA15" s="96" t="s">
        <v>2120</v>
      </c>
      <c r="AB15" s="96" t="s">
        <v>2121</v>
      </c>
      <c r="AC15" s="96" t="s">
        <v>28</v>
      </c>
      <c r="AD15" s="96" t="s">
        <v>59</v>
      </c>
      <c r="AE15" s="97" t="s">
        <v>19</v>
      </c>
      <c r="AF15" s="98" t="s">
        <v>105</v>
      </c>
      <c r="AG15" s="98" t="s">
        <v>103</v>
      </c>
      <c r="AH15" s="98" t="s">
        <v>104</v>
      </c>
      <c r="AI15" s="98" t="s">
        <v>14</v>
      </c>
      <c r="AJ15" s="99" t="s">
        <v>60</v>
      </c>
      <c r="AK15" s="100" t="s">
        <v>29</v>
      </c>
      <c r="AL15" s="100" t="s">
        <v>61</v>
      </c>
      <c r="AM15" s="86" t="s">
        <v>106</v>
      </c>
      <c r="AN15" s="86" t="s">
        <v>62</v>
      </c>
      <c r="AO15" s="86" t="s">
        <v>107</v>
      </c>
      <c r="AP15" s="86" t="s">
        <v>108</v>
      </c>
      <c r="AQ15" s="86" t="s">
        <v>33</v>
      </c>
      <c r="AR15" s="86" t="s">
        <v>109</v>
      </c>
      <c r="AS15" s="86" t="s">
        <v>84</v>
      </c>
      <c r="AT15" s="69" t="s">
        <v>110</v>
      </c>
      <c r="AU15" s="70" t="s">
        <v>111</v>
      </c>
      <c r="AV15" s="71" t="s">
        <v>112</v>
      </c>
      <c r="AW15" s="72" t="s">
        <v>113</v>
      </c>
      <c r="AX15" s="73" t="s">
        <v>114</v>
      </c>
      <c r="AY15" s="106" t="s">
        <v>115</v>
      </c>
      <c r="AZ15" s="108" t="s">
        <v>1548</v>
      </c>
      <c r="BA15" s="107" t="s">
        <v>98</v>
      </c>
      <c r="BB15" s="74" t="s">
        <v>1315</v>
      </c>
      <c r="BC15" s="53" t="s">
        <v>80</v>
      </c>
      <c r="BD15" s="103" t="s">
        <v>85</v>
      </c>
      <c r="BE15" s="102" t="s">
        <v>87</v>
      </c>
      <c r="BF15" s="61" t="s">
        <v>81</v>
      </c>
      <c r="BG15" s="62" t="s">
        <v>82</v>
      </c>
      <c r="BH15" s="62" t="s">
        <v>83</v>
      </c>
      <c r="BI15" s="62" t="s">
        <v>86</v>
      </c>
      <c r="BJ15" s="74" t="s">
        <v>100</v>
      </c>
      <c r="BK15" s="3"/>
      <c r="BL15" s="3"/>
      <c r="CJ15" s="5"/>
      <c r="CK15" s="5"/>
      <c r="CL15" s="3"/>
      <c r="CN15" s="5"/>
      <c r="CR15" s="3"/>
      <c r="CS15" s="3"/>
      <c r="CT15" s="5"/>
      <c r="CV15" s="3"/>
      <c r="DR15" s="5"/>
      <c r="DT15" s="3"/>
      <c r="EF15" s="7"/>
      <c r="EG15" s="7"/>
      <c r="EJ15" s="4"/>
      <c r="EK15" s="4"/>
      <c r="EU15" s="2"/>
      <c r="EV15" s="2"/>
    </row>
    <row r="16" spans="1:152">
      <c r="A16" s="105">
        <v>3640</v>
      </c>
      <c r="B16" s="157" t="s">
        <v>2122</v>
      </c>
      <c r="C16" s="157" t="s">
        <v>116</v>
      </c>
      <c r="D16" s="157" t="s">
        <v>117</v>
      </c>
      <c r="E16" s="157" t="s">
        <v>2123</v>
      </c>
      <c r="F16" s="157" t="s">
        <v>35</v>
      </c>
      <c r="G16" s="157" t="s">
        <v>1919</v>
      </c>
      <c r="H16" s="157" t="s">
        <v>1619</v>
      </c>
      <c r="I16" s="157" t="s">
        <v>1252</v>
      </c>
      <c r="J16" s="157" t="s">
        <v>940</v>
      </c>
      <c r="K16" s="158">
        <v>43487</v>
      </c>
      <c r="L16" s="159">
        <v>0.72</v>
      </c>
      <c r="M16" s="159">
        <v>0.9</v>
      </c>
      <c r="N16" s="157">
        <v>0</v>
      </c>
      <c r="O16" s="157" t="s">
        <v>119</v>
      </c>
      <c r="P16" s="160" t="s">
        <v>276</v>
      </c>
      <c r="Q16" s="160" t="s">
        <v>277</v>
      </c>
      <c r="R16" s="157" t="s">
        <v>25</v>
      </c>
      <c r="S16" s="157"/>
      <c r="T16" s="161" t="s">
        <v>861</v>
      </c>
      <c r="U16" s="157"/>
      <c r="V16" s="161"/>
      <c r="W16" s="157"/>
      <c r="X16" s="161"/>
      <c r="Y16" s="157"/>
      <c r="Z16" s="163"/>
      <c r="AA16" s="165"/>
      <c r="AB16" s="165"/>
      <c r="AC16" s="168"/>
      <c r="AD16" s="157"/>
      <c r="AE16" s="161"/>
      <c r="AF16" s="158"/>
      <c r="AG16" s="170"/>
      <c r="AH16" s="170"/>
      <c r="AI16" s="157"/>
      <c r="AJ16" s="161"/>
      <c r="AK16" s="157"/>
      <c r="AL16" s="157"/>
      <c r="AM16" s="161"/>
      <c r="AN16" s="157"/>
      <c r="AO16" s="171"/>
      <c r="AP16" s="157"/>
      <c r="AQ16" s="157"/>
      <c r="AR16" s="161"/>
      <c r="AS16" s="157"/>
      <c r="AT16" s="158"/>
      <c r="AU16" s="158"/>
      <c r="AV16" s="158"/>
      <c r="AW16" s="158"/>
      <c r="AX16" s="158"/>
      <c r="AY16" s="158"/>
      <c r="AZ16" s="172"/>
      <c r="BA16" s="173">
        <f ca="1">IF(_05preva_view43[[#This Row],[Prevalidation Status]]="Under Prevalidation",NOW()-_05preva_view43[[#This Row],[Request Date]],IF(_05preva_view43[[#This Row],[Close Date]]&gt;_05preva_view43[[#This Row],[Request Date]],_05preva_view43[[#This Row],[Close Date]]-_05preva_view43[[#This Row],[Request Date]],"Not  Calculated"))</f>
        <v>0.50673414352058899</v>
      </c>
      <c r="BB16" s="174">
        <f>COUNTIFS(_05preva_view43[Site ID],_05preva_view43[[#This Row],[Site ID]],_05preva_view43[Prevalidation Status],"Under Prevalidation")</f>
        <v>1</v>
      </c>
      <c r="BC16" s="175" t="str">
        <f ca="1">HYPERLINK(CheckPath(_05preva_view43[[#This Row],[File Path]],_05preva_view43[[#This Row],[File Path]],_05preva_view43[[#This Row],[Folder Path3]]),CheckPath(_05preva_view43[[#This Row],[File Path]],"Open File","No File"))</f>
        <v>No File</v>
      </c>
      <c r="BD16" s="176" t="str">
        <f>CONCATENATE(_05preva_view43[[#This Row],[Site ID]]," (",_05preva_view43[[#This Row],[tenant id]],") Application",IF(_05preva_view43[[#This Row],[Colo Rev]]&gt;0," Rev "&amp;_05preva_view43[[#This Row],[Colo Rev]],""),".xlsx")</f>
        <v>ASHN00027 (SHS01307) Application Rev 0.xlsx</v>
      </c>
      <c r="BE16" s="64">
        <f t="shared" ref="BE16:BE79" ca="1" si="2">FIND("Process &amp; Database\",CELL("filename",$A$1))</f>
        <v>50</v>
      </c>
      <c r="BF16" s="104" t="str">
        <f ca="1">LEFT(CELL("filename",A1),_05preva_view43[[#This Row],[Find Process &amp; Database]]-1)</f>
        <v>D:\OneDrive - apollo-towers.com\Apollo Towers\00-</v>
      </c>
      <c r="BG16" s="104" t="str">
        <f ca="1">_05preva_view43[Folder Path1]&amp;"Process &amp; Database\Documentation\Colo Applications"</f>
        <v>D:\OneDrive - apollo-towers.com\Apollo Towers\00-Process &amp; Database\Documentation\Colo Applications</v>
      </c>
      <c r="BH16" s="104" t="str">
        <f ca="1">_05preva_view43[Folder Path2]&amp;"\Colo App "&amp;_05preva_view43[[#This Row],[Operator]]&amp;"\"</f>
        <v>D:\OneDrive - apollo-towers.com\Apollo Towers\00-Process &amp; Database\Documentation\Colo Applications\Colo App MPT\</v>
      </c>
      <c r="BI16" s="63" t="str">
        <f ca="1">_05preva_view43[[#This Row],[Folder Path3]]&amp;_05preva_view43[[#This Row],[File Name]]</f>
        <v>D:\OneDrive - apollo-towers.com\Apollo Towers\00-Process &amp; Database\Documentation\Colo Applications\Colo App MPT\ASHN00027 (SHS01307) Application Rev 0.xlsx</v>
      </c>
      <c r="BJ16" s="104"/>
      <c r="BK16" s="3"/>
      <c r="BL16" s="3"/>
      <c r="CJ16" s="5"/>
      <c r="CK16" s="5"/>
      <c r="CL16" s="3"/>
      <c r="CN16" s="5"/>
      <c r="CR16" s="3"/>
      <c r="CS16" s="3"/>
      <c r="CT16" s="5"/>
      <c r="CV16" s="3"/>
      <c r="DR16" s="5"/>
      <c r="DT16" s="3"/>
      <c r="EF16" s="7"/>
      <c r="EG16" s="7"/>
      <c r="EJ16" s="4"/>
      <c r="EK16" s="4"/>
      <c r="EU16" s="2"/>
      <c r="EV16" s="2"/>
    </row>
    <row r="17" spans="1:152">
      <c r="A17" s="125">
        <v>3624</v>
      </c>
      <c r="B17" s="126" t="s">
        <v>1917</v>
      </c>
      <c r="C17" s="126" t="s">
        <v>116</v>
      </c>
      <c r="D17" s="126" t="s">
        <v>163</v>
      </c>
      <c r="E17" s="126" t="s">
        <v>1918</v>
      </c>
      <c r="F17" s="126" t="s">
        <v>35</v>
      </c>
      <c r="G17" s="126" t="s">
        <v>1919</v>
      </c>
      <c r="H17" s="126" t="s">
        <v>1619</v>
      </c>
      <c r="I17" s="126" t="s">
        <v>1311</v>
      </c>
      <c r="J17" s="126" t="s">
        <v>940</v>
      </c>
      <c r="K17" s="127">
        <v>43486</v>
      </c>
      <c r="L17" s="128">
        <v>0.72</v>
      </c>
      <c r="M17" s="128">
        <v>0.9</v>
      </c>
      <c r="N17" s="126">
        <v>6</v>
      </c>
      <c r="O17" s="126" t="s">
        <v>119</v>
      </c>
      <c r="P17" s="129" t="s">
        <v>291</v>
      </c>
      <c r="Q17" s="129" t="s">
        <v>292</v>
      </c>
      <c r="R17" s="126" t="s">
        <v>25</v>
      </c>
      <c r="S17" s="126"/>
      <c r="T17" s="130" t="s">
        <v>861</v>
      </c>
      <c r="U17" s="126"/>
      <c r="V17" s="130" t="s">
        <v>120</v>
      </c>
      <c r="W17" s="126"/>
      <c r="X17" s="130" t="s">
        <v>120</v>
      </c>
      <c r="Y17" s="126" t="s">
        <v>1920</v>
      </c>
      <c r="Z17" s="162"/>
      <c r="AA17" s="154"/>
      <c r="AB17" s="154"/>
      <c r="AC17" s="167"/>
      <c r="AD17" s="126"/>
      <c r="AE17" s="130" t="s">
        <v>125</v>
      </c>
      <c r="AF17" s="127" t="s">
        <v>1921</v>
      </c>
      <c r="AG17" s="131"/>
      <c r="AH17" s="131"/>
      <c r="AI17" s="126" t="s">
        <v>1922</v>
      </c>
      <c r="AJ17" s="130" t="s">
        <v>120</v>
      </c>
      <c r="AK17" s="126" t="s">
        <v>123</v>
      </c>
      <c r="AL17" s="126" t="s">
        <v>1493</v>
      </c>
      <c r="AM17" s="130"/>
      <c r="AN17" s="126"/>
      <c r="AO17" s="132"/>
      <c r="AP17" s="126"/>
      <c r="AQ17" s="126"/>
      <c r="AR17" s="130"/>
      <c r="AS17" s="126"/>
      <c r="AT17" s="127">
        <v>43487.3767814815</v>
      </c>
      <c r="AU17" s="127"/>
      <c r="AV17" s="127"/>
      <c r="AW17" s="127">
        <v>43487.3767814815</v>
      </c>
      <c r="AX17" s="127"/>
      <c r="AY17" s="127">
        <v>43486.718659375001</v>
      </c>
      <c r="AZ17" s="133"/>
      <c r="BA17" s="134">
        <f ca="1">IF(_05preva_view43[[#This Row],[Prevalidation Status]]="Under Prevalidation",NOW()-_05preva_view43[[#This Row],[Request Date]],IF(_05preva_view43[[#This Row],[Close Date]]&gt;_05preva_view43[[#This Row],[Request Date]],_05preva_view43[[#This Row],[Close Date]]-_05preva_view43[[#This Row],[Request Date]],"Not  Calculated"))</f>
        <v>1.506734143520589</v>
      </c>
      <c r="BB17" s="135">
        <f>COUNTIFS(_05preva_view43[Site ID],_05preva_view43[[#This Row],[Site ID]],_05preva_view43[Prevalidation Status],"Under Prevalidation")</f>
        <v>1</v>
      </c>
      <c r="BC17" s="153" t="str">
        <f ca="1">HYPERLINK(CheckPath(_05preva_view43[[#This Row],[File Path]],_05preva_view43[[#This Row],[File Path]],_05preva_view43[[#This Row],[Folder Path3]]),CheckPath(_05preva_view43[[#This Row],[File Path]],"Open File","No File"))</f>
        <v>No File</v>
      </c>
      <c r="BD17" s="136" t="str">
        <f>CONCATENATE(_05preva_view43[[#This Row],[Site ID]]," (",_05preva_view43[[#This Row],[tenant id]],") Application",IF(_05preva_view43[[#This Row],[Colo Rev]]&gt;0," Rev "&amp;_05preva_view43[[#This Row],[Colo Rev]],""),".xlsx")</f>
        <v>AAYW00001 (AWD01399) Application Rev 0.xlsx</v>
      </c>
      <c r="BE17" s="64">
        <f t="shared" ca="1" si="2"/>
        <v>50</v>
      </c>
      <c r="BF17" s="104" t="str">
        <f ca="1">LEFT(CELL("filename",A2),_05preva_view43[[#This Row],[Find Process &amp; Database]]-1)</f>
        <v>D:\OneDrive - apollo-towers.com\Apollo Towers\00-</v>
      </c>
      <c r="BG17" s="104" t="str">
        <f ca="1">_05preva_view43[Folder Path1]&amp;"Process &amp; Database\Documentation\Colo Applications"</f>
        <v>D:\OneDrive - apollo-towers.com\Apollo Towers\00-Process &amp; Database\Documentation\Colo Applications</v>
      </c>
      <c r="BH17" s="104" t="str">
        <f ca="1">_05preva_view43[Folder Path2]&amp;"\Colo App "&amp;_05preva_view43[[#This Row],[Operator]]&amp;"\"</f>
        <v>D:\OneDrive - apollo-towers.com\Apollo Towers\00-Process &amp; Database\Documentation\Colo Applications\Colo App MPT\</v>
      </c>
      <c r="BI17" s="63" t="str">
        <f ca="1">_05preva_view43[[#This Row],[Folder Path3]]&amp;_05preva_view43[[#This Row],[File Name]]</f>
        <v>D:\OneDrive - apollo-towers.com\Apollo Towers\00-Process &amp; Database\Documentation\Colo Applications\Colo App MPT\AAYW00001 (AWD01399) Application Rev 0.xlsx</v>
      </c>
      <c r="BJ17" s="104"/>
      <c r="BK17" s="3"/>
      <c r="BL17" s="3"/>
      <c r="CJ17" s="5"/>
      <c r="CK17" s="5"/>
      <c r="CL17" s="3"/>
      <c r="CN17" s="5"/>
      <c r="CR17" s="3"/>
      <c r="CS17" s="3"/>
      <c r="CT17" s="5"/>
      <c r="CV17" s="3"/>
      <c r="DR17" s="5"/>
      <c r="DT17" s="3"/>
      <c r="EF17" s="7"/>
      <c r="EG17" s="7"/>
      <c r="EJ17" s="4"/>
      <c r="EK17" s="4"/>
      <c r="EU17" s="2"/>
      <c r="EV17" s="2"/>
    </row>
    <row r="18" spans="1:152">
      <c r="A18" s="125">
        <v>3625</v>
      </c>
      <c r="B18" s="126" t="s">
        <v>1923</v>
      </c>
      <c r="C18" s="126" t="s">
        <v>116</v>
      </c>
      <c r="D18" s="126" t="s">
        <v>117</v>
      </c>
      <c r="E18" s="126" t="s">
        <v>1924</v>
      </c>
      <c r="F18" s="126" t="s">
        <v>35</v>
      </c>
      <c r="G18" s="126" t="s">
        <v>1919</v>
      </c>
      <c r="H18" s="126" t="s">
        <v>1619</v>
      </c>
      <c r="I18" s="126" t="s">
        <v>1311</v>
      </c>
      <c r="J18" s="126" t="s">
        <v>940</v>
      </c>
      <c r="K18" s="127">
        <v>43486</v>
      </c>
      <c r="L18" s="128">
        <v>2.16</v>
      </c>
      <c r="M18" s="128">
        <v>2.7</v>
      </c>
      <c r="N18" s="126">
        <v>6</v>
      </c>
      <c r="O18" s="126" t="s">
        <v>119</v>
      </c>
      <c r="P18" s="129" t="s">
        <v>350</v>
      </c>
      <c r="Q18" s="129" t="s">
        <v>276</v>
      </c>
      <c r="R18" s="126" t="s">
        <v>25</v>
      </c>
      <c r="S18" s="126"/>
      <c r="T18" s="130" t="s">
        <v>861</v>
      </c>
      <c r="U18" s="126"/>
      <c r="V18" s="130" t="s">
        <v>120</v>
      </c>
      <c r="W18" s="126"/>
      <c r="X18" s="130" t="s">
        <v>120</v>
      </c>
      <c r="Y18" s="126" t="s">
        <v>1920</v>
      </c>
      <c r="Z18" s="162"/>
      <c r="AA18" s="154"/>
      <c r="AB18" s="154"/>
      <c r="AC18" s="167"/>
      <c r="AD18" s="126"/>
      <c r="AE18" s="130" t="s">
        <v>125</v>
      </c>
      <c r="AF18" s="127" t="s">
        <v>1722</v>
      </c>
      <c r="AG18" s="131"/>
      <c r="AH18" s="131"/>
      <c r="AI18" s="126" t="s">
        <v>1922</v>
      </c>
      <c r="AJ18" s="130" t="s">
        <v>120</v>
      </c>
      <c r="AK18" s="126" t="s">
        <v>123</v>
      </c>
      <c r="AL18" s="126" t="s">
        <v>1493</v>
      </c>
      <c r="AM18" s="130"/>
      <c r="AN18" s="126"/>
      <c r="AO18" s="132"/>
      <c r="AP18" s="126"/>
      <c r="AQ18" s="126"/>
      <c r="AR18" s="130"/>
      <c r="AS18" s="126"/>
      <c r="AT18" s="127">
        <v>43487.376785069398</v>
      </c>
      <c r="AU18" s="127"/>
      <c r="AV18" s="127"/>
      <c r="AW18" s="127">
        <v>43487.376785069398</v>
      </c>
      <c r="AX18" s="127"/>
      <c r="AY18" s="127">
        <v>43486.718659953702</v>
      </c>
      <c r="AZ18" s="133"/>
      <c r="BA18" s="134">
        <f ca="1">IF(_05preva_view43[[#This Row],[Prevalidation Status]]="Under Prevalidation",NOW()-_05preva_view43[[#This Row],[Request Date]],IF(_05preva_view43[[#This Row],[Close Date]]&gt;_05preva_view43[[#This Row],[Request Date]],_05preva_view43[[#This Row],[Close Date]]-_05preva_view43[[#This Row],[Request Date]],"Not  Calculated"))</f>
        <v>1.506734143520589</v>
      </c>
      <c r="BB18" s="135">
        <f>COUNTIFS(_05preva_view43[Site ID],_05preva_view43[[#This Row],[Site ID]],_05preva_view43[Prevalidation Status],"Under Prevalidation")</f>
        <v>1</v>
      </c>
      <c r="BC18" s="153" t="str">
        <f ca="1">HYPERLINK(CheckPath(_05preva_view43[[#This Row],[File Path]],_05preva_view43[[#This Row],[File Path]],_05preva_view43[[#This Row],[Folder Path3]]),CheckPath(_05preva_view43[[#This Row],[File Path]],"Open File","No File"))</f>
        <v>No File</v>
      </c>
      <c r="BD18" s="136" t="str">
        <f>CONCATENATE(_05preva_view43[[#This Row],[Site ID]]," (",_05preva_view43[[#This Row],[tenant id]],") Application",IF(_05preva_view43[[#This Row],[Colo Rev]]&gt;0," Rev "&amp;_05preva_view43[[#This Row],[Colo Rev]],""),".xlsx")</f>
        <v>ABAG00004 (BGW00450) Application Rev 0.xlsx</v>
      </c>
      <c r="BE18" s="64">
        <f t="shared" ca="1" si="2"/>
        <v>50</v>
      </c>
      <c r="BF18" s="104" t="str">
        <f ca="1">LEFT(CELL("filename",A3),_05preva_view43[[#This Row],[Find Process &amp; Database]]-1)</f>
        <v>D:\OneDrive - apollo-towers.com\Apollo Towers\00-</v>
      </c>
      <c r="BG18" s="104" t="str">
        <f ca="1">_05preva_view43[Folder Path1]&amp;"Process &amp; Database\Documentation\Colo Applications"</f>
        <v>D:\OneDrive - apollo-towers.com\Apollo Towers\00-Process &amp; Database\Documentation\Colo Applications</v>
      </c>
      <c r="BH18" s="104" t="str">
        <f ca="1">_05preva_view43[Folder Path2]&amp;"\Colo App "&amp;_05preva_view43[[#This Row],[Operator]]&amp;"\"</f>
        <v>D:\OneDrive - apollo-towers.com\Apollo Towers\00-Process &amp; Database\Documentation\Colo Applications\Colo App MPT\</v>
      </c>
      <c r="BI18" s="63" t="str">
        <f ca="1">_05preva_view43[[#This Row],[Folder Path3]]&amp;_05preva_view43[[#This Row],[File Name]]</f>
        <v>D:\OneDrive - apollo-towers.com\Apollo Towers\00-Process &amp; Database\Documentation\Colo Applications\Colo App MPT\ABAG00004 (BGW00450) Application Rev 0.xlsx</v>
      </c>
      <c r="BJ18" s="104"/>
      <c r="BK18" s="3"/>
      <c r="BL18" s="3"/>
      <c r="CJ18" s="5"/>
      <c r="CK18" s="5"/>
      <c r="CL18" s="3"/>
      <c r="CN18" s="5"/>
      <c r="CR18" s="3"/>
      <c r="CS18" s="3"/>
      <c r="CT18" s="5"/>
      <c r="CV18" s="3"/>
      <c r="DR18" s="5"/>
      <c r="DT18" s="3"/>
      <c r="EF18" s="7"/>
      <c r="EG18" s="7"/>
      <c r="EJ18" s="4"/>
      <c r="EK18" s="4"/>
      <c r="EU18" s="2"/>
      <c r="EV18" s="2"/>
    </row>
    <row r="19" spans="1:152">
      <c r="A19" s="125">
        <v>3626</v>
      </c>
      <c r="B19" s="126" t="s">
        <v>1869</v>
      </c>
      <c r="C19" s="126" t="s">
        <v>331</v>
      </c>
      <c r="D19" s="126" t="s">
        <v>127</v>
      </c>
      <c r="E19" s="126" t="s">
        <v>1870</v>
      </c>
      <c r="F19" s="126" t="s">
        <v>35</v>
      </c>
      <c r="G19" s="126" t="s">
        <v>1583</v>
      </c>
      <c r="H19" s="126" t="s">
        <v>1575</v>
      </c>
      <c r="I19" s="126" t="s">
        <v>1288</v>
      </c>
      <c r="J19" s="126" t="s">
        <v>990</v>
      </c>
      <c r="K19" s="127">
        <v>43486</v>
      </c>
      <c r="L19" s="128">
        <v>1.399</v>
      </c>
      <c r="M19" s="128">
        <v>2.1989999999999998</v>
      </c>
      <c r="N19" s="126">
        <v>3.25</v>
      </c>
      <c r="O19" s="126" t="s">
        <v>950</v>
      </c>
      <c r="P19" s="129" t="s">
        <v>958</v>
      </c>
      <c r="Q19" s="129" t="s">
        <v>959</v>
      </c>
      <c r="R19" s="126" t="s">
        <v>25</v>
      </c>
      <c r="S19" s="126"/>
      <c r="T19" s="130" t="s">
        <v>861</v>
      </c>
      <c r="U19" s="126"/>
      <c r="V19" s="130" t="s">
        <v>120</v>
      </c>
      <c r="W19" s="126"/>
      <c r="X19" s="130" t="s">
        <v>120</v>
      </c>
      <c r="Y19" s="126" t="s">
        <v>1925</v>
      </c>
      <c r="Z19" s="162"/>
      <c r="AA19" s="154"/>
      <c r="AB19" s="154"/>
      <c r="AC19" s="167"/>
      <c r="AD19" s="126"/>
      <c r="AE19" s="130" t="s">
        <v>125</v>
      </c>
      <c r="AF19" s="127"/>
      <c r="AG19" s="131"/>
      <c r="AH19" s="131"/>
      <c r="AI19" s="126"/>
      <c r="AJ19" s="130" t="s">
        <v>120</v>
      </c>
      <c r="AK19" s="126" t="s">
        <v>123</v>
      </c>
      <c r="AL19" s="126" t="s">
        <v>1198</v>
      </c>
      <c r="AM19" s="130"/>
      <c r="AN19" s="126"/>
      <c r="AO19" s="132"/>
      <c r="AP19" s="126"/>
      <c r="AQ19" s="126"/>
      <c r="AR19" s="130"/>
      <c r="AS19" s="126"/>
      <c r="AT19" s="127">
        <v>43487.3767881944</v>
      </c>
      <c r="AU19" s="127"/>
      <c r="AV19" s="127"/>
      <c r="AW19" s="127">
        <v>43487.3767881944</v>
      </c>
      <c r="AX19" s="127"/>
      <c r="AY19" s="127">
        <v>43486.643537615702</v>
      </c>
      <c r="AZ19" s="133"/>
      <c r="BA19" s="134">
        <f ca="1">IF(_05preva_view43[[#This Row],[Prevalidation Status]]="Under Prevalidation",NOW()-_05preva_view43[[#This Row],[Request Date]],IF(_05preva_view43[[#This Row],[Close Date]]&gt;_05preva_view43[[#This Row],[Request Date]],_05preva_view43[[#This Row],[Close Date]]-_05preva_view43[[#This Row],[Request Date]],"Not  Calculated"))</f>
        <v>1.506734143520589</v>
      </c>
      <c r="BB19" s="135">
        <f>COUNTIFS(_05preva_view43[Site ID],_05preva_view43[[#This Row],[Site ID]],_05preva_view43[Prevalidation Status],"Under Prevalidation")</f>
        <v>1</v>
      </c>
      <c r="BC19" s="153" t="str">
        <f ca="1">HYPERLINK(CheckPath(_05preva_view43[[#This Row],[File Path]],_05preva_view43[[#This Row],[File Path]],_05preva_view43[[#This Row],[Folder Path3]]),CheckPath(_05preva_view43[[#This Row],[File Path]],"Open File","No File"))</f>
        <v>No File</v>
      </c>
      <c r="BD19" s="136" t="str">
        <f>CONCATENATE(_05preva_view43[[#This Row],[Site ID]]," (",_05preva_view43[[#This Row],[tenant id]],") Application",IF(_05preva_view43[[#This Row],[Colo Rev]]&gt;0," Rev "&amp;_05preva_view43[[#This Row],[Colo Rev]],""),".xlsx")</f>
        <v>1-01-10018-001 (MDY00339) Application Rev 3.xlsx</v>
      </c>
      <c r="BE19" s="64">
        <f t="shared" ca="1" si="2"/>
        <v>50</v>
      </c>
      <c r="BF19" s="104" t="str">
        <f ca="1">LEFT(CELL("filename",A4),_05preva_view43[[#This Row],[Find Process &amp; Database]]-1)</f>
        <v>D:\OneDrive - apollo-towers.com\Apollo Towers\00-</v>
      </c>
      <c r="BG19" s="104" t="str">
        <f ca="1">_05preva_view43[Folder Path1]&amp;"Process &amp; Database\Documentation\Colo Applications"</f>
        <v>D:\OneDrive - apollo-towers.com\Apollo Towers\00-Process &amp; Database\Documentation\Colo Applications</v>
      </c>
      <c r="BH19" s="104" t="str">
        <f ca="1">_05preva_view43[Folder Path2]&amp;"\Colo App "&amp;_05preva_view43[[#This Row],[Operator]]&amp;"\"</f>
        <v>D:\OneDrive - apollo-towers.com\Apollo Towers\00-Process &amp; Database\Documentation\Colo Applications\Colo App MPT\</v>
      </c>
      <c r="BI19" s="63" t="str">
        <f ca="1">_05preva_view43[[#This Row],[Folder Path3]]&amp;_05preva_view43[[#This Row],[File Name]]</f>
        <v>D:\OneDrive - apollo-towers.com\Apollo Towers\00-Process &amp; Database\Documentation\Colo Applications\Colo App MPT\1-01-10018-001 (MDY00339) Application Rev 3.xlsx</v>
      </c>
      <c r="BJ19" s="104"/>
      <c r="BK19" s="3"/>
      <c r="BL19" s="3"/>
      <c r="CJ19" s="5"/>
      <c r="CK19" s="5"/>
      <c r="CL19" s="3"/>
      <c r="CN19" s="5"/>
      <c r="CR19" s="3"/>
      <c r="CS19" s="3"/>
      <c r="CT19" s="5"/>
      <c r="CV19" s="3"/>
      <c r="DR19" s="5"/>
      <c r="DT19" s="3"/>
      <c r="EF19" s="7"/>
      <c r="EG19" s="7"/>
      <c r="EJ19" s="4"/>
      <c r="EK19" s="4"/>
      <c r="EU19" s="2"/>
      <c r="EV19" s="2"/>
    </row>
    <row r="20" spans="1:152">
      <c r="A20" s="125">
        <v>3627</v>
      </c>
      <c r="B20" s="126" t="s">
        <v>1926</v>
      </c>
      <c r="C20" s="126" t="s">
        <v>331</v>
      </c>
      <c r="D20" s="126" t="s">
        <v>127</v>
      </c>
      <c r="E20" s="126" t="s">
        <v>1927</v>
      </c>
      <c r="F20" s="126" t="s">
        <v>35</v>
      </c>
      <c r="G20" s="126" t="s">
        <v>1583</v>
      </c>
      <c r="H20" s="126" t="s">
        <v>1575</v>
      </c>
      <c r="I20" s="126" t="s">
        <v>1288</v>
      </c>
      <c r="J20" s="126" t="s">
        <v>931</v>
      </c>
      <c r="K20" s="127">
        <v>43486</v>
      </c>
      <c r="L20" s="128">
        <v>1.399</v>
      </c>
      <c r="M20" s="128">
        <v>2.1989999999999998</v>
      </c>
      <c r="N20" s="126">
        <v>5.13</v>
      </c>
      <c r="O20" s="126" t="s">
        <v>950</v>
      </c>
      <c r="P20" s="129" t="s">
        <v>958</v>
      </c>
      <c r="Q20" s="129" t="s">
        <v>959</v>
      </c>
      <c r="R20" s="126" t="s">
        <v>25</v>
      </c>
      <c r="S20" s="126"/>
      <c r="T20" s="130" t="s">
        <v>861</v>
      </c>
      <c r="U20" s="126"/>
      <c r="V20" s="130" t="s">
        <v>120</v>
      </c>
      <c r="W20" s="126"/>
      <c r="X20" s="130" t="s">
        <v>120</v>
      </c>
      <c r="Y20" s="126" t="s">
        <v>1928</v>
      </c>
      <c r="Z20" s="162"/>
      <c r="AA20" s="154"/>
      <c r="AB20" s="154"/>
      <c r="AC20" s="167"/>
      <c r="AD20" s="126"/>
      <c r="AE20" s="130" t="s">
        <v>120</v>
      </c>
      <c r="AF20" s="127" t="s">
        <v>1929</v>
      </c>
      <c r="AG20" s="131"/>
      <c r="AH20" s="131"/>
      <c r="AI20" s="126" t="s">
        <v>1930</v>
      </c>
      <c r="AJ20" s="130" t="s">
        <v>120</v>
      </c>
      <c r="AK20" s="126" t="s">
        <v>123</v>
      </c>
      <c r="AL20" s="126" t="s">
        <v>1198</v>
      </c>
      <c r="AM20" s="130"/>
      <c r="AN20" s="126"/>
      <c r="AO20" s="132"/>
      <c r="AP20" s="126"/>
      <c r="AQ20" s="126"/>
      <c r="AR20" s="130"/>
      <c r="AS20" s="126"/>
      <c r="AT20" s="127">
        <v>43487.376791666698</v>
      </c>
      <c r="AU20" s="127">
        <v>43486.753532754599</v>
      </c>
      <c r="AV20" s="127"/>
      <c r="AW20" s="127">
        <v>43487.376791666698</v>
      </c>
      <c r="AX20" s="127"/>
      <c r="AY20" s="127">
        <v>43486.643538194403</v>
      </c>
      <c r="AZ20" s="133"/>
      <c r="BA20" s="134">
        <f ca="1">IF(_05preva_view43[[#This Row],[Prevalidation Status]]="Under Prevalidation",NOW()-_05preva_view43[[#This Row],[Request Date]],IF(_05preva_view43[[#This Row],[Close Date]]&gt;_05preva_view43[[#This Row],[Request Date]],_05preva_view43[[#This Row],[Close Date]]-_05preva_view43[[#This Row],[Request Date]],"Not  Calculated"))</f>
        <v>1.506734143520589</v>
      </c>
      <c r="BB20" s="135">
        <f>COUNTIFS(_05preva_view43[Site ID],_05preva_view43[[#This Row],[Site ID]],_05preva_view43[Prevalidation Status],"Under Prevalidation")</f>
        <v>1</v>
      </c>
      <c r="BC20" s="153" t="str">
        <f ca="1">HYPERLINK(CheckPath(_05preva_view43[[#This Row],[File Path]],_05preva_view43[[#This Row],[File Path]],_05preva_view43[[#This Row],[Folder Path3]]),CheckPath(_05preva_view43[[#This Row],[File Path]],"Open File","No File"))</f>
        <v>No File</v>
      </c>
      <c r="BD20" s="136" t="str">
        <f>CONCATENATE(_05preva_view43[[#This Row],[Site ID]]," (",_05preva_view43[[#This Row],[tenant id]],") Application",IF(_05preva_view43[[#This Row],[Colo Rev]]&gt;0," Rev "&amp;_05preva_view43[[#This Row],[Colo Rev]],""),".xlsx")</f>
        <v>1-01-10029-006 (MDY00358) Application Rev 1.xlsx</v>
      </c>
      <c r="BE20" s="64">
        <f t="shared" ca="1" si="2"/>
        <v>50</v>
      </c>
      <c r="BF20" s="104" t="str">
        <f ca="1">LEFT(CELL("filename",A5),_05preva_view43[[#This Row],[Find Process &amp; Database]]-1)</f>
        <v>D:\OneDrive - apollo-towers.com\Apollo Towers\00-</v>
      </c>
      <c r="BG20" s="104" t="str">
        <f ca="1">_05preva_view43[Folder Path1]&amp;"Process &amp; Database\Documentation\Colo Applications"</f>
        <v>D:\OneDrive - apollo-towers.com\Apollo Towers\00-Process &amp; Database\Documentation\Colo Applications</v>
      </c>
      <c r="BH20" s="104" t="str">
        <f ca="1">_05preva_view43[Folder Path2]&amp;"\Colo App "&amp;_05preva_view43[[#This Row],[Operator]]&amp;"\"</f>
        <v>D:\OneDrive - apollo-towers.com\Apollo Towers\00-Process &amp; Database\Documentation\Colo Applications\Colo App MPT\</v>
      </c>
      <c r="BI20" s="63" t="str">
        <f ca="1">_05preva_view43[[#This Row],[Folder Path3]]&amp;_05preva_view43[[#This Row],[File Name]]</f>
        <v>D:\OneDrive - apollo-towers.com\Apollo Towers\00-Process &amp; Database\Documentation\Colo Applications\Colo App MPT\1-01-10029-006 (MDY00358) Application Rev 1.xlsx</v>
      </c>
      <c r="BJ20" s="104"/>
      <c r="BK20" s="3"/>
      <c r="BL20" s="3"/>
      <c r="CJ20" s="5"/>
      <c r="CK20" s="5"/>
      <c r="CL20" s="3"/>
      <c r="CN20" s="5"/>
      <c r="CR20" s="3"/>
      <c r="CS20" s="3"/>
      <c r="CT20" s="5"/>
      <c r="CV20" s="3"/>
      <c r="DR20" s="5"/>
      <c r="DT20" s="3"/>
      <c r="EF20" s="7"/>
      <c r="EG20" s="7"/>
      <c r="EJ20" s="4"/>
      <c r="EK20" s="4"/>
      <c r="EU20" s="2"/>
      <c r="EV20" s="2"/>
    </row>
    <row r="21" spans="1:152">
      <c r="A21" s="125">
        <v>3628</v>
      </c>
      <c r="B21" s="126" t="s">
        <v>1931</v>
      </c>
      <c r="C21" s="126" t="s">
        <v>331</v>
      </c>
      <c r="D21" s="126" t="s">
        <v>117</v>
      </c>
      <c r="E21" s="126" t="s">
        <v>1932</v>
      </c>
      <c r="F21" s="126" t="s">
        <v>35</v>
      </c>
      <c r="G21" s="126" t="s">
        <v>1583</v>
      </c>
      <c r="H21" s="126" t="s">
        <v>1575</v>
      </c>
      <c r="I21" s="126" t="s">
        <v>1288</v>
      </c>
      <c r="J21" s="126" t="s">
        <v>931</v>
      </c>
      <c r="K21" s="127">
        <v>43486</v>
      </c>
      <c r="L21" s="128">
        <v>1.399</v>
      </c>
      <c r="M21" s="128">
        <v>2.1989999999999998</v>
      </c>
      <c r="N21" s="126">
        <v>4.3600000000000003</v>
      </c>
      <c r="O21" s="126" t="s">
        <v>950</v>
      </c>
      <c r="P21" s="129" t="s">
        <v>958</v>
      </c>
      <c r="Q21" s="129" t="s">
        <v>959</v>
      </c>
      <c r="R21" s="126" t="s">
        <v>25</v>
      </c>
      <c r="S21" s="126"/>
      <c r="T21" s="130" t="s">
        <v>861</v>
      </c>
      <c r="U21" s="126"/>
      <c r="V21" s="130" t="s">
        <v>120</v>
      </c>
      <c r="W21" s="126" t="s">
        <v>1933</v>
      </c>
      <c r="X21" s="130" t="s">
        <v>120</v>
      </c>
      <c r="Y21" s="126" t="s">
        <v>1934</v>
      </c>
      <c r="Z21" s="162"/>
      <c r="AA21" s="154"/>
      <c r="AB21" s="154"/>
      <c r="AC21" s="167"/>
      <c r="AD21" s="126"/>
      <c r="AE21" s="130" t="s">
        <v>120</v>
      </c>
      <c r="AF21" s="127" t="s">
        <v>1929</v>
      </c>
      <c r="AG21" s="131"/>
      <c r="AH21" s="131"/>
      <c r="AI21" s="126" t="s">
        <v>1930</v>
      </c>
      <c r="AJ21" s="130" t="s">
        <v>120</v>
      </c>
      <c r="AK21" s="126" t="s">
        <v>123</v>
      </c>
      <c r="AL21" s="126" t="s">
        <v>1198</v>
      </c>
      <c r="AM21" s="130"/>
      <c r="AN21" s="126"/>
      <c r="AO21" s="132"/>
      <c r="AP21" s="126"/>
      <c r="AQ21" s="126"/>
      <c r="AR21" s="130"/>
      <c r="AS21" s="126"/>
      <c r="AT21" s="127">
        <v>43487.376794907403</v>
      </c>
      <c r="AU21" s="127">
        <v>43486.753536574099</v>
      </c>
      <c r="AV21" s="127"/>
      <c r="AW21" s="127">
        <v>43487.376794907403</v>
      </c>
      <c r="AX21" s="127"/>
      <c r="AY21" s="127">
        <v>43486.6435391204</v>
      </c>
      <c r="AZ21" s="133"/>
      <c r="BA21" s="134">
        <f ca="1">IF(_05preva_view43[[#This Row],[Prevalidation Status]]="Under Prevalidation",NOW()-_05preva_view43[[#This Row],[Request Date]],IF(_05preva_view43[[#This Row],[Close Date]]&gt;_05preva_view43[[#This Row],[Request Date]],_05preva_view43[[#This Row],[Close Date]]-_05preva_view43[[#This Row],[Request Date]],"Not  Calculated"))</f>
        <v>1.506734143520589</v>
      </c>
      <c r="BB21" s="135">
        <f>COUNTIFS(_05preva_view43[Site ID],_05preva_view43[[#This Row],[Site ID]],_05preva_view43[Prevalidation Status],"Under Prevalidation")</f>
        <v>1</v>
      </c>
      <c r="BC21" s="153" t="str">
        <f ca="1">HYPERLINK(CheckPath(_05preva_view43[[#This Row],[File Path]],_05preva_view43[[#This Row],[File Path]],_05preva_view43[[#This Row],[Folder Path3]]),CheckPath(_05preva_view43[[#This Row],[File Path]],"Open File","No File"))</f>
        <v>No File</v>
      </c>
      <c r="BD21" s="136" t="str">
        <f>CONCATENATE(_05preva_view43[[#This Row],[Site ID]]," (",_05preva_view43[[#This Row],[tenant id]],") Application",IF(_05preva_view43[[#This Row],[Colo Rev]]&gt;0," Rev "&amp;_05preva_view43[[#This Row],[Colo Rev]],""),".xlsx")</f>
        <v>1-01-09022-002 (MGW00204) Application Rev 1.xlsx</v>
      </c>
      <c r="BE21" s="64">
        <f t="shared" ca="1" si="2"/>
        <v>50</v>
      </c>
      <c r="BF21" s="104" t="str">
        <f ca="1">LEFT(CELL("filename",A6),_05preva_view43[[#This Row],[Find Process &amp; Database]]-1)</f>
        <v>D:\OneDrive - apollo-towers.com\Apollo Towers\00-</v>
      </c>
      <c r="BG21" s="104" t="str">
        <f ca="1">_05preva_view43[Folder Path1]&amp;"Process &amp; Database\Documentation\Colo Applications"</f>
        <v>D:\OneDrive - apollo-towers.com\Apollo Towers\00-Process &amp; Database\Documentation\Colo Applications</v>
      </c>
      <c r="BH21" s="104" t="str">
        <f ca="1">_05preva_view43[Folder Path2]&amp;"\Colo App "&amp;_05preva_view43[[#This Row],[Operator]]&amp;"\"</f>
        <v>D:\OneDrive - apollo-towers.com\Apollo Towers\00-Process &amp; Database\Documentation\Colo Applications\Colo App MPT\</v>
      </c>
      <c r="BI21" s="63" t="str">
        <f ca="1">_05preva_view43[[#This Row],[Folder Path3]]&amp;_05preva_view43[[#This Row],[File Name]]</f>
        <v>D:\OneDrive - apollo-towers.com\Apollo Towers\00-Process &amp; Database\Documentation\Colo Applications\Colo App MPT\1-01-09022-002 (MGW00204) Application Rev 1.xlsx</v>
      </c>
      <c r="BJ21" s="104"/>
      <c r="BK21" s="3"/>
      <c r="BL21" s="3"/>
      <c r="CJ21" s="5"/>
      <c r="CK21" s="5"/>
      <c r="CL21" s="3"/>
      <c r="CN21" s="5"/>
      <c r="CR21" s="3"/>
      <c r="CS21" s="3"/>
      <c r="CT21" s="5"/>
      <c r="CV21" s="3"/>
      <c r="DR21" s="5"/>
      <c r="DT21" s="3"/>
      <c r="EF21" s="7"/>
      <c r="EG21" s="7"/>
      <c r="EJ21" s="4"/>
      <c r="EK21" s="4"/>
      <c r="EU21" s="2"/>
      <c r="EV21" s="2"/>
    </row>
    <row r="22" spans="1:152">
      <c r="A22" s="125">
        <v>3629</v>
      </c>
      <c r="B22" s="126" t="s">
        <v>1631</v>
      </c>
      <c r="C22" s="126" t="s">
        <v>331</v>
      </c>
      <c r="D22" s="126" t="s">
        <v>127</v>
      </c>
      <c r="E22" s="126" t="s">
        <v>1632</v>
      </c>
      <c r="F22" s="126" t="s">
        <v>35</v>
      </c>
      <c r="G22" s="126" t="s">
        <v>1583</v>
      </c>
      <c r="H22" s="126" t="s">
        <v>1575</v>
      </c>
      <c r="I22" s="126" t="s">
        <v>1288</v>
      </c>
      <c r="J22" s="126" t="s">
        <v>931</v>
      </c>
      <c r="K22" s="127">
        <v>43486</v>
      </c>
      <c r="L22" s="128">
        <v>1.399</v>
      </c>
      <c r="M22" s="128">
        <v>2.1989999999999998</v>
      </c>
      <c r="N22" s="126">
        <v>3.12</v>
      </c>
      <c r="O22" s="126" t="s">
        <v>950</v>
      </c>
      <c r="P22" s="129" t="s">
        <v>1062</v>
      </c>
      <c r="Q22" s="129" t="s">
        <v>958</v>
      </c>
      <c r="R22" s="126" t="s">
        <v>25</v>
      </c>
      <c r="S22" s="126"/>
      <c r="T22" s="130" t="s">
        <v>861</v>
      </c>
      <c r="U22" s="126"/>
      <c r="V22" s="130" t="s">
        <v>120</v>
      </c>
      <c r="W22" s="126"/>
      <c r="X22" s="130" t="s">
        <v>120</v>
      </c>
      <c r="Y22" s="126" t="s">
        <v>1935</v>
      </c>
      <c r="Z22" s="162"/>
      <c r="AA22" s="154"/>
      <c r="AB22" s="154"/>
      <c r="AC22" s="167"/>
      <c r="AD22" s="126"/>
      <c r="AE22" s="130" t="s">
        <v>120</v>
      </c>
      <c r="AF22" s="127" t="s">
        <v>1936</v>
      </c>
      <c r="AG22" s="131"/>
      <c r="AH22" s="131"/>
      <c r="AI22" s="126" t="s">
        <v>1930</v>
      </c>
      <c r="AJ22" s="130" t="s">
        <v>120</v>
      </c>
      <c r="AK22" s="126" t="s">
        <v>123</v>
      </c>
      <c r="AL22" s="126" t="s">
        <v>1198</v>
      </c>
      <c r="AM22" s="130"/>
      <c r="AN22" s="126"/>
      <c r="AO22" s="132"/>
      <c r="AP22" s="126"/>
      <c r="AQ22" s="126"/>
      <c r="AR22" s="130"/>
      <c r="AS22" s="126"/>
      <c r="AT22" s="127">
        <v>43487.376798495403</v>
      </c>
      <c r="AU22" s="127">
        <v>43486.753538773097</v>
      </c>
      <c r="AV22" s="127"/>
      <c r="AW22" s="127">
        <v>43487.376798495403</v>
      </c>
      <c r="AX22" s="127"/>
      <c r="AY22" s="127">
        <v>43486.643539583303</v>
      </c>
      <c r="AZ22" s="133"/>
      <c r="BA22" s="134">
        <f ca="1">IF(_05preva_view43[[#This Row],[Prevalidation Status]]="Under Prevalidation",NOW()-_05preva_view43[[#This Row],[Request Date]],IF(_05preva_view43[[#This Row],[Close Date]]&gt;_05preva_view43[[#This Row],[Request Date]],_05preva_view43[[#This Row],[Close Date]]-_05preva_view43[[#This Row],[Request Date]],"Not  Calculated"))</f>
        <v>1.506734143520589</v>
      </c>
      <c r="BB22" s="135">
        <f>COUNTIFS(_05preva_view43[Site ID],_05preva_view43[[#This Row],[Site ID]],_05preva_view43[Prevalidation Status],"Under Prevalidation")</f>
        <v>1</v>
      </c>
      <c r="BC22" s="153" t="str">
        <f ca="1">HYPERLINK(CheckPath(_05preva_view43[[#This Row],[File Path]],_05preva_view43[[#This Row],[File Path]],_05preva_view43[[#This Row],[Folder Path3]]),CheckPath(_05preva_view43[[#This Row],[File Path]],"Open File","No File"))</f>
        <v>No File</v>
      </c>
      <c r="BD22" s="136" t="str">
        <f>CONCATENATE(_05preva_view43[[#This Row],[Site ID]]," (",_05preva_view43[[#This Row],[tenant id]],") Application",IF(_05preva_view43[[#This Row],[Colo Rev]]&gt;0," Rev "&amp;_05preva_view43[[#This Row],[Colo Rev]],""),".xlsx")</f>
        <v>1-01-05015-002 (SGG00199) Application Rev 1.xlsx</v>
      </c>
      <c r="BE22" s="64">
        <f t="shared" ca="1" si="2"/>
        <v>50</v>
      </c>
      <c r="BF22" s="104" t="str">
        <f ca="1">LEFT(CELL("filename",A7),_05preva_view43[[#This Row],[Find Process &amp; Database]]-1)</f>
        <v>D:\OneDrive - apollo-towers.com\Apollo Towers\00-</v>
      </c>
      <c r="BG22" s="104" t="str">
        <f ca="1">_05preva_view43[Folder Path1]&amp;"Process &amp; Database\Documentation\Colo Applications"</f>
        <v>D:\OneDrive - apollo-towers.com\Apollo Towers\00-Process &amp; Database\Documentation\Colo Applications</v>
      </c>
      <c r="BH22" s="104" t="str">
        <f ca="1">_05preva_view43[Folder Path2]&amp;"\Colo App "&amp;_05preva_view43[[#This Row],[Operator]]&amp;"\"</f>
        <v>D:\OneDrive - apollo-towers.com\Apollo Towers\00-Process &amp; Database\Documentation\Colo Applications\Colo App MPT\</v>
      </c>
      <c r="BI22" s="63" t="str">
        <f ca="1">_05preva_view43[[#This Row],[Folder Path3]]&amp;_05preva_view43[[#This Row],[File Name]]</f>
        <v>D:\OneDrive - apollo-towers.com\Apollo Towers\00-Process &amp; Database\Documentation\Colo Applications\Colo App MPT\1-01-05015-002 (SGG00199) Application Rev 1.xlsx</v>
      </c>
      <c r="BJ22" s="104"/>
      <c r="BK22" s="3"/>
      <c r="BL22" s="3"/>
      <c r="CJ22" s="5"/>
      <c r="CK22" s="5"/>
      <c r="CL22" s="3"/>
      <c r="CN22" s="5"/>
      <c r="CR22" s="3"/>
      <c r="CS22" s="3"/>
      <c r="CT22" s="5"/>
      <c r="CV22" s="3"/>
      <c r="DR22" s="5"/>
      <c r="DT22" s="3"/>
      <c r="EF22" s="7"/>
      <c r="EG22" s="7"/>
      <c r="EJ22" s="4"/>
      <c r="EK22" s="4"/>
      <c r="EU22" s="2"/>
      <c r="EV22" s="2"/>
    </row>
    <row r="23" spans="1:152">
      <c r="A23" s="125">
        <v>3630</v>
      </c>
      <c r="B23" s="126" t="s">
        <v>1871</v>
      </c>
      <c r="C23" s="126" t="s">
        <v>331</v>
      </c>
      <c r="D23" s="126" t="s">
        <v>127</v>
      </c>
      <c r="E23" s="126" t="s">
        <v>1872</v>
      </c>
      <c r="F23" s="126" t="s">
        <v>35</v>
      </c>
      <c r="G23" s="126" t="s">
        <v>1583</v>
      </c>
      <c r="H23" s="126" t="s">
        <v>1575</v>
      </c>
      <c r="I23" s="126" t="s">
        <v>1288</v>
      </c>
      <c r="J23" s="126" t="s">
        <v>949</v>
      </c>
      <c r="K23" s="127">
        <v>43486</v>
      </c>
      <c r="L23" s="128">
        <v>1.399</v>
      </c>
      <c r="M23" s="128">
        <v>2.2610000000000001</v>
      </c>
      <c r="N23" s="126">
        <v>4.04</v>
      </c>
      <c r="O23" s="126" t="s">
        <v>950</v>
      </c>
      <c r="P23" s="129" t="s">
        <v>958</v>
      </c>
      <c r="Q23" s="129" t="s">
        <v>959</v>
      </c>
      <c r="R23" s="126" t="s">
        <v>25</v>
      </c>
      <c r="S23" s="126"/>
      <c r="T23" s="130" t="s">
        <v>861</v>
      </c>
      <c r="U23" s="126"/>
      <c r="V23" s="130" t="s">
        <v>120</v>
      </c>
      <c r="W23" s="126"/>
      <c r="X23" s="130" t="s">
        <v>120</v>
      </c>
      <c r="Y23" s="126" t="s">
        <v>2124</v>
      </c>
      <c r="Z23" s="162"/>
      <c r="AA23" s="154"/>
      <c r="AB23" s="154"/>
      <c r="AC23" s="167"/>
      <c r="AD23" s="126"/>
      <c r="AE23" s="130" t="s">
        <v>120</v>
      </c>
      <c r="AF23" s="127" t="s">
        <v>1937</v>
      </c>
      <c r="AG23" s="131"/>
      <c r="AH23" s="131"/>
      <c r="AI23" s="126" t="s">
        <v>1938</v>
      </c>
      <c r="AJ23" s="130" t="s">
        <v>120</v>
      </c>
      <c r="AK23" s="126" t="s">
        <v>123</v>
      </c>
      <c r="AL23" s="126" t="s">
        <v>1198</v>
      </c>
      <c r="AM23" s="130"/>
      <c r="AN23" s="126"/>
      <c r="AO23" s="132"/>
      <c r="AP23" s="126"/>
      <c r="AQ23" s="126"/>
      <c r="AR23" s="130"/>
      <c r="AS23" s="126"/>
      <c r="AT23" s="127">
        <v>43487.479800810201</v>
      </c>
      <c r="AU23" s="127">
        <v>43486.753542592603</v>
      </c>
      <c r="AV23" s="127"/>
      <c r="AW23" s="127">
        <v>43487.479800810201</v>
      </c>
      <c r="AX23" s="127"/>
      <c r="AY23" s="127">
        <v>43486.643540972203</v>
      </c>
      <c r="AZ23" s="133"/>
      <c r="BA23" s="134">
        <f ca="1">IF(_05preva_view43[[#This Row],[Prevalidation Status]]="Under Prevalidation",NOW()-_05preva_view43[[#This Row],[Request Date]],IF(_05preva_view43[[#This Row],[Close Date]]&gt;_05preva_view43[[#This Row],[Request Date]],_05preva_view43[[#This Row],[Close Date]]-_05preva_view43[[#This Row],[Request Date]],"Not  Calculated"))</f>
        <v>1.506734143520589</v>
      </c>
      <c r="BB23" s="135">
        <f>COUNTIFS(_05preva_view43[Site ID],_05preva_view43[[#This Row],[Site ID]],_05preva_view43[Prevalidation Status],"Under Prevalidation")</f>
        <v>1</v>
      </c>
      <c r="BC23" s="153" t="str">
        <f ca="1">HYPERLINK(CheckPath(_05preva_view43[[#This Row],[File Path]],_05preva_view43[[#This Row],[File Path]],_05preva_view43[[#This Row],[Folder Path3]]),CheckPath(_05preva_view43[[#This Row],[File Path]],"Open File","No File"))</f>
        <v>No File</v>
      </c>
      <c r="BD23" s="136" t="str">
        <f>CONCATENATE(_05preva_view43[[#This Row],[Site ID]]," (",_05preva_view43[[#This Row],[tenant id]],") Application",IF(_05preva_view43[[#This Row],[Colo Rev]]&gt;0," Rev "&amp;_05preva_view43[[#This Row],[Colo Rev]],""),".xlsx")</f>
        <v>1-01-15013-009 (SHN00040) Application Rev 2.xlsx</v>
      </c>
      <c r="BE23" s="64">
        <f t="shared" ca="1" si="2"/>
        <v>50</v>
      </c>
      <c r="BF23" s="104" t="str">
        <f ca="1">LEFT(CELL("filename",A8),_05preva_view43[[#This Row],[Find Process &amp; Database]]-1)</f>
        <v>D:\OneDrive - apollo-towers.com\Apollo Towers\00-</v>
      </c>
      <c r="BG23" s="104" t="str">
        <f ca="1">_05preva_view43[Folder Path1]&amp;"Process &amp; Database\Documentation\Colo Applications"</f>
        <v>D:\OneDrive - apollo-towers.com\Apollo Towers\00-Process &amp; Database\Documentation\Colo Applications</v>
      </c>
      <c r="BH23" s="104" t="str">
        <f ca="1">_05preva_view43[Folder Path2]&amp;"\Colo App "&amp;_05preva_view43[[#This Row],[Operator]]&amp;"\"</f>
        <v>D:\OneDrive - apollo-towers.com\Apollo Towers\00-Process &amp; Database\Documentation\Colo Applications\Colo App MPT\</v>
      </c>
      <c r="BI23" s="63" t="str">
        <f ca="1">_05preva_view43[[#This Row],[Folder Path3]]&amp;_05preva_view43[[#This Row],[File Name]]</f>
        <v>D:\OneDrive - apollo-towers.com\Apollo Towers\00-Process &amp; Database\Documentation\Colo Applications\Colo App MPT\1-01-15013-009 (SHN00040) Application Rev 2.xlsx</v>
      </c>
      <c r="BJ23" s="104"/>
      <c r="BK23" s="3"/>
      <c r="BL23" s="3"/>
      <c r="CJ23" s="5"/>
      <c r="CK23" s="5"/>
      <c r="CL23" s="3"/>
      <c r="CN23" s="5"/>
      <c r="CR23" s="3"/>
      <c r="CS23" s="3"/>
      <c r="CT23" s="5"/>
      <c r="CV23" s="3"/>
      <c r="DR23" s="5"/>
      <c r="DT23" s="3"/>
      <c r="EF23" s="7"/>
      <c r="EG23" s="7"/>
      <c r="EJ23" s="4"/>
      <c r="EK23" s="4"/>
      <c r="EU23" s="2"/>
      <c r="EV23" s="2"/>
    </row>
    <row r="24" spans="1:152">
      <c r="A24" s="125">
        <v>3631</v>
      </c>
      <c r="B24" s="126" t="s">
        <v>1939</v>
      </c>
      <c r="C24" s="126" t="s">
        <v>331</v>
      </c>
      <c r="D24" s="126" t="s">
        <v>127</v>
      </c>
      <c r="E24" s="126" t="s">
        <v>1940</v>
      </c>
      <c r="F24" s="126" t="s">
        <v>35</v>
      </c>
      <c r="G24" s="126" t="s">
        <v>1583</v>
      </c>
      <c r="H24" s="126" t="s">
        <v>1575</v>
      </c>
      <c r="I24" s="126" t="s">
        <v>1288</v>
      </c>
      <c r="J24" s="126" t="s">
        <v>990</v>
      </c>
      <c r="K24" s="127">
        <v>43486</v>
      </c>
      <c r="L24" s="128">
        <v>1.399</v>
      </c>
      <c r="M24" s="128">
        <v>2.2610000000000001</v>
      </c>
      <c r="N24" s="126">
        <v>6.63</v>
      </c>
      <c r="O24" s="126" t="s">
        <v>950</v>
      </c>
      <c r="P24" s="129" t="s">
        <v>958</v>
      </c>
      <c r="Q24" s="129" t="s">
        <v>959</v>
      </c>
      <c r="R24" s="126" t="s">
        <v>25</v>
      </c>
      <c r="S24" s="126"/>
      <c r="T24" s="130" t="s">
        <v>861</v>
      </c>
      <c r="U24" s="126"/>
      <c r="V24" s="130" t="s">
        <v>120</v>
      </c>
      <c r="W24" s="126"/>
      <c r="X24" s="130" t="s">
        <v>120</v>
      </c>
      <c r="Y24" s="126" t="s">
        <v>2125</v>
      </c>
      <c r="Z24" s="162"/>
      <c r="AA24" s="154"/>
      <c r="AB24" s="154"/>
      <c r="AC24" s="167"/>
      <c r="AD24" s="126"/>
      <c r="AE24" s="130" t="s">
        <v>120</v>
      </c>
      <c r="AF24" s="127" t="s">
        <v>1936</v>
      </c>
      <c r="AG24" s="131"/>
      <c r="AH24" s="131"/>
      <c r="AI24" s="126" t="s">
        <v>1930</v>
      </c>
      <c r="AJ24" s="130" t="s">
        <v>120</v>
      </c>
      <c r="AK24" s="126" t="s">
        <v>123</v>
      </c>
      <c r="AL24" s="126" t="s">
        <v>1198</v>
      </c>
      <c r="AM24" s="130"/>
      <c r="AN24" s="126"/>
      <c r="AO24" s="132"/>
      <c r="AP24" s="126"/>
      <c r="AQ24" s="126"/>
      <c r="AR24" s="130"/>
      <c r="AS24" s="126"/>
      <c r="AT24" s="127">
        <v>43487.4798024306</v>
      </c>
      <c r="AU24" s="127">
        <v>43486.753544791703</v>
      </c>
      <c r="AV24" s="127"/>
      <c r="AW24" s="127">
        <v>43487.4798024306</v>
      </c>
      <c r="AX24" s="127"/>
      <c r="AY24" s="127">
        <v>43486.643543634302</v>
      </c>
      <c r="AZ24" s="133"/>
      <c r="BA24" s="134">
        <f ca="1">IF(_05preva_view43[[#This Row],[Prevalidation Status]]="Under Prevalidation",NOW()-_05preva_view43[[#This Row],[Request Date]],IF(_05preva_view43[[#This Row],[Close Date]]&gt;_05preva_view43[[#This Row],[Request Date]],_05preva_view43[[#This Row],[Close Date]]-_05preva_view43[[#This Row],[Request Date]],"Not  Calculated"))</f>
        <v>1.506734143520589</v>
      </c>
      <c r="BB24" s="135">
        <f>COUNTIFS(_05preva_view43[Site ID],_05preva_view43[[#This Row],[Site ID]],_05preva_view43[Prevalidation Status],"Under Prevalidation")</f>
        <v>1</v>
      </c>
      <c r="BC24" s="153" t="str">
        <f ca="1">HYPERLINK(CheckPath(_05preva_view43[[#This Row],[File Path]],_05preva_view43[[#This Row],[File Path]],_05preva_view43[[#This Row],[Folder Path3]]),CheckPath(_05preva_view43[[#This Row],[File Path]],"Open File","No File"))</f>
        <v>No File</v>
      </c>
      <c r="BD24" s="136" t="str">
        <f>CONCATENATE(_05preva_view43[[#This Row],[Site ID]]," (",_05preva_view43[[#This Row],[tenant id]],") Application",IF(_05preva_view43[[#This Row],[Colo Rev]]&gt;0," Rev "&amp;_05preva_view43[[#This Row],[Colo Rev]],""),".xlsx")</f>
        <v>1-01-15018-003 (SHN00063) Application Rev 3.xlsx</v>
      </c>
      <c r="BE24" s="64">
        <f t="shared" ca="1" si="2"/>
        <v>50</v>
      </c>
      <c r="BF24" s="104" t="str">
        <f ca="1">LEFT(CELL("filename",A9),_05preva_view43[[#This Row],[Find Process &amp; Database]]-1)</f>
        <v>D:\OneDrive - apollo-towers.com\Apollo Towers\00-</v>
      </c>
      <c r="BG24" s="104" t="str">
        <f ca="1">_05preva_view43[Folder Path1]&amp;"Process &amp; Database\Documentation\Colo Applications"</f>
        <v>D:\OneDrive - apollo-towers.com\Apollo Towers\00-Process &amp; Database\Documentation\Colo Applications</v>
      </c>
      <c r="BH24" s="104" t="str">
        <f ca="1">_05preva_view43[Folder Path2]&amp;"\Colo App "&amp;_05preva_view43[[#This Row],[Operator]]&amp;"\"</f>
        <v>D:\OneDrive - apollo-towers.com\Apollo Towers\00-Process &amp; Database\Documentation\Colo Applications\Colo App MPT\</v>
      </c>
      <c r="BI24" s="63" t="str">
        <f ca="1">_05preva_view43[[#This Row],[Folder Path3]]&amp;_05preva_view43[[#This Row],[File Name]]</f>
        <v>D:\OneDrive - apollo-towers.com\Apollo Towers\00-Process &amp; Database\Documentation\Colo Applications\Colo App MPT\1-01-15018-003 (SHN00063) Application Rev 3.xlsx</v>
      </c>
      <c r="BJ24" s="104"/>
      <c r="BK24" s="3"/>
      <c r="BL24" s="3"/>
      <c r="CJ24" s="5"/>
      <c r="CK24" s="5"/>
      <c r="CL24" s="3"/>
      <c r="CN24" s="5"/>
      <c r="CR24" s="3"/>
      <c r="CS24" s="3"/>
      <c r="CT24" s="5"/>
      <c r="CV24" s="3"/>
      <c r="DR24" s="5"/>
      <c r="DT24" s="3"/>
      <c r="EF24" s="7"/>
      <c r="EG24" s="7"/>
      <c r="EJ24" s="4"/>
      <c r="EK24" s="4"/>
      <c r="EU24" s="2"/>
      <c r="EV24" s="2"/>
    </row>
    <row r="25" spans="1:152">
      <c r="A25" s="125">
        <v>3632</v>
      </c>
      <c r="B25" s="126" t="s">
        <v>1941</v>
      </c>
      <c r="C25" s="126" t="s">
        <v>331</v>
      </c>
      <c r="D25" s="126" t="s">
        <v>163</v>
      </c>
      <c r="E25" s="126" t="s">
        <v>1942</v>
      </c>
      <c r="F25" s="126" t="s">
        <v>35</v>
      </c>
      <c r="G25" s="126" t="s">
        <v>1919</v>
      </c>
      <c r="H25" s="126" t="s">
        <v>1619</v>
      </c>
      <c r="I25" s="126" t="s">
        <v>1311</v>
      </c>
      <c r="J25" s="126" t="s">
        <v>940</v>
      </c>
      <c r="K25" s="127">
        <v>43486</v>
      </c>
      <c r="L25" s="128">
        <v>0.72</v>
      </c>
      <c r="M25" s="128">
        <v>0.9</v>
      </c>
      <c r="N25" s="126"/>
      <c r="O25" s="126" t="s">
        <v>950</v>
      </c>
      <c r="P25" s="129" t="s">
        <v>291</v>
      </c>
      <c r="Q25" s="129" t="s">
        <v>292</v>
      </c>
      <c r="R25" s="126" t="s">
        <v>25</v>
      </c>
      <c r="S25" s="126"/>
      <c r="T25" s="130" t="s">
        <v>861</v>
      </c>
      <c r="U25" s="126"/>
      <c r="V25" s="130" t="s">
        <v>120</v>
      </c>
      <c r="W25" s="126"/>
      <c r="X25" s="130" t="s">
        <v>120</v>
      </c>
      <c r="Y25" s="126" t="s">
        <v>1920</v>
      </c>
      <c r="Z25" s="162"/>
      <c r="AA25" s="154"/>
      <c r="AB25" s="154"/>
      <c r="AC25" s="167"/>
      <c r="AD25" s="126"/>
      <c r="AE25" s="130" t="s">
        <v>120</v>
      </c>
      <c r="AF25" s="127"/>
      <c r="AG25" s="131"/>
      <c r="AH25" s="131"/>
      <c r="AI25" s="126"/>
      <c r="AJ25" s="130" t="s">
        <v>120</v>
      </c>
      <c r="AK25" s="126" t="s">
        <v>123</v>
      </c>
      <c r="AL25" s="126" t="s">
        <v>1493</v>
      </c>
      <c r="AM25" s="130"/>
      <c r="AN25" s="126"/>
      <c r="AO25" s="132"/>
      <c r="AP25" s="126"/>
      <c r="AQ25" s="126"/>
      <c r="AR25" s="130"/>
      <c r="AS25" s="126"/>
      <c r="AT25" s="127">
        <v>43487.376804629603</v>
      </c>
      <c r="AU25" s="127">
        <v>43486.753548495399</v>
      </c>
      <c r="AV25" s="127"/>
      <c r="AW25" s="127">
        <v>43487.376804629603</v>
      </c>
      <c r="AX25" s="127"/>
      <c r="AY25" s="127">
        <v>43486.718662152802</v>
      </c>
      <c r="AZ25" s="133"/>
      <c r="BA25" s="134">
        <f ca="1">IF(_05preva_view43[[#This Row],[Prevalidation Status]]="Under Prevalidation",NOW()-_05preva_view43[[#This Row],[Request Date]],IF(_05preva_view43[[#This Row],[Close Date]]&gt;_05preva_view43[[#This Row],[Request Date]],_05preva_view43[[#This Row],[Close Date]]-_05preva_view43[[#This Row],[Request Date]],"Not  Calculated"))</f>
        <v>1.506734143520589</v>
      </c>
      <c r="BB25" s="135">
        <f>COUNTIFS(_05preva_view43[Site ID],_05preva_view43[[#This Row],[Site ID]],_05preva_view43[Prevalidation Status],"Under Prevalidation")</f>
        <v>1</v>
      </c>
      <c r="BC25" s="153" t="str">
        <f ca="1">HYPERLINK(CheckPath(_05preva_view43[[#This Row],[File Path]],_05preva_view43[[#This Row],[File Path]],_05preva_view43[[#This Row],[Folder Path3]]),CheckPath(_05preva_view43[[#This Row],[File Path]],"Open File","No File"))</f>
        <v>No File</v>
      </c>
      <c r="BD25" s="136" t="str">
        <f>CONCATENATE(_05preva_view43[[#This Row],[Site ID]]," (",_05preva_view43[[#This Row],[tenant id]],") Application",IF(_05preva_view43[[#This Row],[Colo Rev]]&gt;0," Rev "&amp;_05preva_view43[[#This Row],[Colo Rev]],""),".xlsx")</f>
        <v>PBAG00032 (BGE00825) Application Rev 0.xlsx</v>
      </c>
      <c r="BE25" s="64">
        <f t="shared" ca="1" si="2"/>
        <v>50</v>
      </c>
      <c r="BF25" s="104" t="str">
        <f ca="1">LEFT(CELL("filename",A10),_05preva_view43[[#This Row],[Find Process &amp; Database]]-1)</f>
        <v>D:\OneDrive - apollo-towers.com\Apollo Towers\00-</v>
      </c>
      <c r="BG25" s="104" t="str">
        <f ca="1">_05preva_view43[Folder Path1]&amp;"Process &amp; Database\Documentation\Colo Applications"</f>
        <v>D:\OneDrive - apollo-towers.com\Apollo Towers\00-Process &amp; Database\Documentation\Colo Applications</v>
      </c>
      <c r="BH25" s="104" t="str">
        <f ca="1">_05preva_view43[Folder Path2]&amp;"\Colo App "&amp;_05preva_view43[[#This Row],[Operator]]&amp;"\"</f>
        <v>D:\OneDrive - apollo-towers.com\Apollo Towers\00-Process &amp; Database\Documentation\Colo Applications\Colo App MPT\</v>
      </c>
      <c r="BI25" s="63" t="str">
        <f ca="1">_05preva_view43[[#This Row],[Folder Path3]]&amp;_05preva_view43[[#This Row],[File Name]]</f>
        <v>D:\OneDrive - apollo-towers.com\Apollo Towers\00-Process &amp; Database\Documentation\Colo Applications\Colo App MPT\PBAG00032 (BGE00825) Application Rev 0.xlsx</v>
      </c>
      <c r="BJ25" s="104"/>
      <c r="BK25" s="3"/>
      <c r="BL25" s="3"/>
      <c r="CJ25" s="5"/>
      <c r="CK25" s="5"/>
      <c r="CL25" s="3"/>
      <c r="CN25" s="5"/>
      <c r="CR25" s="3"/>
      <c r="CS25" s="3"/>
      <c r="CT25" s="5"/>
      <c r="CV25" s="3"/>
      <c r="DR25" s="5"/>
      <c r="DT25" s="3"/>
      <c r="EF25" s="7"/>
      <c r="EG25" s="7"/>
      <c r="EJ25" s="4"/>
      <c r="EK25" s="4"/>
      <c r="EU25" s="2"/>
      <c r="EV25" s="2"/>
    </row>
    <row r="26" spans="1:152">
      <c r="A26" s="125">
        <v>3633</v>
      </c>
      <c r="B26" s="126" t="s">
        <v>1943</v>
      </c>
      <c r="C26" s="126" t="s">
        <v>331</v>
      </c>
      <c r="D26" s="126" t="s">
        <v>117</v>
      </c>
      <c r="E26" s="126" t="s">
        <v>1944</v>
      </c>
      <c r="F26" s="126" t="s">
        <v>35</v>
      </c>
      <c r="G26" s="126" t="s">
        <v>1583</v>
      </c>
      <c r="H26" s="126" t="s">
        <v>1575</v>
      </c>
      <c r="I26" s="126" t="s">
        <v>1048</v>
      </c>
      <c r="J26" s="126" t="s">
        <v>990</v>
      </c>
      <c r="K26" s="127">
        <v>43486</v>
      </c>
      <c r="L26" s="128">
        <v>3.548</v>
      </c>
      <c r="M26" s="128">
        <v>5.5259999999999998</v>
      </c>
      <c r="N26" s="126"/>
      <c r="O26" s="126" t="s">
        <v>950</v>
      </c>
      <c r="P26" s="129" t="s">
        <v>1945</v>
      </c>
      <c r="Q26" s="129" t="s">
        <v>1946</v>
      </c>
      <c r="R26" s="126" t="s">
        <v>25</v>
      </c>
      <c r="S26" s="126"/>
      <c r="T26" s="130" t="s">
        <v>861</v>
      </c>
      <c r="U26" s="126"/>
      <c r="V26" s="130" t="s">
        <v>120</v>
      </c>
      <c r="W26" s="126"/>
      <c r="X26" s="130"/>
      <c r="Y26" s="126"/>
      <c r="Z26" s="162"/>
      <c r="AA26" s="154"/>
      <c r="AB26" s="154"/>
      <c r="AC26" s="167"/>
      <c r="AD26" s="126"/>
      <c r="AE26" s="130" t="s">
        <v>120</v>
      </c>
      <c r="AF26" s="127"/>
      <c r="AG26" s="131"/>
      <c r="AH26" s="131"/>
      <c r="AI26" s="126"/>
      <c r="AJ26" s="130"/>
      <c r="AK26" s="126"/>
      <c r="AL26" s="126"/>
      <c r="AM26" s="130"/>
      <c r="AN26" s="126"/>
      <c r="AO26" s="132"/>
      <c r="AP26" s="126"/>
      <c r="AQ26" s="126"/>
      <c r="AR26" s="130"/>
      <c r="AS26" s="126"/>
      <c r="AT26" s="127"/>
      <c r="AU26" s="127">
        <v>43486.753550694397</v>
      </c>
      <c r="AV26" s="127"/>
      <c r="AW26" s="127"/>
      <c r="AX26" s="127"/>
      <c r="AY26" s="127">
        <v>43486.643544907398</v>
      </c>
      <c r="AZ26" s="133"/>
      <c r="BA26" s="134">
        <f ca="1">IF(_05preva_view43[[#This Row],[Prevalidation Status]]="Under Prevalidation",NOW()-_05preva_view43[[#This Row],[Request Date]],IF(_05preva_view43[[#This Row],[Close Date]]&gt;_05preva_view43[[#This Row],[Request Date]],_05preva_view43[[#This Row],[Close Date]]-_05preva_view43[[#This Row],[Request Date]],"Not  Calculated"))</f>
        <v>1.506734143520589</v>
      </c>
      <c r="BB26" s="135">
        <f>COUNTIFS(_05preva_view43[Site ID],_05preva_view43[[#This Row],[Site ID]],_05preva_view43[Prevalidation Status],"Under Prevalidation")</f>
        <v>1</v>
      </c>
      <c r="BC26" s="153" t="str">
        <f ca="1">HYPERLINK(CheckPath(_05preva_view43[[#This Row],[File Path]],_05preva_view43[[#This Row],[File Path]],_05preva_view43[[#This Row],[Folder Path3]]),CheckPath(_05preva_view43[[#This Row],[File Path]],"Open File","No File"))</f>
        <v>No File</v>
      </c>
      <c r="BD26" s="136" t="str">
        <f>CONCATENATE(_05preva_view43[[#This Row],[Site ID]]," (",_05preva_view43[[#This Row],[tenant id]],") Application",IF(_05preva_view43[[#This Row],[Colo Rev]]&gt;0," Rev "&amp;_05preva_view43[[#This Row],[Colo Rev]],""),".xlsx")</f>
        <v>1-01-04002-007 (CHN00140) Application Rev 3.xlsx</v>
      </c>
      <c r="BE26" s="64">
        <f t="shared" ca="1" si="2"/>
        <v>50</v>
      </c>
      <c r="BF26" s="104" t="str">
        <f ca="1">LEFT(CELL("filename",A11),_05preva_view43[[#This Row],[Find Process &amp; Database]]-1)</f>
        <v>D:\OneDrive - apollo-towers.com\Apollo Towers\00-</v>
      </c>
      <c r="BG26" s="104" t="str">
        <f ca="1">_05preva_view43[Folder Path1]&amp;"Process &amp; Database\Documentation\Colo Applications"</f>
        <v>D:\OneDrive - apollo-towers.com\Apollo Towers\00-Process &amp; Database\Documentation\Colo Applications</v>
      </c>
      <c r="BH26" s="104" t="str">
        <f ca="1">_05preva_view43[Folder Path2]&amp;"\Colo App "&amp;_05preva_view43[[#This Row],[Operator]]&amp;"\"</f>
        <v>D:\OneDrive - apollo-towers.com\Apollo Towers\00-Process &amp; Database\Documentation\Colo Applications\Colo App MPT\</v>
      </c>
      <c r="BI26" s="63" t="str">
        <f ca="1">_05preva_view43[[#This Row],[Folder Path3]]&amp;_05preva_view43[[#This Row],[File Name]]</f>
        <v>D:\OneDrive - apollo-towers.com\Apollo Towers\00-Process &amp; Database\Documentation\Colo Applications\Colo App MPT\1-01-04002-007 (CHN00140) Application Rev 3.xlsx</v>
      </c>
      <c r="BJ26" s="104"/>
      <c r="BK26" s="3"/>
      <c r="BL26" s="3"/>
      <c r="CJ26" s="5"/>
      <c r="CK26" s="5"/>
      <c r="CL26" s="3"/>
      <c r="CN26" s="5"/>
      <c r="CR26" s="3"/>
      <c r="CS26" s="3"/>
      <c r="CT26" s="5"/>
      <c r="CV26" s="3"/>
      <c r="DR26" s="5"/>
      <c r="DT26" s="3"/>
      <c r="EF26" s="7"/>
      <c r="EG26" s="7"/>
      <c r="EJ26" s="4"/>
      <c r="EK26" s="4"/>
      <c r="EU26" s="2"/>
      <c r="EV26" s="2"/>
    </row>
    <row r="27" spans="1:152">
      <c r="A27" s="125">
        <v>3634</v>
      </c>
      <c r="B27" s="126" t="s">
        <v>1947</v>
      </c>
      <c r="C27" s="126" t="s">
        <v>331</v>
      </c>
      <c r="D27" s="126" t="s">
        <v>117</v>
      </c>
      <c r="E27" s="126" t="s">
        <v>1948</v>
      </c>
      <c r="F27" s="126" t="s">
        <v>35</v>
      </c>
      <c r="G27" s="126" t="s">
        <v>1583</v>
      </c>
      <c r="H27" s="126" t="s">
        <v>1575</v>
      </c>
      <c r="I27" s="126" t="s">
        <v>1053</v>
      </c>
      <c r="J27" s="126" t="s">
        <v>931</v>
      </c>
      <c r="K27" s="127">
        <v>43486</v>
      </c>
      <c r="L27" s="128">
        <v>2.0590000000000002</v>
      </c>
      <c r="M27" s="128">
        <v>3.5489999999999999</v>
      </c>
      <c r="N27" s="126"/>
      <c r="O27" s="126" t="s">
        <v>950</v>
      </c>
      <c r="P27" s="129" t="s">
        <v>958</v>
      </c>
      <c r="Q27" s="129" t="s">
        <v>959</v>
      </c>
      <c r="R27" s="126" t="s">
        <v>25</v>
      </c>
      <c r="S27" s="126"/>
      <c r="T27" s="130" t="s">
        <v>861</v>
      </c>
      <c r="U27" s="126"/>
      <c r="V27" s="130" t="s">
        <v>120</v>
      </c>
      <c r="W27" s="126"/>
      <c r="X27" s="130"/>
      <c r="Y27" s="126"/>
      <c r="Z27" s="162"/>
      <c r="AA27" s="154"/>
      <c r="AB27" s="154"/>
      <c r="AC27" s="167"/>
      <c r="AD27" s="126"/>
      <c r="AE27" s="130" t="s">
        <v>120</v>
      </c>
      <c r="AF27" s="127" t="s">
        <v>1949</v>
      </c>
      <c r="AG27" s="131"/>
      <c r="AH27" s="131"/>
      <c r="AI27" s="126" t="s">
        <v>1950</v>
      </c>
      <c r="AJ27" s="130"/>
      <c r="AK27" s="126"/>
      <c r="AL27" s="126"/>
      <c r="AM27" s="130"/>
      <c r="AN27" s="126"/>
      <c r="AO27" s="132"/>
      <c r="AP27" s="126"/>
      <c r="AQ27" s="126"/>
      <c r="AR27" s="130"/>
      <c r="AS27" s="126"/>
      <c r="AT27" s="127"/>
      <c r="AU27" s="127">
        <v>43486.753554513904</v>
      </c>
      <c r="AV27" s="127"/>
      <c r="AW27" s="127"/>
      <c r="AX27" s="127"/>
      <c r="AY27" s="127">
        <v>43486.643545370403</v>
      </c>
      <c r="AZ27" s="133"/>
      <c r="BA27" s="134">
        <f ca="1">IF(_05preva_view43[[#This Row],[Prevalidation Status]]="Under Prevalidation",NOW()-_05preva_view43[[#This Row],[Request Date]],IF(_05preva_view43[[#This Row],[Close Date]]&gt;_05preva_view43[[#This Row],[Request Date]],_05preva_view43[[#This Row],[Close Date]]-_05preva_view43[[#This Row],[Request Date]],"Not  Calculated"))</f>
        <v>1.506734143520589</v>
      </c>
      <c r="BB27" s="135">
        <f>COUNTIFS(_05preva_view43[Site ID],_05preva_view43[[#This Row],[Site ID]],_05preva_view43[Prevalidation Status],"Under Prevalidation")</f>
        <v>1</v>
      </c>
      <c r="BC27" s="153" t="str">
        <f ca="1">HYPERLINK(CheckPath(_05preva_view43[[#This Row],[File Path]],_05preva_view43[[#This Row],[File Path]],_05preva_view43[[#This Row],[Folder Path3]]),CheckPath(_05preva_view43[[#This Row],[File Path]],"Open File","No File"))</f>
        <v>No File</v>
      </c>
      <c r="BD27" s="136" t="str">
        <f>CONCATENATE(_05preva_view43[[#This Row],[Site ID]]," (",_05preva_view43[[#This Row],[tenant id]],") Application",IF(_05preva_view43[[#This Row],[Colo Rev]]&gt;0," Rev "&amp;_05preva_view43[[#This Row],[Colo Rev]],""),".xlsx")</f>
        <v>1-01-09021-002 (MGW00156) Application Rev 1.xlsx</v>
      </c>
      <c r="BE27" s="64">
        <f t="shared" ca="1" si="2"/>
        <v>50</v>
      </c>
      <c r="BF27" s="104" t="str">
        <f ca="1">LEFT(CELL("filename",A12),_05preva_view43[[#This Row],[Find Process &amp; Database]]-1)</f>
        <v>D:\OneDrive - apollo-towers.com\Apollo Towers\00-</v>
      </c>
      <c r="BG27" s="104" t="str">
        <f ca="1">_05preva_view43[Folder Path1]&amp;"Process &amp; Database\Documentation\Colo Applications"</f>
        <v>D:\OneDrive - apollo-towers.com\Apollo Towers\00-Process &amp; Database\Documentation\Colo Applications</v>
      </c>
      <c r="BH27" s="104" t="str">
        <f ca="1">_05preva_view43[Folder Path2]&amp;"\Colo App "&amp;_05preva_view43[[#This Row],[Operator]]&amp;"\"</f>
        <v>D:\OneDrive - apollo-towers.com\Apollo Towers\00-Process &amp; Database\Documentation\Colo Applications\Colo App MPT\</v>
      </c>
      <c r="BI27" s="63" t="str">
        <f ca="1">_05preva_view43[[#This Row],[Folder Path3]]&amp;_05preva_view43[[#This Row],[File Name]]</f>
        <v>D:\OneDrive - apollo-towers.com\Apollo Towers\00-Process &amp; Database\Documentation\Colo Applications\Colo App MPT\1-01-09021-002 (MGW00156) Application Rev 1.xlsx</v>
      </c>
      <c r="BJ27" s="104"/>
      <c r="BK27" s="3"/>
      <c r="BL27" s="3"/>
      <c r="CJ27" s="5"/>
      <c r="CK27" s="5"/>
      <c r="CL27" s="3"/>
      <c r="CN27" s="5"/>
      <c r="CR27" s="3"/>
      <c r="CS27" s="3"/>
      <c r="CT27" s="5"/>
      <c r="CV27" s="3"/>
      <c r="DR27" s="5"/>
      <c r="DT27" s="3"/>
      <c r="EF27" s="7"/>
      <c r="EG27" s="7"/>
      <c r="EJ27" s="4"/>
      <c r="EK27" s="4"/>
      <c r="EU27" s="2"/>
      <c r="EV27" s="2"/>
    </row>
    <row r="28" spans="1:152">
      <c r="A28" s="125">
        <v>3635</v>
      </c>
      <c r="B28" s="126" t="s">
        <v>1951</v>
      </c>
      <c r="C28" s="126" t="s">
        <v>331</v>
      </c>
      <c r="D28" s="126" t="s">
        <v>127</v>
      </c>
      <c r="E28" s="126" t="s">
        <v>1952</v>
      </c>
      <c r="F28" s="126" t="s">
        <v>35</v>
      </c>
      <c r="G28" s="126" t="s">
        <v>1583</v>
      </c>
      <c r="H28" s="126" t="s">
        <v>1575</v>
      </c>
      <c r="I28" s="126" t="s">
        <v>1048</v>
      </c>
      <c r="J28" s="126" t="s">
        <v>931</v>
      </c>
      <c r="K28" s="127">
        <v>43486</v>
      </c>
      <c r="L28" s="128">
        <v>2.1970000000000001</v>
      </c>
      <c r="M28" s="128">
        <v>3.7970000000000002</v>
      </c>
      <c r="N28" s="126"/>
      <c r="O28" s="126" t="s">
        <v>950</v>
      </c>
      <c r="P28" s="129" t="s">
        <v>1062</v>
      </c>
      <c r="Q28" s="129" t="s">
        <v>958</v>
      </c>
      <c r="R28" s="126" t="s">
        <v>25</v>
      </c>
      <c r="S28" s="126"/>
      <c r="T28" s="130" t="s">
        <v>861</v>
      </c>
      <c r="U28" s="126"/>
      <c r="V28" s="130" t="s">
        <v>120</v>
      </c>
      <c r="W28" s="126"/>
      <c r="X28" s="130"/>
      <c r="Y28" s="126"/>
      <c r="Z28" s="162"/>
      <c r="AA28" s="154"/>
      <c r="AB28" s="154"/>
      <c r="AC28" s="167"/>
      <c r="AD28" s="126"/>
      <c r="AE28" s="130" t="s">
        <v>120</v>
      </c>
      <c r="AF28" s="127" t="s">
        <v>1953</v>
      </c>
      <c r="AG28" s="131"/>
      <c r="AH28" s="131"/>
      <c r="AI28" s="126" t="s">
        <v>1954</v>
      </c>
      <c r="AJ28" s="130"/>
      <c r="AK28" s="126"/>
      <c r="AL28" s="126"/>
      <c r="AM28" s="130"/>
      <c r="AN28" s="126"/>
      <c r="AO28" s="132"/>
      <c r="AP28" s="126"/>
      <c r="AQ28" s="126"/>
      <c r="AR28" s="130"/>
      <c r="AS28" s="126"/>
      <c r="AT28" s="127"/>
      <c r="AU28" s="127">
        <v>43486.753556713003</v>
      </c>
      <c r="AV28" s="127"/>
      <c r="AW28" s="127"/>
      <c r="AX28" s="127"/>
      <c r="AY28" s="127">
        <v>43486.643546296298</v>
      </c>
      <c r="AZ28" s="133"/>
      <c r="BA28" s="134">
        <f ca="1">IF(_05preva_view43[[#This Row],[Prevalidation Status]]="Under Prevalidation",NOW()-_05preva_view43[[#This Row],[Request Date]],IF(_05preva_view43[[#This Row],[Close Date]]&gt;_05preva_view43[[#This Row],[Request Date]],_05preva_view43[[#This Row],[Close Date]]-_05preva_view43[[#This Row],[Request Date]],"Not  Calculated"))</f>
        <v>1.506734143520589</v>
      </c>
      <c r="BB28" s="135">
        <f>COUNTIFS(_05preva_view43[Site ID],_05preva_view43[[#This Row],[Site ID]],_05preva_view43[Prevalidation Status],"Under Prevalidation")</f>
        <v>1</v>
      </c>
      <c r="BC28" s="153" t="str">
        <f ca="1">HYPERLINK(CheckPath(_05preva_view43[[#This Row],[File Path]],_05preva_view43[[#This Row],[File Path]],_05preva_view43[[#This Row],[Folder Path3]]),CheckPath(_05preva_view43[[#This Row],[File Path]],"Open File","No File"))</f>
        <v>No File</v>
      </c>
      <c r="BD28" s="136" t="str">
        <f>CONCATENATE(_05preva_view43[[#This Row],[Site ID]]," (",_05preva_view43[[#This Row],[tenant id]],") Application",IF(_05preva_view43[[#This Row],[Colo Rev]]&gt;0," Rev "&amp;_05preva_view43[[#This Row],[Colo Rev]],""),".xlsx")</f>
        <v>1-01-05027-007 (SGG00242) Application Rev 1.xlsx</v>
      </c>
      <c r="BE28" s="64">
        <f t="shared" ca="1" si="2"/>
        <v>50</v>
      </c>
      <c r="BF28" s="104" t="str">
        <f ca="1">LEFT(CELL("filename",A13),_05preva_view43[[#This Row],[Find Process &amp; Database]]-1)</f>
        <v>D:\OneDrive - apollo-towers.com\Apollo Towers\00-</v>
      </c>
      <c r="BG28" s="104" t="str">
        <f ca="1">_05preva_view43[Folder Path1]&amp;"Process &amp; Database\Documentation\Colo Applications"</f>
        <v>D:\OneDrive - apollo-towers.com\Apollo Towers\00-Process &amp; Database\Documentation\Colo Applications</v>
      </c>
      <c r="BH28" s="104" t="str">
        <f ca="1">_05preva_view43[Folder Path2]&amp;"\Colo App "&amp;_05preva_view43[[#This Row],[Operator]]&amp;"\"</f>
        <v>D:\OneDrive - apollo-towers.com\Apollo Towers\00-Process &amp; Database\Documentation\Colo Applications\Colo App MPT\</v>
      </c>
      <c r="BI28" s="63" t="str">
        <f ca="1">_05preva_view43[[#This Row],[Folder Path3]]&amp;_05preva_view43[[#This Row],[File Name]]</f>
        <v>D:\OneDrive - apollo-towers.com\Apollo Towers\00-Process &amp; Database\Documentation\Colo Applications\Colo App MPT\1-01-05027-007 (SGG00242) Application Rev 1.xlsx</v>
      </c>
      <c r="BJ28" s="104"/>
      <c r="BK28" s="3"/>
      <c r="BL28" s="3"/>
      <c r="CJ28" s="5"/>
      <c r="CK28" s="5"/>
      <c r="CL28" s="3"/>
      <c r="CN28" s="5"/>
      <c r="CR28" s="3"/>
      <c r="CS28" s="3"/>
      <c r="CT28" s="5"/>
      <c r="CV28" s="3"/>
      <c r="DR28" s="5"/>
      <c r="DT28" s="3"/>
      <c r="EF28" s="7"/>
      <c r="EG28" s="7"/>
      <c r="EJ28" s="4"/>
      <c r="EK28" s="4"/>
      <c r="EU28" s="2"/>
      <c r="EV28" s="2"/>
    </row>
    <row r="29" spans="1:152">
      <c r="A29" s="125">
        <v>3636</v>
      </c>
      <c r="B29" s="126" t="s">
        <v>1363</v>
      </c>
      <c r="C29" s="126" t="s">
        <v>331</v>
      </c>
      <c r="D29" s="126" t="s">
        <v>163</v>
      </c>
      <c r="E29" s="126" t="s">
        <v>1364</v>
      </c>
      <c r="F29" s="126" t="s">
        <v>35</v>
      </c>
      <c r="G29" s="126" t="s">
        <v>1583</v>
      </c>
      <c r="H29" s="126" t="s">
        <v>1575</v>
      </c>
      <c r="I29" s="126" t="s">
        <v>1955</v>
      </c>
      <c r="J29" s="126" t="s">
        <v>1304</v>
      </c>
      <c r="K29" s="127">
        <v>43486</v>
      </c>
      <c r="L29" s="128">
        <v>1.92</v>
      </c>
      <c r="M29" s="128">
        <v>4</v>
      </c>
      <c r="N29" s="126"/>
      <c r="O29" s="126" t="s">
        <v>950</v>
      </c>
      <c r="P29" s="129" t="s">
        <v>736</v>
      </c>
      <c r="Q29" s="129" t="s">
        <v>880</v>
      </c>
      <c r="R29" s="126" t="s">
        <v>25</v>
      </c>
      <c r="S29" s="126"/>
      <c r="T29" s="130" t="s">
        <v>861</v>
      </c>
      <c r="U29" s="126"/>
      <c r="V29" s="130" t="s">
        <v>120</v>
      </c>
      <c r="W29" s="126"/>
      <c r="X29" s="130"/>
      <c r="Y29" s="126"/>
      <c r="Z29" s="162"/>
      <c r="AA29" s="154"/>
      <c r="AB29" s="154"/>
      <c r="AC29" s="167"/>
      <c r="AD29" s="126"/>
      <c r="AE29" s="130" t="s">
        <v>120</v>
      </c>
      <c r="AF29" s="127" t="s">
        <v>1956</v>
      </c>
      <c r="AG29" s="131"/>
      <c r="AH29" s="131"/>
      <c r="AI29" s="126" t="s">
        <v>1954</v>
      </c>
      <c r="AJ29" s="130"/>
      <c r="AK29" s="126"/>
      <c r="AL29" s="126"/>
      <c r="AM29" s="130"/>
      <c r="AN29" s="126"/>
      <c r="AO29" s="132"/>
      <c r="AP29" s="126"/>
      <c r="AQ29" s="126"/>
      <c r="AR29" s="130"/>
      <c r="AS29" s="126"/>
      <c r="AT29" s="127"/>
      <c r="AU29" s="127">
        <v>43486.753560532401</v>
      </c>
      <c r="AV29" s="127"/>
      <c r="AW29" s="127"/>
      <c r="AX29" s="127"/>
      <c r="AY29" s="127">
        <v>43486.643546874999</v>
      </c>
      <c r="AZ29" s="133"/>
      <c r="BA29" s="134">
        <f ca="1">IF(_05preva_view43[[#This Row],[Prevalidation Status]]="Under Prevalidation",NOW()-_05preva_view43[[#This Row],[Request Date]],IF(_05preva_view43[[#This Row],[Close Date]]&gt;_05preva_view43[[#This Row],[Request Date]],_05preva_view43[[#This Row],[Close Date]]-_05preva_view43[[#This Row],[Request Date]],"Not  Calculated"))</f>
        <v>1.506734143520589</v>
      </c>
      <c r="BB29" s="135">
        <f>COUNTIFS(_05preva_view43[Site ID],_05preva_view43[[#This Row],[Site ID]],_05preva_view43[Prevalidation Status],"Under Prevalidation")</f>
        <v>1</v>
      </c>
      <c r="BC29" s="153" t="str">
        <f ca="1">HYPERLINK(CheckPath(_05preva_view43[[#This Row],[File Path]],_05preva_view43[[#This Row],[File Path]],_05preva_view43[[#This Row],[Folder Path3]]),CheckPath(_05preva_view43[[#This Row],[File Path]],"Open File","No File"))</f>
        <v>No File</v>
      </c>
      <c r="BD29" s="136" t="str">
        <f>CONCATENATE(_05preva_view43[[#This Row],[Site ID]]," (",_05preva_view43[[#This Row],[tenant id]],") Application",IF(_05preva_view43[[#This Row],[Colo Rev]]&gt;0," Rev "&amp;_05preva_view43[[#This Row],[Colo Rev]],""),".xlsx")</f>
        <v>1-01-06001-002 (TNY00288) Application Rev 5.xlsx</v>
      </c>
      <c r="BE29" s="64">
        <f t="shared" ca="1" si="2"/>
        <v>50</v>
      </c>
      <c r="BF29" s="104" t="str">
        <f ca="1">LEFT(CELL("filename",A14),_05preva_view43[[#This Row],[Find Process &amp; Database]]-1)</f>
        <v>D:\OneDrive - apollo-towers.com\Apollo Towers\00-</v>
      </c>
      <c r="BG29" s="104" t="str">
        <f ca="1">_05preva_view43[Folder Path1]&amp;"Process &amp; Database\Documentation\Colo Applications"</f>
        <v>D:\OneDrive - apollo-towers.com\Apollo Towers\00-Process &amp; Database\Documentation\Colo Applications</v>
      </c>
      <c r="BH29" s="104" t="str">
        <f ca="1">_05preva_view43[Folder Path2]&amp;"\Colo App "&amp;_05preva_view43[[#This Row],[Operator]]&amp;"\"</f>
        <v>D:\OneDrive - apollo-towers.com\Apollo Towers\00-Process &amp; Database\Documentation\Colo Applications\Colo App MPT\</v>
      </c>
      <c r="BI29" s="63" t="str">
        <f ca="1">_05preva_view43[[#This Row],[Folder Path3]]&amp;_05preva_view43[[#This Row],[File Name]]</f>
        <v>D:\OneDrive - apollo-towers.com\Apollo Towers\00-Process &amp; Database\Documentation\Colo Applications\Colo App MPT\1-01-06001-002 (TNY00288) Application Rev 5.xlsx</v>
      </c>
      <c r="BJ29" s="104"/>
      <c r="BK29" s="3"/>
      <c r="BL29" s="3"/>
      <c r="CJ29" s="5"/>
      <c r="CK29" s="5"/>
      <c r="CL29" s="3"/>
      <c r="CN29" s="5"/>
      <c r="CR29" s="3"/>
      <c r="CS29" s="3"/>
      <c r="CT29" s="5"/>
      <c r="CV29" s="3"/>
      <c r="DR29" s="5"/>
      <c r="DT29" s="3"/>
      <c r="EF29" s="7"/>
      <c r="EG29" s="7"/>
      <c r="EJ29" s="4"/>
      <c r="EK29" s="4"/>
      <c r="EU29" s="2"/>
      <c r="EV29" s="2"/>
    </row>
    <row r="30" spans="1:152">
      <c r="A30" s="125">
        <v>3637</v>
      </c>
      <c r="B30" s="126" t="s">
        <v>1957</v>
      </c>
      <c r="C30" s="126" t="s">
        <v>331</v>
      </c>
      <c r="D30" s="126" t="s">
        <v>163</v>
      </c>
      <c r="E30" s="126" t="s">
        <v>1958</v>
      </c>
      <c r="F30" s="126" t="s">
        <v>35</v>
      </c>
      <c r="G30" s="126" t="s">
        <v>1919</v>
      </c>
      <c r="H30" s="126" t="s">
        <v>1619</v>
      </c>
      <c r="I30" s="126" t="s">
        <v>1311</v>
      </c>
      <c r="J30" s="126" t="s">
        <v>940</v>
      </c>
      <c r="K30" s="127">
        <v>43486</v>
      </c>
      <c r="L30" s="128">
        <v>0.72</v>
      </c>
      <c r="M30" s="128">
        <v>0.9</v>
      </c>
      <c r="N30" s="126"/>
      <c r="O30" s="126" t="s">
        <v>950</v>
      </c>
      <c r="P30" s="129" t="s">
        <v>291</v>
      </c>
      <c r="Q30" s="129" t="s">
        <v>292</v>
      </c>
      <c r="R30" s="126" t="s">
        <v>25</v>
      </c>
      <c r="S30" s="126"/>
      <c r="T30" s="130" t="s">
        <v>861</v>
      </c>
      <c r="U30" s="126"/>
      <c r="V30" s="130" t="s">
        <v>120</v>
      </c>
      <c r="W30" s="126"/>
      <c r="X30" s="130" t="s">
        <v>120</v>
      </c>
      <c r="Y30" s="126" t="s">
        <v>1920</v>
      </c>
      <c r="Z30" s="162"/>
      <c r="AA30" s="154"/>
      <c r="AB30" s="154"/>
      <c r="AC30" s="167"/>
      <c r="AD30" s="126"/>
      <c r="AE30" s="130" t="s">
        <v>120</v>
      </c>
      <c r="AF30" s="127"/>
      <c r="AG30" s="131"/>
      <c r="AH30" s="131"/>
      <c r="AI30" s="126"/>
      <c r="AJ30" s="130" t="s">
        <v>120</v>
      </c>
      <c r="AK30" s="126" t="s">
        <v>123</v>
      </c>
      <c r="AL30" s="126" t="s">
        <v>1493</v>
      </c>
      <c r="AM30" s="130"/>
      <c r="AN30" s="126"/>
      <c r="AO30" s="132"/>
      <c r="AP30" s="126"/>
      <c r="AQ30" s="126"/>
      <c r="AR30" s="130"/>
      <c r="AS30" s="126"/>
      <c r="AT30" s="127">
        <v>43487.376810763897</v>
      </c>
      <c r="AU30" s="127">
        <v>43486.753572916699</v>
      </c>
      <c r="AV30" s="127"/>
      <c r="AW30" s="127">
        <v>43487.376810763897</v>
      </c>
      <c r="AX30" s="127"/>
      <c r="AY30" s="127">
        <v>43486.718663310203</v>
      </c>
      <c r="AZ30" s="133"/>
      <c r="BA30" s="134">
        <f ca="1">IF(_05preva_view43[[#This Row],[Prevalidation Status]]="Under Prevalidation",NOW()-_05preva_view43[[#This Row],[Request Date]],IF(_05preva_view43[[#This Row],[Close Date]]&gt;_05preva_view43[[#This Row],[Request Date]],_05preva_view43[[#This Row],[Close Date]]-_05preva_view43[[#This Row],[Request Date]],"Not  Calculated"))</f>
        <v>1.506734143520589</v>
      </c>
      <c r="BB30" s="135">
        <f>COUNTIFS(_05preva_view43[Site ID],_05preva_view43[[#This Row],[Site ID]],_05preva_view43[Prevalidation Status],"Under Prevalidation")</f>
        <v>1</v>
      </c>
      <c r="BC30" s="153" t="str">
        <f ca="1">HYPERLINK(CheckPath(_05preva_view43[[#This Row],[File Path]],_05preva_view43[[#This Row],[File Path]],_05preva_view43[[#This Row],[Folder Path3]]),CheckPath(_05preva_view43[[#This Row],[File Path]],"Open File","No File"))</f>
        <v>No File</v>
      </c>
      <c r="BD30" s="136" t="str">
        <f>CONCATENATE(_05preva_view43[[#This Row],[Site ID]]," (",_05preva_view43[[#This Row],[tenant id]],") Application",IF(_05preva_view43[[#This Row],[Colo Rev]]&gt;0," Rev "&amp;_05preva_view43[[#This Row],[Colo Rev]],""),".xlsx")</f>
        <v>PTNT00059 (TNY00789) Application Rev 0.xlsx</v>
      </c>
      <c r="BE30" s="64">
        <f t="shared" ca="1" si="2"/>
        <v>50</v>
      </c>
      <c r="BF30" s="104" t="str">
        <f ca="1">LEFT(CELL("filename",A15),_05preva_view43[[#This Row],[Find Process &amp; Database]]-1)</f>
        <v>D:\OneDrive - apollo-towers.com\Apollo Towers\00-</v>
      </c>
      <c r="BG30" s="104" t="str">
        <f ca="1">_05preva_view43[Folder Path1]&amp;"Process &amp; Database\Documentation\Colo Applications"</f>
        <v>D:\OneDrive - apollo-towers.com\Apollo Towers\00-Process &amp; Database\Documentation\Colo Applications</v>
      </c>
      <c r="BH30" s="104" t="str">
        <f ca="1">_05preva_view43[Folder Path2]&amp;"\Colo App "&amp;_05preva_view43[[#This Row],[Operator]]&amp;"\"</f>
        <v>D:\OneDrive - apollo-towers.com\Apollo Towers\00-Process &amp; Database\Documentation\Colo Applications\Colo App MPT\</v>
      </c>
      <c r="BI30" s="63" t="str">
        <f ca="1">_05preva_view43[[#This Row],[Folder Path3]]&amp;_05preva_view43[[#This Row],[File Name]]</f>
        <v>D:\OneDrive - apollo-towers.com\Apollo Towers\00-Process &amp; Database\Documentation\Colo Applications\Colo App MPT\PTNT00059 (TNY00789) Application Rev 0.xlsx</v>
      </c>
      <c r="BJ30" s="104"/>
      <c r="BK30" s="3"/>
      <c r="BL30" s="3"/>
      <c r="CJ30" s="5"/>
      <c r="CK30" s="5"/>
      <c r="CL30" s="3"/>
      <c r="CN30" s="5"/>
      <c r="CR30" s="3"/>
      <c r="CS30" s="3"/>
      <c r="CT30" s="5"/>
      <c r="CV30" s="3"/>
      <c r="DR30" s="5"/>
      <c r="DT30" s="3"/>
      <c r="EF30" s="7"/>
      <c r="EG30" s="7"/>
      <c r="EJ30" s="4"/>
      <c r="EK30" s="4"/>
      <c r="EU30" s="2"/>
      <c r="EV30" s="2"/>
    </row>
    <row r="31" spans="1:152">
      <c r="A31" s="125">
        <v>3638</v>
      </c>
      <c r="B31" s="126" t="s">
        <v>1959</v>
      </c>
      <c r="C31" s="126" t="s">
        <v>331</v>
      </c>
      <c r="D31" s="126" t="s">
        <v>127</v>
      </c>
      <c r="E31" s="126" t="s">
        <v>1960</v>
      </c>
      <c r="F31" s="126" t="s">
        <v>35</v>
      </c>
      <c r="G31" s="126" t="s">
        <v>1583</v>
      </c>
      <c r="H31" s="126" t="s">
        <v>1575</v>
      </c>
      <c r="I31" s="126" t="s">
        <v>1288</v>
      </c>
      <c r="J31" s="126" t="s">
        <v>949</v>
      </c>
      <c r="K31" s="127">
        <v>43486</v>
      </c>
      <c r="L31" s="128">
        <v>1.399</v>
      </c>
      <c r="M31" s="128">
        <v>2.2989999999999999</v>
      </c>
      <c r="N31" s="126"/>
      <c r="O31" s="126" t="s">
        <v>950</v>
      </c>
      <c r="P31" s="129" t="s">
        <v>958</v>
      </c>
      <c r="Q31" s="129" t="s">
        <v>959</v>
      </c>
      <c r="R31" s="126" t="s">
        <v>25</v>
      </c>
      <c r="S31" s="126"/>
      <c r="T31" s="130" t="s">
        <v>861</v>
      </c>
      <c r="U31" s="126"/>
      <c r="V31" s="130" t="s">
        <v>120</v>
      </c>
      <c r="W31" s="126"/>
      <c r="X31" s="130"/>
      <c r="Y31" s="126"/>
      <c r="Z31" s="162"/>
      <c r="AA31" s="154"/>
      <c r="AB31" s="154"/>
      <c r="AC31" s="167"/>
      <c r="AD31" s="126"/>
      <c r="AE31" s="130" t="s">
        <v>120</v>
      </c>
      <c r="AF31" s="127" t="s">
        <v>1961</v>
      </c>
      <c r="AG31" s="131"/>
      <c r="AH31" s="131"/>
      <c r="AI31" s="126" t="s">
        <v>1930</v>
      </c>
      <c r="AJ31" s="130"/>
      <c r="AK31" s="126"/>
      <c r="AL31" s="126"/>
      <c r="AM31" s="130"/>
      <c r="AN31" s="126"/>
      <c r="AO31" s="132"/>
      <c r="AP31" s="126"/>
      <c r="AQ31" s="126"/>
      <c r="AR31" s="130"/>
      <c r="AS31" s="126"/>
      <c r="AT31" s="127"/>
      <c r="AU31" s="127">
        <v>43486.753575000002</v>
      </c>
      <c r="AV31" s="127"/>
      <c r="AW31" s="127"/>
      <c r="AX31" s="127"/>
      <c r="AY31" s="127">
        <v>43486.717576967603</v>
      </c>
      <c r="AZ31" s="133"/>
      <c r="BA31" s="134">
        <f ca="1">IF(_05preva_view43[[#This Row],[Prevalidation Status]]="Under Prevalidation",NOW()-_05preva_view43[[#This Row],[Request Date]],IF(_05preva_view43[[#This Row],[Close Date]]&gt;_05preva_view43[[#This Row],[Request Date]],_05preva_view43[[#This Row],[Close Date]]-_05preva_view43[[#This Row],[Request Date]],"Not  Calculated"))</f>
        <v>1.506734143520589</v>
      </c>
      <c r="BB31" s="135">
        <f>COUNTIFS(_05preva_view43[Site ID],_05preva_view43[[#This Row],[Site ID]],_05preva_view43[Prevalidation Status],"Under Prevalidation")</f>
        <v>1</v>
      </c>
      <c r="BC31" s="153" t="str">
        <f ca="1">HYPERLINK(CheckPath(_05preva_view43[[#This Row],[File Path]],_05preva_view43[[#This Row],[File Path]],_05preva_view43[[#This Row],[Folder Path3]]),CheckPath(_05preva_view43[[#This Row],[File Path]],"Open File","No File"))</f>
        <v>No File</v>
      </c>
      <c r="BD31" s="136" t="str">
        <f>CONCATENATE(_05preva_view43[[#This Row],[Site ID]]," (",_05preva_view43[[#This Row],[tenant id]],") Application",IF(_05preva_view43[[#This Row],[Colo Rev]]&gt;0," Rev "&amp;_05preva_view43[[#This Row],[Colo Rev]],""),".xlsx")</f>
        <v>1-01-05027-016 (SGG00226) Application Rev 2.xlsx</v>
      </c>
      <c r="BE31" s="64">
        <f t="shared" ca="1" si="2"/>
        <v>50</v>
      </c>
      <c r="BF31" s="104" t="str">
        <f ca="1">LEFT(CELL("filename",A16),_05preva_view43[[#This Row],[Find Process &amp; Database]]-1)</f>
        <v>D:\OneDrive - apollo-towers.com\Apollo Towers\00-</v>
      </c>
      <c r="BG31" s="104" t="str">
        <f ca="1">_05preva_view43[Folder Path1]&amp;"Process &amp; Database\Documentation\Colo Applications"</f>
        <v>D:\OneDrive - apollo-towers.com\Apollo Towers\00-Process &amp; Database\Documentation\Colo Applications</v>
      </c>
      <c r="BH31" s="104" t="str">
        <f ca="1">_05preva_view43[Folder Path2]&amp;"\Colo App "&amp;_05preva_view43[[#This Row],[Operator]]&amp;"\"</f>
        <v>D:\OneDrive - apollo-towers.com\Apollo Towers\00-Process &amp; Database\Documentation\Colo Applications\Colo App MPT\</v>
      </c>
      <c r="BI31" s="63" t="str">
        <f ca="1">_05preva_view43[[#This Row],[Folder Path3]]&amp;_05preva_view43[[#This Row],[File Name]]</f>
        <v>D:\OneDrive - apollo-towers.com\Apollo Towers\00-Process &amp; Database\Documentation\Colo Applications\Colo App MPT\1-01-05027-016 (SGG00226) Application Rev 2.xlsx</v>
      </c>
      <c r="BJ31" s="104"/>
      <c r="BK31" s="3"/>
      <c r="BL31" s="3"/>
      <c r="CJ31" s="5"/>
      <c r="CK31" s="5"/>
      <c r="CL31" s="3"/>
      <c r="CN31" s="5"/>
      <c r="CR31" s="3"/>
      <c r="CS31" s="3"/>
      <c r="CT31" s="5"/>
      <c r="CV31" s="3"/>
      <c r="DR31" s="5"/>
      <c r="DT31" s="3"/>
      <c r="EF31" s="7"/>
      <c r="EG31" s="7"/>
      <c r="EJ31" s="4"/>
      <c r="EK31" s="4"/>
      <c r="EU31" s="2"/>
      <c r="EV31" s="2"/>
    </row>
    <row r="32" spans="1:152">
      <c r="A32" s="125">
        <v>3639</v>
      </c>
      <c r="B32" s="126" t="s">
        <v>1568</v>
      </c>
      <c r="C32" s="126" t="s">
        <v>331</v>
      </c>
      <c r="D32" s="126" t="s">
        <v>127</v>
      </c>
      <c r="E32" s="126" t="s">
        <v>1569</v>
      </c>
      <c r="F32" s="126" t="s">
        <v>35</v>
      </c>
      <c r="G32" s="126" t="s">
        <v>1583</v>
      </c>
      <c r="H32" s="126" t="s">
        <v>1575</v>
      </c>
      <c r="I32" s="126" t="s">
        <v>1570</v>
      </c>
      <c r="J32" s="126" t="s">
        <v>1304</v>
      </c>
      <c r="K32" s="127">
        <v>43486</v>
      </c>
      <c r="L32" s="128">
        <v>1.399</v>
      </c>
      <c r="M32" s="128">
        <v>2.1989999999999998</v>
      </c>
      <c r="N32" s="126"/>
      <c r="O32" s="126" t="s">
        <v>950</v>
      </c>
      <c r="P32" s="129" t="s">
        <v>958</v>
      </c>
      <c r="Q32" s="129" t="s">
        <v>959</v>
      </c>
      <c r="R32" s="126" t="s">
        <v>24</v>
      </c>
      <c r="S32" s="126"/>
      <c r="T32" s="130" t="s">
        <v>861</v>
      </c>
      <c r="U32" s="126"/>
      <c r="V32" s="130" t="s">
        <v>861</v>
      </c>
      <c r="W32" s="126"/>
      <c r="X32" s="130" t="s">
        <v>861</v>
      </c>
      <c r="Y32" s="126"/>
      <c r="Z32" s="162" t="s">
        <v>861</v>
      </c>
      <c r="AA32" s="154"/>
      <c r="AB32" s="154"/>
      <c r="AC32" s="167"/>
      <c r="AD32" s="126"/>
      <c r="AE32" s="130" t="s">
        <v>120</v>
      </c>
      <c r="AF32" s="127" t="s">
        <v>1962</v>
      </c>
      <c r="AG32" s="131"/>
      <c r="AH32" s="131"/>
      <c r="AI32" s="126" t="s">
        <v>1938</v>
      </c>
      <c r="AJ32" s="130" t="s">
        <v>861</v>
      </c>
      <c r="AK32" s="126"/>
      <c r="AL32" s="126"/>
      <c r="AM32" s="130"/>
      <c r="AN32" s="126"/>
      <c r="AO32" s="132"/>
      <c r="AP32" s="126"/>
      <c r="AQ32" s="126"/>
      <c r="AR32" s="130"/>
      <c r="AS32" s="126"/>
      <c r="AT32" s="127"/>
      <c r="AU32" s="127">
        <v>43486.753569212997</v>
      </c>
      <c r="AV32" s="127"/>
      <c r="AW32" s="127"/>
      <c r="AX32" s="127"/>
      <c r="AY32" s="127"/>
      <c r="AZ32" s="133">
        <v>43487.432190972198</v>
      </c>
      <c r="BA32" s="134">
        <f ca="1">IF(_05preva_view43[[#This Row],[Prevalidation Status]]="Under Prevalidation",NOW()-_05preva_view43[[#This Row],[Request Date]],IF(_05preva_view43[[#This Row],[Close Date]]&gt;_05preva_view43[[#This Row],[Request Date]],_05preva_view43[[#This Row],[Close Date]]-_05preva_view43[[#This Row],[Request Date]],"Not  Calculated"))</f>
        <v>1.4321909721984412</v>
      </c>
      <c r="BB32" s="135">
        <f>COUNTIFS(_05preva_view43[Site ID],_05preva_view43[[#This Row],[Site ID]],_05preva_view43[Prevalidation Status],"Under Prevalidation")</f>
        <v>0</v>
      </c>
      <c r="BC32" s="153" t="str">
        <f ca="1">HYPERLINK(CheckPath(_05preva_view43[[#This Row],[File Path]],_05preva_view43[[#This Row],[File Path]],_05preva_view43[[#This Row],[Folder Path3]]),CheckPath(_05preva_view43[[#This Row],[File Path]],"Open File","No File"))</f>
        <v>No File</v>
      </c>
      <c r="BD32" s="136" t="str">
        <f>CONCATENATE(_05preva_view43[[#This Row],[Site ID]]," (",_05preva_view43[[#This Row],[tenant id]],") Application",IF(_05preva_view43[[#This Row],[Colo Rev]]&gt;0," Rev "&amp;_05preva_view43[[#This Row],[Colo Rev]],""),".xlsx")</f>
        <v>1-01-01014-005 (KCN00119) Application Rev 5.xlsx</v>
      </c>
      <c r="BE32" s="64">
        <f t="shared" ca="1" si="2"/>
        <v>50</v>
      </c>
      <c r="BF32" s="104" t="str">
        <f ca="1">LEFT(CELL("filename",A17),_05preva_view43[[#This Row],[Find Process &amp; Database]]-1)</f>
        <v>D:\OneDrive - apollo-towers.com\Apollo Towers\00-</v>
      </c>
      <c r="BG32" s="104" t="str">
        <f ca="1">_05preva_view43[Folder Path1]&amp;"Process &amp; Database\Documentation\Colo Applications"</f>
        <v>D:\OneDrive - apollo-towers.com\Apollo Towers\00-Process &amp; Database\Documentation\Colo Applications</v>
      </c>
      <c r="BH32" s="104" t="str">
        <f ca="1">_05preva_view43[Folder Path2]&amp;"\Colo App "&amp;_05preva_view43[[#This Row],[Operator]]&amp;"\"</f>
        <v>D:\OneDrive - apollo-towers.com\Apollo Towers\00-Process &amp; Database\Documentation\Colo Applications\Colo App MPT\</v>
      </c>
      <c r="BI32" s="63" t="str">
        <f ca="1">_05preva_view43[[#This Row],[Folder Path3]]&amp;_05preva_view43[[#This Row],[File Name]]</f>
        <v>D:\OneDrive - apollo-towers.com\Apollo Towers\00-Process &amp; Database\Documentation\Colo Applications\Colo App MPT\1-01-01014-005 (KCN00119) Application Rev 5.xlsx</v>
      </c>
      <c r="BJ32" s="104"/>
      <c r="BK32" s="3"/>
      <c r="BL32" s="3"/>
      <c r="CJ32" s="5"/>
      <c r="CK32" s="5"/>
      <c r="CL32" s="3"/>
      <c r="CN32" s="5"/>
      <c r="CR32" s="3"/>
      <c r="CS32" s="3"/>
      <c r="CT32" s="5"/>
      <c r="CV32" s="3"/>
      <c r="DR32" s="5"/>
      <c r="DT32" s="3"/>
      <c r="EF32" s="7"/>
      <c r="EG32" s="7"/>
      <c r="EJ32" s="4"/>
      <c r="EK32" s="4"/>
      <c r="EU32" s="2"/>
      <c r="EV32" s="2"/>
    </row>
    <row r="33" spans="1:152">
      <c r="A33" s="125">
        <v>3619</v>
      </c>
      <c r="B33" s="126" t="s">
        <v>1419</v>
      </c>
      <c r="C33" s="126" t="s">
        <v>116</v>
      </c>
      <c r="D33" s="126" t="s">
        <v>127</v>
      </c>
      <c r="E33" s="126" t="s">
        <v>1420</v>
      </c>
      <c r="F33" s="126" t="s">
        <v>41</v>
      </c>
      <c r="G33" s="126" t="s">
        <v>1412</v>
      </c>
      <c r="H33" s="126" t="s">
        <v>1319</v>
      </c>
      <c r="I33" s="126" t="s">
        <v>1252</v>
      </c>
      <c r="J33" s="126" t="s">
        <v>931</v>
      </c>
      <c r="K33" s="127">
        <v>43483</v>
      </c>
      <c r="L33" s="128"/>
      <c r="M33" s="128">
        <v>1.9</v>
      </c>
      <c r="N33" s="126">
        <v>3</v>
      </c>
      <c r="O33" s="126" t="s">
        <v>119</v>
      </c>
      <c r="P33" s="129" t="s">
        <v>284</v>
      </c>
      <c r="Q33" s="129" t="s">
        <v>285</v>
      </c>
      <c r="R33" s="126" t="s">
        <v>24</v>
      </c>
      <c r="S33" s="126"/>
      <c r="T33" s="130" t="s">
        <v>861</v>
      </c>
      <c r="U33" s="126"/>
      <c r="V33" s="130" t="s">
        <v>861</v>
      </c>
      <c r="W33" s="126"/>
      <c r="X33" s="130" t="s">
        <v>120</v>
      </c>
      <c r="Y33" s="126" t="s">
        <v>1963</v>
      </c>
      <c r="Z33" s="162" t="s">
        <v>861</v>
      </c>
      <c r="AA33" s="154"/>
      <c r="AB33" s="154"/>
      <c r="AC33" s="167"/>
      <c r="AD33" s="126"/>
      <c r="AE33" s="130" t="s">
        <v>861</v>
      </c>
      <c r="AF33" s="127"/>
      <c r="AG33" s="131"/>
      <c r="AH33" s="131"/>
      <c r="AI33" s="126"/>
      <c r="AJ33" s="130" t="s">
        <v>861</v>
      </c>
      <c r="AK33" s="126"/>
      <c r="AL33" s="126"/>
      <c r="AM33" s="130"/>
      <c r="AN33" s="126"/>
      <c r="AO33" s="132"/>
      <c r="AP33" s="126"/>
      <c r="AQ33" s="126"/>
      <c r="AR33" s="130"/>
      <c r="AS33" s="126"/>
      <c r="AT33" s="127">
        <v>43486.724100115702</v>
      </c>
      <c r="AU33" s="127"/>
      <c r="AV33" s="127"/>
      <c r="AW33" s="127"/>
      <c r="AX33" s="127"/>
      <c r="AY33" s="127"/>
      <c r="AZ33" s="133">
        <v>43486.939399189803</v>
      </c>
      <c r="BA33" s="134">
        <f ca="1">IF(_05preva_view43[[#This Row],[Prevalidation Status]]="Under Prevalidation",NOW()-_05preva_view43[[#This Row],[Request Date]],IF(_05preva_view43[[#This Row],[Close Date]]&gt;_05preva_view43[[#This Row],[Request Date]],_05preva_view43[[#This Row],[Close Date]]-_05preva_view43[[#This Row],[Request Date]],"Not  Calculated"))</f>
        <v>3.9393991898032255</v>
      </c>
      <c r="BB33" s="135">
        <f>COUNTIFS(_05preva_view43[Site ID],_05preva_view43[[#This Row],[Site ID]],_05preva_view43[Prevalidation Status],"Under Prevalidation")</f>
        <v>0</v>
      </c>
      <c r="BC33" s="153" t="str">
        <f ca="1">HYPERLINK(CheckPath(_05preva_view43[[#This Row],[File Path]],_05preva_view43[[#This Row],[File Path]],_05preva_view43[[#This Row],[Folder Path3]]),CheckPath(_05preva_view43[[#This Row],[File Path]],"Open File","No File"))</f>
        <v>No File</v>
      </c>
      <c r="BD33" s="136" t="str">
        <f>CONCATENATE(_05preva_view43[[#This Row],[Site ID]]," (",_05preva_view43[[#This Row],[tenant id]],") Application",IF(_05preva_view43[[#This Row],[Colo Rev]]&gt;0," Rev "&amp;_05preva_view43[[#This Row],[Colo Rev]],""),".xlsx")</f>
        <v>ANMD_0066 (MDYAMPR011) Application Rev 1.xlsx</v>
      </c>
      <c r="BE33" s="64">
        <f t="shared" ca="1" si="2"/>
        <v>50</v>
      </c>
      <c r="BF33" s="104" t="str">
        <f ca="1">LEFT(CELL("filename",A18),_05preva_view43[[#This Row],[Find Process &amp; Database]]-1)</f>
        <v>D:\OneDrive - apollo-towers.com\Apollo Towers\00-</v>
      </c>
      <c r="BG33" s="104" t="str">
        <f ca="1">_05preva_view43[Folder Path1]&amp;"Process &amp; Database\Documentation\Colo Applications"</f>
        <v>D:\OneDrive - apollo-towers.com\Apollo Towers\00-Process &amp; Database\Documentation\Colo Applications</v>
      </c>
      <c r="BH33" s="104" t="str">
        <f ca="1">_05preva_view43[Folder Path2]&amp;"\Colo App "&amp;_05preva_view43[[#This Row],[Operator]]&amp;"\"</f>
        <v>D:\OneDrive - apollo-towers.com\Apollo Towers\00-Process &amp; Database\Documentation\Colo Applications\Colo App Amara\</v>
      </c>
      <c r="BI33" s="63" t="str">
        <f ca="1">_05preva_view43[[#This Row],[Folder Path3]]&amp;_05preva_view43[[#This Row],[File Name]]</f>
        <v>D:\OneDrive - apollo-towers.com\Apollo Towers\00-Process &amp; Database\Documentation\Colo Applications\Colo App Amara\ANMD_0066 (MDYAMPR011) Application Rev 1.xlsx</v>
      </c>
      <c r="BJ33" s="104"/>
      <c r="BK33" s="3"/>
      <c r="BL33" s="3"/>
      <c r="CJ33" s="5"/>
      <c r="CK33" s="5"/>
      <c r="CL33" s="3"/>
      <c r="CN33" s="5"/>
      <c r="CR33" s="3"/>
      <c r="CS33" s="3"/>
      <c r="CT33" s="5"/>
      <c r="CV33" s="3"/>
      <c r="DR33" s="5"/>
      <c r="DT33" s="3"/>
      <c r="EF33" s="7"/>
      <c r="EG33" s="7"/>
      <c r="EJ33" s="4"/>
      <c r="EK33" s="4"/>
      <c r="EU33" s="2"/>
      <c r="EV33" s="2"/>
    </row>
    <row r="34" spans="1:152">
      <c r="A34" s="125">
        <v>3620</v>
      </c>
      <c r="B34" s="126" t="s">
        <v>1423</v>
      </c>
      <c r="C34" s="126" t="s">
        <v>116</v>
      </c>
      <c r="D34" s="126" t="s">
        <v>127</v>
      </c>
      <c r="E34" s="126" t="s">
        <v>1424</v>
      </c>
      <c r="F34" s="126" t="s">
        <v>41</v>
      </c>
      <c r="G34" s="126" t="s">
        <v>1412</v>
      </c>
      <c r="H34" s="126" t="s">
        <v>1319</v>
      </c>
      <c r="I34" s="126" t="s">
        <v>1252</v>
      </c>
      <c r="J34" s="126" t="s">
        <v>931</v>
      </c>
      <c r="K34" s="127">
        <v>43483</v>
      </c>
      <c r="L34" s="128"/>
      <c r="M34" s="128">
        <v>2</v>
      </c>
      <c r="N34" s="126">
        <v>3</v>
      </c>
      <c r="O34" s="126" t="s">
        <v>119</v>
      </c>
      <c r="P34" s="129" t="s">
        <v>284</v>
      </c>
      <c r="Q34" s="129" t="s">
        <v>285</v>
      </c>
      <c r="R34" s="126" t="s">
        <v>24</v>
      </c>
      <c r="S34" s="126"/>
      <c r="T34" s="130" t="s">
        <v>861</v>
      </c>
      <c r="U34" s="126"/>
      <c r="V34" s="130" t="s">
        <v>861</v>
      </c>
      <c r="W34" s="126"/>
      <c r="X34" s="130" t="s">
        <v>120</v>
      </c>
      <c r="Y34" s="126" t="s">
        <v>1964</v>
      </c>
      <c r="Z34" s="162" t="s">
        <v>861</v>
      </c>
      <c r="AA34" s="154"/>
      <c r="AB34" s="154"/>
      <c r="AC34" s="167"/>
      <c r="AD34" s="126"/>
      <c r="AE34" s="130" t="s">
        <v>861</v>
      </c>
      <c r="AF34" s="127"/>
      <c r="AG34" s="131"/>
      <c r="AH34" s="131"/>
      <c r="AI34" s="126"/>
      <c r="AJ34" s="130" t="s">
        <v>861</v>
      </c>
      <c r="AK34" s="126"/>
      <c r="AL34" s="126"/>
      <c r="AM34" s="130"/>
      <c r="AN34" s="126"/>
      <c r="AO34" s="132"/>
      <c r="AP34" s="126"/>
      <c r="AQ34" s="126"/>
      <c r="AR34" s="130"/>
      <c r="AS34" s="126"/>
      <c r="AT34" s="127">
        <v>43486.7241013889</v>
      </c>
      <c r="AU34" s="127"/>
      <c r="AV34" s="127"/>
      <c r="AW34" s="127"/>
      <c r="AX34" s="127"/>
      <c r="AY34" s="127"/>
      <c r="AZ34" s="133">
        <v>43486.939403703698</v>
      </c>
      <c r="BA34" s="134">
        <f ca="1">IF(_05preva_view43[[#This Row],[Prevalidation Status]]="Under Prevalidation",NOW()-_05preva_view43[[#This Row],[Request Date]],IF(_05preva_view43[[#This Row],[Close Date]]&gt;_05preva_view43[[#This Row],[Request Date]],_05preva_view43[[#This Row],[Close Date]]-_05preva_view43[[#This Row],[Request Date]],"Not  Calculated"))</f>
        <v>3.9394037036981899</v>
      </c>
      <c r="BB34" s="135">
        <f>COUNTIFS(_05preva_view43[Site ID],_05preva_view43[[#This Row],[Site ID]],_05preva_view43[Prevalidation Status],"Under Prevalidation")</f>
        <v>0</v>
      </c>
      <c r="BC34" s="153" t="str">
        <f ca="1">HYPERLINK(CheckPath(_05preva_view43[[#This Row],[File Path]],_05preva_view43[[#This Row],[File Path]],_05preva_view43[[#This Row],[Folder Path3]]),CheckPath(_05preva_view43[[#This Row],[File Path]],"Open File","No File"))</f>
        <v>No File</v>
      </c>
      <c r="BD34" s="136" t="str">
        <f>CONCATENATE(_05preva_view43[[#This Row],[Site ID]]," (",_05preva_view43[[#This Row],[tenant id]],") Application",IF(_05preva_view43[[#This Row],[Colo Rev]]&gt;0," Rev "&amp;_05preva_view43[[#This Row],[Colo Rev]],""),".xlsx")</f>
        <v>ANMD_0067 (MDYAMPR012) Application Rev 1.xlsx</v>
      </c>
      <c r="BE34" s="64">
        <f t="shared" ca="1" si="2"/>
        <v>50</v>
      </c>
      <c r="BF34" s="104" t="str">
        <f ca="1">LEFT(CELL("filename",A19),_05preva_view43[[#This Row],[Find Process &amp; Database]]-1)</f>
        <v>D:\OneDrive - apollo-towers.com\Apollo Towers\00-</v>
      </c>
      <c r="BG34" s="104" t="str">
        <f ca="1">_05preva_view43[Folder Path1]&amp;"Process &amp; Database\Documentation\Colo Applications"</f>
        <v>D:\OneDrive - apollo-towers.com\Apollo Towers\00-Process &amp; Database\Documentation\Colo Applications</v>
      </c>
      <c r="BH34" s="104" t="str">
        <f ca="1">_05preva_view43[Folder Path2]&amp;"\Colo App "&amp;_05preva_view43[[#This Row],[Operator]]&amp;"\"</f>
        <v>D:\OneDrive - apollo-towers.com\Apollo Towers\00-Process &amp; Database\Documentation\Colo Applications\Colo App Amara\</v>
      </c>
      <c r="BI34" s="63" t="str">
        <f ca="1">_05preva_view43[[#This Row],[Folder Path3]]&amp;_05preva_view43[[#This Row],[File Name]]</f>
        <v>D:\OneDrive - apollo-towers.com\Apollo Towers\00-Process &amp; Database\Documentation\Colo Applications\Colo App Amara\ANMD_0067 (MDYAMPR012) Application Rev 1.xlsx</v>
      </c>
      <c r="BJ34" s="104"/>
      <c r="BK34" s="3"/>
      <c r="BL34" s="3"/>
      <c r="CJ34" s="5"/>
      <c r="CK34" s="5"/>
      <c r="CL34" s="3"/>
      <c r="CN34" s="5"/>
      <c r="CR34" s="3"/>
      <c r="CS34" s="3"/>
      <c r="CT34" s="5"/>
      <c r="CV34" s="3"/>
      <c r="DR34" s="5"/>
      <c r="DT34" s="3"/>
      <c r="EF34" s="7"/>
      <c r="EG34" s="7"/>
      <c r="EJ34" s="4"/>
      <c r="EK34" s="4"/>
      <c r="EU34" s="2"/>
      <c r="EV34" s="2"/>
    </row>
    <row r="35" spans="1:152">
      <c r="A35" s="125">
        <v>3621</v>
      </c>
      <c r="B35" s="126" t="s">
        <v>1445</v>
      </c>
      <c r="C35" s="126" t="s">
        <v>116</v>
      </c>
      <c r="D35" s="126" t="s">
        <v>127</v>
      </c>
      <c r="E35" s="126" t="s">
        <v>1446</v>
      </c>
      <c r="F35" s="126" t="s">
        <v>41</v>
      </c>
      <c r="G35" s="126" t="s">
        <v>1412</v>
      </c>
      <c r="H35" s="126" t="s">
        <v>1319</v>
      </c>
      <c r="I35" s="126" t="s">
        <v>1252</v>
      </c>
      <c r="J35" s="126" t="s">
        <v>931</v>
      </c>
      <c r="K35" s="127">
        <v>43483</v>
      </c>
      <c r="L35" s="128"/>
      <c r="M35" s="128">
        <v>2</v>
      </c>
      <c r="N35" s="126">
        <v>3</v>
      </c>
      <c r="O35" s="126" t="s">
        <v>119</v>
      </c>
      <c r="P35" s="129" t="s">
        <v>1447</v>
      </c>
      <c r="Q35" s="129" t="s">
        <v>747</v>
      </c>
      <c r="R35" s="126" t="s">
        <v>24</v>
      </c>
      <c r="S35" s="126"/>
      <c r="T35" s="130" t="s">
        <v>861</v>
      </c>
      <c r="U35" s="126"/>
      <c r="V35" s="130" t="s">
        <v>861</v>
      </c>
      <c r="W35" s="126"/>
      <c r="X35" s="130" t="s">
        <v>120</v>
      </c>
      <c r="Y35" s="126" t="s">
        <v>1965</v>
      </c>
      <c r="Z35" s="162" t="s">
        <v>861</v>
      </c>
      <c r="AA35" s="154"/>
      <c r="AB35" s="154"/>
      <c r="AC35" s="167"/>
      <c r="AD35" s="126"/>
      <c r="AE35" s="130" t="s">
        <v>861</v>
      </c>
      <c r="AF35" s="127"/>
      <c r="AG35" s="131"/>
      <c r="AH35" s="131"/>
      <c r="AI35" s="126"/>
      <c r="AJ35" s="130" t="s">
        <v>861</v>
      </c>
      <c r="AK35" s="126"/>
      <c r="AL35" s="126"/>
      <c r="AM35" s="130"/>
      <c r="AN35" s="126"/>
      <c r="AO35" s="132"/>
      <c r="AP35" s="126"/>
      <c r="AQ35" s="126"/>
      <c r="AR35" s="130"/>
      <c r="AS35" s="126"/>
      <c r="AT35" s="127">
        <v>43486.724102662003</v>
      </c>
      <c r="AU35" s="127"/>
      <c r="AV35" s="127"/>
      <c r="AW35" s="127"/>
      <c r="AX35" s="127"/>
      <c r="AY35" s="127"/>
      <c r="AZ35" s="133">
        <v>43486.939407870399</v>
      </c>
      <c r="BA35" s="134">
        <f ca="1">IF(_05preva_view43[[#This Row],[Prevalidation Status]]="Under Prevalidation",NOW()-_05preva_view43[[#This Row],[Request Date]],IF(_05preva_view43[[#This Row],[Close Date]]&gt;_05preva_view43[[#This Row],[Request Date]],_05preva_view43[[#This Row],[Close Date]]-_05preva_view43[[#This Row],[Request Date]],"Not  Calculated"))</f>
        <v>3.939407870399009</v>
      </c>
      <c r="BB35" s="135">
        <f>COUNTIFS(_05preva_view43[Site ID],_05preva_view43[[#This Row],[Site ID]],_05preva_view43[Prevalidation Status],"Under Prevalidation")</f>
        <v>0</v>
      </c>
      <c r="BC35" s="153" t="str">
        <f ca="1">HYPERLINK(CheckPath(_05preva_view43[[#This Row],[File Path]],_05preva_view43[[#This Row],[File Path]],_05preva_view43[[#This Row],[Folder Path3]]),CheckPath(_05preva_view43[[#This Row],[File Path]],"Open File","No File"))</f>
        <v>No File</v>
      </c>
      <c r="BD35" s="136" t="str">
        <f>CONCATENATE(_05preva_view43[[#This Row],[Site ID]]," (",_05preva_view43[[#This Row],[tenant id]],") Application",IF(_05preva_view43[[#This Row],[Colo Rev]]&gt;0," Rev "&amp;_05preva_view43[[#This Row],[Colo Rev]],""),".xlsx")</f>
        <v>ANMD_0165 (MDYPGTG033) Application Rev 1.xlsx</v>
      </c>
      <c r="BE35" s="64">
        <f t="shared" ca="1" si="2"/>
        <v>50</v>
      </c>
      <c r="BF35" s="104" t="str">
        <f ca="1">LEFT(CELL("filename",A20),_05preva_view43[[#This Row],[Find Process &amp; Database]]-1)</f>
        <v>D:\OneDrive - apollo-towers.com\Apollo Towers\00-</v>
      </c>
      <c r="BG35" s="104" t="str">
        <f ca="1">_05preva_view43[Folder Path1]&amp;"Process &amp; Database\Documentation\Colo Applications"</f>
        <v>D:\OneDrive - apollo-towers.com\Apollo Towers\00-Process &amp; Database\Documentation\Colo Applications</v>
      </c>
      <c r="BH35" s="104" t="str">
        <f ca="1">_05preva_view43[Folder Path2]&amp;"\Colo App "&amp;_05preva_view43[[#This Row],[Operator]]&amp;"\"</f>
        <v>D:\OneDrive - apollo-towers.com\Apollo Towers\00-Process &amp; Database\Documentation\Colo Applications\Colo App Amara\</v>
      </c>
      <c r="BI35" s="63" t="str">
        <f ca="1">_05preva_view43[[#This Row],[Folder Path3]]&amp;_05preva_view43[[#This Row],[File Name]]</f>
        <v>D:\OneDrive - apollo-towers.com\Apollo Towers\00-Process &amp; Database\Documentation\Colo Applications\Colo App Amara\ANMD_0165 (MDYPGTG033) Application Rev 1.xlsx</v>
      </c>
      <c r="BJ35" s="104"/>
      <c r="BK35" s="3"/>
      <c r="BL35" s="3"/>
      <c r="CJ35" s="5"/>
      <c r="CK35" s="5"/>
      <c r="CL35" s="3"/>
      <c r="CN35" s="5"/>
      <c r="CR35" s="3"/>
      <c r="CS35" s="3"/>
      <c r="CT35" s="5"/>
      <c r="CV35" s="3"/>
      <c r="DR35" s="5"/>
      <c r="DT35" s="3"/>
      <c r="EF35" s="7"/>
      <c r="EG35" s="7"/>
      <c r="EJ35" s="4"/>
      <c r="EK35" s="4"/>
      <c r="EU35" s="2"/>
      <c r="EV35" s="2"/>
    </row>
    <row r="36" spans="1:152">
      <c r="A36" s="125">
        <v>3622</v>
      </c>
      <c r="B36" s="126" t="s">
        <v>1453</v>
      </c>
      <c r="C36" s="126" t="s">
        <v>116</v>
      </c>
      <c r="D36" s="126" t="s">
        <v>127</v>
      </c>
      <c r="E36" s="126" t="s">
        <v>1454</v>
      </c>
      <c r="F36" s="126" t="s">
        <v>41</v>
      </c>
      <c r="G36" s="126" t="s">
        <v>1412</v>
      </c>
      <c r="H36" s="126" t="s">
        <v>1319</v>
      </c>
      <c r="I36" s="126" t="s">
        <v>1252</v>
      </c>
      <c r="J36" s="126" t="s">
        <v>931</v>
      </c>
      <c r="K36" s="127">
        <v>43483</v>
      </c>
      <c r="L36" s="128"/>
      <c r="M36" s="128">
        <v>2</v>
      </c>
      <c r="N36" s="126">
        <v>3</v>
      </c>
      <c r="O36" s="126" t="s">
        <v>119</v>
      </c>
      <c r="P36" s="129" t="s">
        <v>1455</v>
      </c>
      <c r="Q36" s="129" t="s">
        <v>363</v>
      </c>
      <c r="R36" s="126" t="s">
        <v>24</v>
      </c>
      <c r="S36" s="126"/>
      <c r="T36" s="130" t="s">
        <v>861</v>
      </c>
      <c r="U36" s="126"/>
      <c r="V36" s="130" t="s">
        <v>861</v>
      </c>
      <c r="W36" s="126"/>
      <c r="X36" s="130" t="s">
        <v>120</v>
      </c>
      <c r="Y36" s="126" t="s">
        <v>1966</v>
      </c>
      <c r="Z36" s="162" t="s">
        <v>861</v>
      </c>
      <c r="AA36" s="154"/>
      <c r="AB36" s="154"/>
      <c r="AC36" s="167"/>
      <c r="AD36" s="126"/>
      <c r="AE36" s="130" t="s">
        <v>861</v>
      </c>
      <c r="AF36" s="127"/>
      <c r="AG36" s="131"/>
      <c r="AH36" s="131"/>
      <c r="AI36" s="126"/>
      <c r="AJ36" s="130" t="s">
        <v>861</v>
      </c>
      <c r="AK36" s="126"/>
      <c r="AL36" s="126"/>
      <c r="AM36" s="130"/>
      <c r="AN36" s="126"/>
      <c r="AO36" s="132"/>
      <c r="AP36" s="126"/>
      <c r="AQ36" s="126"/>
      <c r="AR36" s="130"/>
      <c r="AS36" s="126"/>
      <c r="AT36" s="127">
        <v>43486.724104861103</v>
      </c>
      <c r="AU36" s="127"/>
      <c r="AV36" s="127"/>
      <c r="AW36" s="127"/>
      <c r="AX36" s="127"/>
      <c r="AY36" s="127"/>
      <c r="AZ36" s="133">
        <v>43486.939411921303</v>
      </c>
      <c r="BA36" s="134">
        <f ca="1">IF(_05preva_view43[[#This Row],[Prevalidation Status]]="Under Prevalidation",NOW()-_05preva_view43[[#This Row],[Request Date]],IF(_05preva_view43[[#This Row],[Close Date]]&gt;_05preva_view43[[#This Row],[Request Date]],_05preva_view43[[#This Row],[Close Date]]-_05preva_view43[[#This Row],[Request Date]],"Not  Calculated"))</f>
        <v>3.9394119213029626</v>
      </c>
      <c r="BB36" s="135">
        <f>COUNTIFS(_05preva_view43[Site ID],_05preva_view43[[#This Row],[Site ID]],_05preva_view43[Prevalidation Status],"Under Prevalidation")</f>
        <v>0</v>
      </c>
      <c r="BC36" s="153" t="str">
        <f ca="1">HYPERLINK(CheckPath(_05preva_view43[[#This Row],[File Path]],_05preva_view43[[#This Row],[File Path]],_05preva_view43[[#This Row],[Folder Path3]]),CheckPath(_05preva_view43[[#This Row],[File Path]],"Open File","No File"))</f>
        <v>No File</v>
      </c>
      <c r="BD36" s="136" t="str">
        <f>CONCATENATE(_05preva_view43[[#This Row],[Site ID]]," (",_05preva_view43[[#This Row],[tenant id]],") Application",IF(_05preva_view43[[#This Row],[Colo Rev]]&gt;0," Rev "&amp;_05preva_view43[[#This Row],[Colo Rev]],""),".xlsx")</f>
        <v>ANMD_0172 (MDYPGTG039) Application Rev 1.xlsx</v>
      </c>
      <c r="BE36" s="64">
        <f t="shared" ca="1" si="2"/>
        <v>50</v>
      </c>
      <c r="BF36" s="104" t="str">
        <f ca="1">LEFT(CELL("filename",A21),_05preva_view43[[#This Row],[Find Process &amp; Database]]-1)</f>
        <v>D:\OneDrive - apollo-towers.com\Apollo Towers\00-</v>
      </c>
      <c r="BG36" s="104" t="str">
        <f ca="1">_05preva_view43[Folder Path1]&amp;"Process &amp; Database\Documentation\Colo Applications"</f>
        <v>D:\OneDrive - apollo-towers.com\Apollo Towers\00-Process &amp; Database\Documentation\Colo Applications</v>
      </c>
      <c r="BH36" s="104" t="str">
        <f ca="1">_05preva_view43[Folder Path2]&amp;"\Colo App "&amp;_05preva_view43[[#This Row],[Operator]]&amp;"\"</f>
        <v>D:\OneDrive - apollo-towers.com\Apollo Towers\00-Process &amp; Database\Documentation\Colo Applications\Colo App Amara\</v>
      </c>
      <c r="BI36" s="63" t="str">
        <f ca="1">_05preva_view43[[#This Row],[Folder Path3]]&amp;_05preva_view43[[#This Row],[File Name]]</f>
        <v>D:\OneDrive - apollo-towers.com\Apollo Towers\00-Process &amp; Database\Documentation\Colo Applications\Colo App Amara\ANMD_0172 (MDYPGTG039) Application Rev 1.xlsx</v>
      </c>
      <c r="BJ36" s="104"/>
      <c r="BK36" s="3"/>
      <c r="BL36" s="3"/>
      <c r="CJ36" s="5"/>
      <c r="CK36" s="5"/>
      <c r="CL36" s="3"/>
      <c r="CN36" s="5"/>
      <c r="CR36" s="3"/>
      <c r="CS36" s="3"/>
      <c r="CT36" s="5"/>
      <c r="CV36" s="3"/>
      <c r="DR36" s="5"/>
      <c r="DT36" s="3"/>
      <c r="EF36" s="7"/>
      <c r="EG36" s="7"/>
      <c r="EJ36" s="4"/>
      <c r="EK36" s="4"/>
      <c r="EU36" s="2"/>
      <c r="EV36" s="2"/>
    </row>
    <row r="37" spans="1:152">
      <c r="A37" s="125">
        <v>3623</v>
      </c>
      <c r="B37" s="126" t="s">
        <v>1967</v>
      </c>
      <c r="C37" s="126" t="s">
        <v>331</v>
      </c>
      <c r="D37" s="126" t="s">
        <v>117</v>
      </c>
      <c r="E37" s="126" t="s">
        <v>1968</v>
      </c>
      <c r="F37" s="126" t="s">
        <v>41</v>
      </c>
      <c r="G37" s="126" t="s">
        <v>1412</v>
      </c>
      <c r="H37" s="126" t="s">
        <v>1319</v>
      </c>
      <c r="I37" s="126" t="s">
        <v>1143</v>
      </c>
      <c r="J37" s="126" t="s">
        <v>940</v>
      </c>
      <c r="K37" s="127">
        <v>43483</v>
      </c>
      <c r="L37" s="128"/>
      <c r="M37" s="128">
        <v>2</v>
      </c>
      <c r="N37" s="126">
        <v>5</v>
      </c>
      <c r="O37" s="126" t="s">
        <v>119</v>
      </c>
      <c r="P37" s="129" t="s">
        <v>1455</v>
      </c>
      <c r="Q37" s="129" t="s">
        <v>1447</v>
      </c>
      <c r="R37" s="126" t="s">
        <v>25</v>
      </c>
      <c r="S37" s="126"/>
      <c r="T37" s="130" t="s">
        <v>861</v>
      </c>
      <c r="U37" s="126"/>
      <c r="V37" s="130" t="s">
        <v>120</v>
      </c>
      <c r="W37" s="126"/>
      <c r="X37" s="130" t="s">
        <v>125</v>
      </c>
      <c r="Y37" s="126" t="s">
        <v>1969</v>
      </c>
      <c r="Z37" s="162"/>
      <c r="AA37" s="154"/>
      <c r="AB37" s="154"/>
      <c r="AC37" s="167"/>
      <c r="AD37" s="126"/>
      <c r="AE37" s="130" t="s">
        <v>120</v>
      </c>
      <c r="AF37" s="127"/>
      <c r="AG37" s="131"/>
      <c r="AH37" s="131"/>
      <c r="AI37" s="126" t="s">
        <v>1417</v>
      </c>
      <c r="AJ37" s="130" t="s">
        <v>125</v>
      </c>
      <c r="AK37" s="126"/>
      <c r="AL37" s="126" t="s">
        <v>1969</v>
      </c>
      <c r="AM37" s="130"/>
      <c r="AN37" s="126"/>
      <c r="AO37" s="132"/>
      <c r="AP37" s="126"/>
      <c r="AQ37" s="126"/>
      <c r="AR37" s="130"/>
      <c r="AS37" s="126"/>
      <c r="AT37" s="127"/>
      <c r="AU37" s="127">
        <v>43486.487017129599</v>
      </c>
      <c r="AV37" s="127"/>
      <c r="AW37" s="127"/>
      <c r="AX37" s="127"/>
      <c r="AY37" s="127">
        <v>43486.406113657402</v>
      </c>
      <c r="AZ37" s="133"/>
      <c r="BA37" s="134">
        <f ca="1">IF(_05preva_view43[[#This Row],[Prevalidation Status]]="Under Prevalidation",NOW()-_05preva_view43[[#This Row],[Request Date]],IF(_05preva_view43[[#This Row],[Close Date]]&gt;_05preva_view43[[#This Row],[Request Date]],_05preva_view43[[#This Row],[Close Date]]-_05preva_view43[[#This Row],[Request Date]],"Not  Calculated"))</f>
        <v>4.506734143520589</v>
      </c>
      <c r="BB37" s="135">
        <f>COUNTIFS(_05preva_view43[Site ID],_05preva_view43[[#This Row],[Site ID]],_05preva_view43[Prevalidation Status],"Under Prevalidation")</f>
        <v>1</v>
      </c>
      <c r="BC37" s="153" t="str">
        <f ca="1">HYPERLINK(CheckPath(_05preva_view43[[#This Row],[File Path]],_05preva_view43[[#This Row],[File Path]],_05preva_view43[[#This Row],[Folder Path3]]),CheckPath(_05preva_view43[[#This Row],[File Path]],"Open File","No File"))</f>
        <v>No File</v>
      </c>
      <c r="BD37" s="136" t="str">
        <f>CONCATENATE(_05preva_view43[[#This Row],[Site ID]]," (",_05preva_view43[[#This Row],[tenant id]],") Application",IF(_05preva_view43[[#This Row],[Colo Rev]]&gt;0," Rev "&amp;_05preva_view43[[#This Row],[Colo Rev]],""),".xlsx")</f>
        <v>1-01-13039-001 (YGNSNCG017_3) Application Rev 0.xlsx</v>
      </c>
      <c r="BE37" s="64">
        <f t="shared" ca="1" si="2"/>
        <v>50</v>
      </c>
      <c r="BF37" s="104" t="str">
        <f ca="1">LEFT(CELL("filename",A22),_05preva_view43[[#This Row],[Find Process &amp; Database]]-1)</f>
        <v>D:\OneDrive - apollo-towers.com\Apollo Towers\00-</v>
      </c>
      <c r="BG37" s="104" t="str">
        <f ca="1">_05preva_view43[Folder Path1]&amp;"Process &amp; Database\Documentation\Colo Applications"</f>
        <v>D:\OneDrive - apollo-towers.com\Apollo Towers\00-Process &amp; Database\Documentation\Colo Applications</v>
      </c>
      <c r="BH37" s="104" t="str">
        <f ca="1">_05preva_view43[Folder Path2]&amp;"\Colo App "&amp;_05preva_view43[[#This Row],[Operator]]&amp;"\"</f>
        <v>D:\OneDrive - apollo-towers.com\Apollo Towers\00-Process &amp; Database\Documentation\Colo Applications\Colo App Amara\</v>
      </c>
      <c r="BI37" s="63" t="str">
        <f ca="1">_05preva_view43[[#This Row],[Folder Path3]]&amp;_05preva_view43[[#This Row],[File Name]]</f>
        <v>D:\OneDrive - apollo-towers.com\Apollo Towers\00-Process &amp; Database\Documentation\Colo Applications\Colo App Amara\1-01-13039-001 (YGNSNCG017_3) Application Rev 0.xlsx</v>
      </c>
      <c r="BJ37" s="104"/>
      <c r="BK37" s="3"/>
      <c r="BL37" s="3"/>
      <c r="CJ37" s="5"/>
      <c r="CK37" s="5"/>
      <c r="CL37" s="3"/>
      <c r="CN37" s="5"/>
      <c r="CR37" s="3"/>
      <c r="CS37" s="3"/>
      <c r="CT37" s="5"/>
      <c r="CV37" s="3"/>
      <c r="DR37" s="5"/>
      <c r="DT37" s="3"/>
      <c r="EF37" s="7"/>
      <c r="EG37" s="7"/>
      <c r="EJ37" s="4"/>
      <c r="EK37" s="4"/>
      <c r="EU37" s="2"/>
      <c r="EV37" s="2"/>
    </row>
    <row r="38" spans="1:152">
      <c r="A38" s="125">
        <v>3614</v>
      </c>
      <c r="B38" s="126" t="s">
        <v>1970</v>
      </c>
      <c r="C38" s="126" t="s">
        <v>116</v>
      </c>
      <c r="D38" s="126" t="s">
        <v>163</v>
      </c>
      <c r="E38" s="126" t="s">
        <v>1971</v>
      </c>
      <c r="F38" s="126" t="s">
        <v>35</v>
      </c>
      <c r="G38" s="126" t="s">
        <v>1919</v>
      </c>
      <c r="H38" s="126" t="s">
        <v>1619</v>
      </c>
      <c r="I38" s="126" t="s">
        <v>1311</v>
      </c>
      <c r="J38" s="126" t="s">
        <v>940</v>
      </c>
      <c r="K38" s="127">
        <v>43482</v>
      </c>
      <c r="L38" s="128">
        <v>0.72</v>
      </c>
      <c r="M38" s="128">
        <v>0.9</v>
      </c>
      <c r="N38" s="126">
        <v>3.18</v>
      </c>
      <c r="O38" s="126" t="s">
        <v>119</v>
      </c>
      <c r="P38" s="129" t="s">
        <v>276</v>
      </c>
      <c r="Q38" s="129" t="s">
        <v>277</v>
      </c>
      <c r="R38" s="126" t="s">
        <v>24</v>
      </c>
      <c r="S38" s="126"/>
      <c r="T38" s="130" t="s">
        <v>861</v>
      </c>
      <c r="U38" s="126"/>
      <c r="V38" s="130" t="s">
        <v>120</v>
      </c>
      <c r="W38" s="126"/>
      <c r="X38" s="130" t="s">
        <v>120</v>
      </c>
      <c r="Y38" s="126" t="s">
        <v>1972</v>
      </c>
      <c r="Z38" s="162" t="s">
        <v>120</v>
      </c>
      <c r="AA38" s="154"/>
      <c r="AB38" s="154"/>
      <c r="AC38" s="167" t="s">
        <v>123</v>
      </c>
      <c r="AD38" s="126" t="s">
        <v>1973</v>
      </c>
      <c r="AE38" s="130" t="s">
        <v>120</v>
      </c>
      <c r="AF38" s="127"/>
      <c r="AG38" s="131"/>
      <c r="AH38" s="131"/>
      <c r="AI38" s="126"/>
      <c r="AJ38" s="130" t="s">
        <v>120</v>
      </c>
      <c r="AK38" s="126" t="s">
        <v>240</v>
      </c>
      <c r="AL38" s="126" t="s">
        <v>1493</v>
      </c>
      <c r="AM38" s="130"/>
      <c r="AN38" s="126"/>
      <c r="AO38" s="132"/>
      <c r="AP38" s="126"/>
      <c r="AQ38" s="126"/>
      <c r="AR38" s="130"/>
      <c r="AS38" s="126"/>
      <c r="AT38" s="127">
        <v>43482.654079976899</v>
      </c>
      <c r="AU38" s="127">
        <v>43483.4762885417</v>
      </c>
      <c r="AV38" s="127">
        <v>43486.662597569397</v>
      </c>
      <c r="AW38" s="127">
        <v>43482.654079976899</v>
      </c>
      <c r="AX38" s="127"/>
      <c r="AY38" s="127">
        <v>43483.471711458304</v>
      </c>
      <c r="AZ38" s="133">
        <v>43486.693751967599</v>
      </c>
      <c r="BA38" s="134">
        <f ca="1">IF(_05preva_view43[[#This Row],[Prevalidation Status]]="Under Prevalidation",NOW()-_05preva_view43[[#This Row],[Request Date]],IF(_05preva_view43[[#This Row],[Close Date]]&gt;_05preva_view43[[#This Row],[Request Date]],_05preva_view43[[#This Row],[Close Date]]-_05preva_view43[[#This Row],[Request Date]],"Not  Calculated"))</f>
        <v>4.6937519675993826</v>
      </c>
      <c r="BB38" s="135">
        <f>COUNTIFS(_05preva_view43[Site ID],_05preva_view43[[#This Row],[Site ID]],_05preva_view43[Prevalidation Status],"Under Prevalidation")</f>
        <v>0</v>
      </c>
      <c r="BC38" s="153" t="str">
        <f ca="1">HYPERLINK(CheckPath(_05preva_view43[[#This Row],[File Path]],_05preva_view43[[#This Row],[File Path]],_05preva_view43[[#This Row],[Folder Path3]]),CheckPath(_05preva_view43[[#This Row],[File Path]],"Open File","No File"))</f>
        <v>No File</v>
      </c>
      <c r="BD38" s="136" t="str">
        <f>CONCATENATE(_05preva_view43[[#This Row],[Site ID]]," (",_05preva_view43[[#This Row],[tenant id]],") Application",IF(_05preva_view43[[#This Row],[Colo Rev]]&gt;0," Rev "&amp;_05preva_view43[[#This Row],[Colo Rev]],""),".xlsx")</f>
        <v>ABAG00003 (BGE00821) Application Rev 0.xlsx</v>
      </c>
      <c r="BE38" s="64">
        <f t="shared" ca="1" si="2"/>
        <v>50</v>
      </c>
      <c r="BF38" s="104" t="str">
        <f ca="1">LEFT(CELL("filename",A23),_05preva_view43[[#This Row],[Find Process &amp; Database]]-1)</f>
        <v>D:\OneDrive - apollo-towers.com\Apollo Towers\00-</v>
      </c>
      <c r="BG38" s="104" t="str">
        <f ca="1">_05preva_view43[Folder Path1]&amp;"Process &amp; Database\Documentation\Colo Applications"</f>
        <v>D:\OneDrive - apollo-towers.com\Apollo Towers\00-Process &amp; Database\Documentation\Colo Applications</v>
      </c>
      <c r="BH38" s="104" t="str">
        <f ca="1">_05preva_view43[Folder Path2]&amp;"\Colo App "&amp;_05preva_view43[[#This Row],[Operator]]&amp;"\"</f>
        <v>D:\OneDrive - apollo-towers.com\Apollo Towers\00-Process &amp; Database\Documentation\Colo Applications\Colo App MPT\</v>
      </c>
      <c r="BI38" s="63" t="str">
        <f ca="1">_05preva_view43[[#This Row],[Folder Path3]]&amp;_05preva_view43[[#This Row],[File Name]]</f>
        <v>D:\OneDrive - apollo-towers.com\Apollo Towers\00-Process &amp; Database\Documentation\Colo Applications\Colo App MPT\ABAG00003 (BGE00821) Application Rev 0.xlsx</v>
      </c>
      <c r="BJ38" s="104"/>
      <c r="BK38" s="3"/>
      <c r="BL38" s="3"/>
      <c r="CJ38" s="5"/>
      <c r="CK38" s="5"/>
      <c r="CL38" s="3"/>
      <c r="CN38" s="5"/>
      <c r="CR38" s="3"/>
      <c r="CS38" s="3"/>
      <c r="CT38" s="5"/>
      <c r="CV38" s="3"/>
      <c r="DR38" s="5"/>
      <c r="DT38" s="3"/>
      <c r="EF38" s="7"/>
      <c r="EG38" s="7"/>
      <c r="EJ38" s="4"/>
      <c r="EK38" s="4"/>
      <c r="EU38" s="2"/>
      <c r="EV38" s="2"/>
    </row>
    <row r="39" spans="1:152">
      <c r="A39" s="125">
        <v>3615</v>
      </c>
      <c r="B39" s="126" t="s">
        <v>1974</v>
      </c>
      <c r="C39" s="126" t="s">
        <v>116</v>
      </c>
      <c r="D39" s="126" t="s">
        <v>127</v>
      </c>
      <c r="E39" s="126" t="s">
        <v>1975</v>
      </c>
      <c r="F39" s="126" t="s">
        <v>35</v>
      </c>
      <c r="G39" s="126" t="s">
        <v>1577</v>
      </c>
      <c r="H39" s="126" t="s">
        <v>1575</v>
      </c>
      <c r="I39" s="126" t="s">
        <v>1053</v>
      </c>
      <c r="J39" s="126" t="s">
        <v>949</v>
      </c>
      <c r="K39" s="127">
        <v>43482</v>
      </c>
      <c r="L39" s="128">
        <v>2.5590000000000002</v>
      </c>
      <c r="M39" s="128">
        <v>4.2910000000000004</v>
      </c>
      <c r="N39" s="126"/>
      <c r="O39" s="126" t="s">
        <v>119</v>
      </c>
      <c r="P39" s="129" t="s">
        <v>1062</v>
      </c>
      <c r="Q39" s="129" t="s">
        <v>958</v>
      </c>
      <c r="R39" s="126" t="s">
        <v>25</v>
      </c>
      <c r="S39" s="126"/>
      <c r="T39" s="130" t="s">
        <v>861</v>
      </c>
      <c r="U39" s="126"/>
      <c r="V39" s="130" t="s">
        <v>120</v>
      </c>
      <c r="W39" s="126"/>
      <c r="X39" s="130" t="s">
        <v>120</v>
      </c>
      <c r="Y39" s="126" t="s">
        <v>1976</v>
      </c>
      <c r="Z39" s="162"/>
      <c r="AA39" s="154"/>
      <c r="AB39" s="154"/>
      <c r="AC39" s="167"/>
      <c r="AD39" s="126"/>
      <c r="AE39" s="130" t="s">
        <v>120</v>
      </c>
      <c r="AF39" s="127"/>
      <c r="AG39" s="131"/>
      <c r="AH39" s="131"/>
      <c r="AI39" s="126"/>
      <c r="AJ39" s="130" t="s">
        <v>120</v>
      </c>
      <c r="AK39" s="126" t="s">
        <v>123</v>
      </c>
      <c r="AL39" s="126" t="s">
        <v>1198</v>
      </c>
      <c r="AM39" s="130"/>
      <c r="AN39" s="126"/>
      <c r="AO39" s="132"/>
      <c r="AP39" s="126"/>
      <c r="AQ39" s="126"/>
      <c r="AR39" s="130"/>
      <c r="AS39" s="126"/>
      <c r="AT39" s="127">
        <v>43482.6540811343</v>
      </c>
      <c r="AU39" s="127">
        <v>43483.476295138898</v>
      </c>
      <c r="AV39" s="127"/>
      <c r="AW39" s="127">
        <v>43482.6540811343</v>
      </c>
      <c r="AX39" s="127"/>
      <c r="AY39" s="127">
        <v>43482.693492361097</v>
      </c>
      <c r="AZ39" s="133"/>
      <c r="BA39" s="134">
        <f ca="1">IF(_05preva_view43[[#This Row],[Prevalidation Status]]="Under Prevalidation",NOW()-_05preva_view43[[#This Row],[Request Date]],IF(_05preva_view43[[#This Row],[Close Date]]&gt;_05preva_view43[[#This Row],[Request Date]],_05preva_view43[[#This Row],[Close Date]]-_05preva_view43[[#This Row],[Request Date]],"Not  Calculated"))</f>
        <v>5.506734143520589</v>
      </c>
      <c r="BB39" s="135">
        <f>COUNTIFS(_05preva_view43[Site ID],_05preva_view43[[#This Row],[Site ID]],_05preva_view43[Prevalidation Status],"Under Prevalidation")</f>
        <v>1</v>
      </c>
      <c r="BC39" s="153" t="str">
        <f ca="1">HYPERLINK(CheckPath(_05preva_view43[[#This Row],[File Path]],_05preva_view43[[#This Row],[File Path]],_05preva_view43[[#This Row],[Folder Path3]]),CheckPath(_05preva_view43[[#This Row],[File Path]],"Open File","No File"))</f>
        <v>No File</v>
      </c>
      <c r="BD39" s="136" t="str">
        <f>CONCATENATE(_05preva_view43[[#This Row],[Site ID]]," (",_05preva_view43[[#This Row],[tenant id]],") Application",IF(_05preva_view43[[#This Row],[Colo Rev]]&gt;0," Rev "&amp;_05preva_view43[[#This Row],[Colo Rev]],""),".xlsx")</f>
        <v>ANSG_0374 (SGG00338) Application Rev 2.xlsx</v>
      </c>
      <c r="BE39" s="64">
        <f t="shared" ca="1" si="2"/>
        <v>50</v>
      </c>
      <c r="BF39" s="104" t="str">
        <f ca="1">LEFT(CELL("filename",A24),_05preva_view43[[#This Row],[Find Process &amp; Database]]-1)</f>
        <v>D:\OneDrive - apollo-towers.com\Apollo Towers\00-</v>
      </c>
      <c r="BG39" s="104" t="str">
        <f ca="1">_05preva_view43[Folder Path1]&amp;"Process &amp; Database\Documentation\Colo Applications"</f>
        <v>D:\OneDrive - apollo-towers.com\Apollo Towers\00-Process &amp; Database\Documentation\Colo Applications</v>
      </c>
      <c r="BH39" s="104" t="str">
        <f ca="1">_05preva_view43[Folder Path2]&amp;"\Colo App "&amp;_05preva_view43[[#This Row],[Operator]]&amp;"\"</f>
        <v>D:\OneDrive - apollo-towers.com\Apollo Towers\00-Process &amp; Database\Documentation\Colo Applications\Colo App MPT\</v>
      </c>
      <c r="BI39" s="63" t="str">
        <f ca="1">_05preva_view43[[#This Row],[Folder Path3]]&amp;_05preva_view43[[#This Row],[File Name]]</f>
        <v>D:\OneDrive - apollo-towers.com\Apollo Towers\00-Process &amp; Database\Documentation\Colo Applications\Colo App MPT\ANSG_0374 (SGG00338) Application Rev 2.xlsx</v>
      </c>
      <c r="BJ39" s="104"/>
      <c r="BK39" s="3"/>
      <c r="BL39" s="3"/>
      <c r="CJ39" s="5"/>
      <c r="CK39" s="5"/>
      <c r="CL39" s="3"/>
      <c r="CN39" s="5"/>
      <c r="CR39" s="3"/>
      <c r="CS39" s="3"/>
      <c r="CT39" s="5"/>
      <c r="CV39" s="3"/>
      <c r="DR39" s="5"/>
      <c r="DT39" s="3"/>
      <c r="EF39" s="7"/>
      <c r="EG39" s="7"/>
      <c r="EJ39" s="4"/>
      <c r="EK39" s="4"/>
      <c r="EU39" s="2"/>
      <c r="EV39" s="2"/>
    </row>
    <row r="40" spans="1:152">
      <c r="A40" s="125">
        <v>3616</v>
      </c>
      <c r="B40" s="126" t="s">
        <v>1977</v>
      </c>
      <c r="C40" s="126" t="s">
        <v>331</v>
      </c>
      <c r="D40" s="126" t="s">
        <v>127</v>
      </c>
      <c r="E40" s="126" t="s">
        <v>1978</v>
      </c>
      <c r="F40" s="126" t="s">
        <v>35</v>
      </c>
      <c r="G40" s="126" t="s">
        <v>1583</v>
      </c>
      <c r="H40" s="126" t="s">
        <v>1575</v>
      </c>
      <c r="I40" s="126" t="s">
        <v>1263</v>
      </c>
      <c r="J40" s="126" t="s">
        <v>990</v>
      </c>
      <c r="K40" s="127">
        <v>43482</v>
      </c>
      <c r="L40" s="128">
        <v>1.054</v>
      </c>
      <c r="M40" s="128">
        <v>1.46</v>
      </c>
      <c r="N40" s="126">
        <v>3.52</v>
      </c>
      <c r="O40" s="126" t="s">
        <v>950</v>
      </c>
      <c r="P40" s="129" t="s">
        <v>958</v>
      </c>
      <c r="Q40" s="129" t="s">
        <v>959</v>
      </c>
      <c r="R40" s="126" t="s">
        <v>24</v>
      </c>
      <c r="S40" s="126"/>
      <c r="T40" s="130" t="s">
        <v>861</v>
      </c>
      <c r="U40" s="126"/>
      <c r="V40" s="130" t="s">
        <v>120</v>
      </c>
      <c r="W40" s="126"/>
      <c r="X40" s="130" t="s">
        <v>120</v>
      </c>
      <c r="Y40" s="126" t="s">
        <v>1979</v>
      </c>
      <c r="Z40" s="162" t="s">
        <v>120</v>
      </c>
      <c r="AA40" s="154"/>
      <c r="AB40" s="154"/>
      <c r="AC40" s="167" t="s">
        <v>123</v>
      </c>
      <c r="AD40" s="126" t="s">
        <v>1980</v>
      </c>
      <c r="AE40" s="130" t="s">
        <v>120</v>
      </c>
      <c r="AF40" s="127"/>
      <c r="AG40" s="131"/>
      <c r="AH40" s="131"/>
      <c r="AI40" s="126"/>
      <c r="AJ40" s="130" t="s">
        <v>120</v>
      </c>
      <c r="AK40" s="126" t="s">
        <v>123</v>
      </c>
      <c r="AL40" s="126" t="s">
        <v>1198</v>
      </c>
      <c r="AM40" s="130"/>
      <c r="AN40" s="126"/>
      <c r="AO40" s="132"/>
      <c r="AP40" s="126"/>
      <c r="AQ40" s="126"/>
      <c r="AR40" s="130"/>
      <c r="AS40" s="126"/>
      <c r="AT40" s="127">
        <v>43483.472496759299</v>
      </c>
      <c r="AU40" s="127">
        <v>43483.476301273098</v>
      </c>
      <c r="AV40" s="127">
        <v>43486.590974305604</v>
      </c>
      <c r="AW40" s="127">
        <v>43483.472496759299</v>
      </c>
      <c r="AX40" s="127"/>
      <c r="AY40" s="127">
        <v>43483.387676851897</v>
      </c>
      <c r="AZ40" s="133">
        <v>43486.6937533565</v>
      </c>
      <c r="BA40" s="134">
        <f ca="1">IF(_05preva_view43[[#This Row],[Prevalidation Status]]="Under Prevalidation",NOW()-_05preva_view43[[#This Row],[Request Date]],IF(_05preva_view43[[#This Row],[Close Date]]&gt;_05preva_view43[[#This Row],[Request Date]],_05preva_view43[[#This Row],[Close Date]]-_05preva_view43[[#This Row],[Request Date]],"Not  Calculated"))</f>
        <v>4.6937533564996556</v>
      </c>
      <c r="BB40" s="135">
        <f>COUNTIFS(_05preva_view43[Site ID],_05preva_view43[[#This Row],[Site ID]],_05preva_view43[Prevalidation Status],"Under Prevalidation")</f>
        <v>0</v>
      </c>
      <c r="BC40" s="153" t="str">
        <f ca="1">HYPERLINK(CheckPath(_05preva_view43[[#This Row],[File Path]],_05preva_view43[[#This Row],[File Path]],_05preva_view43[[#This Row],[Folder Path3]]),CheckPath(_05preva_view43[[#This Row],[File Path]],"Open File","No File"))</f>
        <v>No File</v>
      </c>
      <c r="BD40" s="136" t="str">
        <f>CONCATENATE(_05preva_view43[[#This Row],[Site ID]]," (",_05preva_view43[[#This Row],[tenant id]],") Application",IF(_05preva_view43[[#This Row],[Colo Rev]]&gt;0," Rev "&amp;_05preva_view43[[#This Row],[Colo Rev]],""),".xlsx")</f>
        <v>3-00-01014-001 (KCN00056) Application Rev 3.xlsx</v>
      </c>
      <c r="BE40" s="64">
        <f t="shared" ca="1" si="2"/>
        <v>50</v>
      </c>
      <c r="BF40" s="104" t="str">
        <f ca="1">LEFT(CELL("filename",A25),_05preva_view43[[#This Row],[Find Process &amp; Database]]-1)</f>
        <v>D:\OneDrive - apollo-towers.com\Apollo Towers\00-</v>
      </c>
      <c r="BG40" s="104" t="str">
        <f ca="1">_05preva_view43[Folder Path1]&amp;"Process &amp; Database\Documentation\Colo Applications"</f>
        <v>D:\OneDrive - apollo-towers.com\Apollo Towers\00-Process &amp; Database\Documentation\Colo Applications</v>
      </c>
      <c r="BH40" s="104" t="str">
        <f ca="1">_05preva_view43[Folder Path2]&amp;"\Colo App "&amp;_05preva_view43[[#This Row],[Operator]]&amp;"\"</f>
        <v>D:\OneDrive - apollo-towers.com\Apollo Towers\00-Process &amp; Database\Documentation\Colo Applications\Colo App MPT\</v>
      </c>
      <c r="BI40" s="63" t="str">
        <f ca="1">_05preva_view43[[#This Row],[Folder Path3]]&amp;_05preva_view43[[#This Row],[File Name]]</f>
        <v>D:\OneDrive - apollo-towers.com\Apollo Towers\00-Process &amp; Database\Documentation\Colo Applications\Colo App MPT\3-00-01014-001 (KCN00056) Application Rev 3.xlsx</v>
      </c>
      <c r="BJ40" s="104"/>
      <c r="BK40" s="3"/>
      <c r="BL40" s="3"/>
      <c r="CJ40" s="5"/>
      <c r="CK40" s="5"/>
      <c r="CL40" s="3"/>
      <c r="CN40" s="5"/>
      <c r="CR40" s="3"/>
      <c r="CS40" s="3"/>
      <c r="CT40" s="5"/>
      <c r="CV40" s="3"/>
      <c r="DR40" s="5"/>
      <c r="DT40" s="3"/>
      <c r="EF40" s="7"/>
      <c r="EG40" s="7"/>
      <c r="EJ40" s="4"/>
      <c r="EK40" s="4"/>
      <c r="EU40" s="2"/>
      <c r="EV40" s="2"/>
    </row>
    <row r="41" spans="1:152">
      <c r="A41" s="125">
        <v>3617</v>
      </c>
      <c r="B41" s="126" t="s">
        <v>1981</v>
      </c>
      <c r="C41" s="126" t="s">
        <v>116</v>
      </c>
      <c r="D41" s="126" t="s">
        <v>127</v>
      </c>
      <c r="E41" s="126" t="s">
        <v>1982</v>
      </c>
      <c r="F41" s="126" t="s">
        <v>35</v>
      </c>
      <c r="G41" s="126" t="s">
        <v>1577</v>
      </c>
      <c r="H41" s="126" t="s">
        <v>1575</v>
      </c>
      <c r="I41" s="126" t="s">
        <v>1263</v>
      </c>
      <c r="J41" s="126" t="s">
        <v>949</v>
      </c>
      <c r="K41" s="127">
        <v>43482</v>
      </c>
      <c r="L41" s="128">
        <v>1.054</v>
      </c>
      <c r="M41" s="128">
        <v>1.46</v>
      </c>
      <c r="N41" s="126">
        <v>6</v>
      </c>
      <c r="O41" s="126" t="s">
        <v>119</v>
      </c>
      <c r="P41" s="129" t="s">
        <v>968</v>
      </c>
      <c r="Q41" s="129" t="s">
        <v>969</v>
      </c>
      <c r="R41" s="126" t="s">
        <v>25</v>
      </c>
      <c r="S41" s="126"/>
      <c r="T41" s="130" t="s">
        <v>861</v>
      </c>
      <c r="U41" s="126"/>
      <c r="V41" s="130" t="s">
        <v>120</v>
      </c>
      <c r="W41" s="126"/>
      <c r="X41" s="130" t="s">
        <v>120</v>
      </c>
      <c r="Y41" s="126" t="s">
        <v>1983</v>
      </c>
      <c r="Z41" s="162"/>
      <c r="AA41" s="154"/>
      <c r="AB41" s="154"/>
      <c r="AC41" s="167"/>
      <c r="AD41" s="126"/>
      <c r="AE41" s="130" t="s">
        <v>120</v>
      </c>
      <c r="AF41" s="127"/>
      <c r="AG41" s="131"/>
      <c r="AH41" s="131"/>
      <c r="AI41" s="126"/>
      <c r="AJ41" s="130" t="s">
        <v>120</v>
      </c>
      <c r="AK41" s="126" t="s">
        <v>123</v>
      </c>
      <c r="AL41" s="126" t="s">
        <v>1198</v>
      </c>
      <c r="AM41" s="130"/>
      <c r="AN41" s="126"/>
      <c r="AO41" s="132"/>
      <c r="AP41" s="126"/>
      <c r="AQ41" s="126"/>
      <c r="AR41" s="130"/>
      <c r="AS41" s="126"/>
      <c r="AT41" s="127">
        <v>43483.472498495401</v>
      </c>
      <c r="AU41" s="127">
        <v>43483.476307523102</v>
      </c>
      <c r="AV41" s="127"/>
      <c r="AW41" s="127">
        <v>43483.472498495401</v>
      </c>
      <c r="AX41" s="127"/>
      <c r="AY41" s="127">
        <v>43482.844667708297</v>
      </c>
      <c r="AZ41" s="133"/>
      <c r="BA41" s="134">
        <f ca="1">IF(_05preva_view43[[#This Row],[Prevalidation Status]]="Under Prevalidation",NOW()-_05preva_view43[[#This Row],[Request Date]],IF(_05preva_view43[[#This Row],[Close Date]]&gt;_05preva_view43[[#This Row],[Request Date]],_05preva_view43[[#This Row],[Close Date]]-_05preva_view43[[#This Row],[Request Date]],"Not  Calculated"))</f>
        <v>5.506734143520589</v>
      </c>
      <c r="BB41" s="135">
        <f>COUNTIFS(_05preva_view43[Site ID],_05preva_view43[[#This Row],[Site ID]],_05preva_view43[Prevalidation Status],"Under Prevalidation")</f>
        <v>1</v>
      </c>
      <c r="BC41" s="153" t="str">
        <f ca="1">HYPERLINK(CheckPath(_05preva_view43[[#This Row],[File Path]],_05preva_view43[[#This Row],[File Path]],_05preva_view43[[#This Row],[Folder Path3]]),CheckPath(_05preva_view43[[#This Row],[File Path]],"Open File","No File"))</f>
        <v>No File</v>
      </c>
      <c r="BD41" s="136" t="str">
        <f>CONCATENATE(_05preva_view43[[#This Row],[Site ID]]," (",_05preva_view43[[#This Row],[tenant id]],") Application",IF(_05preva_view43[[#This Row],[Colo Rev]]&gt;0," Rev "&amp;_05preva_view43[[#This Row],[Colo Rev]],""),".xlsx")</f>
        <v>ANMD_0236 (MDY00844) Application Rev 2.xlsx</v>
      </c>
      <c r="BE41" s="64">
        <f t="shared" ca="1" si="2"/>
        <v>50</v>
      </c>
      <c r="BF41" s="104" t="str">
        <f ca="1">LEFT(CELL("filename",A26),_05preva_view43[[#This Row],[Find Process &amp; Database]]-1)</f>
        <v>D:\OneDrive - apollo-towers.com\Apollo Towers\00-</v>
      </c>
      <c r="BG41" s="104" t="str">
        <f ca="1">_05preva_view43[Folder Path1]&amp;"Process &amp; Database\Documentation\Colo Applications"</f>
        <v>D:\OneDrive - apollo-towers.com\Apollo Towers\00-Process &amp; Database\Documentation\Colo Applications</v>
      </c>
      <c r="BH41" s="104" t="str">
        <f ca="1">_05preva_view43[Folder Path2]&amp;"\Colo App "&amp;_05preva_view43[[#This Row],[Operator]]&amp;"\"</f>
        <v>D:\OneDrive - apollo-towers.com\Apollo Towers\00-Process &amp; Database\Documentation\Colo Applications\Colo App MPT\</v>
      </c>
      <c r="BI41" s="63" t="str">
        <f ca="1">_05preva_view43[[#This Row],[Folder Path3]]&amp;_05preva_view43[[#This Row],[File Name]]</f>
        <v>D:\OneDrive - apollo-towers.com\Apollo Towers\00-Process &amp; Database\Documentation\Colo Applications\Colo App MPT\ANMD_0236 (MDY00844) Application Rev 2.xlsx</v>
      </c>
      <c r="BJ41" s="104"/>
      <c r="BK41" s="3"/>
      <c r="BL41" s="3"/>
      <c r="CJ41" s="5"/>
      <c r="CK41" s="5"/>
      <c r="CL41" s="3"/>
      <c r="CN41" s="5"/>
      <c r="CR41" s="3"/>
      <c r="CS41" s="3"/>
      <c r="CT41" s="5"/>
      <c r="CV41" s="3"/>
      <c r="DR41" s="5"/>
      <c r="DT41" s="3"/>
      <c r="EF41" s="7"/>
      <c r="EG41" s="7"/>
      <c r="EJ41" s="4"/>
      <c r="EK41" s="4"/>
      <c r="EU41" s="2"/>
      <c r="EV41" s="2"/>
    </row>
    <row r="42" spans="1:152">
      <c r="A42" s="125">
        <v>3618</v>
      </c>
      <c r="B42" s="126" t="s">
        <v>1984</v>
      </c>
      <c r="C42" s="126" t="s">
        <v>331</v>
      </c>
      <c r="D42" s="126" t="s">
        <v>127</v>
      </c>
      <c r="E42" s="126" t="s">
        <v>1985</v>
      </c>
      <c r="F42" s="126" t="s">
        <v>35</v>
      </c>
      <c r="G42" s="126" t="s">
        <v>1583</v>
      </c>
      <c r="H42" s="126" t="s">
        <v>1575</v>
      </c>
      <c r="I42" s="126" t="s">
        <v>1986</v>
      </c>
      <c r="J42" s="126" t="s">
        <v>931</v>
      </c>
      <c r="K42" s="127">
        <v>43482</v>
      </c>
      <c r="L42" s="128">
        <v>1.6579999999999999</v>
      </c>
      <c r="M42" s="128">
        <v>3.06</v>
      </c>
      <c r="N42" s="126">
        <v>3.07</v>
      </c>
      <c r="O42" s="126" t="s">
        <v>950</v>
      </c>
      <c r="P42" s="129" t="s">
        <v>958</v>
      </c>
      <c r="Q42" s="129" t="s">
        <v>959</v>
      </c>
      <c r="R42" s="126" t="s">
        <v>24</v>
      </c>
      <c r="S42" s="126"/>
      <c r="T42" s="130" t="s">
        <v>861</v>
      </c>
      <c r="U42" s="126"/>
      <c r="V42" s="130" t="s">
        <v>120</v>
      </c>
      <c r="W42" s="126"/>
      <c r="X42" s="130" t="s">
        <v>120</v>
      </c>
      <c r="Y42" s="126" t="s">
        <v>1987</v>
      </c>
      <c r="Z42" s="162" t="s">
        <v>120</v>
      </c>
      <c r="AA42" s="154"/>
      <c r="AB42" s="154"/>
      <c r="AC42" s="167" t="s">
        <v>123</v>
      </c>
      <c r="AD42" s="126" t="s">
        <v>1988</v>
      </c>
      <c r="AE42" s="130" t="s">
        <v>120</v>
      </c>
      <c r="AF42" s="127"/>
      <c r="AG42" s="131"/>
      <c r="AH42" s="131"/>
      <c r="AI42" s="126"/>
      <c r="AJ42" s="130" t="s">
        <v>120</v>
      </c>
      <c r="AK42" s="126" t="s">
        <v>123</v>
      </c>
      <c r="AL42" s="126" t="s">
        <v>1198</v>
      </c>
      <c r="AM42" s="130"/>
      <c r="AN42" s="126"/>
      <c r="AO42" s="132"/>
      <c r="AP42" s="126"/>
      <c r="AQ42" s="126"/>
      <c r="AR42" s="130"/>
      <c r="AS42" s="126"/>
      <c r="AT42" s="127">
        <v>43483.472500231503</v>
      </c>
      <c r="AU42" s="127">
        <v>43483.476314004598</v>
      </c>
      <c r="AV42" s="127">
        <v>43486.590976041698</v>
      </c>
      <c r="AW42" s="127">
        <v>43483.472500231503</v>
      </c>
      <c r="AX42" s="127"/>
      <c r="AY42" s="127">
        <v>43483.387680439802</v>
      </c>
      <c r="AZ42" s="133">
        <v>43486.693754513901</v>
      </c>
      <c r="BA42" s="134">
        <f ca="1">IF(_05preva_view43[[#This Row],[Prevalidation Status]]="Under Prevalidation",NOW()-_05preva_view43[[#This Row],[Request Date]],IF(_05preva_view43[[#This Row],[Close Date]]&gt;_05preva_view43[[#This Row],[Request Date]],_05preva_view43[[#This Row],[Close Date]]-_05preva_view43[[#This Row],[Request Date]],"Not  Calculated"))</f>
        <v>4.6937545139007852</v>
      </c>
      <c r="BB42" s="135">
        <f>COUNTIFS(_05preva_view43[Site ID],_05preva_view43[[#This Row],[Site ID]],_05preva_view43[Prevalidation Status],"Under Prevalidation")</f>
        <v>0</v>
      </c>
      <c r="BC42" s="153" t="str">
        <f ca="1">HYPERLINK(CheckPath(_05preva_view43[[#This Row],[File Path]],_05preva_view43[[#This Row],[File Path]],_05preva_view43[[#This Row],[Folder Path3]]),CheckPath(_05preva_view43[[#This Row],[File Path]],"Open File","No File"))</f>
        <v>No File</v>
      </c>
      <c r="BD42" s="136" t="str">
        <f>CONCATENATE(_05preva_view43[[#This Row],[Site ID]]," (",_05preva_view43[[#This Row],[tenant id]],") Application",IF(_05preva_view43[[#This Row],[Colo Rev]]&gt;0," Rev "&amp;_05preva_view43[[#This Row],[Colo Rev]],""),".xlsx")</f>
        <v>1-01-15014-008 (SHN00175) Application Rev 1.xlsx</v>
      </c>
      <c r="BE42" s="64">
        <f t="shared" ca="1" si="2"/>
        <v>50</v>
      </c>
      <c r="BF42" s="104" t="str">
        <f ca="1">LEFT(CELL("filename",A27),_05preva_view43[[#This Row],[Find Process &amp; Database]]-1)</f>
        <v>D:\OneDrive - apollo-towers.com\Apollo Towers\00-</v>
      </c>
      <c r="BG42" s="104" t="str">
        <f ca="1">_05preva_view43[Folder Path1]&amp;"Process &amp; Database\Documentation\Colo Applications"</f>
        <v>D:\OneDrive - apollo-towers.com\Apollo Towers\00-Process &amp; Database\Documentation\Colo Applications</v>
      </c>
      <c r="BH42" s="104" t="str">
        <f ca="1">_05preva_view43[Folder Path2]&amp;"\Colo App "&amp;_05preva_view43[[#This Row],[Operator]]&amp;"\"</f>
        <v>D:\OneDrive - apollo-towers.com\Apollo Towers\00-Process &amp; Database\Documentation\Colo Applications\Colo App MPT\</v>
      </c>
      <c r="BI42" s="63" t="str">
        <f ca="1">_05preva_view43[[#This Row],[Folder Path3]]&amp;_05preva_view43[[#This Row],[File Name]]</f>
        <v>D:\OneDrive - apollo-towers.com\Apollo Towers\00-Process &amp; Database\Documentation\Colo Applications\Colo App MPT\1-01-15014-008 (SHN00175) Application Rev 1.xlsx</v>
      </c>
      <c r="BJ42" s="104"/>
      <c r="BK42" s="3"/>
      <c r="BL42" s="3"/>
      <c r="CJ42" s="5"/>
      <c r="CK42" s="5"/>
      <c r="CL42" s="3"/>
      <c r="CN42" s="5"/>
      <c r="CR42" s="3"/>
      <c r="CS42" s="3"/>
      <c r="CT42" s="5"/>
      <c r="CV42" s="3"/>
      <c r="DR42" s="5"/>
      <c r="DT42" s="3"/>
      <c r="EF42" s="7"/>
      <c r="EG42" s="7"/>
      <c r="EJ42" s="4"/>
      <c r="EK42" s="4"/>
      <c r="EU42" s="2"/>
      <c r="EV42" s="2"/>
    </row>
    <row r="43" spans="1:152">
      <c r="A43" s="125">
        <v>3609</v>
      </c>
      <c r="B43" s="126" t="s">
        <v>1788</v>
      </c>
      <c r="C43" s="126" t="s">
        <v>116</v>
      </c>
      <c r="D43" s="126" t="s">
        <v>163</v>
      </c>
      <c r="E43" s="126" t="s">
        <v>1989</v>
      </c>
      <c r="F43" s="126" t="s">
        <v>40</v>
      </c>
      <c r="G43" s="126" t="s">
        <v>1143</v>
      </c>
      <c r="H43" s="126" t="s">
        <v>1619</v>
      </c>
      <c r="I43" s="126" t="s">
        <v>1143</v>
      </c>
      <c r="J43" s="126" t="s">
        <v>1091</v>
      </c>
      <c r="K43" s="127">
        <v>43481</v>
      </c>
      <c r="L43" s="128">
        <v>3</v>
      </c>
      <c r="M43" s="128">
        <v>4</v>
      </c>
      <c r="N43" s="126">
        <v>6</v>
      </c>
      <c r="O43" s="126" t="s">
        <v>119</v>
      </c>
      <c r="P43" s="129" t="s">
        <v>334</v>
      </c>
      <c r="Q43" s="129" t="s">
        <v>736</v>
      </c>
      <c r="R43" s="126" t="s">
        <v>25</v>
      </c>
      <c r="S43" s="126"/>
      <c r="T43" s="130" t="s">
        <v>861</v>
      </c>
      <c r="U43" s="126"/>
      <c r="V43" s="130" t="s">
        <v>120</v>
      </c>
      <c r="W43" s="126"/>
      <c r="X43" s="130" t="s">
        <v>125</v>
      </c>
      <c r="Y43" s="126" t="s">
        <v>1990</v>
      </c>
      <c r="Z43" s="162"/>
      <c r="AA43" s="154"/>
      <c r="AB43" s="154"/>
      <c r="AC43" s="167"/>
      <c r="AD43" s="126"/>
      <c r="AE43" s="130" t="s">
        <v>120</v>
      </c>
      <c r="AF43" s="127"/>
      <c r="AG43" s="131"/>
      <c r="AH43" s="131"/>
      <c r="AI43" s="126" t="s">
        <v>1991</v>
      </c>
      <c r="AJ43" s="130" t="s">
        <v>125</v>
      </c>
      <c r="AK43" s="126" t="s">
        <v>240</v>
      </c>
      <c r="AL43" s="126" t="s">
        <v>1992</v>
      </c>
      <c r="AM43" s="130"/>
      <c r="AN43" s="126"/>
      <c r="AO43" s="132"/>
      <c r="AP43" s="126"/>
      <c r="AQ43" s="126"/>
      <c r="AR43" s="130"/>
      <c r="AS43" s="126"/>
      <c r="AT43" s="127"/>
      <c r="AU43" s="127">
        <v>43483.476258796298</v>
      </c>
      <c r="AV43" s="127"/>
      <c r="AW43" s="127"/>
      <c r="AX43" s="127"/>
      <c r="AY43" s="127">
        <v>43481.690494791699</v>
      </c>
      <c r="AZ43" s="133"/>
      <c r="BA43" s="134">
        <f ca="1">IF(_05preva_view43[[#This Row],[Prevalidation Status]]="Under Prevalidation",NOW()-_05preva_view43[[#This Row],[Request Date]],IF(_05preva_view43[[#This Row],[Close Date]]&gt;_05preva_view43[[#This Row],[Request Date]],_05preva_view43[[#This Row],[Close Date]]-_05preva_view43[[#This Row],[Request Date]],"Not  Calculated"))</f>
        <v>6.506734143520589</v>
      </c>
      <c r="BB43" s="135">
        <f>COUNTIFS(_05preva_view43[Site ID],_05preva_view43[[#This Row],[Site ID]],_05preva_view43[Prevalidation Status],"Under Prevalidation")</f>
        <v>2</v>
      </c>
      <c r="BC43" s="153" t="str">
        <f ca="1">HYPERLINK(CheckPath(_05preva_view43[[#This Row],[File Path]],_05preva_view43[[#This Row],[File Path]],_05preva_view43[[#This Row],[Folder Path3]]),CheckPath(_05preva_view43[[#This Row],[File Path]],"Open File","No File"))</f>
        <v>No File</v>
      </c>
      <c r="BD43" s="136" t="str">
        <f>CONCATENATE(_05preva_view43[[#This Row],[Site ID]]," (",_05preva_view43[[#This Row],[tenant id]],") Application",IF(_05preva_view43[[#This Row],[Colo Rev]]&gt;0," Rev "&amp;_05preva_view43[[#This Row],[Colo Rev]],""),".xlsx")</f>
        <v>AYYN_0373 (YAW4699) Application Rev .xlsx</v>
      </c>
      <c r="BE43" s="64">
        <f t="shared" ca="1" si="2"/>
        <v>50</v>
      </c>
      <c r="BF43" s="104" t="str">
        <f ca="1">LEFT(CELL("filename",A28),_05preva_view43[[#This Row],[Find Process &amp; Database]]-1)</f>
        <v>D:\OneDrive - apollo-towers.com\Apollo Towers\00-</v>
      </c>
      <c r="BG43" s="104" t="str">
        <f ca="1">_05preva_view43[Folder Path1]&amp;"Process &amp; Database\Documentation\Colo Applications"</f>
        <v>D:\OneDrive - apollo-towers.com\Apollo Towers\00-Process &amp; Database\Documentation\Colo Applications</v>
      </c>
      <c r="BH43" s="104" t="str">
        <f ca="1">_05preva_view43[Folder Path2]&amp;"\Colo App "&amp;_05preva_view43[[#This Row],[Operator]]&amp;"\"</f>
        <v>D:\OneDrive - apollo-towers.com\Apollo Towers\00-Process &amp; Database\Documentation\Colo Applications\Colo App OML\</v>
      </c>
      <c r="BI43" s="63" t="str">
        <f ca="1">_05preva_view43[[#This Row],[Folder Path3]]&amp;_05preva_view43[[#This Row],[File Name]]</f>
        <v>D:\OneDrive - apollo-towers.com\Apollo Towers\00-Process &amp; Database\Documentation\Colo Applications\Colo App OML\AYYN_0373 (YAW4699) Application Rev .xlsx</v>
      </c>
      <c r="BJ43" s="104"/>
      <c r="BK43" s="3"/>
      <c r="BL43" s="3"/>
      <c r="CJ43" s="5"/>
      <c r="CK43" s="5"/>
      <c r="CL43" s="3"/>
      <c r="CN43" s="5"/>
      <c r="CR43" s="3"/>
      <c r="CS43" s="3"/>
      <c r="CT43" s="5"/>
      <c r="CV43" s="3"/>
      <c r="DR43" s="5"/>
      <c r="DT43" s="3"/>
      <c r="EF43" s="7"/>
      <c r="EG43" s="7"/>
      <c r="EJ43" s="4"/>
      <c r="EK43" s="4"/>
      <c r="EU43" s="2"/>
      <c r="EV43" s="2"/>
    </row>
    <row r="44" spans="1:152">
      <c r="A44" s="125">
        <v>3610</v>
      </c>
      <c r="B44" s="126" t="s">
        <v>1993</v>
      </c>
      <c r="C44" s="126" t="s">
        <v>116</v>
      </c>
      <c r="D44" s="126" t="s">
        <v>163</v>
      </c>
      <c r="E44" s="126" t="s">
        <v>1994</v>
      </c>
      <c r="F44" s="126" t="s">
        <v>40</v>
      </c>
      <c r="G44" s="126" t="s">
        <v>1143</v>
      </c>
      <c r="H44" s="126" t="s">
        <v>1619</v>
      </c>
      <c r="I44" s="126" t="s">
        <v>1143</v>
      </c>
      <c r="J44" s="126" t="s">
        <v>1091</v>
      </c>
      <c r="K44" s="127">
        <v>43481</v>
      </c>
      <c r="L44" s="128">
        <v>3</v>
      </c>
      <c r="M44" s="128">
        <v>4</v>
      </c>
      <c r="N44" s="126">
        <v>6</v>
      </c>
      <c r="O44" s="126" t="s">
        <v>119</v>
      </c>
      <c r="P44" s="129" t="s">
        <v>362</v>
      </c>
      <c r="Q44" s="129" t="s">
        <v>363</v>
      </c>
      <c r="R44" s="126" t="s">
        <v>25</v>
      </c>
      <c r="S44" s="126"/>
      <c r="T44" s="130" t="s">
        <v>861</v>
      </c>
      <c r="U44" s="126"/>
      <c r="V44" s="130" t="s">
        <v>120</v>
      </c>
      <c r="W44" s="126"/>
      <c r="X44" s="130" t="s">
        <v>125</v>
      </c>
      <c r="Y44" s="126" t="s">
        <v>1995</v>
      </c>
      <c r="Z44" s="162"/>
      <c r="AA44" s="154"/>
      <c r="AB44" s="154"/>
      <c r="AC44" s="167"/>
      <c r="AD44" s="126"/>
      <c r="AE44" s="130" t="s">
        <v>120</v>
      </c>
      <c r="AF44" s="127"/>
      <c r="AG44" s="131"/>
      <c r="AH44" s="131"/>
      <c r="AI44" s="126"/>
      <c r="AJ44" s="130" t="s">
        <v>125</v>
      </c>
      <c r="AK44" s="126" t="s">
        <v>240</v>
      </c>
      <c r="AL44" s="126" t="s">
        <v>1992</v>
      </c>
      <c r="AM44" s="130"/>
      <c r="AN44" s="126"/>
      <c r="AO44" s="132"/>
      <c r="AP44" s="126"/>
      <c r="AQ44" s="126"/>
      <c r="AR44" s="130"/>
      <c r="AS44" s="126"/>
      <c r="AT44" s="127"/>
      <c r="AU44" s="127">
        <v>43483.4762619213</v>
      </c>
      <c r="AV44" s="127"/>
      <c r="AW44" s="127"/>
      <c r="AX44" s="127"/>
      <c r="AY44" s="127">
        <v>43481.6904953704</v>
      </c>
      <c r="AZ44" s="133"/>
      <c r="BA44" s="134">
        <f ca="1">IF(_05preva_view43[[#This Row],[Prevalidation Status]]="Under Prevalidation",NOW()-_05preva_view43[[#This Row],[Request Date]],IF(_05preva_view43[[#This Row],[Close Date]]&gt;_05preva_view43[[#This Row],[Request Date]],_05preva_view43[[#This Row],[Close Date]]-_05preva_view43[[#This Row],[Request Date]],"Not  Calculated"))</f>
        <v>6.506734143520589</v>
      </c>
      <c r="BB44" s="135">
        <f>COUNTIFS(_05preva_view43[Site ID],_05preva_view43[[#This Row],[Site ID]],_05preva_view43[Prevalidation Status],"Under Prevalidation")</f>
        <v>1</v>
      </c>
      <c r="BC44" s="153" t="str">
        <f ca="1">HYPERLINK(CheckPath(_05preva_view43[[#This Row],[File Path]],_05preva_view43[[#This Row],[File Path]],_05preva_view43[[#This Row],[Folder Path3]]),CheckPath(_05preva_view43[[#This Row],[File Path]],"Open File","No File"))</f>
        <v>No File</v>
      </c>
      <c r="BD44" s="136" t="str">
        <f>CONCATENATE(_05preva_view43[[#This Row],[Site ID]]," (",_05preva_view43[[#This Row],[tenant id]],") Application",IF(_05preva_view43[[#This Row],[Colo Rev]]&gt;0," Rev "&amp;_05preva_view43[[#This Row],[Colo Rev]],""),".xlsx")</f>
        <v>AYYN_0335 (YAM7609) Application Rev .xlsx</v>
      </c>
      <c r="BE44" s="64">
        <f t="shared" ca="1" si="2"/>
        <v>50</v>
      </c>
      <c r="BF44" s="104" t="str">
        <f ca="1">LEFT(CELL("filename",A29),_05preva_view43[[#This Row],[Find Process &amp; Database]]-1)</f>
        <v>D:\OneDrive - apollo-towers.com\Apollo Towers\00-</v>
      </c>
      <c r="BG44" s="104" t="str">
        <f ca="1">_05preva_view43[Folder Path1]&amp;"Process &amp; Database\Documentation\Colo Applications"</f>
        <v>D:\OneDrive - apollo-towers.com\Apollo Towers\00-Process &amp; Database\Documentation\Colo Applications</v>
      </c>
      <c r="BH44" s="104" t="str">
        <f ca="1">_05preva_view43[Folder Path2]&amp;"\Colo App "&amp;_05preva_view43[[#This Row],[Operator]]&amp;"\"</f>
        <v>D:\OneDrive - apollo-towers.com\Apollo Towers\00-Process &amp; Database\Documentation\Colo Applications\Colo App OML\</v>
      </c>
      <c r="BI44" s="63" t="str">
        <f ca="1">_05preva_view43[[#This Row],[Folder Path3]]&amp;_05preva_view43[[#This Row],[File Name]]</f>
        <v>D:\OneDrive - apollo-towers.com\Apollo Towers\00-Process &amp; Database\Documentation\Colo Applications\Colo App OML\AYYN_0335 (YAM7609) Application Rev .xlsx</v>
      </c>
      <c r="BJ44" s="104"/>
      <c r="BK44" s="3"/>
      <c r="BL44" s="3"/>
      <c r="CJ44" s="5"/>
      <c r="CK44" s="5"/>
      <c r="CL44" s="3"/>
      <c r="CN44" s="5"/>
      <c r="CR44" s="3"/>
      <c r="CS44" s="3"/>
      <c r="CT44" s="5"/>
      <c r="CV44" s="3"/>
      <c r="DR44" s="5"/>
      <c r="DT44" s="3"/>
      <c r="EF44" s="7"/>
      <c r="EG44" s="7"/>
      <c r="EJ44" s="4"/>
      <c r="EK44" s="4"/>
      <c r="EU44" s="2"/>
      <c r="EV44" s="2"/>
    </row>
    <row r="45" spans="1:152">
      <c r="A45" s="125">
        <v>3611</v>
      </c>
      <c r="B45" s="126" t="s">
        <v>1996</v>
      </c>
      <c r="C45" s="126" t="s">
        <v>116</v>
      </c>
      <c r="D45" s="126" t="s">
        <v>163</v>
      </c>
      <c r="E45" s="126" t="s">
        <v>1997</v>
      </c>
      <c r="F45" s="126" t="s">
        <v>40</v>
      </c>
      <c r="G45" s="126" t="s">
        <v>1143</v>
      </c>
      <c r="H45" s="126" t="s">
        <v>1619</v>
      </c>
      <c r="I45" s="126" t="s">
        <v>1143</v>
      </c>
      <c r="J45" s="126" t="s">
        <v>1091</v>
      </c>
      <c r="K45" s="127">
        <v>43481</v>
      </c>
      <c r="L45" s="128">
        <v>3</v>
      </c>
      <c r="M45" s="128">
        <v>4</v>
      </c>
      <c r="N45" s="126">
        <v>6</v>
      </c>
      <c r="O45" s="126" t="s">
        <v>119</v>
      </c>
      <c r="P45" s="129" t="s">
        <v>333</v>
      </c>
      <c r="Q45" s="129" t="s">
        <v>334</v>
      </c>
      <c r="R45" s="126" t="s">
        <v>25</v>
      </c>
      <c r="S45" s="126"/>
      <c r="T45" s="130" t="s">
        <v>861</v>
      </c>
      <c r="U45" s="126"/>
      <c r="V45" s="130" t="s">
        <v>120</v>
      </c>
      <c r="W45" s="126"/>
      <c r="X45" s="130" t="s">
        <v>125</v>
      </c>
      <c r="Y45" s="126" t="s">
        <v>1998</v>
      </c>
      <c r="Z45" s="162"/>
      <c r="AA45" s="154"/>
      <c r="AB45" s="154"/>
      <c r="AC45" s="167"/>
      <c r="AD45" s="126"/>
      <c r="AE45" s="130" t="s">
        <v>120</v>
      </c>
      <c r="AF45" s="127"/>
      <c r="AG45" s="131"/>
      <c r="AH45" s="131"/>
      <c r="AI45" s="126"/>
      <c r="AJ45" s="130" t="s">
        <v>125</v>
      </c>
      <c r="AK45" s="126" t="s">
        <v>240</v>
      </c>
      <c r="AL45" s="126" t="s">
        <v>1992</v>
      </c>
      <c r="AM45" s="130"/>
      <c r="AN45" s="126"/>
      <c r="AO45" s="132"/>
      <c r="AP45" s="126"/>
      <c r="AQ45" s="126"/>
      <c r="AR45" s="130"/>
      <c r="AS45" s="126"/>
      <c r="AT45" s="127"/>
      <c r="AU45" s="127">
        <v>43483.476268518498</v>
      </c>
      <c r="AV45" s="127"/>
      <c r="AW45" s="127"/>
      <c r="AX45" s="127"/>
      <c r="AY45" s="127">
        <v>43481.690496990697</v>
      </c>
      <c r="AZ45" s="133"/>
      <c r="BA45" s="134">
        <f ca="1">IF(_05preva_view43[[#This Row],[Prevalidation Status]]="Under Prevalidation",NOW()-_05preva_view43[[#This Row],[Request Date]],IF(_05preva_view43[[#This Row],[Close Date]]&gt;_05preva_view43[[#This Row],[Request Date]],_05preva_view43[[#This Row],[Close Date]]-_05preva_view43[[#This Row],[Request Date]],"Not  Calculated"))</f>
        <v>6.506734143520589</v>
      </c>
      <c r="BB45" s="135">
        <f>COUNTIFS(_05preva_view43[Site ID],_05preva_view43[[#This Row],[Site ID]],_05preva_view43[Prevalidation Status],"Under Prevalidation")</f>
        <v>1</v>
      </c>
      <c r="BC45" s="153" t="str">
        <f ca="1">HYPERLINK(CheckPath(_05preva_view43[[#This Row],[File Path]],_05preva_view43[[#This Row],[File Path]],_05preva_view43[[#This Row],[Folder Path3]]),CheckPath(_05preva_view43[[#This Row],[File Path]],"Open File","No File"))</f>
        <v>No File</v>
      </c>
      <c r="BD45" s="136" t="str">
        <f>CONCATENATE(_05preva_view43[[#This Row],[Site ID]]," (",_05preva_view43[[#This Row],[tenant id]],") Application",IF(_05preva_view43[[#This Row],[Colo Rev]]&gt;0," Rev "&amp;_05preva_view43[[#This Row],[Colo Rev]],""),".xlsx")</f>
        <v>AYYN_0541 (YAW4695) Application Rev .xlsx</v>
      </c>
      <c r="BE45" s="64">
        <f t="shared" ca="1" si="2"/>
        <v>50</v>
      </c>
      <c r="BF45" s="104" t="str">
        <f ca="1">LEFT(CELL("filename",A30),_05preva_view43[[#This Row],[Find Process &amp; Database]]-1)</f>
        <v>D:\OneDrive - apollo-towers.com\Apollo Towers\00-</v>
      </c>
      <c r="BG45" s="104" t="str">
        <f ca="1">_05preva_view43[Folder Path1]&amp;"Process &amp; Database\Documentation\Colo Applications"</f>
        <v>D:\OneDrive - apollo-towers.com\Apollo Towers\00-Process &amp; Database\Documentation\Colo Applications</v>
      </c>
      <c r="BH45" s="104" t="str">
        <f ca="1">_05preva_view43[Folder Path2]&amp;"\Colo App "&amp;_05preva_view43[[#This Row],[Operator]]&amp;"\"</f>
        <v>D:\OneDrive - apollo-towers.com\Apollo Towers\00-Process &amp; Database\Documentation\Colo Applications\Colo App OML\</v>
      </c>
      <c r="BI45" s="63" t="str">
        <f ca="1">_05preva_view43[[#This Row],[Folder Path3]]&amp;_05preva_view43[[#This Row],[File Name]]</f>
        <v>D:\OneDrive - apollo-towers.com\Apollo Towers\00-Process &amp; Database\Documentation\Colo Applications\Colo App OML\AYYN_0541 (YAW4695) Application Rev .xlsx</v>
      </c>
      <c r="BJ45" s="104"/>
      <c r="BK45" s="3"/>
      <c r="BL45" s="3"/>
      <c r="CJ45" s="5"/>
      <c r="CK45" s="5"/>
      <c r="CL45" s="3"/>
      <c r="CN45" s="5"/>
      <c r="CR45" s="3"/>
      <c r="CS45" s="3"/>
      <c r="CT45" s="5"/>
      <c r="CV45" s="3"/>
      <c r="DR45" s="5"/>
      <c r="DT45" s="3"/>
      <c r="EF45" s="7"/>
      <c r="EG45" s="7"/>
      <c r="EJ45" s="4"/>
      <c r="EK45" s="4"/>
      <c r="EU45" s="2"/>
      <c r="EV45" s="2"/>
    </row>
    <row r="46" spans="1:152">
      <c r="A46" s="125">
        <v>3612</v>
      </c>
      <c r="B46" s="126" t="s">
        <v>515</v>
      </c>
      <c r="C46" s="126" t="s">
        <v>116</v>
      </c>
      <c r="D46" s="126" t="s">
        <v>163</v>
      </c>
      <c r="E46" s="126" t="s">
        <v>516</v>
      </c>
      <c r="F46" s="126" t="s">
        <v>40</v>
      </c>
      <c r="G46" s="126" t="s">
        <v>118</v>
      </c>
      <c r="H46" s="126"/>
      <c r="I46" s="126" t="s">
        <v>1143</v>
      </c>
      <c r="J46" s="126" t="s">
        <v>1091</v>
      </c>
      <c r="K46" s="127">
        <v>43481</v>
      </c>
      <c r="L46" s="128">
        <v>3</v>
      </c>
      <c r="M46" s="128">
        <v>4</v>
      </c>
      <c r="N46" s="126">
        <v>6</v>
      </c>
      <c r="O46" s="126" t="s">
        <v>119</v>
      </c>
      <c r="P46" s="129" t="s">
        <v>285</v>
      </c>
      <c r="Q46" s="129" t="s">
        <v>263</v>
      </c>
      <c r="R46" s="126" t="s">
        <v>25</v>
      </c>
      <c r="S46" s="126"/>
      <c r="T46" s="130" t="s">
        <v>861</v>
      </c>
      <c r="U46" s="126"/>
      <c r="V46" s="130" t="s">
        <v>120</v>
      </c>
      <c r="W46" s="126"/>
      <c r="X46" s="130" t="s">
        <v>120</v>
      </c>
      <c r="Y46" s="126" t="s">
        <v>1999</v>
      </c>
      <c r="Z46" s="162" t="s">
        <v>120</v>
      </c>
      <c r="AA46" s="154"/>
      <c r="AB46" s="154"/>
      <c r="AC46" s="167" t="s">
        <v>123</v>
      </c>
      <c r="AD46" s="126" t="s">
        <v>2000</v>
      </c>
      <c r="AE46" s="130" t="s">
        <v>120</v>
      </c>
      <c r="AF46" s="127"/>
      <c r="AG46" s="131"/>
      <c r="AH46" s="131"/>
      <c r="AI46" s="126"/>
      <c r="AJ46" s="130" t="s">
        <v>120</v>
      </c>
      <c r="AK46" s="126" t="s">
        <v>240</v>
      </c>
      <c r="AL46" s="126" t="s">
        <v>2001</v>
      </c>
      <c r="AM46" s="130"/>
      <c r="AN46" s="126"/>
      <c r="AO46" s="132"/>
      <c r="AP46" s="126"/>
      <c r="AQ46" s="126"/>
      <c r="AR46" s="130"/>
      <c r="AS46" s="126"/>
      <c r="AT46" s="127">
        <v>43482.624734490702</v>
      </c>
      <c r="AU46" s="127">
        <v>43483.4762752315</v>
      </c>
      <c r="AV46" s="127">
        <v>43486.624223263898</v>
      </c>
      <c r="AW46" s="127">
        <v>43482.624734490702</v>
      </c>
      <c r="AX46" s="127"/>
      <c r="AY46" s="127">
        <v>43481.690498263903</v>
      </c>
      <c r="AZ46" s="133"/>
      <c r="BA46" s="134">
        <f ca="1">IF(_05preva_view43[[#This Row],[Prevalidation Status]]="Under Prevalidation",NOW()-_05preva_view43[[#This Row],[Request Date]],IF(_05preva_view43[[#This Row],[Close Date]]&gt;_05preva_view43[[#This Row],[Request Date]],_05preva_view43[[#This Row],[Close Date]]-_05preva_view43[[#This Row],[Request Date]],"Not  Calculated"))</f>
        <v>6.506734143520589</v>
      </c>
      <c r="BB46" s="135">
        <f>COUNTIFS(_05preva_view43[Site ID],_05preva_view43[[#This Row],[Site ID]],_05preva_view43[Prevalidation Status],"Under Prevalidation")</f>
        <v>1</v>
      </c>
      <c r="BC46" s="153" t="str">
        <f ca="1">HYPERLINK(CheckPath(_05preva_view43[[#This Row],[File Path]],_05preva_view43[[#This Row],[File Path]],_05preva_view43[[#This Row],[Folder Path3]]),CheckPath(_05preva_view43[[#This Row],[File Path]],"Open File","No File"))</f>
        <v>No File</v>
      </c>
      <c r="BD46" s="136" t="str">
        <f>CONCATENATE(_05preva_view43[[#This Row],[Site ID]]," (",_05preva_view43[[#This Row],[tenant id]],") Application",IF(_05preva_view43[[#This Row],[Colo Rev]]&gt;0," Rev "&amp;_05preva_view43[[#This Row],[Colo Rev]],""),".xlsx")</f>
        <v>ACBA_0032 (BAW5234) Application Rev .xlsx</v>
      </c>
      <c r="BE46" s="64">
        <f t="shared" ca="1" si="2"/>
        <v>50</v>
      </c>
      <c r="BF46" s="104" t="str">
        <f ca="1">LEFT(CELL("filename",A31),_05preva_view43[[#This Row],[Find Process &amp; Database]]-1)</f>
        <v>D:\OneDrive - apollo-towers.com\Apollo Towers\00-</v>
      </c>
      <c r="BG46" s="104" t="str">
        <f ca="1">_05preva_view43[Folder Path1]&amp;"Process &amp; Database\Documentation\Colo Applications"</f>
        <v>D:\OneDrive - apollo-towers.com\Apollo Towers\00-Process &amp; Database\Documentation\Colo Applications</v>
      </c>
      <c r="BH46" s="104" t="str">
        <f ca="1">_05preva_view43[Folder Path2]&amp;"\Colo App "&amp;_05preva_view43[[#This Row],[Operator]]&amp;"\"</f>
        <v>D:\OneDrive - apollo-towers.com\Apollo Towers\00-Process &amp; Database\Documentation\Colo Applications\Colo App OML\</v>
      </c>
      <c r="BI46" s="63" t="str">
        <f ca="1">_05preva_view43[[#This Row],[Folder Path3]]&amp;_05preva_view43[[#This Row],[File Name]]</f>
        <v>D:\OneDrive - apollo-towers.com\Apollo Towers\00-Process &amp; Database\Documentation\Colo Applications\Colo App OML\ACBA_0032 (BAW5234) Application Rev .xlsx</v>
      </c>
      <c r="BJ46" s="104"/>
      <c r="BK46" s="3"/>
      <c r="BL46" s="3"/>
      <c r="CJ46" s="5"/>
      <c r="CK46" s="5"/>
      <c r="CL46" s="3"/>
      <c r="CN46" s="5"/>
      <c r="CR46" s="3"/>
      <c r="CS46" s="3"/>
      <c r="CT46" s="5"/>
      <c r="CV46" s="3"/>
      <c r="DR46" s="5"/>
      <c r="DT46" s="3"/>
      <c r="EF46" s="7"/>
      <c r="EG46" s="7"/>
      <c r="EJ46" s="4"/>
      <c r="EK46" s="4"/>
      <c r="EU46" s="2"/>
      <c r="EV46" s="2"/>
    </row>
    <row r="47" spans="1:152">
      <c r="A47" s="125">
        <v>3613</v>
      </c>
      <c r="B47" s="126" t="s">
        <v>962</v>
      </c>
      <c r="C47" s="126" t="s">
        <v>331</v>
      </c>
      <c r="D47" s="126" t="s">
        <v>117</v>
      </c>
      <c r="E47" s="126" t="s">
        <v>963</v>
      </c>
      <c r="F47" s="126" t="s">
        <v>35</v>
      </c>
      <c r="G47" s="126" t="s">
        <v>1583</v>
      </c>
      <c r="H47" s="126" t="s">
        <v>1575</v>
      </c>
      <c r="I47" s="126" t="s">
        <v>1053</v>
      </c>
      <c r="J47" s="126" t="s">
        <v>957</v>
      </c>
      <c r="K47" s="127">
        <v>43481</v>
      </c>
      <c r="L47" s="128">
        <v>2.72</v>
      </c>
      <c r="M47" s="128">
        <v>3.4</v>
      </c>
      <c r="N47" s="126"/>
      <c r="O47" s="126" t="s">
        <v>950</v>
      </c>
      <c r="P47" s="129" t="s">
        <v>958</v>
      </c>
      <c r="Q47" s="129" t="s">
        <v>959</v>
      </c>
      <c r="R47" s="126" t="s">
        <v>24</v>
      </c>
      <c r="S47" s="126"/>
      <c r="T47" s="130" t="s">
        <v>861</v>
      </c>
      <c r="U47" s="126"/>
      <c r="V47" s="130" t="s">
        <v>861</v>
      </c>
      <c r="W47" s="126"/>
      <c r="X47" s="130" t="s">
        <v>861</v>
      </c>
      <c r="Y47" s="126"/>
      <c r="Z47" s="162" t="s">
        <v>861</v>
      </c>
      <c r="AA47" s="154"/>
      <c r="AB47" s="154"/>
      <c r="AC47" s="167"/>
      <c r="AD47" s="126"/>
      <c r="AE47" s="130" t="s">
        <v>120</v>
      </c>
      <c r="AF47" s="127"/>
      <c r="AG47" s="131"/>
      <c r="AH47" s="131"/>
      <c r="AI47" s="126"/>
      <c r="AJ47" s="130" t="s">
        <v>861</v>
      </c>
      <c r="AK47" s="126"/>
      <c r="AL47" s="126"/>
      <c r="AM47" s="130"/>
      <c r="AN47" s="126"/>
      <c r="AO47" s="132"/>
      <c r="AP47" s="126"/>
      <c r="AQ47" s="126"/>
      <c r="AR47" s="130"/>
      <c r="AS47" s="126"/>
      <c r="AT47" s="127"/>
      <c r="AU47" s="127">
        <v>43483.476281828698</v>
      </c>
      <c r="AV47" s="127"/>
      <c r="AW47" s="127"/>
      <c r="AX47" s="127"/>
      <c r="AY47" s="127"/>
      <c r="AZ47" s="133">
        <v>43486.428173611101</v>
      </c>
      <c r="BA47" s="134">
        <f ca="1">IF(_05preva_view43[[#This Row],[Prevalidation Status]]="Under Prevalidation",NOW()-_05preva_view43[[#This Row],[Request Date]],IF(_05preva_view43[[#This Row],[Close Date]]&gt;_05preva_view43[[#This Row],[Request Date]],_05preva_view43[[#This Row],[Close Date]]-_05preva_view43[[#This Row],[Request Date]],"Not  Calculated"))</f>
        <v>5.4281736111006467</v>
      </c>
      <c r="BB47" s="135">
        <f>COUNTIFS(_05preva_view43[Site ID],_05preva_view43[[#This Row],[Site ID]],_05preva_view43[Prevalidation Status],"Under Prevalidation")</f>
        <v>0</v>
      </c>
      <c r="BC47" s="153" t="str">
        <f ca="1">HYPERLINK(CheckPath(_05preva_view43[[#This Row],[File Path]],_05preva_view43[[#This Row],[File Path]],_05preva_view43[[#This Row],[Folder Path3]]),CheckPath(_05preva_view43[[#This Row],[File Path]],"Open File","No File"))</f>
        <v>No File</v>
      </c>
      <c r="BD47" s="136" t="str">
        <f>CONCATENATE(_05preva_view43[[#This Row],[Site ID]]," (",_05preva_view43[[#This Row],[tenant id]],") Application",IF(_05preva_view43[[#This Row],[Colo Rev]]&gt;0," Rev "&amp;_05preva_view43[[#This Row],[Colo Rev]],""),".xlsx")</f>
        <v>1-01-14003-002 (SHS00117) Application Rev 4.xlsx</v>
      </c>
      <c r="BE47" s="64">
        <f t="shared" ca="1" si="2"/>
        <v>50</v>
      </c>
      <c r="BF47" s="104" t="str">
        <f ca="1">LEFT(CELL("filename",A32),_05preva_view43[[#This Row],[Find Process &amp; Database]]-1)</f>
        <v>D:\OneDrive - apollo-towers.com\Apollo Towers\00-</v>
      </c>
      <c r="BG47" s="104" t="str">
        <f ca="1">_05preva_view43[Folder Path1]&amp;"Process &amp; Database\Documentation\Colo Applications"</f>
        <v>D:\OneDrive - apollo-towers.com\Apollo Towers\00-Process &amp; Database\Documentation\Colo Applications</v>
      </c>
      <c r="BH47" s="104" t="str">
        <f ca="1">_05preva_view43[Folder Path2]&amp;"\Colo App "&amp;_05preva_view43[[#This Row],[Operator]]&amp;"\"</f>
        <v>D:\OneDrive - apollo-towers.com\Apollo Towers\00-Process &amp; Database\Documentation\Colo Applications\Colo App MPT\</v>
      </c>
      <c r="BI47" s="63" t="str">
        <f ca="1">_05preva_view43[[#This Row],[Folder Path3]]&amp;_05preva_view43[[#This Row],[File Name]]</f>
        <v>D:\OneDrive - apollo-towers.com\Apollo Towers\00-Process &amp; Database\Documentation\Colo Applications\Colo App MPT\1-01-14003-002 (SHS00117) Application Rev 4.xlsx</v>
      </c>
      <c r="BJ47" s="104"/>
      <c r="BK47" s="3"/>
      <c r="BL47" s="3"/>
      <c r="CJ47" s="5"/>
      <c r="CK47" s="5"/>
      <c r="CL47" s="3"/>
      <c r="CN47" s="5"/>
      <c r="CR47" s="3"/>
      <c r="CS47" s="3"/>
      <c r="CT47" s="5"/>
      <c r="CV47" s="3"/>
      <c r="DR47" s="5"/>
      <c r="DT47" s="3"/>
      <c r="EF47" s="7"/>
      <c r="EG47" s="7"/>
      <c r="EJ47" s="4"/>
      <c r="EK47" s="4"/>
      <c r="EU47" s="2"/>
      <c r="EV47" s="2"/>
    </row>
    <row r="48" spans="1:152">
      <c r="A48" s="125">
        <v>3599</v>
      </c>
      <c r="B48" s="126" t="s">
        <v>2002</v>
      </c>
      <c r="C48" s="126" t="s">
        <v>116</v>
      </c>
      <c r="D48" s="126" t="s">
        <v>127</v>
      </c>
      <c r="E48" s="126" t="s">
        <v>2003</v>
      </c>
      <c r="F48" s="126" t="s">
        <v>35</v>
      </c>
      <c r="G48" s="126" t="s">
        <v>1577</v>
      </c>
      <c r="H48" s="126" t="s">
        <v>1575</v>
      </c>
      <c r="I48" s="126" t="s">
        <v>1263</v>
      </c>
      <c r="J48" s="126" t="s">
        <v>949</v>
      </c>
      <c r="K48" s="127">
        <v>43480</v>
      </c>
      <c r="L48" s="128">
        <v>1.079</v>
      </c>
      <c r="M48" s="128">
        <v>1.4950000000000001</v>
      </c>
      <c r="N48" s="126">
        <v>7.56</v>
      </c>
      <c r="O48" s="126" t="s">
        <v>119</v>
      </c>
      <c r="P48" s="129" t="s">
        <v>263</v>
      </c>
      <c r="Q48" s="129" t="s">
        <v>264</v>
      </c>
      <c r="R48" s="126" t="s">
        <v>24</v>
      </c>
      <c r="S48" s="126"/>
      <c r="T48" s="130" t="s">
        <v>861</v>
      </c>
      <c r="U48" s="126" t="s">
        <v>2004</v>
      </c>
      <c r="V48" s="130" t="s">
        <v>120</v>
      </c>
      <c r="W48" s="126"/>
      <c r="X48" s="130" t="s">
        <v>120</v>
      </c>
      <c r="Y48" s="126" t="s">
        <v>2005</v>
      </c>
      <c r="Z48" s="162" t="s">
        <v>120</v>
      </c>
      <c r="AA48" s="154"/>
      <c r="AB48" s="154"/>
      <c r="AC48" s="167" t="s">
        <v>123</v>
      </c>
      <c r="AD48" s="126" t="s">
        <v>2006</v>
      </c>
      <c r="AE48" s="130" t="s">
        <v>120</v>
      </c>
      <c r="AF48" s="127"/>
      <c r="AG48" s="131"/>
      <c r="AH48" s="131"/>
      <c r="AI48" s="126"/>
      <c r="AJ48" s="130" t="s">
        <v>120</v>
      </c>
      <c r="AK48" s="126" t="s">
        <v>123</v>
      </c>
      <c r="AL48" s="126" t="s">
        <v>1198</v>
      </c>
      <c r="AM48" s="130"/>
      <c r="AN48" s="126"/>
      <c r="AO48" s="132"/>
      <c r="AP48" s="126"/>
      <c r="AQ48" s="126"/>
      <c r="AR48" s="130"/>
      <c r="AS48" s="126"/>
      <c r="AT48" s="127">
        <v>43482.624717245402</v>
      </c>
      <c r="AU48" s="127">
        <v>43481.365416203698</v>
      </c>
      <c r="AV48" s="127">
        <v>43483.561056365703</v>
      </c>
      <c r="AW48" s="127">
        <v>43482.624717245402</v>
      </c>
      <c r="AX48" s="127">
        <v>43480.7145789352</v>
      </c>
      <c r="AY48" s="127">
        <v>43480.621084143502</v>
      </c>
      <c r="AZ48" s="133">
        <v>43486.402932175901</v>
      </c>
      <c r="BA48" s="134">
        <f ca="1">IF(_05preva_view43[[#This Row],[Prevalidation Status]]="Under Prevalidation",NOW()-_05preva_view43[[#This Row],[Request Date]],IF(_05preva_view43[[#This Row],[Close Date]]&gt;_05preva_view43[[#This Row],[Request Date]],_05preva_view43[[#This Row],[Close Date]]-_05preva_view43[[#This Row],[Request Date]],"Not  Calculated"))</f>
        <v>6.4029321759007871</v>
      </c>
      <c r="BB48" s="135">
        <f>COUNTIFS(_05preva_view43[Site ID],_05preva_view43[[#This Row],[Site ID]],_05preva_view43[Prevalidation Status],"Under Prevalidation")</f>
        <v>0</v>
      </c>
      <c r="BC48" s="153" t="str">
        <f ca="1">HYPERLINK(CheckPath(_05preva_view43[[#This Row],[File Path]],_05preva_view43[[#This Row],[File Path]],_05preva_view43[[#This Row],[Folder Path3]]),CheckPath(_05preva_view43[[#This Row],[File Path]],"Open File","No File"))</f>
        <v>No File</v>
      </c>
      <c r="BD48" s="136" t="str">
        <f>CONCATENATE(_05preva_view43[[#This Row],[Site ID]]," (",_05preva_view43[[#This Row],[tenant id]],") Application",IF(_05preva_view43[[#This Row],[Colo Rev]]&gt;0," Rev "&amp;_05preva_view43[[#This Row],[Colo Rev]],""),".xlsx")</f>
        <v>ANMD_0220 (MDY00991) Application Rev 2.xlsx</v>
      </c>
      <c r="BE48" s="64">
        <f t="shared" ca="1" si="2"/>
        <v>50</v>
      </c>
      <c r="BF48" s="104" t="str">
        <f ca="1">LEFT(CELL("filename",A33),_05preva_view43[[#This Row],[Find Process &amp; Database]]-1)</f>
        <v>D:\OneDrive - apollo-towers.com\Apollo Towers\00-</v>
      </c>
      <c r="BG48" s="104" t="str">
        <f ca="1">_05preva_view43[Folder Path1]&amp;"Process &amp; Database\Documentation\Colo Applications"</f>
        <v>D:\OneDrive - apollo-towers.com\Apollo Towers\00-Process &amp; Database\Documentation\Colo Applications</v>
      </c>
      <c r="BH48" s="104" t="str">
        <f ca="1">_05preva_view43[Folder Path2]&amp;"\Colo App "&amp;_05preva_view43[[#This Row],[Operator]]&amp;"\"</f>
        <v>D:\OneDrive - apollo-towers.com\Apollo Towers\00-Process &amp; Database\Documentation\Colo Applications\Colo App MPT\</v>
      </c>
      <c r="BI48" s="63" t="str">
        <f ca="1">_05preva_view43[[#This Row],[Folder Path3]]&amp;_05preva_view43[[#This Row],[File Name]]</f>
        <v>D:\OneDrive - apollo-towers.com\Apollo Towers\00-Process &amp; Database\Documentation\Colo Applications\Colo App MPT\ANMD_0220 (MDY00991) Application Rev 2.xlsx</v>
      </c>
      <c r="BJ48" s="104"/>
      <c r="BK48" s="3"/>
      <c r="BL48" s="3"/>
      <c r="CJ48" s="5"/>
      <c r="CK48" s="5"/>
      <c r="CL48" s="3"/>
      <c r="CN48" s="5"/>
      <c r="CR48" s="3"/>
      <c r="CS48" s="3"/>
      <c r="CT48" s="5"/>
      <c r="CV48" s="3"/>
      <c r="DR48" s="5"/>
      <c r="DT48" s="3"/>
      <c r="EF48" s="7"/>
      <c r="EG48" s="7"/>
      <c r="EJ48" s="4"/>
      <c r="EK48" s="4"/>
      <c r="EU48" s="2"/>
      <c r="EV48" s="2"/>
    </row>
    <row r="49" spans="1:152">
      <c r="A49" s="125">
        <v>3600</v>
      </c>
      <c r="B49" s="126" t="s">
        <v>2007</v>
      </c>
      <c r="C49" s="126" t="s">
        <v>331</v>
      </c>
      <c r="D49" s="126" t="s">
        <v>127</v>
      </c>
      <c r="E49" s="126" t="s">
        <v>2008</v>
      </c>
      <c r="F49" s="126" t="s">
        <v>35</v>
      </c>
      <c r="G49" s="126" t="s">
        <v>1583</v>
      </c>
      <c r="H49" s="126" t="s">
        <v>1575</v>
      </c>
      <c r="I49" s="126" t="s">
        <v>1263</v>
      </c>
      <c r="J49" s="126" t="s">
        <v>931</v>
      </c>
      <c r="K49" s="127">
        <v>43480</v>
      </c>
      <c r="L49" s="128">
        <v>1.1080000000000001</v>
      </c>
      <c r="M49" s="128">
        <v>1.52</v>
      </c>
      <c r="N49" s="126">
        <v>4.62</v>
      </c>
      <c r="O49" s="126" t="s">
        <v>950</v>
      </c>
      <c r="P49" s="129" t="s">
        <v>958</v>
      </c>
      <c r="Q49" s="129" t="s">
        <v>959</v>
      </c>
      <c r="R49" s="126" t="s">
        <v>24</v>
      </c>
      <c r="S49" s="126"/>
      <c r="T49" s="130" t="s">
        <v>861</v>
      </c>
      <c r="U49" s="126"/>
      <c r="V49" s="130" t="s">
        <v>120</v>
      </c>
      <c r="W49" s="126"/>
      <c r="X49" s="130" t="s">
        <v>120</v>
      </c>
      <c r="Y49" s="126" t="s">
        <v>2009</v>
      </c>
      <c r="Z49" s="162" t="s">
        <v>120</v>
      </c>
      <c r="AA49" s="154"/>
      <c r="AB49" s="154"/>
      <c r="AC49" s="167" t="s">
        <v>123</v>
      </c>
      <c r="AD49" s="126" t="s">
        <v>2010</v>
      </c>
      <c r="AE49" s="130" t="s">
        <v>120</v>
      </c>
      <c r="AF49" s="127"/>
      <c r="AG49" s="131"/>
      <c r="AH49" s="131"/>
      <c r="AI49" s="126" t="s">
        <v>2011</v>
      </c>
      <c r="AJ49" s="130" t="s">
        <v>120</v>
      </c>
      <c r="AK49" s="126" t="s">
        <v>123</v>
      </c>
      <c r="AL49" s="126" t="s">
        <v>1198</v>
      </c>
      <c r="AM49" s="130"/>
      <c r="AN49" s="126"/>
      <c r="AO49" s="132"/>
      <c r="AP49" s="126"/>
      <c r="AQ49" s="126"/>
      <c r="AR49" s="130"/>
      <c r="AS49" s="126"/>
      <c r="AT49" s="127">
        <v>43482.624718981497</v>
      </c>
      <c r="AU49" s="127">
        <v>43481.365416782399</v>
      </c>
      <c r="AV49" s="127">
        <v>43483.6958936343</v>
      </c>
      <c r="AW49" s="127">
        <v>43482.624718981497</v>
      </c>
      <c r="AX49" s="127"/>
      <c r="AY49" s="127">
        <v>43480.6210460648</v>
      </c>
      <c r="AZ49" s="133">
        <v>43486.402934375001</v>
      </c>
      <c r="BA49" s="134">
        <f ca="1">IF(_05preva_view43[[#This Row],[Prevalidation Status]]="Under Prevalidation",NOW()-_05preva_view43[[#This Row],[Request Date]],IF(_05preva_view43[[#This Row],[Close Date]]&gt;_05preva_view43[[#This Row],[Request Date]],_05preva_view43[[#This Row],[Close Date]]-_05preva_view43[[#This Row],[Request Date]],"Not  Calculated"))</f>
        <v>6.4029343750007683</v>
      </c>
      <c r="BB49" s="135">
        <f>COUNTIFS(_05preva_view43[Site ID],_05preva_view43[[#This Row],[Site ID]],_05preva_view43[Prevalidation Status],"Under Prevalidation")</f>
        <v>0</v>
      </c>
      <c r="BC49" s="153" t="str">
        <f ca="1">HYPERLINK(CheckPath(_05preva_view43[[#This Row],[File Path]],_05preva_view43[[#This Row],[File Path]],_05preva_view43[[#This Row],[Folder Path3]]),CheckPath(_05preva_view43[[#This Row],[File Path]],"Open File","No File"))</f>
        <v>No File</v>
      </c>
      <c r="BD49" s="136" t="str">
        <f>CONCATENATE(_05preva_view43[[#This Row],[Site ID]]," (",_05preva_view43[[#This Row],[tenant id]],") Application",IF(_05preva_view43[[#This Row],[Colo Rev]]&gt;0," Rev "&amp;_05preva_view43[[#This Row],[Colo Rev]],""),".xlsx")</f>
        <v>1-01-05005-001 (SGG00218) Application Rev 1.xlsx</v>
      </c>
      <c r="BE49" s="64">
        <f t="shared" ca="1" si="2"/>
        <v>50</v>
      </c>
      <c r="BF49" s="104" t="str">
        <f ca="1">LEFT(CELL("filename",A34),_05preva_view43[[#This Row],[Find Process &amp; Database]]-1)</f>
        <v>D:\OneDrive - apollo-towers.com\Apollo Towers\00-</v>
      </c>
      <c r="BG49" s="104" t="str">
        <f ca="1">_05preva_view43[Folder Path1]&amp;"Process &amp; Database\Documentation\Colo Applications"</f>
        <v>D:\OneDrive - apollo-towers.com\Apollo Towers\00-Process &amp; Database\Documentation\Colo Applications</v>
      </c>
      <c r="BH49" s="104" t="str">
        <f ca="1">_05preva_view43[Folder Path2]&amp;"\Colo App "&amp;_05preva_view43[[#This Row],[Operator]]&amp;"\"</f>
        <v>D:\OneDrive - apollo-towers.com\Apollo Towers\00-Process &amp; Database\Documentation\Colo Applications\Colo App MPT\</v>
      </c>
      <c r="BI49" s="63" t="str">
        <f ca="1">_05preva_view43[[#This Row],[Folder Path3]]&amp;_05preva_view43[[#This Row],[File Name]]</f>
        <v>D:\OneDrive - apollo-towers.com\Apollo Towers\00-Process &amp; Database\Documentation\Colo Applications\Colo App MPT\1-01-05005-001 (SGG00218) Application Rev 1.xlsx</v>
      </c>
      <c r="BJ49" s="104"/>
      <c r="BK49" s="3"/>
      <c r="BL49" s="3"/>
      <c r="CJ49" s="5"/>
      <c r="CK49" s="5"/>
      <c r="CL49" s="3"/>
      <c r="CN49" s="5"/>
      <c r="CR49" s="3"/>
      <c r="CS49" s="3"/>
      <c r="CT49" s="5"/>
      <c r="CV49" s="3"/>
      <c r="DR49" s="5"/>
      <c r="DT49" s="3"/>
      <c r="EF49" s="7"/>
      <c r="EG49" s="7"/>
      <c r="EJ49" s="4"/>
      <c r="EK49" s="4"/>
      <c r="EU49" s="2"/>
      <c r="EV49" s="2"/>
    </row>
    <row r="50" spans="1:152">
      <c r="A50" s="125">
        <v>3601</v>
      </c>
      <c r="B50" s="126" t="s">
        <v>2012</v>
      </c>
      <c r="C50" s="126" t="s">
        <v>116</v>
      </c>
      <c r="D50" s="126" t="s">
        <v>127</v>
      </c>
      <c r="E50" s="126" t="s">
        <v>2013</v>
      </c>
      <c r="F50" s="126" t="s">
        <v>35</v>
      </c>
      <c r="G50" s="126" t="s">
        <v>1577</v>
      </c>
      <c r="H50" s="126" t="s">
        <v>1575</v>
      </c>
      <c r="I50" s="126" t="s">
        <v>1263</v>
      </c>
      <c r="J50" s="126" t="s">
        <v>949</v>
      </c>
      <c r="K50" s="127">
        <v>43480</v>
      </c>
      <c r="L50" s="128">
        <v>1</v>
      </c>
      <c r="M50" s="128">
        <v>1.4</v>
      </c>
      <c r="N50" s="126">
        <v>5.83</v>
      </c>
      <c r="O50" s="126" t="s">
        <v>119</v>
      </c>
      <c r="P50" s="129" t="s">
        <v>256</v>
      </c>
      <c r="Q50" s="129" t="s">
        <v>257</v>
      </c>
      <c r="R50" s="126" t="s">
        <v>24</v>
      </c>
      <c r="S50" s="126"/>
      <c r="T50" s="130" t="s">
        <v>861</v>
      </c>
      <c r="U50" s="126" t="s">
        <v>2014</v>
      </c>
      <c r="V50" s="130" t="s">
        <v>120</v>
      </c>
      <c r="W50" s="126"/>
      <c r="X50" s="130" t="s">
        <v>120</v>
      </c>
      <c r="Y50" s="126" t="s">
        <v>2015</v>
      </c>
      <c r="Z50" s="162" t="s">
        <v>120</v>
      </c>
      <c r="AA50" s="154"/>
      <c r="AB50" s="154"/>
      <c r="AC50" s="167" t="s">
        <v>240</v>
      </c>
      <c r="AD50" s="126" t="s">
        <v>2016</v>
      </c>
      <c r="AE50" s="130" t="s">
        <v>120</v>
      </c>
      <c r="AF50" s="127"/>
      <c r="AG50" s="131"/>
      <c r="AH50" s="131"/>
      <c r="AI50" s="126"/>
      <c r="AJ50" s="130" t="s">
        <v>120</v>
      </c>
      <c r="AK50" s="126" t="s">
        <v>123</v>
      </c>
      <c r="AL50" s="126" t="s">
        <v>1198</v>
      </c>
      <c r="AM50" s="130"/>
      <c r="AN50" s="126"/>
      <c r="AO50" s="132"/>
      <c r="AP50" s="126"/>
      <c r="AQ50" s="126"/>
      <c r="AR50" s="130"/>
      <c r="AS50" s="126"/>
      <c r="AT50" s="127">
        <v>43482.624720601903</v>
      </c>
      <c r="AU50" s="127">
        <v>43481.365418171299</v>
      </c>
      <c r="AV50" s="127">
        <v>43486.4284436343</v>
      </c>
      <c r="AW50" s="127">
        <v>43482.624720601903</v>
      </c>
      <c r="AX50" s="127">
        <v>43480.714581828703</v>
      </c>
      <c r="AY50" s="127">
        <v>43480.621086226798</v>
      </c>
      <c r="AZ50" s="133">
        <v>43486.723548032402</v>
      </c>
      <c r="BA50" s="134">
        <f ca="1">IF(_05preva_view43[[#This Row],[Prevalidation Status]]="Under Prevalidation",NOW()-_05preva_view43[[#This Row],[Request Date]],IF(_05preva_view43[[#This Row],[Close Date]]&gt;_05preva_view43[[#This Row],[Request Date]],_05preva_view43[[#This Row],[Close Date]]-_05preva_view43[[#This Row],[Request Date]],"Not  Calculated"))</f>
        <v>6.7235480324015953</v>
      </c>
      <c r="BB50" s="135">
        <f>COUNTIFS(_05preva_view43[Site ID],_05preva_view43[[#This Row],[Site ID]],_05preva_view43[Prevalidation Status],"Under Prevalidation")</f>
        <v>0</v>
      </c>
      <c r="BC50" s="153" t="str">
        <f ca="1">HYPERLINK(CheckPath(_05preva_view43[[#This Row],[File Path]],_05preva_view43[[#This Row],[File Path]],_05preva_view43[[#This Row],[Folder Path3]]),CheckPath(_05preva_view43[[#This Row],[File Path]],"Open File","No File"))</f>
        <v>No File</v>
      </c>
      <c r="BD50" s="136" t="str">
        <f>CONCATENATE(_05preva_view43[[#This Row],[Site ID]]," (",_05preva_view43[[#This Row],[tenant id]],") Application",IF(_05preva_view43[[#This Row],[Colo Rev]]&gt;0," Rev "&amp;_05preva_view43[[#This Row],[Colo Rev]],""),".xlsx")</f>
        <v>ANSG_0498 (SGG00255) Application Rev 2.xlsx</v>
      </c>
      <c r="BE50" s="64">
        <f t="shared" ca="1" si="2"/>
        <v>50</v>
      </c>
      <c r="BF50" s="104" t="str">
        <f ca="1">LEFT(CELL("filename",A35),_05preva_view43[[#This Row],[Find Process &amp; Database]]-1)</f>
        <v>D:\OneDrive - apollo-towers.com\Apollo Towers\00-</v>
      </c>
      <c r="BG50" s="104" t="str">
        <f ca="1">_05preva_view43[Folder Path1]&amp;"Process &amp; Database\Documentation\Colo Applications"</f>
        <v>D:\OneDrive - apollo-towers.com\Apollo Towers\00-Process &amp; Database\Documentation\Colo Applications</v>
      </c>
      <c r="BH50" s="104" t="str">
        <f ca="1">_05preva_view43[Folder Path2]&amp;"\Colo App "&amp;_05preva_view43[[#This Row],[Operator]]&amp;"\"</f>
        <v>D:\OneDrive - apollo-towers.com\Apollo Towers\00-Process &amp; Database\Documentation\Colo Applications\Colo App MPT\</v>
      </c>
      <c r="BI50" s="63" t="str">
        <f ca="1">_05preva_view43[[#This Row],[Folder Path3]]&amp;_05preva_view43[[#This Row],[File Name]]</f>
        <v>D:\OneDrive - apollo-towers.com\Apollo Towers\00-Process &amp; Database\Documentation\Colo Applications\Colo App MPT\ANSG_0498 (SGG00255) Application Rev 2.xlsx</v>
      </c>
      <c r="BJ50" s="104"/>
      <c r="BK50" s="3"/>
      <c r="BL50" s="3"/>
      <c r="CJ50" s="5"/>
      <c r="CK50" s="5"/>
      <c r="CL50" s="3"/>
      <c r="CN50" s="5"/>
      <c r="CR50" s="3"/>
      <c r="CS50" s="3"/>
      <c r="CT50" s="5"/>
      <c r="CV50" s="3"/>
      <c r="DR50" s="5"/>
      <c r="DT50" s="3"/>
      <c r="EF50" s="7"/>
      <c r="EG50" s="7"/>
      <c r="EJ50" s="4"/>
      <c r="EK50" s="4"/>
      <c r="EU50" s="2"/>
      <c r="EV50" s="2"/>
    </row>
    <row r="51" spans="1:152">
      <c r="A51" s="125">
        <v>3602</v>
      </c>
      <c r="B51" s="126" t="s">
        <v>2017</v>
      </c>
      <c r="C51" s="126" t="s">
        <v>331</v>
      </c>
      <c r="D51" s="126" t="s">
        <v>127</v>
      </c>
      <c r="E51" s="126" t="s">
        <v>2018</v>
      </c>
      <c r="F51" s="126" t="s">
        <v>35</v>
      </c>
      <c r="G51" s="126" t="s">
        <v>1583</v>
      </c>
      <c r="H51" s="126" t="s">
        <v>1575</v>
      </c>
      <c r="I51" s="126" t="s">
        <v>1151</v>
      </c>
      <c r="J51" s="126" t="s">
        <v>949</v>
      </c>
      <c r="K51" s="127">
        <v>43480</v>
      </c>
      <c r="L51" s="128">
        <v>1</v>
      </c>
      <c r="M51" s="128">
        <v>1.4</v>
      </c>
      <c r="N51" s="126">
        <v>2.5</v>
      </c>
      <c r="O51" s="126" t="s">
        <v>950</v>
      </c>
      <c r="P51" s="129" t="s">
        <v>704</v>
      </c>
      <c r="Q51" s="129" t="s">
        <v>705</v>
      </c>
      <c r="R51" s="126" t="s">
        <v>24</v>
      </c>
      <c r="S51" s="126"/>
      <c r="T51" s="130" t="s">
        <v>861</v>
      </c>
      <c r="U51" s="126"/>
      <c r="V51" s="130" t="s">
        <v>120</v>
      </c>
      <c r="W51" s="126" t="s">
        <v>2019</v>
      </c>
      <c r="X51" s="130" t="s">
        <v>120</v>
      </c>
      <c r="Y51" s="126" t="s">
        <v>2020</v>
      </c>
      <c r="Z51" s="162" t="s">
        <v>120</v>
      </c>
      <c r="AA51" s="154"/>
      <c r="AB51" s="154"/>
      <c r="AC51" s="167" t="s">
        <v>123</v>
      </c>
      <c r="AD51" s="126" t="s">
        <v>2021</v>
      </c>
      <c r="AE51" s="130" t="s">
        <v>120</v>
      </c>
      <c r="AF51" s="127"/>
      <c r="AG51" s="131"/>
      <c r="AH51" s="131"/>
      <c r="AI51" s="126"/>
      <c r="AJ51" s="130" t="s">
        <v>120</v>
      </c>
      <c r="AK51" s="126" t="s">
        <v>123</v>
      </c>
      <c r="AL51" s="126" t="s">
        <v>1198</v>
      </c>
      <c r="AM51" s="130"/>
      <c r="AN51" s="126"/>
      <c r="AO51" s="132"/>
      <c r="AP51" s="126"/>
      <c r="AQ51" s="126"/>
      <c r="AR51" s="130"/>
      <c r="AS51" s="126"/>
      <c r="AT51" s="127">
        <v>43482.624721875</v>
      </c>
      <c r="AU51" s="127">
        <v>43481.365418865702</v>
      </c>
      <c r="AV51" s="127">
        <v>43483.695895486097</v>
      </c>
      <c r="AW51" s="127">
        <v>43482.624721875</v>
      </c>
      <c r="AX51" s="127"/>
      <c r="AY51" s="127">
        <v>43480.628352083302</v>
      </c>
      <c r="AZ51" s="133">
        <v>43486.402937731502</v>
      </c>
      <c r="BA51" s="134">
        <f ca="1">IF(_05preva_view43[[#This Row],[Prevalidation Status]]="Under Prevalidation",NOW()-_05preva_view43[[#This Row],[Request Date]],IF(_05preva_view43[[#This Row],[Close Date]]&gt;_05preva_view43[[#This Row],[Request Date]],_05preva_view43[[#This Row],[Close Date]]-_05preva_view43[[#This Row],[Request Date]],"Not  Calculated"))</f>
        <v>6.4029377315018792</v>
      </c>
      <c r="BB51" s="135">
        <f>COUNTIFS(_05preva_view43[Site ID],_05preva_view43[[#This Row],[Site ID]],_05preva_view43[Prevalidation Status],"Under Prevalidation")</f>
        <v>0</v>
      </c>
      <c r="BC51" s="153" t="str">
        <f ca="1">HYPERLINK(CheckPath(_05preva_view43[[#This Row],[File Path]],_05preva_view43[[#This Row],[File Path]],_05preva_view43[[#This Row],[Folder Path3]]),CheckPath(_05preva_view43[[#This Row],[File Path]],"Open File","No File"))</f>
        <v>No File</v>
      </c>
      <c r="BD51" s="136" t="str">
        <f>CONCATENATE(_05preva_view43[[#This Row],[Site ID]]," (",_05preva_view43[[#This Row],[tenant id]],") Application",IF(_05preva_view43[[#This Row],[Colo Rev]]&gt;0," Rev "&amp;_05preva_view43[[#This Row],[Colo Rev]],""),".xlsx")</f>
        <v>1-01-05027-001 (SGG00562) Application Rev 2.xlsx</v>
      </c>
      <c r="BE51" s="64">
        <f t="shared" ca="1" si="2"/>
        <v>50</v>
      </c>
      <c r="BF51" s="104" t="str">
        <f ca="1">LEFT(CELL("filename",A36),_05preva_view43[[#This Row],[Find Process &amp; Database]]-1)</f>
        <v>D:\OneDrive - apollo-towers.com\Apollo Towers\00-</v>
      </c>
      <c r="BG51" s="104" t="str">
        <f ca="1">_05preva_view43[Folder Path1]&amp;"Process &amp; Database\Documentation\Colo Applications"</f>
        <v>D:\OneDrive - apollo-towers.com\Apollo Towers\00-Process &amp; Database\Documentation\Colo Applications</v>
      </c>
      <c r="BH51" s="104" t="str">
        <f ca="1">_05preva_view43[Folder Path2]&amp;"\Colo App "&amp;_05preva_view43[[#This Row],[Operator]]&amp;"\"</f>
        <v>D:\OneDrive - apollo-towers.com\Apollo Towers\00-Process &amp; Database\Documentation\Colo Applications\Colo App MPT\</v>
      </c>
      <c r="BI51" s="63" t="str">
        <f ca="1">_05preva_view43[[#This Row],[Folder Path3]]&amp;_05preva_view43[[#This Row],[File Name]]</f>
        <v>D:\OneDrive - apollo-towers.com\Apollo Towers\00-Process &amp; Database\Documentation\Colo Applications\Colo App MPT\1-01-05027-001 (SGG00562) Application Rev 2.xlsx</v>
      </c>
      <c r="BJ51" s="104"/>
      <c r="BK51" s="3"/>
      <c r="BL51" s="3"/>
      <c r="CJ51" s="5"/>
      <c r="CK51" s="5"/>
      <c r="CL51" s="3"/>
      <c r="CN51" s="5"/>
      <c r="CR51" s="3"/>
      <c r="CS51" s="3"/>
      <c r="CT51" s="5"/>
      <c r="CV51" s="3"/>
      <c r="DR51" s="5"/>
      <c r="DT51" s="3"/>
      <c r="EF51" s="7"/>
      <c r="EG51" s="7"/>
      <c r="EJ51" s="4"/>
      <c r="EK51" s="4"/>
      <c r="EU51" s="2"/>
      <c r="EV51" s="2"/>
    </row>
    <row r="52" spans="1:152">
      <c r="A52" s="125">
        <v>3603</v>
      </c>
      <c r="B52" s="126" t="s">
        <v>297</v>
      </c>
      <c r="C52" s="126" t="s">
        <v>116</v>
      </c>
      <c r="D52" s="126" t="s">
        <v>127</v>
      </c>
      <c r="E52" s="126" t="s">
        <v>2022</v>
      </c>
      <c r="F52" s="126" t="s">
        <v>35</v>
      </c>
      <c r="G52" s="126" t="s">
        <v>1577</v>
      </c>
      <c r="H52" s="126" t="s">
        <v>1575</v>
      </c>
      <c r="I52" s="126" t="s">
        <v>1351</v>
      </c>
      <c r="J52" s="126" t="s">
        <v>949</v>
      </c>
      <c r="K52" s="127">
        <v>43480</v>
      </c>
      <c r="L52" s="128">
        <v>2.5950000000000002</v>
      </c>
      <c r="M52" s="128">
        <v>3.7069999999999999</v>
      </c>
      <c r="N52" s="126">
        <v>6.0579999999999998</v>
      </c>
      <c r="O52" s="126" t="s">
        <v>119</v>
      </c>
      <c r="P52" s="129" t="s">
        <v>284</v>
      </c>
      <c r="Q52" s="129" t="s">
        <v>285</v>
      </c>
      <c r="R52" s="126" t="s">
        <v>24</v>
      </c>
      <c r="S52" s="126"/>
      <c r="T52" s="130" t="s">
        <v>861</v>
      </c>
      <c r="U52" s="126" t="s">
        <v>2023</v>
      </c>
      <c r="V52" s="130" t="s">
        <v>120</v>
      </c>
      <c r="W52" s="126"/>
      <c r="X52" s="130" t="s">
        <v>120</v>
      </c>
      <c r="Y52" s="126" t="s">
        <v>2024</v>
      </c>
      <c r="Z52" s="162" t="s">
        <v>120</v>
      </c>
      <c r="AA52" s="154"/>
      <c r="AB52" s="154"/>
      <c r="AC52" s="167" t="s">
        <v>123</v>
      </c>
      <c r="AD52" s="126" t="s">
        <v>2025</v>
      </c>
      <c r="AE52" s="130" t="s">
        <v>120</v>
      </c>
      <c r="AF52" s="127"/>
      <c r="AG52" s="131"/>
      <c r="AH52" s="131"/>
      <c r="AI52" s="126"/>
      <c r="AJ52" s="130" t="s">
        <v>120</v>
      </c>
      <c r="AK52" s="126" t="s">
        <v>123</v>
      </c>
      <c r="AL52" s="126" t="s">
        <v>1198</v>
      </c>
      <c r="AM52" s="130"/>
      <c r="AN52" s="126"/>
      <c r="AO52" s="132"/>
      <c r="AP52" s="126"/>
      <c r="AQ52" s="126"/>
      <c r="AR52" s="130"/>
      <c r="AS52" s="126"/>
      <c r="AT52" s="127">
        <v>43482.6247232639</v>
      </c>
      <c r="AU52" s="127">
        <v>43481.373435416703</v>
      </c>
      <c r="AV52" s="127">
        <v>43486.492915509298</v>
      </c>
      <c r="AW52" s="127">
        <v>43482.6247232639</v>
      </c>
      <c r="AX52" s="127">
        <v>43480.714584838002</v>
      </c>
      <c r="AY52" s="127">
        <v>43480.621087847197</v>
      </c>
      <c r="AZ52" s="133">
        <v>43486.723548842601</v>
      </c>
      <c r="BA52" s="134">
        <f ca="1">IF(_05preva_view43[[#This Row],[Prevalidation Status]]="Under Prevalidation",NOW()-_05preva_view43[[#This Row],[Request Date]],IF(_05preva_view43[[#This Row],[Close Date]]&gt;_05preva_view43[[#This Row],[Request Date]],_05preva_view43[[#This Row],[Close Date]]-_05preva_view43[[#This Row],[Request Date]],"Not  Calculated"))</f>
        <v>6.7235488426013035</v>
      </c>
      <c r="BB52" s="135">
        <f>COUNTIFS(_05preva_view43[Site ID],_05preva_view43[[#This Row],[Site ID]],_05preva_view43[Prevalidation Status],"Under Prevalidation")</f>
        <v>0</v>
      </c>
      <c r="BC52" s="153" t="str">
        <f ca="1">HYPERLINK(CheckPath(_05preva_view43[[#This Row],[File Path]],_05preva_view43[[#This Row],[File Path]],_05preva_view43[[#This Row],[Folder Path3]]),CheckPath(_05preva_view43[[#This Row],[File Path]],"Open File","No File"))</f>
        <v>No File</v>
      </c>
      <c r="BD52" s="136" t="str">
        <f>CONCATENATE(_05preva_view43[[#This Row],[Site ID]]," (",_05preva_view43[[#This Row],[tenant id]],") Application",IF(_05preva_view43[[#This Row],[Colo Rev]]&gt;0," Rev "&amp;_05preva_view43[[#This Row],[Colo Rev]],""),".xlsx")</f>
        <v>ANSH_0034 (SHN00207) Application Rev 2.xlsx</v>
      </c>
      <c r="BE52" s="64">
        <f t="shared" ca="1" si="2"/>
        <v>50</v>
      </c>
      <c r="BF52" s="104" t="str">
        <f ca="1">LEFT(CELL("filename",A37),_05preva_view43[[#This Row],[Find Process &amp; Database]]-1)</f>
        <v>D:\OneDrive - apollo-towers.com\Apollo Towers\00-</v>
      </c>
      <c r="BG52" s="104" t="str">
        <f ca="1">_05preva_view43[Folder Path1]&amp;"Process &amp; Database\Documentation\Colo Applications"</f>
        <v>D:\OneDrive - apollo-towers.com\Apollo Towers\00-Process &amp; Database\Documentation\Colo Applications</v>
      </c>
      <c r="BH52" s="104" t="str">
        <f ca="1">_05preva_view43[Folder Path2]&amp;"\Colo App "&amp;_05preva_view43[[#This Row],[Operator]]&amp;"\"</f>
        <v>D:\OneDrive - apollo-towers.com\Apollo Towers\00-Process &amp; Database\Documentation\Colo Applications\Colo App MPT\</v>
      </c>
      <c r="BI52" s="63" t="str">
        <f ca="1">_05preva_view43[[#This Row],[Folder Path3]]&amp;_05preva_view43[[#This Row],[File Name]]</f>
        <v>D:\OneDrive - apollo-towers.com\Apollo Towers\00-Process &amp; Database\Documentation\Colo Applications\Colo App MPT\ANSH_0034 (SHN00207) Application Rev 2.xlsx</v>
      </c>
      <c r="BJ52" s="104"/>
      <c r="BK52" s="3"/>
      <c r="BL52" s="3"/>
      <c r="CJ52" s="5"/>
      <c r="CK52" s="5"/>
      <c r="CL52" s="3"/>
      <c r="CN52" s="5"/>
      <c r="CR52" s="3"/>
      <c r="CS52" s="3"/>
      <c r="CT52" s="5"/>
      <c r="CV52" s="3"/>
      <c r="DR52" s="5"/>
      <c r="DT52" s="3"/>
      <c r="EF52" s="7"/>
      <c r="EG52" s="7"/>
      <c r="EJ52" s="4"/>
      <c r="EK52" s="4"/>
      <c r="EU52" s="2"/>
      <c r="EV52" s="2"/>
    </row>
    <row r="53" spans="1:152">
      <c r="A53" s="125">
        <v>3604</v>
      </c>
      <c r="B53" s="126" t="s">
        <v>1169</v>
      </c>
      <c r="C53" s="126" t="s">
        <v>331</v>
      </c>
      <c r="D53" s="126" t="s">
        <v>163</v>
      </c>
      <c r="E53" s="126" t="s">
        <v>1170</v>
      </c>
      <c r="F53" s="126" t="s">
        <v>35</v>
      </c>
      <c r="G53" s="126" t="s">
        <v>1584</v>
      </c>
      <c r="H53" s="126" t="s">
        <v>1580</v>
      </c>
      <c r="I53" s="126" t="s">
        <v>2026</v>
      </c>
      <c r="J53" s="126" t="s">
        <v>931</v>
      </c>
      <c r="K53" s="127">
        <v>43480</v>
      </c>
      <c r="L53" s="128">
        <v>2.64</v>
      </c>
      <c r="M53" s="128">
        <v>3.3</v>
      </c>
      <c r="N53" s="126">
        <v>4.8499999999999996</v>
      </c>
      <c r="O53" s="126" t="s">
        <v>950</v>
      </c>
      <c r="P53" s="129" t="s">
        <v>958</v>
      </c>
      <c r="Q53" s="129" t="s">
        <v>959</v>
      </c>
      <c r="R53" s="126" t="s">
        <v>24</v>
      </c>
      <c r="S53" s="126"/>
      <c r="T53" s="130" t="s">
        <v>861</v>
      </c>
      <c r="U53" s="126"/>
      <c r="V53" s="130" t="s">
        <v>120</v>
      </c>
      <c r="W53" s="126"/>
      <c r="X53" s="130" t="s">
        <v>120</v>
      </c>
      <c r="Y53" s="126" t="s">
        <v>2027</v>
      </c>
      <c r="Z53" s="162" t="s">
        <v>120</v>
      </c>
      <c r="AA53" s="154"/>
      <c r="AB53" s="154"/>
      <c r="AC53" s="167" t="s">
        <v>123</v>
      </c>
      <c r="AD53" s="126" t="s">
        <v>2028</v>
      </c>
      <c r="AE53" s="130" t="s">
        <v>120</v>
      </c>
      <c r="AF53" s="127"/>
      <c r="AG53" s="131"/>
      <c r="AH53" s="131"/>
      <c r="AI53" s="126"/>
      <c r="AJ53" s="130" t="s">
        <v>120</v>
      </c>
      <c r="AK53" s="126" t="s">
        <v>123</v>
      </c>
      <c r="AL53" s="126" t="s">
        <v>1198</v>
      </c>
      <c r="AM53" s="130"/>
      <c r="AN53" s="126"/>
      <c r="AO53" s="132"/>
      <c r="AP53" s="126"/>
      <c r="AQ53" s="126"/>
      <c r="AR53" s="130"/>
      <c r="AS53" s="126"/>
      <c r="AT53" s="127">
        <v>43482.6247246528</v>
      </c>
      <c r="AU53" s="127">
        <v>43481.3734364583</v>
      </c>
      <c r="AV53" s="127">
        <v>43486.422618865698</v>
      </c>
      <c r="AW53" s="127">
        <v>43482.6247246528</v>
      </c>
      <c r="AX53" s="127"/>
      <c r="AY53" s="127">
        <v>43480.621048958303</v>
      </c>
      <c r="AZ53" s="133">
        <v>43486.723549652801</v>
      </c>
      <c r="BA53" s="134">
        <f ca="1">IF(_05preva_view43[[#This Row],[Prevalidation Status]]="Under Prevalidation",NOW()-_05preva_view43[[#This Row],[Request Date]],IF(_05preva_view43[[#This Row],[Close Date]]&gt;_05preva_view43[[#This Row],[Request Date]],_05preva_view43[[#This Row],[Close Date]]-_05preva_view43[[#This Row],[Request Date]],"Not  Calculated"))</f>
        <v>6.7235496528010117</v>
      </c>
      <c r="BB53" s="135">
        <f>COUNTIFS(_05preva_view43[Site ID],_05preva_view43[[#This Row],[Site ID]],_05preva_view43[Prevalidation Status],"Under Prevalidation")</f>
        <v>0</v>
      </c>
      <c r="BC53" s="153" t="str">
        <f ca="1">HYPERLINK(CheckPath(_05preva_view43[[#This Row],[File Path]],_05preva_view43[[#This Row],[File Path]],_05preva_view43[[#This Row],[Folder Path3]]),CheckPath(_05preva_view43[[#This Row],[File Path]],"Open File","No File"))</f>
        <v>No File</v>
      </c>
      <c r="BD53" s="136" t="str">
        <f>CONCATENATE(_05preva_view43[[#This Row],[Site ID]]," (",_05preva_view43[[#This Row],[tenant id]],") Application",IF(_05preva_view43[[#This Row],[Colo Rev]]&gt;0," Rev "&amp;_05preva_view43[[#This Row],[Colo Rev]],""),".xlsx")</f>
        <v>1-01-17023-009 (AWD01309) Application Rev 1.xlsx</v>
      </c>
      <c r="BE53" s="64">
        <f t="shared" ca="1" si="2"/>
        <v>50</v>
      </c>
      <c r="BF53" s="104" t="str">
        <f ca="1">LEFT(CELL("filename",A38),_05preva_view43[[#This Row],[Find Process &amp; Database]]-1)</f>
        <v>D:\OneDrive - apollo-towers.com\Apollo Towers\00-</v>
      </c>
      <c r="BG53" s="104" t="str">
        <f ca="1">_05preva_view43[Folder Path1]&amp;"Process &amp; Database\Documentation\Colo Applications"</f>
        <v>D:\OneDrive - apollo-towers.com\Apollo Towers\00-Process &amp; Database\Documentation\Colo Applications</v>
      </c>
      <c r="BH53" s="104" t="str">
        <f ca="1">_05preva_view43[Folder Path2]&amp;"\Colo App "&amp;_05preva_view43[[#This Row],[Operator]]&amp;"\"</f>
        <v>D:\OneDrive - apollo-towers.com\Apollo Towers\00-Process &amp; Database\Documentation\Colo Applications\Colo App MPT\</v>
      </c>
      <c r="BI53" s="63" t="str">
        <f ca="1">_05preva_view43[[#This Row],[Folder Path3]]&amp;_05preva_view43[[#This Row],[File Name]]</f>
        <v>D:\OneDrive - apollo-towers.com\Apollo Towers\00-Process &amp; Database\Documentation\Colo Applications\Colo App MPT\1-01-17023-009 (AWD01309) Application Rev 1.xlsx</v>
      </c>
      <c r="BJ53" s="104"/>
      <c r="BK53" s="3"/>
      <c r="BL53" s="3"/>
      <c r="CJ53" s="5"/>
      <c r="CK53" s="5"/>
      <c r="CL53" s="3"/>
      <c r="CN53" s="5"/>
      <c r="CR53" s="3"/>
      <c r="CS53" s="3"/>
      <c r="CT53" s="5"/>
      <c r="CV53" s="3"/>
      <c r="DR53" s="5"/>
      <c r="DT53" s="3"/>
      <c r="EF53" s="7"/>
      <c r="EG53" s="7"/>
      <c r="EJ53" s="4"/>
      <c r="EK53" s="4"/>
      <c r="EU53" s="2"/>
      <c r="EV53" s="2"/>
    </row>
    <row r="54" spans="1:152">
      <c r="A54" s="125">
        <v>3605</v>
      </c>
      <c r="B54" s="126" t="s">
        <v>1390</v>
      </c>
      <c r="C54" s="126" t="s">
        <v>331</v>
      </c>
      <c r="D54" s="126" t="s">
        <v>127</v>
      </c>
      <c r="E54" s="126" t="s">
        <v>1391</v>
      </c>
      <c r="F54" s="126" t="s">
        <v>35</v>
      </c>
      <c r="G54" s="126" t="s">
        <v>1583</v>
      </c>
      <c r="H54" s="126" t="s">
        <v>1575</v>
      </c>
      <c r="I54" s="126" t="s">
        <v>1288</v>
      </c>
      <c r="J54" s="126" t="s">
        <v>990</v>
      </c>
      <c r="K54" s="127">
        <v>43480</v>
      </c>
      <c r="L54" s="128">
        <v>1.399</v>
      </c>
      <c r="M54" s="128">
        <v>2.2610000000000001</v>
      </c>
      <c r="N54" s="126">
        <v>4.2</v>
      </c>
      <c r="O54" s="126" t="s">
        <v>950</v>
      </c>
      <c r="P54" s="129" t="s">
        <v>958</v>
      </c>
      <c r="Q54" s="129" t="s">
        <v>959</v>
      </c>
      <c r="R54" s="126" t="s">
        <v>24</v>
      </c>
      <c r="S54" s="126"/>
      <c r="T54" s="130" t="s">
        <v>861</v>
      </c>
      <c r="U54" s="126"/>
      <c r="V54" s="130" t="s">
        <v>120</v>
      </c>
      <c r="W54" s="126"/>
      <c r="X54" s="130" t="s">
        <v>120</v>
      </c>
      <c r="Y54" s="126" t="s">
        <v>2029</v>
      </c>
      <c r="Z54" s="162" t="s">
        <v>120</v>
      </c>
      <c r="AA54" s="154"/>
      <c r="AB54" s="154"/>
      <c r="AC54" s="167" t="s">
        <v>123</v>
      </c>
      <c r="AD54" s="126" t="s">
        <v>2030</v>
      </c>
      <c r="AE54" s="130" t="s">
        <v>120</v>
      </c>
      <c r="AF54" s="127"/>
      <c r="AG54" s="131"/>
      <c r="AH54" s="131"/>
      <c r="AI54" s="126"/>
      <c r="AJ54" s="130" t="s">
        <v>120</v>
      </c>
      <c r="AK54" s="126" t="s">
        <v>123</v>
      </c>
      <c r="AL54" s="126" t="s">
        <v>1198</v>
      </c>
      <c r="AM54" s="130"/>
      <c r="AN54" s="126"/>
      <c r="AO54" s="132"/>
      <c r="AP54" s="126"/>
      <c r="AQ54" s="126"/>
      <c r="AR54" s="130"/>
      <c r="AS54" s="126"/>
      <c r="AT54" s="127">
        <v>43482.624726157403</v>
      </c>
      <c r="AU54" s="127">
        <v>43481.365421759299</v>
      </c>
      <c r="AV54" s="127">
        <v>43483.695897453697</v>
      </c>
      <c r="AW54" s="127">
        <v>43482.624726157403</v>
      </c>
      <c r="AX54" s="127"/>
      <c r="AY54" s="127">
        <v>43480.621049305599</v>
      </c>
      <c r="AZ54" s="133">
        <v>43486.402940856497</v>
      </c>
      <c r="BA54" s="134">
        <f ca="1">IF(_05preva_view43[[#This Row],[Prevalidation Status]]="Under Prevalidation",NOW()-_05preva_view43[[#This Row],[Request Date]],IF(_05preva_view43[[#This Row],[Close Date]]&gt;_05preva_view43[[#This Row],[Request Date]],_05preva_view43[[#This Row],[Close Date]]-_05preva_view43[[#This Row],[Request Date]],"Not  Calculated"))</f>
        <v>6.4029408564965706</v>
      </c>
      <c r="BB54" s="135">
        <f>COUNTIFS(_05preva_view43[Site ID],_05preva_view43[[#This Row],[Site ID]],_05preva_view43[Prevalidation Status],"Under Prevalidation")</f>
        <v>0</v>
      </c>
      <c r="BC54" s="153" t="str">
        <f ca="1">HYPERLINK(CheckPath(_05preva_view43[[#This Row],[File Path]],_05preva_view43[[#This Row],[File Path]],_05preva_view43[[#This Row],[Folder Path3]]),CheckPath(_05preva_view43[[#This Row],[File Path]],"Open File","No File"))</f>
        <v>No File</v>
      </c>
      <c r="BD54" s="136" t="str">
        <f>CONCATENATE(_05preva_view43[[#This Row],[Site ID]]," (",_05preva_view43[[#This Row],[tenant id]],") Application",IF(_05preva_view43[[#This Row],[Colo Rev]]&gt;0," Rev "&amp;_05preva_view43[[#This Row],[Colo Rev]],""),".xlsx")</f>
        <v>1-01-05005-002 (SGG00219) Application Rev 3.xlsx</v>
      </c>
      <c r="BE54" s="64">
        <f t="shared" ca="1" si="2"/>
        <v>50</v>
      </c>
      <c r="BF54" s="104" t="str">
        <f ca="1">LEFT(CELL("filename",A39),_05preva_view43[[#This Row],[Find Process &amp; Database]]-1)</f>
        <v>D:\OneDrive - apollo-towers.com\Apollo Towers\00-</v>
      </c>
      <c r="BG54" s="104" t="str">
        <f ca="1">_05preva_view43[Folder Path1]&amp;"Process &amp; Database\Documentation\Colo Applications"</f>
        <v>D:\OneDrive - apollo-towers.com\Apollo Towers\00-Process &amp; Database\Documentation\Colo Applications</v>
      </c>
      <c r="BH54" s="104" t="str">
        <f ca="1">_05preva_view43[Folder Path2]&amp;"\Colo App "&amp;_05preva_view43[[#This Row],[Operator]]&amp;"\"</f>
        <v>D:\OneDrive - apollo-towers.com\Apollo Towers\00-Process &amp; Database\Documentation\Colo Applications\Colo App MPT\</v>
      </c>
      <c r="BI54" s="63" t="str">
        <f ca="1">_05preva_view43[[#This Row],[Folder Path3]]&amp;_05preva_view43[[#This Row],[File Name]]</f>
        <v>D:\OneDrive - apollo-towers.com\Apollo Towers\00-Process &amp; Database\Documentation\Colo Applications\Colo App MPT\1-01-05005-002 (SGG00219) Application Rev 3.xlsx</v>
      </c>
      <c r="BJ54" s="104"/>
      <c r="BK54" s="3"/>
      <c r="BL54" s="3"/>
      <c r="CJ54" s="5"/>
      <c r="CK54" s="5"/>
      <c r="CL54" s="3"/>
      <c r="CN54" s="5"/>
      <c r="CR54" s="3"/>
      <c r="CS54" s="3"/>
      <c r="CT54" s="5"/>
      <c r="CV54" s="3"/>
      <c r="DR54" s="5"/>
      <c r="DT54" s="3"/>
      <c r="EF54" s="7"/>
      <c r="EG54" s="7"/>
      <c r="EJ54" s="4"/>
      <c r="EK54" s="4"/>
      <c r="EU54" s="2"/>
      <c r="EV54" s="2"/>
    </row>
    <row r="55" spans="1:152">
      <c r="A55" s="125">
        <v>3606</v>
      </c>
      <c r="B55" s="126" t="s">
        <v>2031</v>
      </c>
      <c r="C55" s="126" t="s">
        <v>331</v>
      </c>
      <c r="D55" s="126" t="s">
        <v>127</v>
      </c>
      <c r="E55" s="126" t="s">
        <v>2032</v>
      </c>
      <c r="F55" s="126" t="s">
        <v>35</v>
      </c>
      <c r="G55" s="126" t="s">
        <v>1583</v>
      </c>
      <c r="H55" s="126" t="s">
        <v>1575</v>
      </c>
      <c r="I55" s="126" t="s">
        <v>1288</v>
      </c>
      <c r="J55" s="126" t="s">
        <v>931</v>
      </c>
      <c r="K55" s="127">
        <v>43480</v>
      </c>
      <c r="L55" s="128">
        <v>1.4530000000000001</v>
      </c>
      <c r="M55" s="128">
        <v>2.3210000000000002</v>
      </c>
      <c r="N55" s="126">
        <v>3.95</v>
      </c>
      <c r="O55" s="126" t="s">
        <v>950</v>
      </c>
      <c r="P55" s="129" t="s">
        <v>958</v>
      </c>
      <c r="Q55" s="129" t="s">
        <v>959</v>
      </c>
      <c r="R55" s="126" t="s">
        <v>24</v>
      </c>
      <c r="S55" s="126"/>
      <c r="T55" s="130" t="s">
        <v>861</v>
      </c>
      <c r="U55" s="126"/>
      <c r="V55" s="130" t="s">
        <v>120</v>
      </c>
      <c r="W55" s="126"/>
      <c r="X55" s="130" t="s">
        <v>120</v>
      </c>
      <c r="Y55" s="126" t="s">
        <v>2033</v>
      </c>
      <c r="Z55" s="162" t="s">
        <v>120</v>
      </c>
      <c r="AA55" s="154"/>
      <c r="AB55" s="154"/>
      <c r="AC55" s="167" t="s">
        <v>123</v>
      </c>
      <c r="AD55" s="126" t="s">
        <v>2034</v>
      </c>
      <c r="AE55" s="130" t="s">
        <v>120</v>
      </c>
      <c r="AF55" s="127"/>
      <c r="AG55" s="131"/>
      <c r="AH55" s="131"/>
      <c r="AI55" s="126"/>
      <c r="AJ55" s="130" t="s">
        <v>120</v>
      </c>
      <c r="AK55" s="126" t="s">
        <v>123</v>
      </c>
      <c r="AL55" s="126" t="s">
        <v>1198</v>
      </c>
      <c r="AM55" s="130"/>
      <c r="AN55" s="126"/>
      <c r="AO55" s="132"/>
      <c r="AP55" s="126"/>
      <c r="AQ55" s="126"/>
      <c r="AR55" s="130"/>
      <c r="AS55" s="126"/>
      <c r="AT55" s="127">
        <v>43482.624727777802</v>
      </c>
      <c r="AU55" s="127">
        <v>43481.365422222203</v>
      </c>
      <c r="AV55" s="127">
        <v>43483.695898263897</v>
      </c>
      <c r="AW55" s="127">
        <v>43482.624727777802</v>
      </c>
      <c r="AX55" s="127"/>
      <c r="AY55" s="127">
        <v>43480.621050578702</v>
      </c>
      <c r="AZ55" s="133">
        <v>43486.402942013898</v>
      </c>
      <c r="BA55" s="134">
        <f ca="1">IF(_05preva_view43[[#This Row],[Prevalidation Status]]="Under Prevalidation",NOW()-_05preva_view43[[#This Row],[Request Date]],IF(_05preva_view43[[#This Row],[Close Date]]&gt;_05preva_view43[[#This Row],[Request Date]],_05preva_view43[[#This Row],[Close Date]]-_05preva_view43[[#This Row],[Request Date]],"Not  Calculated"))</f>
        <v>6.4029420138977002</v>
      </c>
      <c r="BB55" s="135">
        <f>COUNTIFS(_05preva_view43[Site ID],_05preva_view43[[#This Row],[Site ID]],_05preva_view43[Prevalidation Status],"Under Prevalidation")</f>
        <v>0</v>
      </c>
      <c r="BC55" s="153" t="str">
        <f ca="1">HYPERLINK(CheckPath(_05preva_view43[[#This Row],[File Path]],_05preva_view43[[#This Row],[File Path]],_05preva_view43[[#This Row],[Folder Path3]]),CheckPath(_05preva_view43[[#This Row],[File Path]],"Open File","No File"))</f>
        <v>No File</v>
      </c>
      <c r="BD55" s="136" t="str">
        <f>CONCATENATE(_05preva_view43[[#This Row],[Site ID]]," (",_05preva_view43[[#This Row],[tenant id]],") Application",IF(_05preva_view43[[#This Row],[Colo Rev]]&gt;0," Rev "&amp;_05preva_view43[[#This Row],[Colo Rev]],""),".xlsx")</f>
        <v>1-01-05007-010 (SGG00223) Application Rev 1.xlsx</v>
      </c>
      <c r="BE55" s="64">
        <f t="shared" ca="1" si="2"/>
        <v>50</v>
      </c>
      <c r="BF55" s="104" t="str">
        <f ca="1">LEFT(CELL("filename",A40),_05preva_view43[[#This Row],[Find Process &amp; Database]]-1)</f>
        <v>D:\OneDrive - apollo-towers.com\Apollo Towers\00-</v>
      </c>
      <c r="BG55" s="104" t="str">
        <f ca="1">_05preva_view43[Folder Path1]&amp;"Process &amp; Database\Documentation\Colo Applications"</f>
        <v>D:\OneDrive - apollo-towers.com\Apollo Towers\00-Process &amp; Database\Documentation\Colo Applications</v>
      </c>
      <c r="BH55" s="104" t="str">
        <f ca="1">_05preva_view43[Folder Path2]&amp;"\Colo App "&amp;_05preva_view43[[#This Row],[Operator]]&amp;"\"</f>
        <v>D:\OneDrive - apollo-towers.com\Apollo Towers\00-Process &amp; Database\Documentation\Colo Applications\Colo App MPT\</v>
      </c>
      <c r="BI55" s="63" t="str">
        <f ca="1">_05preva_view43[[#This Row],[Folder Path3]]&amp;_05preva_view43[[#This Row],[File Name]]</f>
        <v>D:\OneDrive - apollo-towers.com\Apollo Towers\00-Process &amp; Database\Documentation\Colo Applications\Colo App MPT\1-01-05007-010 (SGG00223) Application Rev 1.xlsx</v>
      </c>
      <c r="BJ55" s="104"/>
      <c r="BK55" s="3"/>
      <c r="BL55" s="3"/>
      <c r="CJ55" s="5"/>
      <c r="CK55" s="5"/>
      <c r="CL55" s="3"/>
      <c r="CN55" s="5"/>
      <c r="CR55" s="3"/>
      <c r="CS55" s="3"/>
      <c r="CT55" s="5"/>
      <c r="CV55" s="3"/>
      <c r="DR55" s="5"/>
      <c r="DT55" s="3"/>
      <c r="EF55" s="7"/>
      <c r="EG55" s="7"/>
      <c r="EJ55" s="4"/>
      <c r="EK55" s="4"/>
      <c r="EU55" s="2"/>
      <c r="EV55" s="2"/>
    </row>
    <row r="56" spans="1:152">
      <c r="A56" s="125">
        <v>3607</v>
      </c>
      <c r="B56" s="126" t="s">
        <v>2035</v>
      </c>
      <c r="C56" s="126" t="s">
        <v>331</v>
      </c>
      <c r="D56" s="126" t="s">
        <v>163</v>
      </c>
      <c r="E56" s="126" t="s">
        <v>2036</v>
      </c>
      <c r="F56" s="126" t="s">
        <v>35</v>
      </c>
      <c r="G56" s="126" t="s">
        <v>1143</v>
      </c>
      <c r="H56" s="126" t="s">
        <v>1619</v>
      </c>
      <c r="I56" s="126" t="s">
        <v>1077</v>
      </c>
      <c r="J56" s="126" t="s">
        <v>940</v>
      </c>
      <c r="K56" s="127">
        <v>43480</v>
      </c>
      <c r="L56" s="128">
        <v>0.72</v>
      </c>
      <c r="M56" s="128">
        <v>0.9</v>
      </c>
      <c r="N56" s="126">
        <v>2.2509999999999999</v>
      </c>
      <c r="O56" s="126" t="s">
        <v>950</v>
      </c>
      <c r="P56" s="129" t="s">
        <v>968</v>
      </c>
      <c r="Q56" s="129" t="s">
        <v>969</v>
      </c>
      <c r="R56" s="126" t="s">
        <v>25</v>
      </c>
      <c r="S56" s="126"/>
      <c r="T56" s="130" t="s">
        <v>861</v>
      </c>
      <c r="U56" s="126"/>
      <c r="V56" s="130" t="s">
        <v>120</v>
      </c>
      <c r="W56" s="126"/>
      <c r="X56" s="130" t="s">
        <v>120</v>
      </c>
      <c r="Y56" s="126" t="s">
        <v>2037</v>
      </c>
      <c r="Z56" s="162" t="s">
        <v>144</v>
      </c>
      <c r="AA56" s="154"/>
      <c r="AB56" s="154"/>
      <c r="AC56" s="167" t="s">
        <v>123</v>
      </c>
      <c r="AD56" s="126" t="s">
        <v>2038</v>
      </c>
      <c r="AE56" s="130" t="s">
        <v>120</v>
      </c>
      <c r="AF56" s="127"/>
      <c r="AG56" s="131"/>
      <c r="AH56" s="131"/>
      <c r="AI56" s="126"/>
      <c r="AJ56" s="130" t="s">
        <v>120</v>
      </c>
      <c r="AK56" s="126" t="s">
        <v>240</v>
      </c>
      <c r="AL56" s="126" t="s">
        <v>1493</v>
      </c>
      <c r="AM56" s="130"/>
      <c r="AN56" s="126"/>
      <c r="AO56" s="132"/>
      <c r="AP56" s="126"/>
      <c r="AQ56" s="126"/>
      <c r="AR56" s="130"/>
      <c r="AS56" s="126"/>
      <c r="AT56" s="127">
        <v>43482.624728935203</v>
      </c>
      <c r="AU56" s="127">
        <v>43481.365423842602</v>
      </c>
      <c r="AV56" s="127"/>
      <c r="AW56" s="127">
        <v>43482.624728935203</v>
      </c>
      <c r="AX56" s="127"/>
      <c r="AY56" s="127">
        <v>43480.623007175898</v>
      </c>
      <c r="AZ56" s="133"/>
      <c r="BA56" s="134">
        <f ca="1">IF(_05preva_view43[[#This Row],[Prevalidation Status]]="Under Prevalidation",NOW()-_05preva_view43[[#This Row],[Request Date]],IF(_05preva_view43[[#This Row],[Close Date]]&gt;_05preva_view43[[#This Row],[Request Date]],_05preva_view43[[#This Row],[Close Date]]-_05preva_view43[[#This Row],[Request Date]],"Not  Calculated"))</f>
        <v>7.506734143520589</v>
      </c>
      <c r="BB56" s="135">
        <f>COUNTIFS(_05preva_view43[Site ID],_05preva_view43[[#This Row],[Site ID]],_05preva_view43[Prevalidation Status],"Under Prevalidation")</f>
        <v>1</v>
      </c>
      <c r="BC56" s="153" t="str">
        <f ca="1">HYPERLINK(CheckPath(_05preva_view43[[#This Row],[File Path]],_05preva_view43[[#This Row],[File Path]],_05preva_view43[[#This Row],[Folder Path3]]),CheckPath(_05preva_view43[[#This Row],[File Path]],"Open File","No File"))</f>
        <v>No File</v>
      </c>
      <c r="BD56" s="136" t="str">
        <f>CONCATENATE(_05preva_view43[[#This Row],[Site ID]]," (",_05preva_view43[[#This Row],[tenant id]],") Application",IF(_05preva_view43[[#This Row],[Colo Rev]]&gt;0," Rev "&amp;_05preva_view43[[#This Row],[Colo Rev]],""),".xlsx")</f>
        <v>1-01-11002-003 (MON00623) Application Rev 0.xlsx</v>
      </c>
      <c r="BE56" s="64">
        <f t="shared" ca="1" si="2"/>
        <v>50</v>
      </c>
      <c r="BF56" s="104" t="str">
        <f ca="1">LEFT(CELL("filename",A41),_05preva_view43[[#This Row],[Find Process &amp; Database]]-1)</f>
        <v>D:\OneDrive - apollo-towers.com\Apollo Towers\00-</v>
      </c>
      <c r="BG56" s="104" t="str">
        <f ca="1">_05preva_view43[Folder Path1]&amp;"Process &amp; Database\Documentation\Colo Applications"</f>
        <v>D:\OneDrive - apollo-towers.com\Apollo Towers\00-Process &amp; Database\Documentation\Colo Applications</v>
      </c>
      <c r="BH56" s="104" t="str">
        <f ca="1">_05preva_view43[Folder Path2]&amp;"\Colo App "&amp;_05preva_view43[[#This Row],[Operator]]&amp;"\"</f>
        <v>D:\OneDrive - apollo-towers.com\Apollo Towers\00-Process &amp; Database\Documentation\Colo Applications\Colo App MPT\</v>
      </c>
      <c r="BI56" s="63" t="str">
        <f ca="1">_05preva_view43[[#This Row],[Folder Path3]]&amp;_05preva_view43[[#This Row],[File Name]]</f>
        <v>D:\OneDrive - apollo-towers.com\Apollo Towers\00-Process &amp; Database\Documentation\Colo Applications\Colo App MPT\1-01-11002-003 (MON00623) Application Rev 0.xlsx</v>
      </c>
      <c r="BJ56" s="104"/>
      <c r="BK56" s="3"/>
      <c r="BL56" s="3"/>
      <c r="CJ56" s="5"/>
      <c r="CK56" s="5"/>
      <c r="CL56" s="3"/>
      <c r="CN56" s="5"/>
      <c r="CR56" s="3"/>
      <c r="CS56" s="3"/>
      <c r="CT56" s="5"/>
      <c r="CV56" s="3"/>
      <c r="DR56" s="5"/>
      <c r="DT56" s="3"/>
      <c r="EF56" s="7"/>
      <c r="EG56" s="7"/>
      <c r="EJ56" s="4"/>
      <c r="EK56" s="4"/>
      <c r="EU56" s="2"/>
      <c r="EV56" s="2"/>
    </row>
    <row r="57" spans="1:152">
      <c r="A57" s="125">
        <v>3608</v>
      </c>
      <c r="B57" s="126" t="s">
        <v>2039</v>
      </c>
      <c r="C57" s="126" t="s">
        <v>331</v>
      </c>
      <c r="D57" s="126" t="s">
        <v>163</v>
      </c>
      <c r="E57" s="126" t="s">
        <v>2040</v>
      </c>
      <c r="F57" s="126" t="s">
        <v>34</v>
      </c>
      <c r="G57" s="126" t="s">
        <v>1582</v>
      </c>
      <c r="H57" s="126" t="s">
        <v>1580</v>
      </c>
      <c r="I57" s="126" t="s">
        <v>1252</v>
      </c>
      <c r="J57" s="126" t="s">
        <v>931</v>
      </c>
      <c r="K57" s="127">
        <v>43480</v>
      </c>
      <c r="L57" s="128">
        <v>2</v>
      </c>
      <c r="M57" s="128">
        <v>2</v>
      </c>
      <c r="N57" s="126">
        <v>6</v>
      </c>
      <c r="O57" s="126" t="s">
        <v>950</v>
      </c>
      <c r="P57" s="129" t="s">
        <v>968</v>
      </c>
      <c r="Q57" s="129" t="s">
        <v>969</v>
      </c>
      <c r="R57" s="126" t="s">
        <v>25</v>
      </c>
      <c r="S57" s="126"/>
      <c r="T57" s="130" t="s">
        <v>861</v>
      </c>
      <c r="U57" s="126"/>
      <c r="V57" s="130" t="s">
        <v>125</v>
      </c>
      <c r="W57" s="126" t="s">
        <v>2041</v>
      </c>
      <c r="X57" s="130" t="s">
        <v>861</v>
      </c>
      <c r="Y57" s="126"/>
      <c r="Z57" s="162" t="s">
        <v>861</v>
      </c>
      <c r="AA57" s="154"/>
      <c r="AB57" s="154"/>
      <c r="AC57" s="167"/>
      <c r="AD57" s="126"/>
      <c r="AE57" s="130" t="s">
        <v>120</v>
      </c>
      <c r="AF57" s="127" t="s">
        <v>2042</v>
      </c>
      <c r="AG57" s="131"/>
      <c r="AH57" s="131"/>
      <c r="AI57" s="126" t="s">
        <v>2043</v>
      </c>
      <c r="AJ57" s="130" t="s">
        <v>861</v>
      </c>
      <c r="AK57" s="126"/>
      <c r="AL57" s="126"/>
      <c r="AM57" s="130"/>
      <c r="AN57" s="126"/>
      <c r="AO57" s="132"/>
      <c r="AP57" s="126"/>
      <c r="AQ57" s="126"/>
      <c r="AR57" s="130"/>
      <c r="AS57" s="126"/>
      <c r="AT57" s="127"/>
      <c r="AU57" s="127">
        <v>43481.365424768497</v>
      </c>
      <c r="AV57" s="127"/>
      <c r="AW57" s="127"/>
      <c r="AX57" s="127"/>
      <c r="AY57" s="127"/>
      <c r="AZ57" s="133"/>
      <c r="BA57" s="134">
        <f ca="1">IF(_05preva_view43[[#This Row],[Prevalidation Status]]="Under Prevalidation",NOW()-_05preva_view43[[#This Row],[Request Date]],IF(_05preva_view43[[#This Row],[Close Date]]&gt;_05preva_view43[[#This Row],[Request Date]],_05preva_view43[[#This Row],[Close Date]]-_05preva_view43[[#This Row],[Request Date]],"Not  Calculated"))</f>
        <v>7.506734143520589</v>
      </c>
      <c r="BB57" s="135">
        <f>COUNTIFS(_05preva_view43[Site ID],_05preva_view43[[#This Row],[Site ID]],_05preva_view43[Prevalidation Status],"Under Prevalidation")</f>
        <v>1</v>
      </c>
      <c r="BC57" s="153" t="str">
        <f ca="1">HYPERLINK(CheckPath(_05preva_view43[[#This Row],[File Path]],_05preva_view43[[#This Row],[File Path]],_05preva_view43[[#This Row],[Folder Path3]]),CheckPath(_05preva_view43[[#This Row],[File Path]],"Open File","No File"))</f>
        <v>No File</v>
      </c>
      <c r="BD57" s="136" t="str">
        <f>CONCATENATE(_05preva_view43[[#This Row],[Site ID]]," (",_05preva_view43[[#This Row],[tenant id]],") Application",IF(_05preva_view43[[#This Row],[Colo Rev]]&gt;0," Rev "&amp;_05preva_view43[[#This Row],[Colo Rev]],""),".xlsx")</f>
        <v>1-01-17003-011 (AYY0291) Application Rev 1.xlsx</v>
      </c>
      <c r="BE57" s="64">
        <f t="shared" ca="1" si="2"/>
        <v>50</v>
      </c>
      <c r="BF57" s="104" t="str">
        <f ca="1">LEFT(CELL("filename",A42),_05preva_view43[[#This Row],[Find Process &amp; Database]]-1)</f>
        <v>D:\OneDrive - apollo-towers.com\Apollo Towers\00-</v>
      </c>
      <c r="BG57" s="104" t="str">
        <f ca="1">_05preva_view43[Folder Path1]&amp;"Process &amp; Database\Documentation\Colo Applications"</f>
        <v>D:\OneDrive - apollo-towers.com\Apollo Towers\00-Process &amp; Database\Documentation\Colo Applications</v>
      </c>
      <c r="BH57" s="104" t="str">
        <f ca="1">_05preva_view43[Folder Path2]&amp;"\Colo App "&amp;_05preva_view43[[#This Row],[Operator]]&amp;"\"</f>
        <v>D:\OneDrive - apollo-towers.com\Apollo Towers\00-Process &amp; Database\Documentation\Colo Applications\Colo App Mytel\</v>
      </c>
      <c r="BI57" s="63" t="str">
        <f ca="1">_05preva_view43[[#This Row],[Folder Path3]]&amp;_05preva_view43[[#This Row],[File Name]]</f>
        <v>D:\OneDrive - apollo-towers.com\Apollo Towers\00-Process &amp; Database\Documentation\Colo Applications\Colo App Mytel\1-01-17003-011 (AYY0291) Application Rev 1.xlsx</v>
      </c>
      <c r="BJ57" s="104"/>
      <c r="BK57" s="3"/>
      <c r="BL57" s="3"/>
      <c r="CJ57" s="5"/>
      <c r="CK57" s="5"/>
      <c r="CL57" s="3"/>
      <c r="CN57" s="5"/>
      <c r="CR57" s="3"/>
      <c r="CS57" s="3"/>
      <c r="CT57" s="5"/>
      <c r="CV57" s="3"/>
      <c r="DR57" s="5"/>
      <c r="DT57" s="3"/>
      <c r="EF57" s="7"/>
      <c r="EG57" s="7"/>
      <c r="EJ57" s="4"/>
      <c r="EK57" s="4"/>
      <c r="EU57" s="2"/>
      <c r="EV57" s="2"/>
    </row>
    <row r="58" spans="1:152">
      <c r="A58" s="125">
        <v>3597</v>
      </c>
      <c r="B58" s="126" t="s">
        <v>2044</v>
      </c>
      <c r="C58" s="126" t="s">
        <v>331</v>
      </c>
      <c r="D58" s="126" t="s">
        <v>163</v>
      </c>
      <c r="E58" s="126" t="s">
        <v>2045</v>
      </c>
      <c r="F58" s="126" t="s">
        <v>38</v>
      </c>
      <c r="G58" s="126" t="s">
        <v>1586</v>
      </c>
      <c r="H58" s="126" t="s">
        <v>1580</v>
      </c>
      <c r="I58" s="126" t="s">
        <v>1517</v>
      </c>
      <c r="J58" s="126" t="s">
        <v>931</v>
      </c>
      <c r="K58" s="127">
        <v>43479</v>
      </c>
      <c r="L58" s="128"/>
      <c r="M58" s="128"/>
      <c r="N58" s="126"/>
      <c r="O58" s="126" t="s">
        <v>950</v>
      </c>
      <c r="P58" s="129" t="s">
        <v>1028</v>
      </c>
      <c r="Q58" s="129" t="s">
        <v>1029</v>
      </c>
      <c r="R58" s="126" t="s">
        <v>24</v>
      </c>
      <c r="S58" s="126"/>
      <c r="T58" s="130" t="s">
        <v>861</v>
      </c>
      <c r="U58" s="126"/>
      <c r="V58" s="130" t="s">
        <v>120</v>
      </c>
      <c r="W58" s="126"/>
      <c r="X58" s="130" t="s">
        <v>861</v>
      </c>
      <c r="Y58" s="126" t="s">
        <v>2046</v>
      </c>
      <c r="Z58" s="162" t="s">
        <v>861</v>
      </c>
      <c r="AA58" s="154"/>
      <c r="AB58" s="154"/>
      <c r="AC58" s="167"/>
      <c r="AD58" s="126"/>
      <c r="AE58" s="130" t="s">
        <v>861</v>
      </c>
      <c r="AF58" s="127"/>
      <c r="AG58" s="131"/>
      <c r="AH58" s="131"/>
      <c r="AI58" s="126"/>
      <c r="AJ58" s="130" t="s">
        <v>120</v>
      </c>
      <c r="AK58" s="126" t="s">
        <v>123</v>
      </c>
      <c r="AL58" s="126" t="s">
        <v>2047</v>
      </c>
      <c r="AM58" s="130"/>
      <c r="AN58" s="126"/>
      <c r="AO58" s="132"/>
      <c r="AP58" s="126"/>
      <c r="AQ58" s="126"/>
      <c r="AR58" s="130"/>
      <c r="AS58" s="126"/>
      <c r="AT58" s="127"/>
      <c r="AU58" s="127"/>
      <c r="AV58" s="127"/>
      <c r="AW58" s="127">
        <v>43479.570675347197</v>
      </c>
      <c r="AX58" s="127"/>
      <c r="AY58" s="127">
        <v>43479.4089978009</v>
      </c>
      <c r="AZ58" s="133">
        <v>43479.572372338</v>
      </c>
      <c r="BA58" s="134">
        <f ca="1">IF(_05preva_view43[[#This Row],[Prevalidation Status]]="Under Prevalidation",NOW()-_05preva_view43[[#This Row],[Request Date]],IF(_05preva_view43[[#This Row],[Close Date]]&gt;_05preva_view43[[#This Row],[Request Date]],_05preva_view43[[#This Row],[Close Date]]-_05preva_view43[[#This Row],[Request Date]],"Not  Calculated"))</f>
        <v>0.57237233799969545</v>
      </c>
      <c r="BB58" s="135">
        <f>COUNTIFS(_05preva_view43[Site ID],_05preva_view43[[#This Row],[Site ID]],_05preva_view43[Prevalidation Status],"Under Prevalidation")</f>
        <v>0</v>
      </c>
      <c r="BC58" s="153" t="str">
        <f ca="1">HYPERLINK(CheckPath(_05preva_view43[[#This Row],[File Path]],_05preva_view43[[#This Row],[File Path]],_05preva_view43[[#This Row],[Folder Path3]]),CheckPath(_05preva_view43[[#This Row],[File Path]],"Open File","No File"))</f>
        <v>No File</v>
      </c>
      <c r="BD58" s="136" t="str">
        <f>CONCATENATE(_05preva_view43[[#This Row],[Site ID]]," (",_05preva_view43[[#This Row],[tenant id]],") Application",IF(_05preva_view43[[#This Row],[Colo Rev]]&gt;0," Rev "&amp;_05preva_view43[[#This Row],[Colo Rev]],""),".xlsx")</f>
        <v>1-01-06005-005 (TN0624) Application Rev 1.xlsx</v>
      </c>
      <c r="BE58" s="64">
        <f t="shared" ca="1" si="2"/>
        <v>50</v>
      </c>
      <c r="BF58" s="104" t="str">
        <f ca="1">LEFT(CELL("filename",A43),_05preva_view43[[#This Row],[Find Process &amp; Database]]-1)</f>
        <v>D:\OneDrive - apollo-towers.com\Apollo Towers\00-</v>
      </c>
      <c r="BG58" s="104" t="str">
        <f ca="1">_05preva_view43[Folder Path1]&amp;"Process &amp; Database\Documentation\Colo Applications"</f>
        <v>D:\OneDrive - apollo-towers.com\Apollo Towers\00-Process &amp; Database\Documentation\Colo Applications</v>
      </c>
      <c r="BH58" s="104" t="str">
        <f ca="1">_05preva_view43[Folder Path2]&amp;"\Colo App "&amp;_05preva_view43[[#This Row],[Operator]]&amp;"\"</f>
        <v>D:\OneDrive - apollo-towers.com\Apollo Towers\00-Process &amp; Database\Documentation\Colo Applications\Colo App Telenor\</v>
      </c>
      <c r="BI58" s="63" t="str">
        <f ca="1">_05preva_view43[[#This Row],[Folder Path3]]&amp;_05preva_view43[[#This Row],[File Name]]</f>
        <v>D:\OneDrive - apollo-towers.com\Apollo Towers\00-Process &amp; Database\Documentation\Colo Applications\Colo App Telenor\1-01-06005-005 (TN0624) Application Rev 1.xlsx</v>
      </c>
      <c r="BJ58" s="104"/>
      <c r="BK58" s="3"/>
      <c r="BL58" s="3"/>
      <c r="CJ58" s="5"/>
      <c r="CK58" s="5"/>
      <c r="CL58" s="3"/>
      <c r="CN58" s="5"/>
      <c r="CR58" s="3"/>
      <c r="CS58" s="3"/>
      <c r="CT58" s="5"/>
      <c r="CV58" s="3"/>
      <c r="DR58" s="5"/>
      <c r="DT58" s="3"/>
      <c r="EF58" s="7"/>
      <c r="EG58" s="7"/>
      <c r="EJ58" s="4"/>
      <c r="EK58" s="4"/>
      <c r="EU58" s="2"/>
      <c r="EV58" s="2"/>
    </row>
    <row r="59" spans="1:152">
      <c r="A59" s="125">
        <v>3598</v>
      </c>
      <c r="B59" s="126" t="s">
        <v>2048</v>
      </c>
      <c r="C59" s="126" t="s">
        <v>331</v>
      </c>
      <c r="D59" s="126" t="s">
        <v>127</v>
      </c>
      <c r="E59" s="126" t="s">
        <v>2049</v>
      </c>
      <c r="F59" s="126" t="s">
        <v>35</v>
      </c>
      <c r="G59" s="126" t="s">
        <v>1583</v>
      </c>
      <c r="H59" s="126" t="s">
        <v>1575</v>
      </c>
      <c r="I59" s="126" t="s">
        <v>2050</v>
      </c>
      <c r="J59" s="126" t="s">
        <v>949</v>
      </c>
      <c r="K59" s="127">
        <v>43479</v>
      </c>
      <c r="L59" s="128">
        <v>2.1970000000000001</v>
      </c>
      <c r="M59" s="128">
        <v>3.7970000000000002</v>
      </c>
      <c r="N59" s="126">
        <v>5.6920000000000002</v>
      </c>
      <c r="O59" s="126" t="s">
        <v>950</v>
      </c>
      <c r="P59" s="129" t="s">
        <v>2051</v>
      </c>
      <c r="Q59" s="129" t="s">
        <v>2052</v>
      </c>
      <c r="R59" s="126" t="s">
        <v>24</v>
      </c>
      <c r="S59" s="126"/>
      <c r="T59" s="130" t="s">
        <v>861</v>
      </c>
      <c r="U59" s="126"/>
      <c r="V59" s="130" t="s">
        <v>120</v>
      </c>
      <c r="W59" s="126"/>
      <c r="X59" s="130" t="s">
        <v>120</v>
      </c>
      <c r="Y59" s="126" t="s">
        <v>2053</v>
      </c>
      <c r="Z59" s="162" t="s">
        <v>120</v>
      </c>
      <c r="AA59" s="154"/>
      <c r="AB59" s="154"/>
      <c r="AC59" s="167" t="s">
        <v>123</v>
      </c>
      <c r="AD59" s="126" t="s">
        <v>2054</v>
      </c>
      <c r="AE59" s="130" t="s">
        <v>120</v>
      </c>
      <c r="AF59" s="127"/>
      <c r="AG59" s="131"/>
      <c r="AH59" s="131"/>
      <c r="AI59" s="126"/>
      <c r="AJ59" s="130" t="s">
        <v>120</v>
      </c>
      <c r="AK59" s="126" t="s">
        <v>123</v>
      </c>
      <c r="AL59" s="126" t="s">
        <v>1198</v>
      </c>
      <c r="AM59" s="130"/>
      <c r="AN59" s="126"/>
      <c r="AO59" s="132"/>
      <c r="AP59" s="126"/>
      <c r="AQ59" s="126"/>
      <c r="AR59" s="130"/>
      <c r="AS59" s="126"/>
      <c r="AT59" s="127">
        <v>43479.694298032402</v>
      </c>
      <c r="AU59" s="127">
        <v>43481.373427777798</v>
      </c>
      <c r="AV59" s="127">
        <v>43480.663217476897</v>
      </c>
      <c r="AW59" s="127">
        <v>43479.694298032402</v>
      </c>
      <c r="AX59" s="127"/>
      <c r="AY59" s="127">
        <v>43479.624757060199</v>
      </c>
      <c r="AZ59" s="133">
        <v>43486.402930555603</v>
      </c>
      <c r="BA59" s="134">
        <f ca="1">IF(_05preva_view43[[#This Row],[Prevalidation Status]]="Under Prevalidation",NOW()-_05preva_view43[[#This Row],[Request Date]],IF(_05preva_view43[[#This Row],[Close Date]]&gt;_05preva_view43[[#This Row],[Request Date]],_05preva_view43[[#This Row],[Close Date]]-_05preva_view43[[#This Row],[Request Date]],"Not  Calculated"))</f>
        <v>7.4029305556032341</v>
      </c>
      <c r="BB59" s="135">
        <f>COUNTIFS(_05preva_view43[Site ID],_05preva_view43[[#This Row],[Site ID]],_05preva_view43[Prevalidation Status],"Under Prevalidation")</f>
        <v>0</v>
      </c>
      <c r="BC59" s="153" t="str">
        <f ca="1">HYPERLINK(CheckPath(_05preva_view43[[#This Row],[File Path]],_05preva_view43[[#This Row],[File Path]],_05preva_view43[[#This Row],[Folder Path3]]),CheckPath(_05preva_view43[[#This Row],[File Path]],"Open File","No File"))</f>
        <v>No File</v>
      </c>
      <c r="BD59" s="136" t="str">
        <f>CONCATENATE(_05preva_view43[[#This Row],[Site ID]]," (",_05preva_view43[[#This Row],[tenant id]],") Application",IF(_05preva_view43[[#This Row],[Colo Rev]]&gt;0," Rev "&amp;_05preva_view43[[#This Row],[Colo Rev]],""),".xlsx")</f>
        <v>1-01-14007-015 (KCN00508) Application Rev 2.xlsx</v>
      </c>
      <c r="BE59" s="64">
        <f t="shared" ca="1" si="2"/>
        <v>50</v>
      </c>
      <c r="BF59" s="104" t="str">
        <f ca="1">LEFT(CELL("filename",A44),_05preva_view43[[#This Row],[Find Process &amp; Database]]-1)</f>
        <v>D:\OneDrive - apollo-towers.com\Apollo Towers\00-</v>
      </c>
      <c r="BG59" s="104" t="str">
        <f ca="1">_05preva_view43[Folder Path1]&amp;"Process &amp; Database\Documentation\Colo Applications"</f>
        <v>D:\OneDrive - apollo-towers.com\Apollo Towers\00-Process &amp; Database\Documentation\Colo Applications</v>
      </c>
      <c r="BH59" s="104" t="str">
        <f ca="1">_05preva_view43[Folder Path2]&amp;"\Colo App "&amp;_05preva_view43[[#This Row],[Operator]]&amp;"\"</f>
        <v>D:\OneDrive - apollo-towers.com\Apollo Towers\00-Process &amp; Database\Documentation\Colo Applications\Colo App MPT\</v>
      </c>
      <c r="BI59" s="63" t="str">
        <f ca="1">_05preva_view43[[#This Row],[Folder Path3]]&amp;_05preva_view43[[#This Row],[File Name]]</f>
        <v>D:\OneDrive - apollo-towers.com\Apollo Towers\00-Process &amp; Database\Documentation\Colo Applications\Colo App MPT\1-01-14007-015 (KCN00508) Application Rev 2.xlsx</v>
      </c>
      <c r="BJ59" s="104"/>
      <c r="BK59" s="3"/>
      <c r="BL59" s="3"/>
      <c r="CJ59" s="5"/>
      <c r="CK59" s="5"/>
      <c r="CL59" s="3"/>
      <c r="CN59" s="5"/>
      <c r="CR59" s="3"/>
      <c r="CS59" s="3"/>
      <c r="CT59" s="5"/>
      <c r="CV59" s="3"/>
      <c r="DR59" s="5"/>
      <c r="DT59" s="3"/>
      <c r="EF59" s="7"/>
      <c r="EG59" s="7"/>
      <c r="EJ59" s="4"/>
      <c r="EK59" s="4"/>
      <c r="EU59" s="2"/>
      <c r="EV59" s="2"/>
    </row>
    <row r="60" spans="1:152">
      <c r="A60" s="125">
        <v>3587</v>
      </c>
      <c r="B60" s="126" t="s">
        <v>1894</v>
      </c>
      <c r="C60" s="126" t="s">
        <v>116</v>
      </c>
      <c r="D60" s="126" t="s">
        <v>163</v>
      </c>
      <c r="E60" s="126" t="s">
        <v>1895</v>
      </c>
      <c r="F60" s="126" t="s">
        <v>35</v>
      </c>
      <c r="G60" s="126" t="s">
        <v>1143</v>
      </c>
      <c r="H60" s="126" t="s">
        <v>1619</v>
      </c>
      <c r="I60" s="126" t="s">
        <v>1077</v>
      </c>
      <c r="J60" s="126" t="s">
        <v>940</v>
      </c>
      <c r="K60" s="127">
        <v>43476</v>
      </c>
      <c r="L60" s="128">
        <v>1.52</v>
      </c>
      <c r="M60" s="128">
        <v>1.9</v>
      </c>
      <c r="N60" s="126">
        <v>3.43</v>
      </c>
      <c r="O60" s="126" t="s">
        <v>119</v>
      </c>
      <c r="P60" s="129" t="s">
        <v>916</v>
      </c>
      <c r="Q60" s="129" t="s">
        <v>932</v>
      </c>
      <c r="R60" s="126" t="s">
        <v>25</v>
      </c>
      <c r="S60" s="126"/>
      <c r="T60" s="130" t="s">
        <v>861</v>
      </c>
      <c r="U60" s="126"/>
      <c r="V60" s="130" t="s">
        <v>120</v>
      </c>
      <c r="W60" s="126"/>
      <c r="X60" s="130" t="s">
        <v>120</v>
      </c>
      <c r="Y60" s="126" t="s">
        <v>2055</v>
      </c>
      <c r="Z60" s="162" t="s">
        <v>144</v>
      </c>
      <c r="AA60" s="154"/>
      <c r="AB60" s="154"/>
      <c r="AC60" s="167" t="s">
        <v>123</v>
      </c>
      <c r="AD60" s="126" t="s">
        <v>2056</v>
      </c>
      <c r="AE60" s="130" t="s">
        <v>120</v>
      </c>
      <c r="AF60" s="127"/>
      <c r="AG60" s="131"/>
      <c r="AH60" s="131"/>
      <c r="AI60" s="126"/>
      <c r="AJ60" s="130" t="s">
        <v>120</v>
      </c>
      <c r="AK60" s="126" t="s">
        <v>123</v>
      </c>
      <c r="AL60" s="126" t="s">
        <v>1418</v>
      </c>
      <c r="AM60" s="130"/>
      <c r="AN60" s="126"/>
      <c r="AO60" s="132"/>
      <c r="AP60" s="126"/>
      <c r="AQ60" s="126"/>
      <c r="AR60" s="130"/>
      <c r="AS60" s="126"/>
      <c r="AT60" s="127">
        <v>43479.567117129598</v>
      </c>
      <c r="AU60" s="127">
        <v>43481.365410069397</v>
      </c>
      <c r="AV60" s="127"/>
      <c r="AW60" s="127">
        <v>43479.567117129598</v>
      </c>
      <c r="AX60" s="127"/>
      <c r="AY60" s="127">
        <v>43479.451686805602</v>
      </c>
      <c r="AZ60" s="133"/>
      <c r="BA60" s="134">
        <f ca="1">IF(_05preva_view43[[#This Row],[Prevalidation Status]]="Under Prevalidation",NOW()-_05preva_view43[[#This Row],[Request Date]],IF(_05preva_view43[[#This Row],[Close Date]]&gt;_05preva_view43[[#This Row],[Request Date]],_05preva_view43[[#This Row],[Close Date]]-_05preva_view43[[#This Row],[Request Date]],"Not  Calculated"))</f>
        <v>11.506734143520589</v>
      </c>
      <c r="BB60" s="135">
        <f>COUNTIFS(_05preva_view43[Site ID],_05preva_view43[[#This Row],[Site ID]],_05preva_view43[Prevalidation Status],"Under Prevalidation")</f>
        <v>1</v>
      </c>
      <c r="BC60" s="153" t="str">
        <f ca="1">HYPERLINK(CheckPath(_05preva_view43[[#This Row],[File Path]],_05preva_view43[[#This Row],[File Path]],_05preva_view43[[#This Row],[Folder Path3]]),CheckPath(_05preva_view43[[#This Row],[File Path]],"Open File","No File"))</f>
        <v>No File</v>
      </c>
      <c r="BD60" s="136" t="str">
        <f>CONCATENATE(_05preva_view43[[#This Row],[Site ID]]," (",_05preva_view43[[#This Row],[tenant id]],") Application",IF(_05preva_view43[[#This Row],[Colo Rev]]&gt;0," Rev "&amp;_05preva_view43[[#This Row],[Colo Rev]],""),".xlsx")</f>
        <v>ACBA_0202 (BGE00446) Application Rev 0.xlsx</v>
      </c>
      <c r="BE60" s="64">
        <f t="shared" ca="1" si="2"/>
        <v>50</v>
      </c>
      <c r="BF60" s="104" t="str">
        <f ca="1">LEFT(CELL("filename",A45),_05preva_view43[[#This Row],[Find Process &amp; Database]]-1)</f>
        <v>D:\OneDrive - apollo-towers.com\Apollo Towers\00-</v>
      </c>
      <c r="BG60" s="104" t="str">
        <f ca="1">_05preva_view43[Folder Path1]&amp;"Process &amp; Database\Documentation\Colo Applications"</f>
        <v>D:\OneDrive - apollo-towers.com\Apollo Towers\00-Process &amp; Database\Documentation\Colo Applications</v>
      </c>
      <c r="BH60" s="104" t="str">
        <f ca="1">_05preva_view43[Folder Path2]&amp;"\Colo App "&amp;_05preva_view43[[#This Row],[Operator]]&amp;"\"</f>
        <v>D:\OneDrive - apollo-towers.com\Apollo Towers\00-Process &amp; Database\Documentation\Colo Applications\Colo App MPT\</v>
      </c>
      <c r="BI60" s="63" t="str">
        <f ca="1">_05preva_view43[[#This Row],[Folder Path3]]&amp;_05preva_view43[[#This Row],[File Name]]</f>
        <v>D:\OneDrive - apollo-towers.com\Apollo Towers\00-Process &amp; Database\Documentation\Colo Applications\Colo App MPT\ACBA_0202 (BGE00446) Application Rev 0.xlsx</v>
      </c>
      <c r="BJ60" s="104"/>
      <c r="BK60" s="3"/>
      <c r="BL60" s="3"/>
      <c r="CJ60" s="5"/>
      <c r="CK60" s="5"/>
      <c r="CL60" s="3"/>
      <c r="CN60" s="5"/>
      <c r="CR60" s="3"/>
      <c r="CS60" s="3"/>
      <c r="CT60" s="5"/>
      <c r="CV60" s="3"/>
      <c r="DR60" s="5"/>
      <c r="DT60" s="3"/>
      <c r="EF60" s="7"/>
      <c r="EG60" s="7"/>
      <c r="EJ60" s="4"/>
      <c r="EK60" s="4"/>
      <c r="EU60" s="2"/>
      <c r="EV60" s="2"/>
    </row>
    <row r="61" spans="1:152">
      <c r="A61" s="125">
        <v>3588</v>
      </c>
      <c r="B61" s="126" t="s">
        <v>1896</v>
      </c>
      <c r="C61" s="126" t="s">
        <v>331</v>
      </c>
      <c r="D61" s="126" t="s">
        <v>117</v>
      </c>
      <c r="E61" s="126" t="s">
        <v>1897</v>
      </c>
      <c r="F61" s="126" t="s">
        <v>35</v>
      </c>
      <c r="G61" s="126" t="s">
        <v>1143</v>
      </c>
      <c r="H61" s="126" t="s">
        <v>1619</v>
      </c>
      <c r="I61" s="126" t="s">
        <v>1077</v>
      </c>
      <c r="J61" s="126" t="s">
        <v>940</v>
      </c>
      <c r="K61" s="127">
        <v>43476</v>
      </c>
      <c r="L61" s="128">
        <v>0.72</v>
      </c>
      <c r="M61" s="128">
        <v>0.9</v>
      </c>
      <c r="N61" s="126"/>
      <c r="O61" s="126" t="s">
        <v>950</v>
      </c>
      <c r="P61" s="129" t="s">
        <v>1028</v>
      </c>
      <c r="Q61" s="129" t="s">
        <v>1029</v>
      </c>
      <c r="R61" s="126" t="s">
        <v>24</v>
      </c>
      <c r="S61" s="126"/>
      <c r="T61" s="130" t="s">
        <v>120</v>
      </c>
      <c r="U61" s="126"/>
      <c r="V61" s="130" t="s">
        <v>120</v>
      </c>
      <c r="W61" s="126"/>
      <c r="X61" s="130" t="s">
        <v>120</v>
      </c>
      <c r="Y61" s="126" t="s">
        <v>2057</v>
      </c>
      <c r="Z61" s="162" t="s">
        <v>120</v>
      </c>
      <c r="AA61" s="154"/>
      <c r="AB61" s="154"/>
      <c r="AC61" s="167" t="s">
        <v>123</v>
      </c>
      <c r="AD61" s="126" t="s">
        <v>2058</v>
      </c>
      <c r="AE61" s="130" t="s">
        <v>120</v>
      </c>
      <c r="AF61" s="127"/>
      <c r="AG61" s="131"/>
      <c r="AH61" s="131"/>
      <c r="AI61" s="126"/>
      <c r="AJ61" s="130" t="s">
        <v>120</v>
      </c>
      <c r="AK61" s="126" t="s">
        <v>240</v>
      </c>
      <c r="AL61" s="126" t="s">
        <v>1493</v>
      </c>
      <c r="AM61" s="130"/>
      <c r="AN61" s="126"/>
      <c r="AO61" s="132"/>
      <c r="AP61" s="126"/>
      <c r="AQ61" s="126"/>
      <c r="AR61" s="130"/>
      <c r="AS61" s="126"/>
      <c r="AT61" s="127">
        <v>43479.567123379602</v>
      </c>
      <c r="AU61" s="127">
        <v>43481.373414120397</v>
      </c>
      <c r="AV61" s="127">
        <v>43480.481593750003</v>
      </c>
      <c r="AW61" s="127">
        <v>43479.567123379602</v>
      </c>
      <c r="AX61" s="127">
        <v>43480.7322405093</v>
      </c>
      <c r="AY61" s="127">
        <v>43479.408520370402</v>
      </c>
      <c r="AZ61" s="133">
        <v>43481.412556597199</v>
      </c>
      <c r="BA61" s="134">
        <f ca="1">IF(_05preva_view43[[#This Row],[Prevalidation Status]]="Under Prevalidation",NOW()-_05preva_view43[[#This Row],[Request Date]],IF(_05preva_view43[[#This Row],[Close Date]]&gt;_05preva_view43[[#This Row],[Request Date]],_05preva_view43[[#This Row],[Close Date]]-_05preva_view43[[#This Row],[Request Date]],"Not  Calculated"))</f>
        <v>5.412556597199</v>
      </c>
      <c r="BB61" s="135">
        <f>COUNTIFS(_05preva_view43[Site ID],_05preva_view43[[#This Row],[Site ID]],_05preva_view43[Prevalidation Status],"Under Prevalidation")</f>
        <v>0</v>
      </c>
      <c r="BC61" s="153" t="str">
        <f ca="1">HYPERLINK(CheckPath(_05preva_view43[[#This Row],[File Path]],_05preva_view43[[#This Row],[File Path]],_05preva_view43[[#This Row],[Folder Path3]]),CheckPath(_05preva_view43[[#This Row],[File Path]],"Open File","No File"))</f>
        <v>No File</v>
      </c>
      <c r="BD61" s="136" t="str">
        <f>CONCATENATE(_05preva_view43[[#This Row],[Site ID]]," (",_05preva_view43[[#This Row],[tenant id]],") Application",IF(_05preva_view43[[#This Row],[Colo Rev]]&gt;0," Rev "&amp;_05preva_view43[[#This Row],[Colo Rev]],""),".xlsx")</f>
        <v>1-01-08008-001 (BGW00539) Application Rev 0.xlsx</v>
      </c>
      <c r="BE61" s="64">
        <f t="shared" ca="1" si="2"/>
        <v>50</v>
      </c>
      <c r="BF61" s="104" t="str">
        <f ca="1">LEFT(CELL("filename",A46),_05preva_view43[[#This Row],[Find Process &amp; Database]]-1)</f>
        <v>D:\OneDrive - apollo-towers.com\Apollo Towers\00-</v>
      </c>
      <c r="BG61" s="104" t="str">
        <f ca="1">_05preva_view43[Folder Path1]&amp;"Process &amp; Database\Documentation\Colo Applications"</f>
        <v>D:\OneDrive - apollo-towers.com\Apollo Towers\00-Process &amp; Database\Documentation\Colo Applications</v>
      </c>
      <c r="BH61" s="104" t="str">
        <f ca="1">_05preva_view43[Folder Path2]&amp;"\Colo App "&amp;_05preva_view43[[#This Row],[Operator]]&amp;"\"</f>
        <v>D:\OneDrive - apollo-towers.com\Apollo Towers\00-Process &amp; Database\Documentation\Colo Applications\Colo App MPT\</v>
      </c>
      <c r="BI61" s="63" t="str">
        <f ca="1">_05preva_view43[[#This Row],[Folder Path3]]&amp;_05preva_view43[[#This Row],[File Name]]</f>
        <v>D:\OneDrive - apollo-towers.com\Apollo Towers\00-Process &amp; Database\Documentation\Colo Applications\Colo App MPT\1-01-08008-001 (BGW00539) Application Rev 0.xlsx</v>
      </c>
      <c r="BJ61" s="104"/>
      <c r="BK61" s="3"/>
      <c r="BL61" s="3"/>
      <c r="CJ61" s="5"/>
      <c r="CK61" s="5"/>
      <c r="CL61" s="3"/>
      <c r="CN61" s="5"/>
      <c r="CR61" s="3"/>
      <c r="CS61" s="3"/>
      <c r="CT61" s="5"/>
      <c r="CV61" s="3"/>
      <c r="DR61" s="5"/>
      <c r="DT61" s="3"/>
      <c r="EF61" s="7"/>
      <c r="EG61" s="7"/>
      <c r="EJ61" s="4"/>
      <c r="EK61" s="4"/>
      <c r="EU61" s="2"/>
      <c r="EV61" s="2"/>
    </row>
    <row r="62" spans="1:152">
      <c r="A62" s="125">
        <v>3589</v>
      </c>
      <c r="B62" s="126" t="s">
        <v>1520</v>
      </c>
      <c r="C62" s="126" t="s">
        <v>331</v>
      </c>
      <c r="D62" s="126" t="s">
        <v>127</v>
      </c>
      <c r="E62" s="126" t="s">
        <v>1521</v>
      </c>
      <c r="F62" s="126" t="s">
        <v>35</v>
      </c>
      <c r="G62" s="126" t="s">
        <v>1583</v>
      </c>
      <c r="H62" s="126" t="s">
        <v>1580</v>
      </c>
      <c r="I62" s="126" t="s">
        <v>1077</v>
      </c>
      <c r="J62" s="126" t="s">
        <v>931</v>
      </c>
      <c r="K62" s="127">
        <v>43476</v>
      </c>
      <c r="L62" s="128">
        <v>1.621</v>
      </c>
      <c r="M62" s="128">
        <v>3.6989999999999998</v>
      </c>
      <c r="N62" s="126"/>
      <c r="O62" s="126" t="s">
        <v>950</v>
      </c>
      <c r="P62" s="129" t="s">
        <v>334</v>
      </c>
      <c r="Q62" s="129" t="s">
        <v>736</v>
      </c>
      <c r="R62" s="126" t="s">
        <v>24</v>
      </c>
      <c r="S62" s="126"/>
      <c r="T62" s="130" t="s">
        <v>120</v>
      </c>
      <c r="U62" s="126" t="s">
        <v>2059</v>
      </c>
      <c r="V62" s="130" t="s">
        <v>120</v>
      </c>
      <c r="W62" s="126"/>
      <c r="X62" s="130" t="s">
        <v>120</v>
      </c>
      <c r="Y62" s="126" t="s">
        <v>2060</v>
      </c>
      <c r="Z62" s="162" t="s">
        <v>120</v>
      </c>
      <c r="AA62" s="154"/>
      <c r="AB62" s="154"/>
      <c r="AC62" s="167" t="s">
        <v>123</v>
      </c>
      <c r="AD62" s="126" t="s">
        <v>2061</v>
      </c>
      <c r="AE62" s="130" t="s">
        <v>120</v>
      </c>
      <c r="AF62" s="127"/>
      <c r="AG62" s="131"/>
      <c r="AH62" s="131"/>
      <c r="AI62" s="126"/>
      <c r="AJ62" s="130" t="s">
        <v>120</v>
      </c>
      <c r="AK62" s="126" t="s">
        <v>123</v>
      </c>
      <c r="AL62" s="126" t="s">
        <v>1198</v>
      </c>
      <c r="AM62" s="130"/>
      <c r="AN62" s="126"/>
      <c r="AO62" s="132"/>
      <c r="AP62" s="126"/>
      <c r="AQ62" s="126"/>
      <c r="AR62" s="130"/>
      <c r="AS62" s="126"/>
      <c r="AT62" s="127">
        <v>43479.567131481497</v>
      </c>
      <c r="AU62" s="127">
        <v>43481.373415046299</v>
      </c>
      <c r="AV62" s="127">
        <v>43480.481594560202</v>
      </c>
      <c r="AW62" s="127">
        <v>43479.567131481497</v>
      </c>
      <c r="AX62" s="127">
        <v>43480.732241088001</v>
      </c>
      <c r="AY62" s="127">
        <v>43479.408520949102</v>
      </c>
      <c r="AZ62" s="133">
        <v>43481.412557060197</v>
      </c>
      <c r="BA62" s="134">
        <f ca="1">IF(_05preva_view43[[#This Row],[Prevalidation Status]]="Under Prevalidation",NOW()-_05preva_view43[[#This Row],[Request Date]],IF(_05preva_view43[[#This Row],[Close Date]]&gt;_05preva_view43[[#This Row],[Request Date]],_05preva_view43[[#This Row],[Close Date]]-_05preva_view43[[#This Row],[Request Date]],"Not  Calculated"))</f>
        <v>5.4125570601972868</v>
      </c>
      <c r="BB62" s="135">
        <f>COUNTIFS(_05preva_view43[Site ID],_05preva_view43[[#This Row],[Site ID]],_05preva_view43[Prevalidation Status],"Under Prevalidation")</f>
        <v>0</v>
      </c>
      <c r="BC62" s="153" t="str">
        <f ca="1">HYPERLINK(CheckPath(_05preva_view43[[#This Row],[File Path]],_05preva_view43[[#This Row],[File Path]],_05preva_view43[[#This Row],[Folder Path3]]),CheckPath(_05preva_view43[[#This Row],[File Path]],"Open File","No File"))</f>
        <v>No File</v>
      </c>
      <c r="BD62" s="136" t="str">
        <f>CONCATENATE(_05preva_view43[[#This Row],[Site ID]]," (",_05preva_view43[[#This Row],[tenant id]],") Application",IF(_05preva_view43[[#This Row],[Colo Rev]]&gt;0," Rev "&amp;_05preva_view43[[#This Row],[Colo Rev]],""),".xlsx")</f>
        <v>1-01-01010-013 (KCN00442) Application Rev 1.xlsx</v>
      </c>
      <c r="BE62" s="64">
        <f t="shared" ca="1" si="2"/>
        <v>50</v>
      </c>
      <c r="BF62" s="104" t="str">
        <f ca="1">LEFT(CELL("filename",A47),_05preva_view43[[#This Row],[Find Process &amp; Database]]-1)</f>
        <v>D:\OneDrive - apollo-towers.com\Apollo Towers\00-</v>
      </c>
      <c r="BG62" s="104" t="str">
        <f ca="1">_05preva_view43[Folder Path1]&amp;"Process &amp; Database\Documentation\Colo Applications"</f>
        <v>D:\OneDrive - apollo-towers.com\Apollo Towers\00-Process &amp; Database\Documentation\Colo Applications</v>
      </c>
      <c r="BH62" s="104" t="str">
        <f ca="1">_05preva_view43[Folder Path2]&amp;"\Colo App "&amp;_05preva_view43[[#This Row],[Operator]]&amp;"\"</f>
        <v>D:\OneDrive - apollo-towers.com\Apollo Towers\00-Process &amp; Database\Documentation\Colo Applications\Colo App MPT\</v>
      </c>
      <c r="BI62" s="63" t="str">
        <f ca="1">_05preva_view43[[#This Row],[Folder Path3]]&amp;_05preva_view43[[#This Row],[File Name]]</f>
        <v>D:\OneDrive - apollo-towers.com\Apollo Towers\00-Process &amp; Database\Documentation\Colo Applications\Colo App MPT\1-01-01010-013 (KCN00442) Application Rev 1.xlsx</v>
      </c>
      <c r="BJ62" s="104"/>
      <c r="BK62" s="3"/>
      <c r="BL62" s="3"/>
      <c r="CJ62" s="5"/>
      <c r="CK62" s="5"/>
      <c r="CL62" s="3"/>
      <c r="CN62" s="5"/>
      <c r="CR62" s="3"/>
      <c r="CS62" s="3"/>
      <c r="CT62" s="5"/>
      <c r="CV62" s="3"/>
      <c r="DR62" s="5"/>
      <c r="DT62" s="3"/>
      <c r="EF62" s="7"/>
      <c r="EG62" s="7"/>
      <c r="EJ62" s="4"/>
      <c r="EK62" s="4"/>
      <c r="EU62" s="2"/>
      <c r="EV62" s="2"/>
    </row>
    <row r="63" spans="1:152">
      <c r="A63" s="125">
        <v>3590</v>
      </c>
      <c r="B63" s="126" t="s">
        <v>1907</v>
      </c>
      <c r="C63" s="126" t="s">
        <v>331</v>
      </c>
      <c r="D63" s="126" t="s">
        <v>117</v>
      </c>
      <c r="E63" s="126" t="s">
        <v>1908</v>
      </c>
      <c r="F63" s="126" t="s">
        <v>35</v>
      </c>
      <c r="G63" s="126" t="s">
        <v>1583</v>
      </c>
      <c r="H63" s="126" t="s">
        <v>1575</v>
      </c>
      <c r="I63" s="126" t="s">
        <v>1053</v>
      </c>
      <c r="J63" s="126" t="s">
        <v>957</v>
      </c>
      <c r="K63" s="127">
        <v>43476</v>
      </c>
      <c r="L63" s="128">
        <v>1.9890000000000001</v>
      </c>
      <c r="M63" s="128">
        <v>3.5489999999999999</v>
      </c>
      <c r="N63" s="126"/>
      <c r="O63" s="126" t="s">
        <v>950</v>
      </c>
      <c r="P63" s="129" t="s">
        <v>958</v>
      </c>
      <c r="Q63" s="129" t="s">
        <v>959</v>
      </c>
      <c r="R63" s="126" t="s">
        <v>24</v>
      </c>
      <c r="S63" s="126"/>
      <c r="T63" s="130" t="s">
        <v>120</v>
      </c>
      <c r="U63" s="126"/>
      <c r="V63" s="130" t="s">
        <v>120</v>
      </c>
      <c r="W63" s="126"/>
      <c r="X63" s="130" t="s">
        <v>120</v>
      </c>
      <c r="Y63" s="126" t="s">
        <v>2062</v>
      </c>
      <c r="Z63" s="162" t="s">
        <v>120</v>
      </c>
      <c r="AA63" s="154"/>
      <c r="AB63" s="154"/>
      <c r="AC63" s="167" t="s">
        <v>123</v>
      </c>
      <c r="AD63" s="126" t="s">
        <v>2063</v>
      </c>
      <c r="AE63" s="130" t="s">
        <v>120</v>
      </c>
      <c r="AF63" s="127"/>
      <c r="AG63" s="131"/>
      <c r="AH63" s="131"/>
      <c r="AI63" s="126" t="s">
        <v>2064</v>
      </c>
      <c r="AJ63" s="130" t="s">
        <v>120</v>
      </c>
      <c r="AK63" s="126" t="s">
        <v>123</v>
      </c>
      <c r="AL63" s="126" t="s">
        <v>1198</v>
      </c>
      <c r="AM63" s="130"/>
      <c r="AN63" s="126"/>
      <c r="AO63" s="132"/>
      <c r="AP63" s="126"/>
      <c r="AQ63" s="126"/>
      <c r="AR63" s="130"/>
      <c r="AS63" s="126"/>
      <c r="AT63" s="127">
        <v>43479.567132407399</v>
      </c>
      <c r="AU63" s="127">
        <v>43481.373417939802</v>
      </c>
      <c r="AV63" s="127">
        <v>43480.441032291703</v>
      </c>
      <c r="AW63" s="127">
        <v>43479.567132407399</v>
      </c>
      <c r="AX63" s="127">
        <v>43480.732241666701</v>
      </c>
      <c r="AY63" s="127">
        <v>43479.408521990699</v>
      </c>
      <c r="AZ63" s="133">
        <v>43481.412558217598</v>
      </c>
      <c r="BA63" s="134">
        <f ca="1">IF(_05preva_view43[[#This Row],[Prevalidation Status]]="Under Prevalidation",NOW()-_05preva_view43[[#This Row],[Request Date]],IF(_05preva_view43[[#This Row],[Close Date]]&gt;_05preva_view43[[#This Row],[Request Date]],_05preva_view43[[#This Row],[Close Date]]-_05preva_view43[[#This Row],[Request Date]],"Not  Calculated"))</f>
        <v>5.4125582175984164</v>
      </c>
      <c r="BB63" s="135">
        <f>COUNTIFS(_05preva_view43[Site ID],_05preva_view43[[#This Row],[Site ID]],_05preva_view43[Prevalidation Status],"Under Prevalidation")</f>
        <v>0</v>
      </c>
      <c r="BC63" s="153" t="str">
        <f ca="1">HYPERLINK(CheckPath(_05preva_view43[[#This Row],[File Path]],_05preva_view43[[#This Row],[File Path]],_05preva_view43[[#This Row],[Folder Path3]]),CheckPath(_05preva_view43[[#This Row],[File Path]],"Open File","No File"))</f>
        <v>No File</v>
      </c>
      <c r="BD63" s="136" t="str">
        <f>CONCATENATE(_05preva_view43[[#This Row],[Site ID]]," (",_05preva_view43[[#This Row],[tenant id]],") Application",IF(_05preva_view43[[#This Row],[Colo Rev]]&gt;0," Rev "&amp;_05preva_view43[[#This Row],[Colo Rev]],""),".xlsx")</f>
        <v>1-01-09018-009 (MGW00506) Application Rev 4.xlsx</v>
      </c>
      <c r="BE63" s="64">
        <f t="shared" ca="1" si="2"/>
        <v>50</v>
      </c>
      <c r="BF63" s="104" t="str">
        <f ca="1">LEFT(CELL("filename",A48),_05preva_view43[[#This Row],[Find Process &amp; Database]]-1)</f>
        <v>D:\OneDrive - apollo-towers.com\Apollo Towers\00-</v>
      </c>
      <c r="BG63" s="104" t="str">
        <f ca="1">_05preva_view43[Folder Path1]&amp;"Process &amp; Database\Documentation\Colo Applications"</f>
        <v>D:\OneDrive - apollo-towers.com\Apollo Towers\00-Process &amp; Database\Documentation\Colo Applications</v>
      </c>
      <c r="BH63" s="104" t="str">
        <f ca="1">_05preva_view43[Folder Path2]&amp;"\Colo App "&amp;_05preva_view43[[#This Row],[Operator]]&amp;"\"</f>
        <v>D:\OneDrive - apollo-towers.com\Apollo Towers\00-Process &amp; Database\Documentation\Colo Applications\Colo App MPT\</v>
      </c>
      <c r="BI63" s="63" t="str">
        <f ca="1">_05preva_view43[[#This Row],[Folder Path3]]&amp;_05preva_view43[[#This Row],[File Name]]</f>
        <v>D:\OneDrive - apollo-towers.com\Apollo Towers\00-Process &amp; Database\Documentation\Colo Applications\Colo App MPT\1-01-09018-009 (MGW00506) Application Rev 4.xlsx</v>
      </c>
      <c r="BJ63" s="104"/>
      <c r="BK63" s="3"/>
      <c r="BL63" s="3"/>
      <c r="CJ63" s="5"/>
      <c r="CK63" s="5"/>
      <c r="CL63" s="3"/>
      <c r="CN63" s="5"/>
      <c r="CR63" s="3"/>
      <c r="CS63" s="3"/>
      <c r="CT63" s="5"/>
      <c r="CV63" s="3"/>
      <c r="DR63" s="5"/>
      <c r="DT63" s="3"/>
      <c r="EF63" s="7"/>
      <c r="EG63" s="7"/>
      <c r="EJ63" s="4"/>
      <c r="EK63" s="4"/>
      <c r="EU63" s="2"/>
      <c r="EV63" s="2"/>
    </row>
    <row r="64" spans="1:152">
      <c r="A64" s="125">
        <v>3591</v>
      </c>
      <c r="B64" s="126" t="s">
        <v>2065</v>
      </c>
      <c r="C64" s="126" t="s">
        <v>331</v>
      </c>
      <c r="D64" s="126" t="s">
        <v>127</v>
      </c>
      <c r="E64" s="126" t="s">
        <v>2066</v>
      </c>
      <c r="F64" s="126" t="s">
        <v>35</v>
      </c>
      <c r="G64" s="126" t="s">
        <v>1583</v>
      </c>
      <c r="H64" s="126" t="s">
        <v>1575</v>
      </c>
      <c r="I64" s="126" t="s">
        <v>1288</v>
      </c>
      <c r="J64" s="126" t="s">
        <v>949</v>
      </c>
      <c r="K64" s="127">
        <v>43476</v>
      </c>
      <c r="L64" s="128">
        <v>1.399</v>
      </c>
      <c r="M64" s="128">
        <v>2.2989999999999999</v>
      </c>
      <c r="N64" s="126"/>
      <c r="O64" s="126" t="s">
        <v>950</v>
      </c>
      <c r="P64" s="129" t="s">
        <v>958</v>
      </c>
      <c r="Q64" s="129" t="s">
        <v>959</v>
      </c>
      <c r="R64" s="126" t="s">
        <v>24</v>
      </c>
      <c r="S64" s="126"/>
      <c r="T64" s="130" t="s">
        <v>120</v>
      </c>
      <c r="U64" s="126"/>
      <c r="V64" s="130" t="s">
        <v>120</v>
      </c>
      <c r="W64" s="126"/>
      <c r="X64" s="130" t="s">
        <v>120</v>
      </c>
      <c r="Y64" s="126" t="s">
        <v>2067</v>
      </c>
      <c r="Z64" s="162" t="s">
        <v>120</v>
      </c>
      <c r="AA64" s="154"/>
      <c r="AB64" s="154"/>
      <c r="AC64" s="167" t="s">
        <v>123</v>
      </c>
      <c r="AD64" s="126" t="s">
        <v>2068</v>
      </c>
      <c r="AE64" s="130" t="s">
        <v>120</v>
      </c>
      <c r="AF64" s="127"/>
      <c r="AG64" s="131"/>
      <c r="AH64" s="131"/>
      <c r="AI64" s="126" t="s">
        <v>2069</v>
      </c>
      <c r="AJ64" s="130" t="s">
        <v>120</v>
      </c>
      <c r="AK64" s="126" t="s">
        <v>123</v>
      </c>
      <c r="AL64" s="126" t="s">
        <v>1198</v>
      </c>
      <c r="AM64" s="130"/>
      <c r="AN64" s="126"/>
      <c r="AO64" s="132"/>
      <c r="AP64" s="126"/>
      <c r="AQ64" s="126"/>
      <c r="AR64" s="130"/>
      <c r="AS64" s="126"/>
      <c r="AT64" s="127">
        <v>43479.567141203697</v>
      </c>
      <c r="AU64" s="127">
        <v>43481.373419213</v>
      </c>
      <c r="AV64" s="127">
        <v>43480.481596643498</v>
      </c>
      <c r="AW64" s="127">
        <v>43479.567141203697</v>
      </c>
      <c r="AX64" s="127">
        <v>43480.732245023202</v>
      </c>
      <c r="AY64" s="127">
        <v>43479.4085225694</v>
      </c>
      <c r="AZ64" s="133">
        <v>43481.412558912001</v>
      </c>
      <c r="BA64" s="134">
        <f ca="1">IF(_05preva_view43[[#This Row],[Prevalidation Status]]="Under Prevalidation",NOW()-_05preva_view43[[#This Row],[Request Date]],IF(_05preva_view43[[#This Row],[Close Date]]&gt;_05preva_view43[[#This Row],[Request Date]],_05preva_view43[[#This Row],[Close Date]]-_05preva_view43[[#This Row],[Request Date]],"Not  Calculated"))</f>
        <v>5.4125589120012592</v>
      </c>
      <c r="BB64" s="135">
        <f>COUNTIFS(_05preva_view43[Site ID],_05preva_view43[[#This Row],[Site ID]],_05preva_view43[Prevalidation Status],"Under Prevalidation")</f>
        <v>0</v>
      </c>
      <c r="BC64" s="153" t="str">
        <f ca="1">HYPERLINK(CheckPath(_05preva_view43[[#This Row],[File Path]],_05preva_view43[[#This Row],[File Path]],_05preva_view43[[#This Row],[Folder Path3]]),CheckPath(_05preva_view43[[#This Row],[File Path]],"Open File","No File"))</f>
        <v>No File</v>
      </c>
      <c r="BD64" s="136" t="str">
        <f>CONCATENATE(_05preva_view43[[#This Row],[Site ID]]," (",_05preva_view43[[#This Row],[tenant id]],") Application",IF(_05preva_view43[[#This Row],[Colo Rev]]&gt;0," Rev "&amp;_05preva_view43[[#This Row],[Colo Rev]],""),".xlsx")</f>
        <v>1-01-05004-001 (SGG00208) Application Rev 2.xlsx</v>
      </c>
      <c r="BE64" s="64">
        <f t="shared" ca="1" si="2"/>
        <v>50</v>
      </c>
      <c r="BF64" s="104" t="str">
        <f ca="1">LEFT(CELL("filename",A49),_05preva_view43[[#This Row],[Find Process &amp; Database]]-1)</f>
        <v>D:\OneDrive - apollo-towers.com\Apollo Towers\00-</v>
      </c>
      <c r="BG64" s="104" t="str">
        <f ca="1">_05preva_view43[Folder Path1]&amp;"Process &amp; Database\Documentation\Colo Applications"</f>
        <v>D:\OneDrive - apollo-towers.com\Apollo Towers\00-Process &amp; Database\Documentation\Colo Applications</v>
      </c>
      <c r="BH64" s="104" t="str">
        <f ca="1">_05preva_view43[Folder Path2]&amp;"\Colo App "&amp;_05preva_view43[[#This Row],[Operator]]&amp;"\"</f>
        <v>D:\OneDrive - apollo-towers.com\Apollo Towers\00-Process &amp; Database\Documentation\Colo Applications\Colo App MPT\</v>
      </c>
      <c r="BI64" s="63" t="str">
        <f ca="1">_05preva_view43[[#This Row],[Folder Path3]]&amp;_05preva_view43[[#This Row],[File Name]]</f>
        <v>D:\OneDrive - apollo-towers.com\Apollo Towers\00-Process &amp; Database\Documentation\Colo Applications\Colo App MPT\1-01-05004-001 (SGG00208) Application Rev 2.xlsx</v>
      </c>
      <c r="BJ64" s="104"/>
      <c r="BK64" s="3"/>
      <c r="BL64" s="3"/>
      <c r="CJ64" s="5"/>
      <c r="CK64" s="5"/>
      <c r="CL64" s="3"/>
      <c r="CN64" s="5"/>
      <c r="CR64" s="3"/>
      <c r="CS64" s="3"/>
      <c r="CT64" s="5"/>
      <c r="CV64" s="3"/>
      <c r="DR64" s="5"/>
      <c r="DT64" s="3"/>
      <c r="EF64" s="7"/>
      <c r="EG64" s="7"/>
      <c r="EJ64" s="4"/>
      <c r="EK64" s="4"/>
      <c r="EU64" s="2"/>
      <c r="EV64" s="2"/>
    </row>
    <row r="65" spans="1:152">
      <c r="A65" s="125">
        <v>3592</v>
      </c>
      <c r="B65" s="126" t="s">
        <v>2070</v>
      </c>
      <c r="C65" s="126" t="s">
        <v>331</v>
      </c>
      <c r="D65" s="126" t="s">
        <v>127</v>
      </c>
      <c r="E65" s="126" t="s">
        <v>2071</v>
      </c>
      <c r="F65" s="126" t="s">
        <v>41</v>
      </c>
      <c r="G65" s="126" t="s">
        <v>1412</v>
      </c>
      <c r="H65" s="126" t="s">
        <v>1319</v>
      </c>
      <c r="I65" s="126" t="s">
        <v>1143</v>
      </c>
      <c r="J65" s="126" t="s">
        <v>940</v>
      </c>
      <c r="K65" s="127">
        <v>43476</v>
      </c>
      <c r="L65" s="128">
        <v>2</v>
      </c>
      <c r="M65" s="128"/>
      <c r="N65" s="126">
        <v>5</v>
      </c>
      <c r="O65" s="126" t="s">
        <v>119</v>
      </c>
      <c r="P65" s="129" t="s">
        <v>285</v>
      </c>
      <c r="Q65" s="129" t="s">
        <v>263</v>
      </c>
      <c r="R65" s="126" t="s">
        <v>25</v>
      </c>
      <c r="S65" s="126"/>
      <c r="T65" s="130" t="s">
        <v>120</v>
      </c>
      <c r="U65" s="126"/>
      <c r="V65" s="130" t="s">
        <v>120</v>
      </c>
      <c r="W65" s="126"/>
      <c r="X65" s="130" t="s">
        <v>120</v>
      </c>
      <c r="Y65" s="126" t="s">
        <v>2072</v>
      </c>
      <c r="Z65" s="162"/>
      <c r="AA65" s="154"/>
      <c r="AB65" s="154"/>
      <c r="AC65" s="167"/>
      <c r="AD65" s="126"/>
      <c r="AE65" s="130" t="s">
        <v>120</v>
      </c>
      <c r="AF65" s="127" t="s">
        <v>2073</v>
      </c>
      <c r="AG65" s="131"/>
      <c r="AH65" s="131"/>
      <c r="AI65" s="126" t="s">
        <v>1417</v>
      </c>
      <c r="AJ65" s="130" t="s">
        <v>120</v>
      </c>
      <c r="AK65" s="126" t="s">
        <v>240</v>
      </c>
      <c r="AL65" s="126" t="s">
        <v>1493</v>
      </c>
      <c r="AM65" s="130"/>
      <c r="AN65" s="126"/>
      <c r="AO65" s="132"/>
      <c r="AP65" s="126"/>
      <c r="AQ65" s="126"/>
      <c r="AR65" s="130"/>
      <c r="AS65" s="126"/>
      <c r="AT65" s="127">
        <v>43479.567142476903</v>
      </c>
      <c r="AU65" s="127">
        <v>43483.436927546303</v>
      </c>
      <c r="AV65" s="127"/>
      <c r="AW65" s="127">
        <v>43479.567142476903</v>
      </c>
      <c r="AX65" s="127">
        <v>43480.732246064799</v>
      </c>
      <c r="AY65" s="127">
        <v>43479.408523842598</v>
      </c>
      <c r="AZ65" s="133"/>
      <c r="BA65" s="134">
        <f ca="1">IF(_05preva_view43[[#This Row],[Prevalidation Status]]="Under Prevalidation",NOW()-_05preva_view43[[#This Row],[Request Date]],IF(_05preva_view43[[#This Row],[Close Date]]&gt;_05preva_view43[[#This Row],[Request Date]],_05preva_view43[[#This Row],[Close Date]]-_05preva_view43[[#This Row],[Request Date]],"Not  Calculated"))</f>
        <v>11.506734143520589</v>
      </c>
      <c r="BB65" s="135">
        <f>COUNTIFS(_05preva_view43[Site ID],_05preva_view43[[#This Row],[Site ID]],_05preva_view43[Prevalidation Status],"Under Prevalidation")</f>
        <v>1</v>
      </c>
      <c r="BC65" s="153" t="str">
        <f ca="1">HYPERLINK(CheckPath(_05preva_view43[[#This Row],[File Path]],_05preva_view43[[#This Row],[File Path]],_05preva_view43[[#This Row],[Folder Path3]]),CheckPath(_05preva_view43[[#This Row],[File Path]],"Open File","No File"))</f>
        <v>No File</v>
      </c>
      <c r="BD65" s="136" t="str">
        <f>CONCATENATE(_05preva_view43[[#This Row],[Site ID]]," (",_05preva_view43[[#This Row],[tenant id]],") Application",IF(_05preva_view43[[#This Row],[Colo Rev]]&gt;0," Rev "&amp;_05preva_view43[[#This Row],[Colo Rev]],""),".xlsx")</f>
        <v>1-01-10003-004 (MDYMHAM044) Application Rev 0.xlsx</v>
      </c>
      <c r="BE65" s="64">
        <f t="shared" ca="1" si="2"/>
        <v>50</v>
      </c>
      <c r="BF65" s="104" t="str">
        <f ca="1">LEFT(CELL("filename",A50),_05preva_view43[[#This Row],[Find Process &amp; Database]]-1)</f>
        <v>D:\OneDrive - apollo-towers.com\Apollo Towers\00-</v>
      </c>
      <c r="BG65" s="104" t="str">
        <f ca="1">_05preva_view43[Folder Path1]&amp;"Process &amp; Database\Documentation\Colo Applications"</f>
        <v>D:\OneDrive - apollo-towers.com\Apollo Towers\00-Process &amp; Database\Documentation\Colo Applications</v>
      </c>
      <c r="BH65" s="104" t="str">
        <f ca="1">_05preva_view43[Folder Path2]&amp;"\Colo App "&amp;_05preva_view43[[#This Row],[Operator]]&amp;"\"</f>
        <v>D:\OneDrive - apollo-towers.com\Apollo Towers\00-Process &amp; Database\Documentation\Colo Applications\Colo App Amara\</v>
      </c>
      <c r="BI65" s="63" t="str">
        <f ca="1">_05preva_view43[[#This Row],[Folder Path3]]&amp;_05preva_view43[[#This Row],[File Name]]</f>
        <v>D:\OneDrive - apollo-towers.com\Apollo Towers\00-Process &amp; Database\Documentation\Colo Applications\Colo App Amara\1-01-10003-004 (MDYMHAM044) Application Rev 0.xlsx</v>
      </c>
      <c r="BJ65" s="104"/>
      <c r="BK65" s="3"/>
      <c r="BL65" s="3"/>
      <c r="CJ65" s="5"/>
      <c r="CK65" s="5"/>
      <c r="CL65" s="3"/>
      <c r="CN65" s="5"/>
      <c r="CR65" s="3"/>
      <c r="CS65" s="3"/>
      <c r="CT65" s="5"/>
      <c r="CV65" s="3"/>
      <c r="DR65" s="5"/>
      <c r="DT65" s="3"/>
      <c r="EF65" s="7"/>
      <c r="EG65" s="7"/>
      <c r="EJ65" s="4"/>
      <c r="EK65" s="4"/>
      <c r="EU65" s="2"/>
      <c r="EV65" s="2"/>
    </row>
    <row r="66" spans="1:152">
      <c r="A66" s="125">
        <v>3593</v>
      </c>
      <c r="B66" s="126" t="s">
        <v>2074</v>
      </c>
      <c r="C66" s="126" t="s">
        <v>331</v>
      </c>
      <c r="D66" s="126" t="s">
        <v>127</v>
      </c>
      <c r="E66" s="126" t="s">
        <v>2075</v>
      </c>
      <c r="F66" s="126" t="s">
        <v>41</v>
      </c>
      <c r="G66" s="126" t="s">
        <v>1412</v>
      </c>
      <c r="H66" s="126" t="s">
        <v>1319</v>
      </c>
      <c r="I66" s="126" t="s">
        <v>1143</v>
      </c>
      <c r="J66" s="126" t="s">
        <v>940</v>
      </c>
      <c r="K66" s="127">
        <v>43476</v>
      </c>
      <c r="L66" s="128">
        <v>2</v>
      </c>
      <c r="M66" s="128"/>
      <c r="N66" s="126">
        <v>5</v>
      </c>
      <c r="O66" s="126" t="s">
        <v>119</v>
      </c>
      <c r="P66" s="129" t="s">
        <v>2076</v>
      </c>
      <c r="Q66" s="129" t="s">
        <v>2077</v>
      </c>
      <c r="R66" s="126" t="s">
        <v>25</v>
      </c>
      <c r="S66" s="126"/>
      <c r="T66" s="130" t="s">
        <v>120</v>
      </c>
      <c r="U66" s="126"/>
      <c r="V66" s="130" t="s">
        <v>120</v>
      </c>
      <c r="W66" s="126"/>
      <c r="X66" s="130" t="s">
        <v>120</v>
      </c>
      <c r="Y66" s="126" t="s">
        <v>2078</v>
      </c>
      <c r="Z66" s="162"/>
      <c r="AA66" s="154"/>
      <c r="AB66" s="154"/>
      <c r="AC66" s="167"/>
      <c r="AD66" s="126"/>
      <c r="AE66" s="130" t="s">
        <v>120</v>
      </c>
      <c r="AF66" s="127" t="s">
        <v>2073</v>
      </c>
      <c r="AG66" s="131"/>
      <c r="AH66" s="131"/>
      <c r="AI66" s="126" t="s">
        <v>1417</v>
      </c>
      <c r="AJ66" s="130" t="s">
        <v>120</v>
      </c>
      <c r="AK66" s="126" t="s">
        <v>240</v>
      </c>
      <c r="AL66" s="126" t="s">
        <v>1493</v>
      </c>
      <c r="AM66" s="130"/>
      <c r="AN66" s="126"/>
      <c r="AO66" s="132"/>
      <c r="AP66" s="126"/>
      <c r="AQ66" s="126"/>
      <c r="AR66" s="130"/>
      <c r="AS66" s="126"/>
      <c r="AT66" s="127">
        <v>43479.567149074101</v>
      </c>
      <c r="AU66" s="127">
        <v>43483.436929166703</v>
      </c>
      <c r="AV66" s="127"/>
      <c r="AW66" s="127">
        <v>43479.567149074101</v>
      </c>
      <c r="AX66" s="127">
        <v>43480.732246874999</v>
      </c>
      <c r="AY66" s="127">
        <v>43479.408524421298</v>
      </c>
      <c r="AZ66" s="133"/>
      <c r="BA66" s="134">
        <f ca="1">IF(_05preva_view43[[#This Row],[Prevalidation Status]]="Under Prevalidation",NOW()-_05preva_view43[[#This Row],[Request Date]],IF(_05preva_view43[[#This Row],[Close Date]]&gt;_05preva_view43[[#This Row],[Request Date]],_05preva_view43[[#This Row],[Close Date]]-_05preva_view43[[#This Row],[Request Date]],"Not  Calculated"))</f>
        <v>11.506734143520589</v>
      </c>
      <c r="BB66" s="135">
        <f>COUNTIFS(_05preva_view43[Site ID],_05preva_view43[[#This Row],[Site ID]],_05preva_view43[Prevalidation Status],"Under Prevalidation")</f>
        <v>1</v>
      </c>
      <c r="BC66" s="153" t="str">
        <f ca="1">HYPERLINK(CheckPath(_05preva_view43[[#This Row],[File Path]],_05preva_view43[[#This Row],[File Path]],_05preva_view43[[#This Row],[Folder Path3]]),CheckPath(_05preva_view43[[#This Row],[File Path]],"Open File","No File"))</f>
        <v>No File</v>
      </c>
      <c r="BD66" s="136" t="str">
        <f>CONCATENATE(_05preva_view43[[#This Row],[Site ID]]," (",_05preva_view43[[#This Row],[tenant id]],") Application",IF(_05preva_view43[[#This Row],[Colo Rev]]&gt;0," Rev "&amp;_05preva_view43[[#This Row],[Colo Rev]],""),".xlsx")</f>
        <v>1-01-10001-007 (MDYAMTZ004) Application Rev 0.xlsx</v>
      </c>
      <c r="BE66" s="64">
        <f t="shared" ca="1" si="2"/>
        <v>50</v>
      </c>
      <c r="BF66" s="104" t="str">
        <f ca="1">LEFT(CELL("filename",A51),_05preva_view43[[#This Row],[Find Process &amp; Database]]-1)</f>
        <v>D:\OneDrive - apollo-towers.com\Apollo Towers\00-</v>
      </c>
      <c r="BG66" s="104" t="str">
        <f ca="1">_05preva_view43[Folder Path1]&amp;"Process &amp; Database\Documentation\Colo Applications"</f>
        <v>D:\OneDrive - apollo-towers.com\Apollo Towers\00-Process &amp; Database\Documentation\Colo Applications</v>
      </c>
      <c r="BH66" s="104" t="str">
        <f ca="1">_05preva_view43[Folder Path2]&amp;"\Colo App "&amp;_05preva_view43[[#This Row],[Operator]]&amp;"\"</f>
        <v>D:\OneDrive - apollo-towers.com\Apollo Towers\00-Process &amp; Database\Documentation\Colo Applications\Colo App Amara\</v>
      </c>
      <c r="BI66" s="63" t="str">
        <f ca="1">_05preva_view43[[#This Row],[Folder Path3]]&amp;_05preva_view43[[#This Row],[File Name]]</f>
        <v>D:\OneDrive - apollo-towers.com\Apollo Towers\00-Process &amp; Database\Documentation\Colo Applications\Colo App Amara\1-01-10001-007 (MDYAMTZ004) Application Rev 0.xlsx</v>
      </c>
      <c r="BJ66" s="104"/>
      <c r="BK66" s="3"/>
      <c r="BL66" s="3"/>
      <c r="CJ66" s="5"/>
      <c r="CK66" s="5"/>
      <c r="CL66" s="3"/>
      <c r="CN66" s="5"/>
      <c r="CR66" s="3"/>
      <c r="CS66" s="3"/>
      <c r="CT66" s="5"/>
      <c r="CV66" s="3"/>
      <c r="DR66" s="5"/>
      <c r="DT66" s="3"/>
      <c r="EF66" s="7"/>
      <c r="EG66" s="7"/>
      <c r="EJ66" s="4"/>
      <c r="EK66" s="4"/>
      <c r="EU66" s="2"/>
      <c r="EV66" s="2"/>
    </row>
    <row r="67" spans="1:152">
      <c r="A67" s="125">
        <v>3594</v>
      </c>
      <c r="B67" s="126" t="s">
        <v>2079</v>
      </c>
      <c r="C67" s="126" t="s">
        <v>331</v>
      </c>
      <c r="D67" s="126" t="s">
        <v>127</v>
      </c>
      <c r="E67" s="126" t="s">
        <v>2080</v>
      </c>
      <c r="F67" s="126" t="s">
        <v>41</v>
      </c>
      <c r="G67" s="126" t="s">
        <v>1412</v>
      </c>
      <c r="H67" s="126" t="s">
        <v>1319</v>
      </c>
      <c r="I67" s="126" t="s">
        <v>1143</v>
      </c>
      <c r="J67" s="126" t="s">
        <v>940</v>
      </c>
      <c r="K67" s="127">
        <v>43476</v>
      </c>
      <c r="L67" s="128">
        <v>2</v>
      </c>
      <c r="M67" s="128"/>
      <c r="N67" s="126">
        <v>5</v>
      </c>
      <c r="O67" s="126" t="s">
        <v>119</v>
      </c>
      <c r="P67" s="129" t="s">
        <v>2081</v>
      </c>
      <c r="Q67" s="129" t="s">
        <v>2082</v>
      </c>
      <c r="R67" s="126" t="s">
        <v>25</v>
      </c>
      <c r="S67" s="126"/>
      <c r="T67" s="130" t="s">
        <v>120</v>
      </c>
      <c r="U67" s="126"/>
      <c r="V67" s="130" t="s">
        <v>120</v>
      </c>
      <c r="W67" s="126"/>
      <c r="X67" s="130" t="s">
        <v>120</v>
      </c>
      <c r="Y67" s="126" t="s">
        <v>2083</v>
      </c>
      <c r="Z67" s="162"/>
      <c r="AA67" s="154"/>
      <c r="AB67" s="154"/>
      <c r="AC67" s="167"/>
      <c r="AD67" s="126"/>
      <c r="AE67" s="130" t="s">
        <v>120</v>
      </c>
      <c r="AF67" s="127" t="s">
        <v>2073</v>
      </c>
      <c r="AG67" s="131"/>
      <c r="AH67" s="131"/>
      <c r="AI67" s="126" t="s">
        <v>1417</v>
      </c>
      <c r="AJ67" s="130" t="s">
        <v>120</v>
      </c>
      <c r="AK67" s="126" t="s">
        <v>240</v>
      </c>
      <c r="AL67" s="126" t="s">
        <v>1493</v>
      </c>
      <c r="AM67" s="130"/>
      <c r="AN67" s="126"/>
      <c r="AO67" s="132"/>
      <c r="AP67" s="126"/>
      <c r="AQ67" s="126"/>
      <c r="AR67" s="130"/>
      <c r="AS67" s="126"/>
      <c r="AT67" s="127">
        <v>43479.567150463001</v>
      </c>
      <c r="AU67" s="127">
        <v>43483.436930787</v>
      </c>
      <c r="AV67" s="127"/>
      <c r="AW67" s="127">
        <v>43479.567150463001</v>
      </c>
      <c r="AX67" s="127">
        <v>43480.732247569402</v>
      </c>
      <c r="AY67" s="127">
        <v>43479.4085247685</v>
      </c>
      <c r="AZ67" s="133"/>
      <c r="BA67" s="134">
        <f ca="1">IF(_05preva_view43[[#This Row],[Prevalidation Status]]="Under Prevalidation",NOW()-_05preva_view43[[#This Row],[Request Date]],IF(_05preva_view43[[#This Row],[Close Date]]&gt;_05preva_view43[[#This Row],[Request Date]],_05preva_view43[[#This Row],[Close Date]]-_05preva_view43[[#This Row],[Request Date]],"Not  Calculated"))</f>
        <v>11.506734143520589</v>
      </c>
      <c r="BB67" s="135">
        <f>COUNTIFS(_05preva_view43[Site ID],_05preva_view43[[#This Row],[Site ID]],_05preva_view43[Prevalidation Status],"Under Prevalidation")</f>
        <v>1</v>
      </c>
      <c r="BC67" s="153" t="str">
        <f ca="1">HYPERLINK(CheckPath(_05preva_view43[[#This Row],[File Path]],_05preva_view43[[#This Row],[File Path]],_05preva_view43[[#This Row],[Folder Path3]]),CheckPath(_05preva_view43[[#This Row],[File Path]],"Open File","No File"))</f>
        <v>No File</v>
      </c>
      <c r="BD67" s="136" t="str">
        <f>CONCATENATE(_05preva_view43[[#This Row],[Site ID]]," (",_05preva_view43[[#This Row],[tenant id]],") Application",IF(_05preva_view43[[#This Row],[Colo Rev]]&gt;0," Rev "&amp;_05preva_view43[[#This Row],[Colo Rev]],""),".xlsx")</f>
        <v>1-01-10003-012 (MDYCMTN064) Application Rev 0.xlsx</v>
      </c>
      <c r="BE67" s="64">
        <f t="shared" ca="1" si="2"/>
        <v>50</v>
      </c>
      <c r="BF67" s="104" t="str">
        <f ca="1">LEFT(CELL("filename",A52),_05preva_view43[[#This Row],[Find Process &amp; Database]]-1)</f>
        <v>D:\OneDrive - apollo-towers.com\Apollo Towers\00-</v>
      </c>
      <c r="BG67" s="104" t="str">
        <f ca="1">_05preva_view43[Folder Path1]&amp;"Process &amp; Database\Documentation\Colo Applications"</f>
        <v>D:\OneDrive - apollo-towers.com\Apollo Towers\00-Process &amp; Database\Documentation\Colo Applications</v>
      </c>
      <c r="BH67" s="104" t="str">
        <f ca="1">_05preva_view43[Folder Path2]&amp;"\Colo App "&amp;_05preva_view43[[#This Row],[Operator]]&amp;"\"</f>
        <v>D:\OneDrive - apollo-towers.com\Apollo Towers\00-Process &amp; Database\Documentation\Colo Applications\Colo App Amara\</v>
      </c>
      <c r="BI67" s="63" t="str">
        <f ca="1">_05preva_view43[[#This Row],[Folder Path3]]&amp;_05preva_view43[[#This Row],[File Name]]</f>
        <v>D:\OneDrive - apollo-towers.com\Apollo Towers\00-Process &amp; Database\Documentation\Colo Applications\Colo App Amara\1-01-10003-012 (MDYCMTN064) Application Rev 0.xlsx</v>
      </c>
      <c r="BJ67" s="104"/>
      <c r="BK67" s="3"/>
      <c r="BL67" s="3"/>
      <c r="CJ67" s="5"/>
      <c r="CK67" s="5"/>
      <c r="CL67" s="3"/>
      <c r="CN67" s="5"/>
      <c r="CR67" s="3"/>
      <c r="CS67" s="3"/>
      <c r="CT67" s="5"/>
      <c r="CV67" s="3"/>
      <c r="DR67" s="5"/>
      <c r="DT67" s="3"/>
      <c r="EF67" s="7"/>
      <c r="EG67" s="7"/>
      <c r="EJ67" s="4"/>
      <c r="EK67" s="4"/>
      <c r="EU67" s="2"/>
      <c r="EV67" s="2"/>
    </row>
    <row r="68" spans="1:152">
      <c r="A68" s="125">
        <v>3595</v>
      </c>
      <c r="B68" s="126" t="s">
        <v>2084</v>
      </c>
      <c r="C68" s="126" t="s">
        <v>331</v>
      </c>
      <c r="D68" s="126" t="s">
        <v>127</v>
      </c>
      <c r="E68" s="126" t="s">
        <v>2085</v>
      </c>
      <c r="F68" s="126" t="s">
        <v>41</v>
      </c>
      <c r="G68" s="126" t="s">
        <v>1412</v>
      </c>
      <c r="H68" s="126" t="s">
        <v>1319</v>
      </c>
      <c r="I68" s="126" t="s">
        <v>1143</v>
      </c>
      <c r="J68" s="126" t="s">
        <v>940</v>
      </c>
      <c r="K68" s="127">
        <v>43476</v>
      </c>
      <c r="L68" s="128">
        <v>2</v>
      </c>
      <c r="M68" s="128"/>
      <c r="N68" s="126">
        <v>5</v>
      </c>
      <c r="O68" s="126" t="s">
        <v>119</v>
      </c>
      <c r="P68" s="129" t="s">
        <v>334</v>
      </c>
      <c r="Q68" s="129" t="s">
        <v>736</v>
      </c>
      <c r="R68" s="126" t="s">
        <v>25</v>
      </c>
      <c r="S68" s="126"/>
      <c r="T68" s="130" t="s">
        <v>861</v>
      </c>
      <c r="U68" s="126"/>
      <c r="V68" s="130" t="s">
        <v>120</v>
      </c>
      <c r="W68" s="126"/>
      <c r="X68" s="130" t="s">
        <v>120</v>
      </c>
      <c r="Y68" s="126" t="s">
        <v>2083</v>
      </c>
      <c r="Z68" s="162"/>
      <c r="AA68" s="154"/>
      <c r="AB68" s="154"/>
      <c r="AC68" s="167"/>
      <c r="AD68" s="126"/>
      <c r="AE68" s="130" t="s">
        <v>120</v>
      </c>
      <c r="AF68" s="127" t="s">
        <v>2073</v>
      </c>
      <c r="AG68" s="131"/>
      <c r="AH68" s="131"/>
      <c r="AI68" s="126" t="s">
        <v>1417</v>
      </c>
      <c r="AJ68" s="130" t="s">
        <v>120</v>
      </c>
      <c r="AK68" s="126" t="s">
        <v>240</v>
      </c>
      <c r="AL68" s="126" t="s">
        <v>1493</v>
      </c>
      <c r="AM68" s="130"/>
      <c r="AN68" s="126"/>
      <c r="AO68" s="132"/>
      <c r="AP68" s="126"/>
      <c r="AQ68" s="126"/>
      <c r="AR68" s="130"/>
      <c r="AS68" s="126"/>
      <c r="AT68" s="127">
        <v>43479.567151388903</v>
      </c>
      <c r="AU68" s="127">
        <v>43483.436932638899</v>
      </c>
      <c r="AV68" s="127"/>
      <c r="AW68" s="127">
        <v>43479.567151388903</v>
      </c>
      <c r="AX68" s="127"/>
      <c r="AY68" s="127">
        <v>43479.408526388899</v>
      </c>
      <c r="AZ68" s="133"/>
      <c r="BA68" s="134">
        <f ca="1">IF(_05preva_view43[[#This Row],[Prevalidation Status]]="Under Prevalidation",NOW()-_05preva_view43[[#This Row],[Request Date]],IF(_05preva_view43[[#This Row],[Close Date]]&gt;_05preva_view43[[#This Row],[Request Date]],_05preva_view43[[#This Row],[Close Date]]-_05preva_view43[[#This Row],[Request Date]],"Not  Calculated"))</f>
        <v>11.506734143520589</v>
      </c>
      <c r="BB68" s="135">
        <f>COUNTIFS(_05preva_view43[Site ID],_05preva_view43[[#This Row],[Site ID]],_05preva_view43[Prevalidation Status],"Under Prevalidation")</f>
        <v>1</v>
      </c>
      <c r="BC68" s="153" t="str">
        <f ca="1">HYPERLINK(CheckPath(_05preva_view43[[#This Row],[File Path]],_05preva_view43[[#This Row],[File Path]],_05preva_view43[[#This Row],[Folder Path3]]),CheckPath(_05preva_view43[[#This Row],[File Path]],"Open File","No File"))</f>
        <v>No File</v>
      </c>
      <c r="BD68" s="136" t="str">
        <f>CONCATENATE(_05preva_view43[[#This Row],[Site ID]]," (",_05preva_view43[[#This Row],[tenant id]],") Application",IF(_05preva_view43[[#This Row],[Colo Rev]]&gt;0," Rev "&amp;_05preva_view43[[#This Row],[Colo Rev]],""),".xlsx")</f>
        <v>1-01-10003-002 (MDYCMTN040) Application Rev 0.xlsx</v>
      </c>
      <c r="BE68" s="64">
        <f t="shared" ca="1" si="2"/>
        <v>50</v>
      </c>
      <c r="BF68" s="104" t="str">
        <f ca="1">LEFT(CELL("filename",A53),_05preva_view43[[#This Row],[Find Process &amp; Database]]-1)</f>
        <v>D:\OneDrive - apollo-towers.com\Apollo Towers\00-</v>
      </c>
      <c r="BG68" s="104" t="str">
        <f ca="1">_05preva_view43[Folder Path1]&amp;"Process &amp; Database\Documentation\Colo Applications"</f>
        <v>D:\OneDrive - apollo-towers.com\Apollo Towers\00-Process &amp; Database\Documentation\Colo Applications</v>
      </c>
      <c r="BH68" s="104" t="str">
        <f ca="1">_05preva_view43[Folder Path2]&amp;"\Colo App "&amp;_05preva_view43[[#This Row],[Operator]]&amp;"\"</f>
        <v>D:\OneDrive - apollo-towers.com\Apollo Towers\00-Process &amp; Database\Documentation\Colo Applications\Colo App Amara\</v>
      </c>
      <c r="BI68" s="63" t="str">
        <f ca="1">_05preva_view43[[#This Row],[Folder Path3]]&amp;_05preva_view43[[#This Row],[File Name]]</f>
        <v>D:\OneDrive - apollo-towers.com\Apollo Towers\00-Process &amp; Database\Documentation\Colo Applications\Colo App Amara\1-01-10003-002 (MDYCMTN040) Application Rev 0.xlsx</v>
      </c>
      <c r="BJ68" s="104"/>
      <c r="BK68" s="3"/>
      <c r="BL68" s="3"/>
      <c r="CJ68" s="5"/>
      <c r="CK68" s="5"/>
      <c r="CL68" s="3"/>
      <c r="CN68" s="5"/>
      <c r="CR68" s="3"/>
      <c r="CS68" s="3"/>
      <c r="CT68" s="5"/>
      <c r="CV68" s="3"/>
      <c r="DR68" s="5"/>
      <c r="DT68" s="3"/>
      <c r="EF68" s="7"/>
      <c r="EG68" s="7"/>
      <c r="EJ68" s="4"/>
      <c r="EK68" s="4"/>
      <c r="EU68" s="2"/>
      <c r="EV68" s="2"/>
    </row>
    <row r="69" spans="1:152">
      <c r="A69" s="125">
        <v>3596</v>
      </c>
      <c r="B69" s="126" t="s">
        <v>2086</v>
      </c>
      <c r="C69" s="126" t="s">
        <v>331</v>
      </c>
      <c r="D69" s="126" t="s">
        <v>127</v>
      </c>
      <c r="E69" s="126" t="s">
        <v>1487</v>
      </c>
      <c r="F69" s="126" t="s">
        <v>41</v>
      </c>
      <c r="G69" s="126" t="s">
        <v>1412</v>
      </c>
      <c r="H69" s="126" t="s">
        <v>1319</v>
      </c>
      <c r="I69" s="126" t="s">
        <v>1143</v>
      </c>
      <c r="J69" s="126" t="s">
        <v>940</v>
      </c>
      <c r="K69" s="127">
        <v>43476</v>
      </c>
      <c r="L69" s="128">
        <v>2</v>
      </c>
      <c r="M69" s="128"/>
      <c r="N69" s="126">
        <v>5</v>
      </c>
      <c r="O69" s="126" t="s">
        <v>119</v>
      </c>
      <c r="P69" s="129"/>
      <c r="Q69" s="129"/>
      <c r="R69" s="126" t="s">
        <v>25</v>
      </c>
      <c r="S69" s="126"/>
      <c r="T69" s="130" t="s">
        <v>861</v>
      </c>
      <c r="U69" s="126"/>
      <c r="V69" s="130" t="s">
        <v>120</v>
      </c>
      <c r="W69" s="126"/>
      <c r="X69" s="130" t="s">
        <v>120</v>
      </c>
      <c r="Y69" s="126" t="s">
        <v>2087</v>
      </c>
      <c r="Z69" s="162"/>
      <c r="AA69" s="154"/>
      <c r="AB69" s="154"/>
      <c r="AC69" s="167"/>
      <c r="AD69" s="126"/>
      <c r="AE69" s="130" t="s">
        <v>120</v>
      </c>
      <c r="AF69" s="127" t="s">
        <v>2073</v>
      </c>
      <c r="AG69" s="131"/>
      <c r="AH69" s="131"/>
      <c r="AI69" s="126" t="s">
        <v>1417</v>
      </c>
      <c r="AJ69" s="130" t="s">
        <v>120</v>
      </c>
      <c r="AK69" s="126" t="s">
        <v>240</v>
      </c>
      <c r="AL69" s="126" t="s">
        <v>1493</v>
      </c>
      <c r="AM69" s="130"/>
      <c r="AN69" s="126"/>
      <c r="AO69" s="132"/>
      <c r="AP69" s="126"/>
      <c r="AQ69" s="126"/>
      <c r="AR69" s="130"/>
      <c r="AS69" s="126"/>
      <c r="AT69" s="127">
        <v>43479.567152430602</v>
      </c>
      <c r="AU69" s="127">
        <v>43483.436934375</v>
      </c>
      <c r="AV69" s="127"/>
      <c r="AW69" s="127">
        <v>43479.567152430602</v>
      </c>
      <c r="AX69" s="127"/>
      <c r="AY69" s="127">
        <v>43479.408527662003</v>
      </c>
      <c r="AZ69" s="133"/>
      <c r="BA69" s="134">
        <f ca="1">IF(_05preva_view43[[#This Row],[Prevalidation Status]]="Under Prevalidation",NOW()-_05preva_view43[[#This Row],[Request Date]],IF(_05preva_view43[[#This Row],[Close Date]]&gt;_05preva_view43[[#This Row],[Request Date]],_05preva_view43[[#This Row],[Close Date]]-_05preva_view43[[#This Row],[Request Date]],"Not  Calculated"))</f>
        <v>11.506734143520589</v>
      </c>
      <c r="BB69" s="135">
        <f>COUNTIFS(_05preva_view43[Site ID],_05preva_view43[[#This Row],[Site ID]],_05preva_view43[Prevalidation Status],"Under Prevalidation")</f>
        <v>1</v>
      </c>
      <c r="BC69" s="153" t="str">
        <f ca="1">HYPERLINK(CheckPath(_05preva_view43[[#This Row],[File Path]],_05preva_view43[[#This Row],[File Path]],_05preva_view43[[#This Row],[Folder Path3]]),CheckPath(_05preva_view43[[#This Row],[File Path]],"Open File","No File"))</f>
        <v>No File</v>
      </c>
      <c r="BD69" s="136" t="str">
        <f>CONCATENATE(_05preva_view43[[#This Row],[Site ID]]," (",_05preva_view43[[#This Row],[tenant id]],") Application",IF(_05preva_view43[[#This Row],[Colo Rev]]&gt;0," Rev "&amp;_05preva_view43[[#This Row],[Colo Rev]],""),".xlsx")</f>
        <v>1-01-10003-013 (MDYMHAM065) Application Rev 0.xlsx</v>
      </c>
      <c r="BE69" s="64">
        <f t="shared" ca="1" si="2"/>
        <v>50</v>
      </c>
      <c r="BF69" s="104" t="str">
        <f ca="1">LEFT(CELL("filename",A54),_05preva_view43[[#This Row],[Find Process &amp; Database]]-1)</f>
        <v>D:\OneDrive - apollo-towers.com\Apollo Towers\00-</v>
      </c>
      <c r="BG69" s="104" t="str">
        <f ca="1">_05preva_view43[Folder Path1]&amp;"Process &amp; Database\Documentation\Colo Applications"</f>
        <v>D:\OneDrive - apollo-towers.com\Apollo Towers\00-Process &amp; Database\Documentation\Colo Applications</v>
      </c>
      <c r="BH69" s="104" t="str">
        <f ca="1">_05preva_view43[Folder Path2]&amp;"\Colo App "&amp;_05preva_view43[[#This Row],[Operator]]&amp;"\"</f>
        <v>D:\OneDrive - apollo-towers.com\Apollo Towers\00-Process &amp; Database\Documentation\Colo Applications\Colo App Amara\</v>
      </c>
      <c r="BI69" s="63" t="str">
        <f ca="1">_05preva_view43[[#This Row],[Folder Path3]]&amp;_05preva_view43[[#This Row],[File Name]]</f>
        <v>D:\OneDrive - apollo-towers.com\Apollo Towers\00-Process &amp; Database\Documentation\Colo Applications\Colo App Amara\1-01-10003-013 (MDYMHAM065) Application Rev 0.xlsx</v>
      </c>
      <c r="BJ69" s="104"/>
      <c r="BK69" s="3"/>
      <c r="BL69" s="3"/>
      <c r="CJ69" s="5"/>
      <c r="CK69" s="5"/>
      <c r="CL69" s="3"/>
      <c r="CN69" s="5"/>
      <c r="CR69" s="3"/>
      <c r="CS69" s="3"/>
      <c r="CT69" s="5"/>
      <c r="CV69" s="3"/>
      <c r="DR69" s="5"/>
      <c r="DT69" s="3"/>
      <c r="EF69" s="7"/>
      <c r="EG69" s="7"/>
      <c r="EJ69" s="4"/>
      <c r="EK69" s="4"/>
      <c r="EU69" s="2"/>
      <c r="EV69" s="2"/>
    </row>
    <row r="70" spans="1:152">
      <c r="A70" s="125">
        <v>3573</v>
      </c>
      <c r="B70" s="126" t="s">
        <v>348</v>
      </c>
      <c r="C70" s="126" t="s">
        <v>116</v>
      </c>
      <c r="D70" s="126" t="s">
        <v>127</v>
      </c>
      <c r="E70" s="126" t="s">
        <v>1818</v>
      </c>
      <c r="F70" s="126" t="s">
        <v>41</v>
      </c>
      <c r="G70" s="126" t="s">
        <v>1412</v>
      </c>
      <c r="H70" s="126" t="s">
        <v>1319</v>
      </c>
      <c r="I70" s="126" t="s">
        <v>1143</v>
      </c>
      <c r="J70" s="126" t="s">
        <v>1091</v>
      </c>
      <c r="K70" s="127">
        <v>43475</v>
      </c>
      <c r="L70" s="128">
        <v>2</v>
      </c>
      <c r="M70" s="128"/>
      <c r="N70" s="126">
        <v>5</v>
      </c>
      <c r="O70" s="126" t="s">
        <v>119</v>
      </c>
      <c r="P70" s="129" t="s">
        <v>284</v>
      </c>
      <c r="Q70" s="129" t="s">
        <v>285</v>
      </c>
      <c r="R70" s="126" t="s">
        <v>24</v>
      </c>
      <c r="S70" s="126"/>
      <c r="T70" s="130" t="s">
        <v>120</v>
      </c>
      <c r="U70" s="126" t="s">
        <v>1868</v>
      </c>
      <c r="V70" s="130" t="s">
        <v>120</v>
      </c>
      <c r="W70" s="126"/>
      <c r="X70" s="130" t="s">
        <v>120</v>
      </c>
      <c r="Y70" s="126" t="s">
        <v>1898</v>
      </c>
      <c r="Z70" s="162" t="s">
        <v>120</v>
      </c>
      <c r="AA70" s="154"/>
      <c r="AB70" s="154"/>
      <c r="AC70" s="167"/>
      <c r="AD70" s="126" t="s">
        <v>2088</v>
      </c>
      <c r="AE70" s="130" t="s">
        <v>120</v>
      </c>
      <c r="AF70" s="127" t="s">
        <v>1167</v>
      </c>
      <c r="AG70" s="131"/>
      <c r="AH70" s="131"/>
      <c r="AI70" s="126" t="s">
        <v>1417</v>
      </c>
      <c r="AJ70" s="130" t="s">
        <v>120</v>
      </c>
      <c r="AK70" s="126" t="s">
        <v>123</v>
      </c>
      <c r="AL70" s="126" t="s">
        <v>1418</v>
      </c>
      <c r="AM70" s="130"/>
      <c r="AN70" s="126"/>
      <c r="AO70" s="132"/>
      <c r="AP70" s="126"/>
      <c r="AQ70" s="126"/>
      <c r="AR70" s="130"/>
      <c r="AS70" s="126"/>
      <c r="AT70" s="127">
        <v>43476.450465509297</v>
      </c>
      <c r="AU70" s="127">
        <v>43479.6432277778</v>
      </c>
      <c r="AV70" s="127">
        <v>43479.390733911998</v>
      </c>
      <c r="AW70" s="127">
        <v>43476.450465509297</v>
      </c>
      <c r="AX70" s="127">
        <v>43475.646661226798</v>
      </c>
      <c r="AY70" s="127">
        <v>43475.965515972202</v>
      </c>
      <c r="AZ70" s="133">
        <v>43479.6894686343</v>
      </c>
      <c r="BA70" s="134">
        <f ca="1">IF(_05preva_view43[[#This Row],[Prevalidation Status]]="Under Prevalidation",NOW()-_05preva_view43[[#This Row],[Request Date]],IF(_05preva_view43[[#This Row],[Close Date]]&gt;_05preva_view43[[#This Row],[Request Date]],_05preva_view43[[#This Row],[Close Date]]-_05preva_view43[[#This Row],[Request Date]],"Not  Calculated"))</f>
        <v>4.6894686343002832</v>
      </c>
      <c r="BB70" s="135">
        <f>COUNTIFS(_05preva_view43[Site ID],_05preva_view43[[#This Row],[Site ID]],_05preva_view43[Prevalidation Status],"Under Prevalidation")</f>
        <v>0</v>
      </c>
      <c r="BC70" s="153" t="str">
        <f ca="1">HYPERLINK(CheckPath(_05preva_view43[[#This Row],[File Path]],_05preva_view43[[#This Row],[File Path]],_05preva_view43[[#This Row],[Folder Path3]]),CheckPath(_05preva_view43[[#This Row],[File Path]],"Open File","No File"))</f>
        <v>No File</v>
      </c>
      <c r="BD70" s="136" t="str">
        <f>CONCATENATE(_05preva_view43[[#This Row],[Site ID]]," (",_05preva_view43[[#This Row],[tenant id]],") Application",IF(_05preva_view43[[#This Row],[Colo Rev]]&gt;0," Rev "&amp;_05preva_view43[[#This Row],[Colo Rev]],""),".xlsx")</f>
        <v>ANMD_0166 (MDYAMPR003) Application Rev .xlsx</v>
      </c>
      <c r="BE70" s="64">
        <f t="shared" ca="1" si="2"/>
        <v>50</v>
      </c>
      <c r="BF70" s="104" t="str">
        <f ca="1">LEFT(CELL("filename",A55),_05preva_view43[[#This Row],[Find Process &amp; Database]]-1)</f>
        <v>D:\OneDrive - apollo-towers.com\Apollo Towers\00-</v>
      </c>
      <c r="BG70" s="104" t="str">
        <f ca="1">_05preva_view43[Folder Path1]&amp;"Process &amp; Database\Documentation\Colo Applications"</f>
        <v>D:\OneDrive - apollo-towers.com\Apollo Towers\00-Process &amp; Database\Documentation\Colo Applications</v>
      </c>
      <c r="BH70" s="104" t="str">
        <f ca="1">_05preva_view43[Folder Path2]&amp;"\Colo App "&amp;_05preva_view43[[#This Row],[Operator]]&amp;"\"</f>
        <v>D:\OneDrive - apollo-towers.com\Apollo Towers\00-Process &amp; Database\Documentation\Colo Applications\Colo App Amara\</v>
      </c>
      <c r="BI70" s="63" t="str">
        <f ca="1">_05preva_view43[[#This Row],[Folder Path3]]&amp;_05preva_view43[[#This Row],[File Name]]</f>
        <v>D:\OneDrive - apollo-towers.com\Apollo Towers\00-Process &amp; Database\Documentation\Colo Applications\Colo App Amara\ANMD_0166 (MDYAMPR003) Application Rev .xlsx</v>
      </c>
      <c r="BJ70" s="104"/>
      <c r="BK70" s="3"/>
      <c r="BL70" s="3"/>
      <c r="CJ70" s="5"/>
      <c r="CK70" s="5"/>
      <c r="CL70" s="3"/>
      <c r="CN70" s="5"/>
      <c r="CR70" s="3"/>
      <c r="CS70" s="3"/>
      <c r="CT70" s="5"/>
      <c r="CV70" s="3"/>
      <c r="DR70" s="5"/>
      <c r="DT70" s="3"/>
      <c r="EF70" s="7"/>
      <c r="EG70" s="7"/>
      <c r="EJ70" s="4"/>
      <c r="EK70" s="4"/>
      <c r="EU70" s="2"/>
      <c r="EV70" s="2"/>
    </row>
    <row r="71" spans="1:152">
      <c r="A71" s="125">
        <v>3574</v>
      </c>
      <c r="B71" s="126" t="s">
        <v>356</v>
      </c>
      <c r="C71" s="126" t="s">
        <v>116</v>
      </c>
      <c r="D71" s="126" t="s">
        <v>127</v>
      </c>
      <c r="E71" s="126" t="s">
        <v>1476</v>
      </c>
      <c r="F71" s="126" t="s">
        <v>41</v>
      </c>
      <c r="G71" s="126" t="s">
        <v>1412</v>
      </c>
      <c r="H71" s="126" t="s">
        <v>1319</v>
      </c>
      <c r="I71" s="126" t="s">
        <v>1143</v>
      </c>
      <c r="J71" s="126" t="s">
        <v>1091</v>
      </c>
      <c r="K71" s="127">
        <v>43475</v>
      </c>
      <c r="L71" s="128">
        <v>2</v>
      </c>
      <c r="M71" s="128"/>
      <c r="N71" s="126">
        <v>5</v>
      </c>
      <c r="O71" s="126" t="s">
        <v>119</v>
      </c>
      <c r="P71" s="129" t="s">
        <v>339</v>
      </c>
      <c r="Q71" s="129" t="s">
        <v>903</v>
      </c>
      <c r="R71" s="126" t="s">
        <v>25</v>
      </c>
      <c r="S71" s="126"/>
      <c r="T71" s="130" t="s">
        <v>861</v>
      </c>
      <c r="U71" s="126"/>
      <c r="V71" s="130" t="s">
        <v>120</v>
      </c>
      <c r="W71" s="126"/>
      <c r="X71" s="130" t="s">
        <v>120</v>
      </c>
      <c r="Y71" s="126" t="s">
        <v>1899</v>
      </c>
      <c r="Z71" s="162"/>
      <c r="AA71" s="154"/>
      <c r="AB71" s="154"/>
      <c r="AC71" s="167"/>
      <c r="AD71" s="126" t="s">
        <v>2089</v>
      </c>
      <c r="AE71" s="130" t="s">
        <v>120</v>
      </c>
      <c r="AF71" s="127" t="s">
        <v>2073</v>
      </c>
      <c r="AG71" s="131"/>
      <c r="AH71" s="131"/>
      <c r="AI71" s="126" t="s">
        <v>1417</v>
      </c>
      <c r="AJ71" s="130" t="s">
        <v>120</v>
      </c>
      <c r="AK71" s="126" t="s">
        <v>123</v>
      </c>
      <c r="AL71" s="126" t="s">
        <v>1900</v>
      </c>
      <c r="AM71" s="130"/>
      <c r="AN71" s="126"/>
      <c r="AO71" s="132"/>
      <c r="AP71" s="126"/>
      <c r="AQ71" s="126"/>
      <c r="AR71" s="130"/>
      <c r="AS71" s="126"/>
      <c r="AT71" s="127">
        <v>43476.450467476898</v>
      </c>
      <c r="AU71" s="127">
        <v>43483.4369248843</v>
      </c>
      <c r="AV71" s="127"/>
      <c r="AW71" s="127">
        <v>43476.450467476898</v>
      </c>
      <c r="AX71" s="127"/>
      <c r="AY71" s="127">
        <v>43475.965520717597</v>
      </c>
      <c r="AZ71" s="133"/>
      <c r="BA71" s="134">
        <f ca="1">IF(_05preva_view43[[#This Row],[Prevalidation Status]]="Under Prevalidation",NOW()-_05preva_view43[[#This Row],[Request Date]],IF(_05preva_view43[[#This Row],[Close Date]]&gt;_05preva_view43[[#This Row],[Request Date]],_05preva_view43[[#This Row],[Close Date]]-_05preva_view43[[#This Row],[Request Date]],"Not  Calculated"))</f>
        <v>12.506734143520589</v>
      </c>
      <c r="BB71" s="135">
        <f>COUNTIFS(_05preva_view43[Site ID],_05preva_view43[[#This Row],[Site ID]],_05preva_view43[Prevalidation Status],"Under Prevalidation")</f>
        <v>1</v>
      </c>
      <c r="BC71" s="153" t="str">
        <f ca="1">HYPERLINK(CheckPath(_05preva_view43[[#This Row],[File Path]],_05preva_view43[[#This Row],[File Path]],_05preva_view43[[#This Row],[Folder Path3]]),CheckPath(_05preva_view43[[#This Row],[File Path]],"Open File","No File"))</f>
        <v>No File</v>
      </c>
      <c r="BD71" s="136" t="str">
        <f>CONCATENATE(_05preva_view43[[#This Row],[Site ID]]," (",_05preva_view43[[#This Row],[tenant id]],") Application",IF(_05preva_view43[[#This Row],[Colo Rev]]&gt;0," Rev "&amp;_05preva_view43[[#This Row],[Colo Rev]],""),".xlsx")</f>
        <v>ANMD_0004 (MDYAMTZ010) Application Rev .xlsx</v>
      </c>
      <c r="BE71" s="64">
        <f t="shared" ca="1" si="2"/>
        <v>50</v>
      </c>
      <c r="BF71" s="104" t="str">
        <f ca="1">LEFT(CELL("filename",A56),_05preva_view43[[#This Row],[Find Process &amp; Database]]-1)</f>
        <v>D:\OneDrive - apollo-towers.com\Apollo Towers\00-</v>
      </c>
      <c r="BG71" s="104" t="str">
        <f ca="1">_05preva_view43[Folder Path1]&amp;"Process &amp; Database\Documentation\Colo Applications"</f>
        <v>D:\OneDrive - apollo-towers.com\Apollo Towers\00-Process &amp; Database\Documentation\Colo Applications</v>
      </c>
      <c r="BH71" s="104" t="str">
        <f ca="1">_05preva_view43[Folder Path2]&amp;"\Colo App "&amp;_05preva_view43[[#This Row],[Operator]]&amp;"\"</f>
        <v>D:\OneDrive - apollo-towers.com\Apollo Towers\00-Process &amp; Database\Documentation\Colo Applications\Colo App Amara\</v>
      </c>
      <c r="BI71" s="63" t="str">
        <f ca="1">_05preva_view43[[#This Row],[Folder Path3]]&amp;_05preva_view43[[#This Row],[File Name]]</f>
        <v>D:\OneDrive - apollo-towers.com\Apollo Towers\00-Process &amp; Database\Documentation\Colo Applications\Colo App Amara\ANMD_0004 (MDYAMTZ010) Application Rev .xlsx</v>
      </c>
      <c r="BJ71" s="104"/>
      <c r="BK71" s="3"/>
      <c r="BL71" s="3"/>
      <c r="CJ71" s="5"/>
      <c r="CK71" s="5"/>
      <c r="CL71" s="3"/>
      <c r="CN71" s="5"/>
      <c r="CR71" s="3"/>
      <c r="CS71" s="3"/>
      <c r="CT71" s="5"/>
      <c r="CV71" s="3"/>
      <c r="DR71" s="5"/>
      <c r="DT71" s="3"/>
      <c r="EF71" s="7"/>
      <c r="EG71" s="7"/>
      <c r="EJ71" s="4"/>
      <c r="EK71" s="4"/>
      <c r="EU71" s="2"/>
      <c r="EV71" s="2"/>
    </row>
    <row r="72" spans="1:152">
      <c r="A72" s="125">
        <v>3581</v>
      </c>
      <c r="B72" s="126" t="s">
        <v>1869</v>
      </c>
      <c r="C72" s="126" t="s">
        <v>331</v>
      </c>
      <c r="D72" s="126" t="s">
        <v>127</v>
      </c>
      <c r="E72" s="126" t="s">
        <v>1870</v>
      </c>
      <c r="F72" s="126" t="s">
        <v>35</v>
      </c>
      <c r="G72" s="126" t="s">
        <v>1583</v>
      </c>
      <c r="H72" s="126" t="s">
        <v>1575</v>
      </c>
      <c r="I72" s="126" t="s">
        <v>1263</v>
      </c>
      <c r="J72" s="126" t="s">
        <v>949</v>
      </c>
      <c r="K72" s="127">
        <v>43475</v>
      </c>
      <c r="L72" s="128">
        <v>1</v>
      </c>
      <c r="M72" s="128">
        <v>1.4</v>
      </c>
      <c r="N72" s="126"/>
      <c r="O72" s="126" t="s">
        <v>950</v>
      </c>
      <c r="P72" s="129" t="s">
        <v>958</v>
      </c>
      <c r="Q72" s="129" t="s">
        <v>959</v>
      </c>
      <c r="R72" s="126" t="s">
        <v>24</v>
      </c>
      <c r="S72" s="126"/>
      <c r="T72" s="130" t="s">
        <v>120</v>
      </c>
      <c r="U72" s="126"/>
      <c r="V72" s="130" t="s">
        <v>120</v>
      </c>
      <c r="W72" s="126"/>
      <c r="X72" s="130" t="s">
        <v>120</v>
      </c>
      <c r="Y72" s="126" t="s">
        <v>1901</v>
      </c>
      <c r="Z72" s="162" t="s">
        <v>120</v>
      </c>
      <c r="AA72" s="154"/>
      <c r="AB72" s="154"/>
      <c r="AC72" s="167" t="s">
        <v>123</v>
      </c>
      <c r="AD72" s="126" t="s">
        <v>2090</v>
      </c>
      <c r="AE72" s="130" t="s">
        <v>120</v>
      </c>
      <c r="AF72" s="127"/>
      <c r="AG72" s="131"/>
      <c r="AH72" s="131"/>
      <c r="AI72" s="126"/>
      <c r="AJ72" s="130" t="s">
        <v>120</v>
      </c>
      <c r="AK72" s="126" t="s">
        <v>123</v>
      </c>
      <c r="AL72" s="126" t="s">
        <v>1198</v>
      </c>
      <c r="AM72" s="130"/>
      <c r="AN72" s="126"/>
      <c r="AO72" s="132"/>
      <c r="AP72" s="126"/>
      <c r="AQ72" s="126"/>
      <c r="AR72" s="130"/>
      <c r="AS72" s="126"/>
      <c r="AT72" s="127">
        <v>43476.450474189798</v>
      </c>
      <c r="AU72" s="127">
        <v>43481.373403240701</v>
      </c>
      <c r="AV72" s="127">
        <v>43479.656267245402</v>
      </c>
      <c r="AW72" s="127">
        <v>43476.450474189798</v>
      </c>
      <c r="AX72" s="127">
        <v>43480.732231828697</v>
      </c>
      <c r="AY72" s="127">
        <v>43475.972906828698</v>
      </c>
      <c r="AZ72" s="133">
        <v>43481.412553356502</v>
      </c>
      <c r="BA72" s="134">
        <f ca="1">IF(_05preva_view43[[#This Row],[Prevalidation Status]]="Under Prevalidation",NOW()-_05preva_view43[[#This Row],[Request Date]],IF(_05preva_view43[[#This Row],[Close Date]]&gt;_05preva_view43[[#This Row],[Request Date]],_05preva_view43[[#This Row],[Close Date]]-_05preva_view43[[#This Row],[Request Date]],"Not  Calculated"))</f>
        <v>6.4125533565020305</v>
      </c>
      <c r="BB72" s="135">
        <f>COUNTIFS(_05preva_view43[Site ID],_05preva_view43[[#This Row],[Site ID]],_05preva_view43[Prevalidation Status],"Under Prevalidation")</f>
        <v>1</v>
      </c>
      <c r="BC72" s="153" t="str">
        <f ca="1">HYPERLINK(CheckPath(_05preva_view43[[#This Row],[File Path]],_05preva_view43[[#This Row],[File Path]],_05preva_view43[[#This Row],[Folder Path3]]),CheckPath(_05preva_view43[[#This Row],[File Path]],"Open File","No File"))</f>
        <v>No File</v>
      </c>
      <c r="BD72" s="136" t="str">
        <f>CONCATENATE(_05preva_view43[[#This Row],[Site ID]]," (",_05preva_view43[[#This Row],[tenant id]],") Application",IF(_05preva_view43[[#This Row],[Colo Rev]]&gt;0," Rev "&amp;_05preva_view43[[#This Row],[Colo Rev]],""),".xlsx")</f>
        <v>1-01-10018-001 (MDY00339) Application Rev 2.xlsx</v>
      </c>
      <c r="BE72" s="64">
        <f t="shared" ca="1" si="2"/>
        <v>50</v>
      </c>
      <c r="BF72" s="104" t="str">
        <f ca="1">LEFT(CELL("filename",A57),_05preva_view43[[#This Row],[Find Process &amp; Database]]-1)</f>
        <v>D:\OneDrive - apollo-towers.com\Apollo Towers\00-</v>
      </c>
      <c r="BG72" s="104" t="str">
        <f ca="1">_05preva_view43[Folder Path1]&amp;"Process &amp; Database\Documentation\Colo Applications"</f>
        <v>D:\OneDrive - apollo-towers.com\Apollo Towers\00-Process &amp; Database\Documentation\Colo Applications</v>
      </c>
      <c r="BH72" s="104" t="str">
        <f ca="1">_05preva_view43[Folder Path2]&amp;"\Colo App "&amp;_05preva_view43[[#This Row],[Operator]]&amp;"\"</f>
        <v>D:\OneDrive - apollo-towers.com\Apollo Towers\00-Process &amp; Database\Documentation\Colo Applications\Colo App MPT\</v>
      </c>
      <c r="BI72" s="63" t="str">
        <f ca="1">_05preva_view43[[#This Row],[Folder Path3]]&amp;_05preva_view43[[#This Row],[File Name]]</f>
        <v>D:\OneDrive - apollo-towers.com\Apollo Towers\00-Process &amp; Database\Documentation\Colo Applications\Colo App MPT\1-01-10018-001 (MDY00339) Application Rev 2.xlsx</v>
      </c>
      <c r="BJ72" s="104"/>
      <c r="BK72" s="3"/>
      <c r="BL72" s="3"/>
      <c r="CJ72" s="5"/>
      <c r="CK72" s="5"/>
      <c r="CL72" s="3"/>
      <c r="CN72" s="5"/>
      <c r="CR72" s="3"/>
      <c r="CS72" s="3"/>
      <c r="CT72" s="5"/>
      <c r="CV72" s="3"/>
      <c r="DR72" s="5"/>
      <c r="DT72" s="3"/>
      <c r="EF72" s="7"/>
      <c r="EG72" s="7"/>
      <c r="EJ72" s="4"/>
      <c r="EK72" s="4"/>
      <c r="EU72" s="2"/>
      <c r="EV72" s="2"/>
    </row>
    <row r="73" spans="1:152">
      <c r="A73" s="125">
        <v>3582</v>
      </c>
      <c r="B73" s="126" t="s">
        <v>1871</v>
      </c>
      <c r="C73" s="126" t="s">
        <v>331</v>
      </c>
      <c r="D73" s="126" t="s">
        <v>127</v>
      </c>
      <c r="E73" s="126" t="s">
        <v>1872</v>
      </c>
      <c r="F73" s="126" t="s">
        <v>35</v>
      </c>
      <c r="G73" s="126" t="s">
        <v>1583</v>
      </c>
      <c r="H73" s="126" t="s">
        <v>1575</v>
      </c>
      <c r="I73" s="126" t="s">
        <v>1263</v>
      </c>
      <c r="J73" s="126" t="s">
        <v>931</v>
      </c>
      <c r="K73" s="127">
        <v>43475</v>
      </c>
      <c r="L73" s="128">
        <v>1.054</v>
      </c>
      <c r="M73" s="128">
        <v>1.522</v>
      </c>
      <c r="N73" s="126"/>
      <c r="O73" s="126" t="s">
        <v>950</v>
      </c>
      <c r="P73" s="129" t="s">
        <v>958</v>
      </c>
      <c r="Q73" s="129" t="s">
        <v>959</v>
      </c>
      <c r="R73" s="126" t="s">
        <v>24</v>
      </c>
      <c r="S73" s="126"/>
      <c r="T73" s="130" t="s">
        <v>120</v>
      </c>
      <c r="U73" s="126"/>
      <c r="V73" s="130" t="s">
        <v>120</v>
      </c>
      <c r="W73" s="126"/>
      <c r="X73" s="130" t="s">
        <v>120</v>
      </c>
      <c r="Y73" s="126" t="s">
        <v>1902</v>
      </c>
      <c r="Z73" s="162" t="s">
        <v>120</v>
      </c>
      <c r="AA73" s="154"/>
      <c r="AB73" s="154"/>
      <c r="AC73" s="167" t="s">
        <v>123</v>
      </c>
      <c r="AD73" s="126" t="s">
        <v>2091</v>
      </c>
      <c r="AE73" s="130" t="s">
        <v>120</v>
      </c>
      <c r="AF73" s="127"/>
      <c r="AG73" s="131"/>
      <c r="AH73" s="131"/>
      <c r="AI73" s="126"/>
      <c r="AJ73" s="130" t="s">
        <v>120</v>
      </c>
      <c r="AK73" s="126" t="s">
        <v>123</v>
      </c>
      <c r="AL73" s="126" t="s">
        <v>1198</v>
      </c>
      <c r="AM73" s="130"/>
      <c r="AN73" s="126"/>
      <c r="AO73" s="132"/>
      <c r="AP73" s="126"/>
      <c r="AQ73" s="126"/>
      <c r="AR73" s="130"/>
      <c r="AS73" s="126"/>
      <c r="AT73" s="127">
        <v>43476.450476157399</v>
      </c>
      <c r="AU73" s="127">
        <v>43481.373406944404</v>
      </c>
      <c r="AV73" s="127">
        <v>43479.656268286999</v>
      </c>
      <c r="AW73" s="127">
        <v>43476.472692476898</v>
      </c>
      <c r="AX73" s="127">
        <v>43480.732232754599</v>
      </c>
      <c r="AY73" s="127">
        <v>43475.972908680596</v>
      </c>
      <c r="AZ73" s="133">
        <v>43481.412554282397</v>
      </c>
      <c r="BA73" s="134">
        <f ca="1">IF(_05preva_view43[[#This Row],[Prevalidation Status]]="Under Prevalidation",NOW()-_05preva_view43[[#This Row],[Request Date]],IF(_05preva_view43[[#This Row],[Close Date]]&gt;_05preva_view43[[#This Row],[Request Date]],_05preva_view43[[#This Row],[Close Date]]-_05preva_view43[[#This Row],[Request Date]],"Not  Calculated"))</f>
        <v>6.4125542823967407</v>
      </c>
      <c r="BB73" s="135">
        <f>COUNTIFS(_05preva_view43[Site ID],_05preva_view43[[#This Row],[Site ID]],_05preva_view43[Prevalidation Status],"Under Prevalidation")</f>
        <v>1</v>
      </c>
      <c r="BC73" s="153" t="str">
        <f ca="1">HYPERLINK(CheckPath(_05preva_view43[[#This Row],[File Path]],_05preva_view43[[#This Row],[File Path]],_05preva_view43[[#This Row],[Folder Path3]]),CheckPath(_05preva_view43[[#This Row],[File Path]],"Open File","No File"))</f>
        <v>No File</v>
      </c>
      <c r="BD73" s="136" t="str">
        <f>CONCATENATE(_05preva_view43[[#This Row],[Site ID]]," (",_05preva_view43[[#This Row],[tenant id]],") Application",IF(_05preva_view43[[#This Row],[Colo Rev]]&gt;0," Rev "&amp;_05preva_view43[[#This Row],[Colo Rev]],""),".xlsx")</f>
        <v>1-01-15013-009 (SHN00040) Application Rev 1.xlsx</v>
      </c>
      <c r="BE73" s="64">
        <f t="shared" ca="1" si="2"/>
        <v>50</v>
      </c>
      <c r="BF73" s="104" t="str">
        <f ca="1">LEFT(CELL("filename",A58),_05preva_view43[[#This Row],[Find Process &amp; Database]]-1)</f>
        <v>D:\OneDrive - apollo-towers.com\Apollo Towers\00-</v>
      </c>
      <c r="BG73" s="104" t="str">
        <f ca="1">_05preva_view43[Folder Path1]&amp;"Process &amp; Database\Documentation\Colo Applications"</f>
        <v>D:\OneDrive - apollo-towers.com\Apollo Towers\00-Process &amp; Database\Documentation\Colo Applications</v>
      </c>
      <c r="BH73" s="104" t="str">
        <f ca="1">_05preva_view43[Folder Path2]&amp;"\Colo App "&amp;_05preva_view43[[#This Row],[Operator]]&amp;"\"</f>
        <v>D:\OneDrive - apollo-towers.com\Apollo Towers\00-Process &amp; Database\Documentation\Colo Applications\Colo App MPT\</v>
      </c>
      <c r="BI73" s="63" t="str">
        <f ca="1">_05preva_view43[[#This Row],[Folder Path3]]&amp;_05preva_view43[[#This Row],[File Name]]</f>
        <v>D:\OneDrive - apollo-towers.com\Apollo Towers\00-Process &amp; Database\Documentation\Colo Applications\Colo App MPT\1-01-15013-009 (SHN00040) Application Rev 1.xlsx</v>
      </c>
      <c r="BJ73" s="104"/>
      <c r="BK73" s="3"/>
      <c r="BL73" s="3"/>
      <c r="CJ73" s="5"/>
      <c r="CK73" s="5"/>
      <c r="CL73" s="3"/>
      <c r="CN73" s="5"/>
      <c r="CR73" s="3"/>
      <c r="CS73" s="3"/>
      <c r="CT73" s="5"/>
      <c r="CV73" s="3"/>
      <c r="DR73" s="5"/>
      <c r="DT73" s="3"/>
      <c r="EF73" s="7"/>
      <c r="EG73" s="7"/>
      <c r="EJ73" s="4"/>
      <c r="EK73" s="4"/>
      <c r="EU73" s="2"/>
      <c r="EV73" s="2"/>
    </row>
    <row r="74" spans="1:152">
      <c r="A74" s="125">
        <v>3583</v>
      </c>
      <c r="B74" s="126" t="s">
        <v>1344</v>
      </c>
      <c r="C74" s="126" t="s">
        <v>331</v>
      </c>
      <c r="D74" s="126" t="s">
        <v>127</v>
      </c>
      <c r="E74" s="126" t="s">
        <v>1345</v>
      </c>
      <c r="F74" s="126" t="s">
        <v>35</v>
      </c>
      <c r="G74" s="126" t="s">
        <v>1583</v>
      </c>
      <c r="H74" s="126" t="s">
        <v>1575</v>
      </c>
      <c r="I74" s="126" t="s">
        <v>1288</v>
      </c>
      <c r="J74" s="126" t="s">
        <v>990</v>
      </c>
      <c r="K74" s="127">
        <v>43475</v>
      </c>
      <c r="L74" s="128">
        <v>1.399</v>
      </c>
      <c r="M74" s="128">
        <v>2.1989999999999998</v>
      </c>
      <c r="N74" s="126"/>
      <c r="O74" s="126" t="s">
        <v>950</v>
      </c>
      <c r="P74" s="129" t="s">
        <v>1275</v>
      </c>
      <c r="Q74" s="129" t="s">
        <v>1276</v>
      </c>
      <c r="R74" s="126" t="s">
        <v>24</v>
      </c>
      <c r="S74" s="126"/>
      <c r="T74" s="130" t="s">
        <v>120</v>
      </c>
      <c r="U74" s="126"/>
      <c r="V74" s="130" t="s">
        <v>120</v>
      </c>
      <c r="W74" s="126"/>
      <c r="X74" s="130" t="s">
        <v>120</v>
      </c>
      <c r="Y74" s="126" t="s">
        <v>1903</v>
      </c>
      <c r="Z74" s="162" t="s">
        <v>120</v>
      </c>
      <c r="AA74" s="154"/>
      <c r="AB74" s="154"/>
      <c r="AC74" s="167" t="s">
        <v>123</v>
      </c>
      <c r="AD74" s="126" t="s">
        <v>2092</v>
      </c>
      <c r="AE74" s="130" t="s">
        <v>120</v>
      </c>
      <c r="AF74" s="127"/>
      <c r="AG74" s="131"/>
      <c r="AH74" s="131"/>
      <c r="AI74" s="126"/>
      <c r="AJ74" s="130" t="s">
        <v>120</v>
      </c>
      <c r="AK74" s="126" t="s">
        <v>123</v>
      </c>
      <c r="AL74" s="126" t="s">
        <v>1198</v>
      </c>
      <c r="AM74" s="130"/>
      <c r="AN74" s="126"/>
      <c r="AO74" s="132"/>
      <c r="AP74" s="126"/>
      <c r="AQ74" s="126"/>
      <c r="AR74" s="130"/>
      <c r="AS74" s="126"/>
      <c r="AT74" s="127">
        <v>43476.450479282401</v>
      </c>
      <c r="AU74" s="127">
        <v>43481.373410763903</v>
      </c>
      <c r="AV74" s="127">
        <v>43479.705827777798</v>
      </c>
      <c r="AW74" s="127">
        <v>43476.472693981501</v>
      </c>
      <c r="AX74" s="127">
        <v>43480.732239236102</v>
      </c>
      <c r="AY74" s="127">
        <v>43475.9729113426</v>
      </c>
      <c r="AZ74" s="133">
        <v>43481.412555324103</v>
      </c>
      <c r="BA74" s="134">
        <f ca="1">IF(_05preva_view43[[#This Row],[Prevalidation Status]]="Under Prevalidation",NOW()-_05preva_view43[[#This Row],[Request Date]],IF(_05preva_view43[[#This Row],[Close Date]]&gt;_05preva_view43[[#This Row],[Request Date]],_05preva_view43[[#This Row],[Close Date]]-_05preva_view43[[#This Row],[Request Date]],"Not  Calculated"))</f>
        <v>6.4125553241028683</v>
      </c>
      <c r="BB74" s="135">
        <f>COUNTIFS(_05preva_view43[Site ID],_05preva_view43[[#This Row],[Site ID]],_05preva_view43[Prevalidation Status],"Under Prevalidation")</f>
        <v>0</v>
      </c>
      <c r="BC74" s="153" t="str">
        <f ca="1">HYPERLINK(CheckPath(_05preva_view43[[#This Row],[File Path]],_05preva_view43[[#This Row],[File Path]],_05preva_view43[[#This Row],[Folder Path3]]),CheckPath(_05preva_view43[[#This Row],[File Path]],"Open File","No File"))</f>
        <v>No File</v>
      </c>
      <c r="BD74" s="136" t="str">
        <f>CONCATENATE(_05preva_view43[[#This Row],[Site ID]]," (",_05preva_view43[[#This Row],[tenant id]],") Application",IF(_05preva_view43[[#This Row],[Colo Rev]]&gt;0," Rev "&amp;_05preva_view43[[#This Row],[Colo Rev]],""),".xlsx")</f>
        <v>1-01-15013-004 (SHN00327) Application Rev 3.xlsx</v>
      </c>
      <c r="BE74" s="64">
        <f t="shared" ca="1" si="2"/>
        <v>50</v>
      </c>
      <c r="BF74" s="104" t="str">
        <f ca="1">LEFT(CELL("filename",A59),_05preva_view43[[#This Row],[Find Process &amp; Database]]-1)</f>
        <v>D:\OneDrive - apollo-towers.com\Apollo Towers\00-</v>
      </c>
      <c r="BG74" s="104" t="str">
        <f ca="1">_05preva_view43[Folder Path1]&amp;"Process &amp; Database\Documentation\Colo Applications"</f>
        <v>D:\OneDrive - apollo-towers.com\Apollo Towers\00-Process &amp; Database\Documentation\Colo Applications</v>
      </c>
      <c r="BH74" s="104" t="str">
        <f ca="1">_05preva_view43[Folder Path2]&amp;"\Colo App "&amp;_05preva_view43[[#This Row],[Operator]]&amp;"\"</f>
        <v>D:\OneDrive - apollo-towers.com\Apollo Towers\00-Process &amp; Database\Documentation\Colo Applications\Colo App MPT\</v>
      </c>
      <c r="BI74" s="63" t="str">
        <f ca="1">_05preva_view43[[#This Row],[Folder Path3]]&amp;_05preva_view43[[#This Row],[File Name]]</f>
        <v>D:\OneDrive - apollo-towers.com\Apollo Towers\00-Process &amp; Database\Documentation\Colo Applications\Colo App MPT\1-01-15013-004 (SHN00327) Application Rev 3.xlsx</v>
      </c>
      <c r="BJ74" s="104"/>
      <c r="BK74" s="3"/>
      <c r="BL74" s="3"/>
      <c r="CJ74" s="5"/>
      <c r="CK74" s="5"/>
      <c r="CL74" s="3"/>
      <c r="CN74" s="5"/>
      <c r="CR74" s="3"/>
      <c r="CS74" s="3"/>
      <c r="CT74" s="5"/>
      <c r="CV74" s="3"/>
      <c r="DR74" s="5"/>
      <c r="DT74" s="3"/>
      <c r="EF74" s="7"/>
      <c r="EG74" s="7"/>
      <c r="EJ74" s="4"/>
      <c r="EK74" s="4"/>
      <c r="EU74" s="2"/>
      <c r="EV74" s="2"/>
    </row>
    <row r="75" spans="1:152">
      <c r="A75" s="125">
        <v>3572</v>
      </c>
      <c r="B75" s="126" t="s">
        <v>1819</v>
      </c>
      <c r="C75" s="126" t="s">
        <v>116</v>
      </c>
      <c r="D75" s="126" t="s">
        <v>117</v>
      </c>
      <c r="E75" s="126" t="s">
        <v>1820</v>
      </c>
      <c r="F75" s="126" t="s">
        <v>35</v>
      </c>
      <c r="G75" s="126" t="s">
        <v>1577</v>
      </c>
      <c r="H75" s="126" t="s">
        <v>1575</v>
      </c>
      <c r="I75" s="126" t="s">
        <v>1053</v>
      </c>
      <c r="J75" s="126" t="s">
        <v>949</v>
      </c>
      <c r="K75" s="127">
        <v>43474</v>
      </c>
      <c r="L75" s="128">
        <v>1.9890000000000001</v>
      </c>
      <c r="M75" s="128">
        <v>3.5489999999999999</v>
      </c>
      <c r="N75" s="126">
        <v>6</v>
      </c>
      <c r="O75" s="126" t="s">
        <v>119</v>
      </c>
      <c r="P75" s="129" t="s">
        <v>263</v>
      </c>
      <c r="Q75" s="129" t="s">
        <v>264</v>
      </c>
      <c r="R75" s="126" t="s">
        <v>24</v>
      </c>
      <c r="S75" s="126"/>
      <c r="T75" s="130" t="s">
        <v>120</v>
      </c>
      <c r="U75" s="126" t="s">
        <v>1873</v>
      </c>
      <c r="V75" s="130" t="s">
        <v>120</v>
      </c>
      <c r="W75" s="126"/>
      <c r="X75" s="130" t="s">
        <v>120</v>
      </c>
      <c r="Y75" s="126" t="s">
        <v>1874</v>
      </c>
      <c r="Z75" s="162" t="s">
        <v>120</v>
      </c>
      <c r="AA75" s="154"/>
      <c r="AB75" s="154"/>
      <c r="AC75" s="167" t="s">
        <v>123</v>
      </c>
      <c r="AD75" s="126" t="s">
        <v>2093</v>
      </c>
      <c r="AE75" s="130" t="s">
        <v>120</v>
      </c>
      <c r="AF75" s="127"/>
      <c r="AG75" s="131"/>
      <c r="AH75" s="131"/>
      <c r="AI75" s="126"/>
      <c r="AJ75" s="130" t="s">
        <v>120</v>
      </c>
      <c r="AK75" s="126" t="s">
        <v>123</v>
      </c>
      <c r="AL75" s="126" t="s">
        <v>1198</v>
      </c>
      <c r="AM75" s="130"/>
      <c r="AN75" s="126"/>
      <c r="AO75" s="132"/>
      <c r="AP75" s="126"/>
      <c r="AQ75" s="126"/>
      <c r="AR75" s="130"/>
      <c r="AS75" s="126"/>
      <c r="AT75" s="127">
        <v>43476.450463541703</v>
      </c>
      <c r="AU75" s="127">
        <v>43480.567763310202</v>
      </c>
      <c r="AV75" s="127">
        <v>43479.705824305602</v>
      </c>
      <c r="AW75" s="127">
        <v>43476.450463541703</v>
      </c>
      <c r="AX75" s="127">
        <v>43475.646655439799</v>
      </c>
      <c r="AY75" s="127">
        <v>43475.965510532398</v>
      </c>
      <c r="AZ75" s="133">
        <v>43481.412552661997</v>
      </c>
      <c r="BA75" s="134">
        <f ca="1">IF(_05preva_view43[[#This Row],[Prevalidation Status]]="Under Prevalidation",NOW()-_05preva_view43[[#This Row],[Request Date]],IF(_05preva_view43[[#This Row],[Close Date]]&gt;_05preva_view43[[#This Row],[Request Date]],_05preva_view43[[#This Row],[Close Date]]-_05preva_view43[[#This Row],[Request Date]],"Not  Calculated"))</f>
        <v>7.4125526619973243</v>
      </c>
      <c r="BB75" s="135">
        <f>COUNTIFS(_05preva_view43[Site ID],_05preva_view43[[#This Row],[Site ID]],_05preva_view43[Prevalidation Status],"Under Prevalidation")</f>
        <v>0</v>
      </c>
      <c r="BC75" s="153" t="str">
        <f ca="1">HYPERLINK(CheckPath(_05preva_view43[[#This Row],[File Path]],_05preva_view43[[#This Row],[File Path]],_05preva_view43[[#This Row],[Folder Path3]]),CheckPath(_05preva_view43[[#This Row],[File Path]],"Open File","No File"))</f>
        <v>No File</v>
      </c>
      <c r="BD75" s="136" t="str">
        <f>CONCATENATE(_05preva_view43[[#This Row],[Site ID]]," (",_05preva_view43[[#This Row],[tenant id]],") Application",IF(_05preva_view43[[#This Row],[Colo Rev]]&gt;0," Rev "&amp;_05preva_view43[[#This Row],[Colo Rev]],""),".xlsx")</f>
        <v>ANMG_0034 (MGW00303) Application Rev 2.xlsx</v>
      </c>
      <c r="BE75" s="64">
        <f t="shared" ca="1" si="2"/>
        <v>50</v>
      </c>
      <c r="BF75" s="104" t="str">
        <f ca="1">LEFT(CELL("filename",A60),_05preva_view43[[#This Row],[Find Process &amp; Database]]-1)</f>
        <v>D:\OneDrive - apollo-towers.com\Apollo Towers\00-</v>
      </c>
      <c r="BG75" s="104" t="str">
        <f ca="1">_05preva_view43[Folder Path1]&amp;"Process &amp; Database\Documentation\Colo Applications"</f>
        <v>D:\OneDrive - apollo-towers.com\Apollo Towers\00-Process &amp; Database\Documentation\Colo Applications</v>
      </c>
      <c r="BH75" s="104" t="str">
        <f ca="1">_05preva_view43[Folder Path2]&amp;"\Colo App "&amp;_05preva_view43[[#This Row],[Operator]]&amp;"\"</f>
        <v>D:\OneDrive - apollo-towers.com\Apollo Towers\00-Process &amp; Database\Documentation\Colo Applications\Colo App MPT\</v>
      </c>
      <c r="BI75" s="63" t="str">
        <f ca="1">_05preva_view43[[#This Row],[Folder Path3]]&amp;_05preva_view43[[#This Row],[File Name]]</f>
        <v>D:\OneDrive - apollo-towers.com\Apollo Towers\00-Process &amp; Database\Documentation\Colo Applications\Colo App MPT\ANMG_0034 (MGW00303) Application Rev 2.xlsx</v>
      </c>
      <c r="BJ75" s="104"/>
      <c r="BK75" s="3"/>
      <c r="BL75" s="3"/>
      <c r="CJ75" s="5"/>
      <c r="CK75" s="5"/>
      <c r="CL75" s="3"/>
      <c r="CN75" s="5"/>
      <c r="CR75" s="3"/>
      <c r="CS75" s="3"/>
      <c r="CT75" s="5"/>
      <c r="CV75" s="3"/>
      <c r="DR75" s="5"/>
      <c r="DT75" s="3"/>
      <c r="EF75" s="7"/>
      <c r="EG75" s="7"/>
      <c r="EJ75" s="4"/>
      <c r="EK75" s="4"/>
      <c r="EU75" s="2"/>
      <c r="EV75" s="2"/>
    </row>
    <row r="76" spans="1:152">
      <c r="A76" s="125">
        <v>3559</v>
      </c>
      <c r="B76" s="126" t="s">
        <v>1815</v>
      </c>
      <c r="C76" s="126" t="s">
        <v>331</v>
      </c>
      <c r="D76" s="126" t="s">
        <v>117</v>
      </c>
      <c r="E76" s="126" t="s">
        <v>1816</v>
      </c>
      <c r="F76" s="126" t="s">
        <v>38</v>
      </c>
      <c r="G76" s="126" t="s">
        <v>1586</v>
      </c>
      <c r="H76" s="126" t="s">
        <v>1575</v>
      </c>
      <c r="I76" s="126" t="s">
        <v>1341</v>
      </c>
      <c r="J76" s="126" t="s">
        <v>949</v>
      </c>
      <c r="K76" s="127">
        <v>43473</v>
      </c>
      <c r="L76" s="128"/>
      <c r="M76" s="128"/>
      <c r="N76" s="126">
        <v>4.46</v>
      </c>
      <c r="O76" s="126" t="s">
        <v>950</v>
      </c>
      <c r="P76" s="129" t="s">
        <v>1275</v>
      </c>
      <c r="Q76" s="129" t="s">
        <v>1276</v>
      </c>
      <c r="R76" s="126" t="s">
        <v>24</v>
      </c>
      <c r="S76" s="126"/>
      <c r="T76" s="130" t="s">
        <v>861</v>
      </c>
      <c r="U76" s="126"/>
      <c r="V76" s="130" t="s">
        <v>861</v>
      </c>
      <c r="W76" s="126"/>
      <c r="X76" s="130" t="s">
        <v>120</v>
      </c>
      <c r="Y76" s="126" t="s">
        <v>1817</v>
      </c>
      <c r="Z76" s="162" t="s">
        <v>120</v>
      </c>
      <c r="AA76" s="154"/>
      <c r="AB76" s="154"/>
      <c r="AC76" s="167" t="s">
        <v>123</v>
      </c>
      <c r="AD76" s="126" t="s">
        <v>1904</v>
      </c>
      <c r="AE76" s="130" t="s">
        <v>861</v>
      </c>
      <c r="AF76" s="127"/>
      <c r="AG76" s="131"/>
      <c r="AH76" s="131"/>
      <c r="AI76" s="126"/>
      <c r="AJ76" s="130" t="s">
        <v>120</v>
      </c>
      <c r="AK76" s="126" t="s">
        <v>123</v>
      </c>
      <c r="AL76" s="126" t="s">
        <v>1198</v>
      </c>
      <c r="AM76" s="130"/>
      <c r="AN76" s="126"/>
      <c r="AO76" s="132"/>
      <c r="AP76" s="126"/>
      <c r="AQ76" s="126"/>
      <c r="AR76" s="130"/>
      <c r="AS76" s="126"/>
      <c r="AT76" s="127">
        <v>43473.477749884303</v>
      </c>
      <c r="AU76" s="127"/>
      <c r="AV76" s="127">
        <v>43476.662509606504</v>
      </c>
      <c r="AW76" s="127">
        <v>43473.477749884303</v>
      </c>
      <c r="AX76" s="127"/>
      <c r="AY76" s="127"/>
      <c r="AZ76" s="133">
        <v>43476.692903472198</v>
      </c>
      <c r="BA76" s="134">
        <f ca="1">IF(_05preva_view43[[#This Row],[Prevalidation Status]]="Under Prevalidation",NOW()-_05preva_view43[[#This Row],[Request Date]],IF(_05preva_view43[[#This Row],[Close Date]]&gt;_05preva_view43[[#This Row],[Request Date]],_05preva_view43[[#This Row],[Close Date]]-_05preva_view43[[#This Row],[Request Date]],"Not  Calculated"))</f>
        <v>3.6929034721979406</v>
      </c>
      <c r="BB76" s="135">
        <f>COUNTIFS(_05preva_view43[Site ID],_05preva_view43[[#This Row],[Site ID]],_05preva_view43[Prevalidation Status],"Under Prevalidation")</f>
        <v>0</v>
      </c>
      <c r="BC76" s="153" t="str">
        <f ca="1">HYPERLINK(CheckPath(_05preva_view43[[#This Row],[File Path]],_05preva_view43[[#This Row],[File Path]],_05preva_view43[[#This Row],[Folder Path3]]),CheckPath(_05preva_view43[[#This Row],[File Path]],"Open File","No File"))</f>
        <v>No File</v>
      </c>
      <c r="BD76" s="136" t="str">
        <f>CONCATENATE(_05preva_view43[[#This Row],[Site ID]]," (",_05preva_view43[[#This Row],[tenant id]],") Application",IF(_05preva_view43[[#This Row],[Colo Rev]]&gt;0," Rev "&amp;_05preva_view43[[#This Row],[Colo Rev]],""),".xlsx")</f>
        <v>1-01-12016-011 (RA0021) Application Rev 2.xlsx</v>
      </c>
      <c r="BE76" s="64">
        <f t="shared" ca="1" si="2"/>
        <v>50</v>
      </c>
      <c r="BF76" s="104" t="str">
        <f ca="1">LEFT(CELL("filename",A61),_05preva_view43[[#This Row],[Find Process &amp; Database]]-1)</f>
        <v>D:\OneDrive - apollo-towers.com\Apollo Towers\00-</v>
      </c>
      <c r="BG76" s="104" t="str">
        <f ca="1">_05preva_view43[Folder Path1]&amp;"Process &amp; Database\Documentation\Colo Applications"</f>
        <v>D:\OneDrive - apollo-towers.com\Apollo Towers\00-Process &amp; Database\Documentation\Colo Applications</v>
      </c>
      <c r="BH76" s="104" t="str">
        <f ca="1">_05preva_view43[Folder Path2]&amp;"\Colo App "&amp;_05preva_view43[[#This Row],[Operator]]&amp;"\"</f>
        <v>D:\OneDrive - apollo-towers.com\Apollo Towers\00-Process &amp; Database\Documentation\Colo Applications\Colo App Telenor\</v>
      </c>
      <c r="BI76" s="63" t="str">
        <f ca="1">_05preva_view43[[#This Row],[Folder Path3]]&amp;_05preva_view43[[#This Row],[File Name]]</f>
        <v>D:\OneDrive - apollo-towers.com\Apollo Towers\00-Process &amp; Database\Documentation\Colo Applications\Colo App Telenor\1-01-12016-011 (RA0021) Application Rev 2.xlsx</v>
      </c>
      <c r="BJ76" s="104"/>
      <c r="BK76" s="3"/>
      <c r="BL76" s="3"/>
      <c r="CJ76" s="5"/>
      <c r="CK76" s="5"/>
      <c r="CL76" s="3"/>
      <c r="CN76" s="5"/>
      <c r="CR76" s="3"/>
      <c r="CS76" s="3"/>
      <c r="CT76" s="5"/>
      <c r="CV76" s="3"/>
      <c r="DR76" s="5"/>
      <c r="DT76" s="3"/>
      <c r="EF76" s="7"/>
      <c r="EG76" s="7"/>
      <c r="EJ76" s="4"/>
      <c r="EK76" s="4"/>
      <c r="EU76" s="2"/>
      <c r="EV76" s="2"/>
    </row>
    <row r="77" spans="1:152">
      <c r="A77" s="125">
        <v>3560</v>
      </c>
      <c r="B77" s="126" t="s">
        <v>1821</v>
      </c>
      <c r="C77" s="126" t="s">
        <v>116</v>
      </c>
      <c r="D77" s="126" t="s">
        <v>127</v>
      </c>
      <c r="E77" s="126" t="s">
        <v>1822</v>
      </c>
      <c r="F77" s="126" t="s">
        <v>35</v>
      </c>
      <c r="G77" s="126" t="s">
        <v>1577</v>
      </c>
      <c r="H77" s="126" t="s">
        <v>1575</v>
      </c>
      <c r="I77" s="126" t="s">
        <v>1288</v>
      </c>
      <c r="J77" s="126" t="s">
        <v>949</v>
      </c>
      <c r="K77" s="127">
        <v>43473</v>
      </c>
      <c r="L77" s="128">
        <v>1.399</v>
      </c>
      <c r="M77" s="128">
        <v>2.2610000000000001</v>
      </c>
      <c r="N77" s="126">
        <v>5.76</v>
      </c>
      <c r="O77" s="126" t="s">
        <v>119</v>
      </c>
      <c r="P77" s="129" t="s">
        <v>968</v>
      </c>
      <c r="Q77" s="129" t="s">
        <v>969</v>
      </c>
      <c r="R77" s="126" t="s">
        <v>24</v>
      </c>
      <c r="S77" s="126"/>
      <c r="T77" s="130" t="s">
        <v>120</v>
      </c>
      <c r="U77" s="126" t="s">
        <v>1875</v>
      </c>
      <c r="V77" s="130" t="s">
        <v>120</v>
      </c>
      <c r="W77" s="126"/>
      <c r="X77" s="130" t="s">
        <v>120</v>
      </c>
      <c r="Y77" s="126" t="s">
        <v>1823</v>
      </c>
      <c r="Z77" s="162" t="s">
        <v>120</v>
      </c>
      <c r="AA77" s="154"/>
      <c r="AB77" s="154"/>
      <c r="AC77" s="167" t="s">
        <v>123</v>
      </c>
      <c r="AD77" s="126" t="s">
        <v>1876</v>
      </c>
      <c r="AE77" s="130" t="s">
        <v>120</v>
      </c>
      <c r="AF77" s="127"/>
      <c r="AG77" s="131"/>
      <c r="AH77" s="131"/>
      <c r="AI77" s="126"/>
      <c r="AJ77" s="130" t="s">
        <v>120</v>
      </c>
      <c r="AK77" s="126" t="s">
        <v>123</v>
      </c>
      <c r="AL77" s="126" t="s">
        <v>1198</v>
      </c>
      <c r="AM77" s="130"/>
      <c r="AN77" s="126"/>
      <c r="AO77" s="132"/>
      <c r="AP77" s="126"/>
      <c r="AQ77" s="126"/>
      <c r="AR77" s="130"/>
      <c r="AS77" s="126"/>
      <c r="AT77" s="127">
        <v>43474.5008079861</v>
      </c>
      <c r="AU77" s="127">
        <v>43479.735462962999</v>
      </c>
      <c r="AV77" s="127">
        <v>43475.484935300898</v>
      </c>
      <c r="AW77" s="127">
        <v>43474.5008079861</v>
      </c>
      <c r="AX77" s="127">
        <v>43475.646623726898</v>
      </c>
      <c r="AY77" s="127">
        <v>43473.725844328699</v>
      </c>
      <c r="AZ77" s="133">
        <v>43480.437813194403</v>
      </c>
      <c r="BA77" s="134">
        <f ca="1">IF(_05preva_view43[[#This Row],[Prevalidation Status]]="Under Prevalidation",NOW()-_05preva_view43[[#This Row],[Request Date]],IF(_05preva_view43[[#This Row],[Close Date]]&gt;_05preva_view43[[#This Row],[Request Date]],_05preva_view43[[#This Row],[Close Date]]-_05preva_view43[[#This Row],[Request Date]],"Not  Calculated"))</f>
        <v>7.4378131944031338</v>
      </c>
      <c r="BB77" s="135">
        <f>COUNTIFS(_05preva_view43[Site ID],_05preva_view43[[#This Row],[Site ID]],_05preva_view43[Prevalidation Status],"Under Prevalidation")</f>
        <v>0</v>
      </c>
      <c r="BC77" s="153" t="str">
        <f ca="1">HYPERLINK(CheckPath(_05preva_view43[[#This Row],[File Path]],_05preva_view43[[#This Row],[File Path]],_05preva_view43[[#This Row],[Folder Path3]]),CheckPath(_05preva_view43[[#This Row],[File Path]],"Open File","No File"))</f>
        <v>No File</v>
      </c>
      <c r="BD77" s="136" t="str">
        <f>CONCATENATE(_05preva_view43[[#This Row],[Site ID]]," (",_05preva_view43[[#This Row],[tenant id]],") Application",IF(_05preva_view43[[#This Row],[Colo Rev]]&gt;0," Rev "&amp;_05preva_view43[[#This Row],[Colo Rev]],""),".xlsx")</f>
        <v>ANKC_0024 (KCN00341) Application Rev 2.xlsx</v>
      </c>
      <c r="BE77" s="64">
        <f t="shared" ca="1" si="2"/>
        <v>50</v>
      </c>
      <c r="BF77" s="104" t="str">
        <f ca="1">LEFT(CELL("filename",A62),_05preva_view43[[#This Row],[Find Process &amp; Database]]-1)</f>
        <v>D:\OneDrive - apollo-towers.com\Apollo Towers\00-</v>
      </c>
      <c r="BG77" s="104" t="str">
        <f ca="1">_05preva_view43[Folder Path1]&amp;"Process &amp; Database\Documentation\Colo Applications"</f>
        <v>D:\OneDrive - apollo-towers.com\Apollo Towers\00-Process &amp; Database\Documentation\Colo Applications</v>
      </c>
      <c r="BH77" s="104" t="str">
        <f ca="1">_05preva_view43[Folder Path2]&amp;"\Colo App "&amp;_05preva_view43[[#This Row],[Operator]]&amp;"\"</f>
        <v>D:\OneDrive - apollo-towers.com\Apollo Towers\00-Process &amp; Database\Documentation\Colo Applications\Colo App MPT\</v>
      </c>
      <c r="BI77" s="63" t="str">
        <f ca="1">_05preva_view43[[#This Row],[Folder Path3]]&amp;_05preva_view43[[#This Row],[File Name]]</f>
        <v>D:\OneDrive - apollo-towers.com\Apollo Towers\00-Process &amp; Database\Documentation\Colo Applications\Colo App MPT\ANKC_0024 (KCN00341) Application Rev 2.xlsx</v>
      </c>
      <c r="BJ77" s="104"/>
      <c r="BK77" s="3"/>
      <c r="BL77" s="3"/>
      <c r="CJ77" s="5"/>
      <c r="CK77" s="5"/>
      <c r="CL77" s="3"/>
      <c r="CN77" s="5"/>
      <c r="CR77" s="3"/>
      <c r="CS77" s="3"/>
      <c r="CT77" s="5"/>
      <c r="CV77" s="3"/>
      <c r="DR77" s="5"/>
      <c r="DT77" s="3"/>
      <c r="EF77" s="7"/>
      <c r="EG77" s="7"/>
      <c r="EJ77" s="4"/>
      <c r="EK77" s="4"/>
      <c r="EU77" s="2"/>
      <c r="EV77" s="2"/>
    </row>
    <row r="78" spans="1:152">
      <c r="A78" s="125">
        <v>3561</v>
      </c>
      <c r="B78" s="126" t="s">
        <v>1824</v>
      </c>
      <c r="C78" s="126" t="s">
        <v>331</v>
      </c>
      <c r="D78" s="126" t="s">
        <v>127</v>
      </c>
      <c r="E78" s="126" t="s">
        <v>1825</v>
      </c>
      <c r="F78" s="126" t="s">
        <v>35</v>
      </c>
      <c r="G78" s="126" t="s">
        <v>1584</v>
      </c>
      <c r="H78" s="126" t="s">
        <v>1580</v>
      </c>
      <c r="I78" s="126" t="s">
        <v>1077</v>
      </c>
      <c r="J78" s="126" t="s">
        <v>931</v>
      </c>
      <c r="K78" s="127">
        <v>43473</v>
      </c>
      <c r="L78" s="128">
        <v>1.175</v>
      </c>
      <c r="M78" s="128">
        <v>2.1389999999999998</v>
      </c>
      <c r="N78" s="126">
        <v>3.4</v>
      </c>
      <c r="O78" s="126" t="s">
        <v>950</v>
      </c>
      <c r="P78" s="129" t="s">
        <v>880</v>
      </c>
      <c r="Q78" s="129" t="s">
        <v>910</v>
      </c>
      <c r="R78" s="126" t="s">
        <v>24</v>
      </c>
      <c r="S78" s="126"/>
      <c r="T78" s="130" t="s">
        <v>120</v>
      </c>
      <c r="U78" s="126" t="s">
        <v>2094</v>
      </c>
      <c r="V78" s="130" t="s">
        <v>120</v>
      </c>
      <c r="W78" s="126"/>
      <c r="X78" s="130" t="s">
        <v>120</v>
      </c>
      <c r="Y78" s="126" t="s">
        <v>1826</v>
      </c>
      <c r="Z78" s="162" t="s">
        <v>120</v>
      </c>
      <c r="AA78" s="154"/>
      <c r="AB78" s="154"/>
      <c r="AC78" s="167" t="s">
        <v>123</v>
      </c>
      <c r="AD78" s="126" t="s">
        <v>1877</v>
      </c>
      <c r="AE78" s="130" t="s">
        <v>120</v>
      </c>
      <c r="AF78" s="127" t="s">
        <v>1722</v>
      </c>
      <c r="AG78" s="131"/>
      <c r="AH78" s="131"/>
      <c r="AI78" s="126" t="s">
        <v>2095</v>
      </c>
      <c r="AJ78" s="130" t="s">
        <v>120</v>
      </c>
      <c r="AK78" s="126" t="s">
        <v>123</v>
      </c>
      <c r="AL78" s="126" t="s">
        <v>1198</v>
      </c>
      <c r="AM78" s="130"/>
      <c r="AN78" s="126"/>
      <c r="AO78" s="132"/>
      <c r="AP78" s="126"/>
      <c r="AQ78" s="126"/>
      <c r="AR78" s="130"/>
      <c r="AS78" s="126"/>
      <c r="AT78" s="127">
        <v>43474.500813310202</v>
      </c>
      <c r="AU78" s="127">
        <v>43479.7354635417</v>
      </c>
      <c r="AV78" s="127">
        <v>43475.726966550901</v>
      </c>
      <c r="AW78" s="127">
        <v>43474.500813310202</v>
      </c>
      <c r="AX78" s="127">
        <v>43480.732222569401</v>
      </c>
      <c r="AY78" s="127">
        <v>43475.973937037001</v>
      </c>
      <c r="AZ78" s="133">
        <v>43481.412550347202</v>
      </c>
      <c r="BA78" s="134">
        <f ca="1">IF(_05preva_view43[[#This Row],[Prevalidation Status]]="Under Prevalidation",NOW()-_05preva_view43[[#This Row],[Request Date]],IF(_05preva_view43[[#This Row],[Close Date]]&gt;_05preva_view43[[#This Row],[Request Date]],_05preva_view43[[#This Row],[Close Date]]-_05preva_view43[[#This Row],[Request Date]],"Not  Calculated"))</f>
        <v>8.4125503472023411</v>
      </c>
      <c r="BB78" s="135">
        <f>COUNTIFS(_05preva_view43[Site ID],_05preva_view43[[#This Row],[Site ID]],_05preva_view43[Prevalidation Status],"Under Prevalidation")</f>
        <v>0</v>
      </c>
      <c r="BC78" s="153" t="str">
        <f ca="1">HYPERLINK(CheckPath(_05preva_view43[[#This Row],[File Path]],_05preva_view43[[#This Row],[File Path]],_05preva_view43[[#This Row],[Folder Path3]]),CheckPath(_05preva_view43[[#This Row],[File Path]],"Open File","No File"))</f>
        <v>No File</v>
      </c>
      <c r="BD78" s="136" t="str">
        <f>CONCATENATE(_05preva_view43[[#This Row],[Site ID]]," (",_05preva_view43[[#This Row],[tenant id]],") Application",IF(_05preva_view43[[#This Row],[Colo Rev]]&gt;0," Rev "&amp;_05preva_view43[[#This Row],[Colo Rev]],""),".xlsx")</f>
        <v>1-01-10013-005 (MDY01364) Application Rev 1.xlsx</v>
      </c>
      <c r="BE78" s="64">
        <f t="shared" ca="1" si="2"/>
        <v>50</v>
      </c>
      <c r="BF78" s="104" t="str">
        <f ca="1">LEFT(CELL("filename",A63),_05preva_view43[[#This Row],[Find Process &amp; Database]]-1)</f>
        <v>D:\OneDrive - apollo-towers.com\Apollo Towers\00-</v>
      </c>
      <c r="BG78" s="104" t="str">
        <f ca="1">_05preva_view43[Folder Path1]&amp;"Process &amp; Database\Documentation\Colo Applications"</f>
        <v>D:\OneDrive - apollo-towers.com\Apollo Towers\00-Process &amp; Database\Documentation\Colo Applications</v>
      </c>
      <c r="BH78" s="104" t="str">
        <f ca="1">_05preva_view43[Folder Path2]&amp;"\Colo App "&amp;_05preva_view43[[#This Row],[Operator]]&amp;"\"</f>
        <v>D:\OneDrive - apollo-towers.com\Apollo Towers\00-Process &amp; Database\Documentation\Colo Applications\Colo App MPT\</v>
      </c>
      <c r="BI78" s="63" t="str">
        <f ca="1">_05preva_view43[[#This Row],[Folder Path3]]&amp;_05preva_view43[[#This Row],[File Name]]</f>
        <v>D:\OneDrive - apollo-towers.com\Apollo Towers\00-Process &amp; Database\Documentation\Colo Applications\Colo App MPT\1-01-10013-005 (MDY01364) Application Rev 1.xlsx</v>
      </c>
      <c r="BJ78" s="104"/>
      <c r="BK78" s="3"/>
      <c r="BL78" s="3"/>
      <c r="CJ78" s="5"/>
      <c r="CK78" s="5"/>
      <c r="CL78" s="3"/>
      <c r="CN78" s="5"/>
      <c r="CR78" s="3"/>
      <c r="CS78" s="3"/>
      <c r="CT78" s="5"/>
      <c r="CV78" s="3"/>
      <c r="DR78" s="5"/>
      <c r="DT78" s="3"/>
      <c r="EF78" s="7"/>
      <c r="EG78" s="7"/>
      <c r="EJ78" s="4"/>
      <c r="EK78" s="4"/>
      <c r="EU78" s="2"/>
      <c r="EV78" s="2"/>
    </row>
    <row r="79" spans="1:152">
      <c r="A79" s="125">
        <v>3562</v>
      </c>
      <c r="B79" s="126" t="s">
        <v>1827</v>
      </c>
      <c r="C79" s="126" t="s">
        <v>116</v>
      </c>
      <c r="D79" s="126" t="s">
        <v>127</v>
      </c>
      <c r="E79" s="126" t="s">
        <v>1828</v>
      </c>
      <c r="F79" s="126" t="s">
        <v>35</v>
      </c>
      <c r="G79" s="126" t="s">
        <v>1577</v>
      </c>
      <c r="H79" s="126" t="s">
        <v>1575</v>
      </c>
      <c r="I79" s="126" t="s">
        <v>1288</v>
      </c>
      <c r="J79" s="126" t="s">
        <v>949</v>
      </c>
      <c r="K79" s="127">
        <v>43473</v>
      </c>
      <c r="L79" s="128">
        <v>1.329</v>
      </c>
      <c r="M79" s="128">
        <v>2.1989999999999998</v>
      </c>
      <c r="N79" s="126">
        <v>5.53</v>
      </c>
      <c r="O79" s="126" t="s">
        <v>119</v>
      </c>
      <c r="P79" s="129" t="s">
        <v>264</v>
      </c>
      <c r="Q79" s="129" t="s">
        <v>350</v>
      </c>
      <c r="R79" s="126" t="s">
        <v>24</v>
      </c>
      <c r="S79" s="126"/>
      <c r="T79" s="130" t="s">
        <v>120</v>
      </c>
      <c r="U79" s="126" t="s">
        <v>1878</v>
      </c>
      <c r="V79" s="130" t="s">
        <v>120</v>
      </c>
      <c r="W79" s="126"/>
      <c r="X79" s="130" t="s">
        <v>120</v>
      </c>
      <c r="Y79" s="126" t="s">
        <v>1829</v>
      </c>
      <c r="Z79" s="162" t="s">
        <v>120</v>
      </c>
      <c r="AA79" s="154"/>
      <c r="AB79" s="154"/>
      <c r="AC79" s="167" t="s">
        <v>123</v>
      </c>
      <c r="AD79" s="126" t="s">
        <v>1879</v>
      </c>
      <c r="AE79" s="130" t="s">
        <v>120</v>
      </c>
      <c r="AF79" s="127"/>
      <c r="AG79" s="131"/>
      <c r="AH79" s="131"/>
      <c r="AI79" s="126"/>
      <c r="AJ79" s="130" t="s">
        <v>120</v>
      </c>
      <c r="AK79" s="126" t="s">
        <v>240</v>
      </c>
      <c r="AL79" s="126" t="s">
        <v>1198</v>
      </c>
      <c r="AM79" s="130"/>
      <c r="AN79" s="126"/>
      <c r="AO79" s="132"/>
      <c r="AP79" s="126"/>
      <c r="AQ79" s="126"/>
      <c r="AR79" s="130"/>
      <c r="AS79" s="126"/>
      <c r="AT79" s="127">
        <v>43474.500815046304</v>
      </c>
      <c r="AU79" s="127">
        <v>43479.735463888901</v>
      </c>
      <c r="AV79" s="127">
        <v>43475.5996662037</v>
      </c>
      <c r="AW79" s="127">
        <v>43474.500815046304</v>
      </c>
      <c r="AX79" s="127">
        <v>43475.646629166702</v>
      </c>
      <c r="AY79" s="127">
        <v>43473.725847337999</v>
      </c>
      <c r="AZ79" s="133">
        <v>43480.437814814803</v>
      </c>
      <c r="BA79" s="134">
        <f ca="1">IF(_05preva_view43[[#This Row],[Prevalidation Status]]="Under Prevalidation",NOW()-_05preva_view43[[#This Row],[Request Date]],IF(_05preva_view43[[#This Row],[Close Date]]&gt;_05preva_view43[[#This Row],[Request Date]],_05preva_view43[[#This Row],[Close Date]]-_05preva_view43[[#This Row],[Request Date]],"Not  Calculated"))</f>
        <v>7.4378148148025502</v>
      </c>
      <c r="BB79" s="135">
        <f>COUNTIFS(_05preva_view43[Site ID],_05preva_view43[[#This Row],[Site ID]],_05preva_view43[Prevalidation Status],"Under Prevalidation")</f>
        <v>0</v>
      </c>
      <c r="BC79" s="153" t="str">
        <f ca="1">HYPERLINK(CheckPath(_05preva_view43[[#This Row],[File Path]],_05preva_view43[[#This Row],[File Path]],_05preva_view43[[#This Row],[Folder Path3]]),CheckPath(_05preva_view43[[#This Row],[File Path]],"Open File","No File"))</f>
        <v>No File</v>
      </c>
      <c r="BD79" s="136" t="str">
        <f>CONCATENATE(_05preva_view43[[#This Row],[Site ID]]," (",_05preva_view43[[#This Row],[tenant id]],") Application",IF(_05preva_view43[[#This Row],[Colo Rev]]&gt;0," Rev "&amp;_05preva_view43[[#This Row],[Colo Rev]],""),".xlsx")</f>
        <v>ANSG_0466 (SGG00230) Application Rev 2.xlsx</v>
      </c>
      <c r="BE79" s="64">
        <f t="shared" ca="1" si="2"/>
        <v>50</v>
      </c>
      <c r="BF79" s="104" t="str">
        <f ca="1">LEFT(CELL("filename",A64),_05preva_view43[[#This Row],[Find Process &amp; Database]]-1)</f>
        <v>D:\OneDrive - apollo-towers.com\Apollo Towers\00-</v>
      </c>
      <c r="BG79" s="104" t="str">
        <f ca="1">_05preva_view43[Folder Path1]&amp;"Process &amp; Database\Documentation\Colo Applications"</f>
        <v>D:\OneDrive - apollo-towers.com\Apollo Towers\00-Process &amp; Database\Documentation\Colo Applications</v>
      </c>
      <c r="BH79" s="104" t="str">
        <f ca="1">_05preva_view43[Folder Path2]&amp;"\Colo App "&amp;_05preva_view43[[#This Row],[Operator]]&amp;"\"</f>
        <v>D:\OneDrive - apollo-towers.com\Apollo Towers\00-Process &amp; Database\Documentation\Colo Applications\Colo App MPT\</v>
      </c>
      <c r="BI79" s="63" t="str">
        <f ca="1">_05preva_view43[[#This Row],[Folder Path3]]&amp;_05preva_view43[[#This Row],[File Name]]</f>
        <v>D:\OneDrive - apollo-towers.com\Apollo Towers\00-Process &amp; Database\Documentation\Colo Applications\Colo App MPT\ANSG_0466 (SGG00230) Application Rev 2.xlsx</v>
      </c>
      <c r="BJ79" s="104"/>
      <c r="BK79" s="3"/>
      <c r="BL79" s="3"/>
      <c r="CJ79" s="5"/>
      <c r="CK79" s="5"/>
      <c r="CL79" s="3"/>
      <c r="CN79" s="5"/>
      <c r="CR79" s="3"/>
      <c r="CS79" s="3"/>
      <c r="CT79" s="5"/>
      <c r="CV79" s="3"/>
      <c r="DR79" s="5"/>
      <c r="DT79" s="3"/>
      <c r="EF79" s="7"/>
      <c r="EG79" s="7"/>
      <c r="EJ79" s="4"/>
      <c r="EK79" s="4"/>
      <c r="EU79" s="2"/>
      <c r="EV79" s="2"/>
    </row>
    <row r="80" spans="1:152">
      <c r="A80" s="125">
        <v>3563</v>
      </c>
      <c r="B80" s="126" t="s">
        <v>869</v>
      </c>
      <c r="C80" s="126" t="s">
        <v>116</v>
      </c>
      <c r="D80" s="126" t="s">
        <v>163</v>
      </c>
      <c r="E80" s="126" t="s">
        <v>1830</v>
      </c>
      <c r="F80" s="126" t="s">
        <v>41</v>
      </c>
      <c r="G80" s="126" t="s">
        <v>1576</v>
      </c>
      <c r="H80" s="126" t="s">
        <v>1575</v>
      </c>
      <c r="I80" s="126" t="s">
        <v>1212</v>
      </c>
      <c r="J80" s="126" t="s">
        <v>931</v>
      </c>
      <c r="K80" s="127">
        <v>43473</v>
      </c>
      <c r="L80" s="128">
        <v>3.8</v>
      </c>
      <c r="M80" s="128"/>
      <c r="N80" s="126">
        <v>3</v>
      </c>
      <c r="O80" s="126" t="s">
        <v>119</v>
      </c>
      <c r="P80" s="129" t="s">
        <v>1225</v>
      </c>
      <c r="Q80" s="129"/>
      <c r="R80" s="126" t="s">
        <v>24</v>
      </c>
      <c r="S80" s="126"/>
      <c r="T80" s="130" t="s">
        <v>120</v>
      </c>
      <c r="U80" s="126" t="s">
        <v>1880</v>
      </c>
      <c r="V80" s="130" t="s">
        <v>120</v>
      </c>
      <c r="W80" s="126"/>
      <c r="X80" s="130" t="s">
        <v>120</v>
      </c>
      <c r="Y80" s="126" t="s">
        <v>1831</v>
      </c>
      <c r="Z80" s="162" t="s">
        <v>120</v>
      </c>
      <c r="AA80" s="154"/>
      <c r="AB80" s="154"/>
      <c r="AC80" s="167"/>
      <c r="AD80" s="126" t="s">
        <v>1881</v>
      </c>
      <c r="AE80" s="130" t="s">
        <v>120</v>
      </c>
      <c r="AF80" s="127" t="s">
        <v>1167</v>
      </c>
      <c r="AG80" s="131"/>
      <c r="AH80" s="131"/>
      <c r="AI80" s="126" t="s">
        <v>1417</v>
      </c>
      <c r="AJ80" s="130" t="s">
        <v>120</v>
      </c>
      <c r="AK80" s="126" t="s">
        <v>123</v>
      </c>
      <c r="AL80" s="126" t="s">
        <v>1198</v>
      </c>
      <c r="AM80" s="130"/>
      <c r="AN80" s="126"/>
      <c r="AO80" s="132"/>
      <c r="AP80" s="126"/>
      <c r="AQ80" s="126"/>
      <c r="AR80" s="130" t="s">
        <v>120</v>
      </c>
      <c r="AS80" s="126" t="s">
        <v>1882</v>
      </c>
      <c r="AT80" s="127">
        <v>43474.500816782398</v>
      </c>
      <c r="AU80" s="127">
        <v>43479.735464236102</v>
      </c>
      <c r="AV80" s="127">
        <v>43475.588291088003</v>
      </c>
      <c r="AW80" s="127">
        <v>43474.500816782398</v>
      </c>
      <c r="AX80" s="127">
        <v>43475.646634490702</v>
      </c>
      <c r="AY80" s="127">
        <v>43473.725849768503</v>
      </c>
      <c r="AZ80" s="133">
        <v>43476.400662847198</v>
      </c>
      <c r="BA80" s="134">
        <f ca="1">IF(_05preva_view43[[#This Row],[Prevalidation Status]]="Under Prevalidation",NOW()-_05preva_view43[[#This Row],[Request Date]],IF(_05preva_view43[[#This Row],[Close Date]]&gt;_05preva_view43[[#This Row],[Request Date]],_05preva_view43[[#This Row],[Close Date]]-_05preva_view43[[#This Row],[Request Date]],"Not  Calculated"))</f>
        <v>3.4006628471979639</v>
      </c>
      <c r="BB80" s="135">
        <f>COUNTIFS(_05preva_view43[Site ID],_05preva_view43[[#This Row],[Site ID]],_05preva_view43[Prevalidation Status],"Under Prevalidation")</f>
        <v>0</v>
      </c>
      <c r="BC80" s="153" t="str">
        <f ca="1">HYPERLINK(CheckPath(_05preva_view43[[#This Row],[File Path]],_05preva_view43[[#This Row],[File Path]],_05preva_view43[[#This Row],[Folder Path3]]),CheckPath(_05preva_view43[[#This Row],[File Path]],"Open File","No File"))</f>
        <v>No File</v>
      </c>
      <c r="BD80" s="136" t="str">
        <f>CONCATENATE(_05preva_view43[[#This Row],[Site ID]]," (",_05preva_view43[[#This Row],[tenant id]],") Application",IF(_05preva_view43[[#This Row],[Colo Rev]]&gt;0," Rev "&amp;_05preva_view43[[#This Row],[Colo Rev]],""),".xlsx")</f>
        <v>AYYN_0530 (YGNDMNH014) Application Rev 1.xlsx</v>
      </c>
      <c r="BE80" s="64">
        <f t="shared" ref="BE80:BE143" ca="1" si="3">FIND("Process &amp; Database\",CELL("filename",$A$1))</f>
        <v>50</v>
      </c>
      <c r="BF80" s="104" t="str">
        <f ca="1">LEFT(CELL("filename",A65),_05preva_view43[[#This Row],[Find Process &amp; Database]]-1)</f>
        <v>D:\OneDrive - apollo-towers.com\Apollo Towers\00-</v>
      </c>
      <c r="BG80" s="104" t="str">
        <f ca="1">_05preva_view43[Folder Path1]&amp;"Process &amp; Database\Documentation\Colo Applications"</f>
        <v>D:\OneDrive - apollo-towers.com\Apollo Towers\00-Process &amp; Database\Documentation\Colo Applications</v>
      </c>
      <c r="BH80" s="104" t="str">
        <f ca="1">_05preva_view43[Folder Path2]&amp;"\Colo App "&amp;_05preva_view43[[#This Row],[Operator]]&amp;"\"</f>
        <v>D:\OneDrive - apollo-towers.com\Apollo Towers\00-Process &amp; Database\Documentation\Colo Applications\Colo App Amara\</v>
      </c>
      <c r="BI80" s="63" t="str">
        <f ca="1">_05preva_view43[[#This Row],[Folder Path3]]&amp;_05preva_view43[[#This Row],[File Name]]</f>
        <v>D:\OneDrive - apollo-towers.com\Apollo Towers\00-Process &amp; Database\Documentation\Colo Applications\Colo App Amara\AYYN_0530 (YGNDMNH014) Application Rev 1.xlsx</v>
      </c>
      <c r="BJ80" s="104"/>
      <c r="BK80" s="3"/>
      <c r="BL80" s="3"/>
      <c r="CJ80" s="5"/>
      <c r="CK80" s="5"/>
      <c r="CL80" s="3"/>
      <c r="CN80" s="5"/>
      <c r="CR80" s="3"/>
      <c r="CS80" s="3"/>
      <c r="CT80" s="5"/>
      <c r="CV80" s="3"/>
      <c r="DR80" s="5"/>
      <c r="DT80" s="3"/>
      <c r="EF80" s="7"/>
      <c r="EG80" s="7"/>
      <c r="EJ80" s="4"/>
      <c r="EK80" s="4"/>
      <c r="EU80" s="2"/>
      <c r="EV80" s="2"/>
    </row>
    <row r="81" spans="1:152">
      <c r="A81" s="125">
        <v>3564</v>
      </c>
      <c r="B81" s="126" t="s">
        <v>1832</v>
      </c>
      <c r="C81" s="126" t="s">
        <v>116</v>
      </c>
      <c r="D81" s="126" t="s">
        <v>163</v>
      </c>
      <c r="E81" s="126" t="s">
        <v>1833</v>
      </c>
      <c r="F81" s="126" t="s">
        <v>41</v>
      </c>
      <c r="G81" s="126" t="s">
        <v>1576</v>
      </c>
      <c r="H81" s="126" t="s">
        <v>1575</v>
      </c>
      <c r="I81" s="126" t="s">
        <v>1212</v>
      </c>
      <c r="J81" s="126" t="s">
        <v>931</v>
      </c>
      <c r="K81" s="127">
        <v>43473</v>
      </c>
      <c r="L81" s="128">
        <v>2.5</v>
      </c>
      <c r="M81" s="128"/>
      <c r="N81" s="126">
        <v>3</v>
      </c>
      <c r="O81" s="126" t="s">
        <v>119</v>
      </c>
      <c r="P81" s="129" t="s">
        <v>858</v>
      </c>
      <c r="Q81" s="129" t="s">
        <v>284</v>
      </c>
      <c r="R81" s="126" t="s">
        <v>24</v>
      </c>
      <c r="S81" s="126"/>
      <c r="T81" s="130" t="s">
        <v>120</v>
      </c>
      <c r="U81" s="126" t="s">
        <v>1883</v>
      </c>
      <c r="V81" s="130" t="s">
        <v>120</v>
      </c>
      <c r="W81" s="126"/>
      <c r="X81" s="130" t="s">
        <v>120</v>
      </c>
      <c r="Y81" s="126" t="s">
        <v>1834</v>
      </c>
      <c r="Z81" s="162" t="s">
        <v>120</v>
      </c>
      <c r="AA81" s="154"/>
      <c r="AB81" s="154"/>
      <c r="AC81" s="167"/>
      <c r="AD81" s="126" t="s">
        <v>1881</v>
      </c>
      <c r="AE81" s="130" t="s">
        <v>120</v>
      </c>
      <c r="AF81" s="127" t="s">
        <v>1167</v>
      </c>
      <c r="AG81" s="131"/>
      <c r="AH81" s="131"/>
      <c r="AI81" s="126" t="s">
        <v>1417</v>
      </c>
      <c r="AJ81" s="130" t="s">
        <v>120</v>
      </c>
      <c r="AK81" s="126" t="s">
        <v>123</v>
      </c>
      <c r="AL81" s="126" t="s">
        <v>1198</v>
      </c>
      <c r="AM81" s="130"/>
      <c r="AN81" s="126"/>
      <c r="AO81" s="132"/>
      <c r="AP81" s="126"/>
      <c r="AQ81" s="126"/>
      <c r="AR81" s="130" t="s">
        <v>120</v>
      </c>
      <c r="AS81" s="126" t="s">
        <v>1882</v>
      </c>
      <c r="AT81" s="127">
        <v>43474.500818287001</v>
      </c>
      <c r="AU81" s="127">
        <v>43479.735467129598</v>
      </c>
      <c r="AV81" s="127">
        <v>43475.588291435197</v>
      </c>
      <c r="AW81" s="127">
        <v>43474.500818287001</v>
      </c>
      <c r="AX81" s="127">
        <v>43475.646638657403</v>
      </c>
      <c r="AY81" s="127">
        <v>43473.725851157396</v>
      </c>
      <c r="AZ81" s="133">
        <v>43476.400664930603</v>
      </c>
      <c r="BA81" s="134">
        <f ca="1">IF(_05preva_view43[[#This Row],[Prevalidation Status]]="Under Prevalidation",NOW()-_05preva_view43[[#This Row],[Request Date]],IF(_05preva_view43[[#This Row],[Close Date]]&gt;_05preva_view43[[#This Row],[Request Date]],_05preva_view43[[#This Row],[Close Date]]-_05preva_view43[[#This Row],[Request Date]],"Not  Calculated"))</f>
        <v>3.4006649306029431</v>
      </c>
      <c r="BB81" s="135">
        <f>COUNTIFS(_05preva_view43[Site ID],_05preva_view43[[#This Row],[Site ID]],_05preva_view43[Prevalidation Status],"Under Prevalidation")</f>
        <v>0</v>
      </c>
      <c r="BC81" s="153" t="str">
        <f ca="1">HYPERLINK(CheckPath(_05preva_view43[[#This Row],[File Path]],_05preva_view43[[#This Row],[File Path]],_05preva_view43[[#This Row],[Folder Path3]]),CheckPath(_05preva_view43[[#This Row],[File Path]],"Open File","No File"))</f>
        <v>No File</v>
      </c>
      <c r="BD81" s="136" t="str">
        <f>CONCATENATE(_05preva_view43[[#This Row],[Site ID]]," (",_05preva_view43[[#This Row],[tenant id]],") Application",IF(_05preva_view43[[#This Row],[Colo Rev]]&gt;0," Rev "&amp;_05preva_view43[[#This Row],[Colo Rev]],""),".xlsx")</f>
        <v>AYYN_0620 (YGNDMSH008) Application Rev 1.xlsx</v>
      </c>
      <c r="BE81" s="64">
        <f t="shared" ca="1" si="3"/>
        <v>50</v>
      </c>
      <c r="BF81" s="104" t="str">
        <f ca="1">LEFT(CELL("filename",A66),_05preva_view43[[#This Row],[Find Process &amp; Database]]-1)</f>
        <v>D:\OneDrive - apollo-towers.com\Apollo Towers\00-</v>
      </c>
      <c r="BG81" s="104" t="str">
        <f ca="1">_05preva_view43[Folder Path1]&amp;"Process &amp; Database\Documentation\Colo Applications"</f>
        <v>D:\OneDrive - apollo-towers.com\Apollo Towers\00-Process &amp; Database\Documentation\Colo Applications</v>
      </c>
      <c r="BH81" s="104" t="str">
        <f ca="1">_05preva_view43[Folder Path2]&amp;"\Colo App "&amp;_05preva_view43[[#This Row],[Operator]]&amp;"\"</f>
        <v>D:\OneDrive - apollo-towers.com\Apollo Towers\00-Process &amp; Database\Documentation\Colo Applications\Colo App Amara\</v>
      </c>
      <c r="BI81" s="63" t="str">
        <f ca="1">_05preva_view43[[#This Row],[Folder Path3]]&amp;_05preva_view43[[#This Row],[File Name]]</f>
        <v>D:\OneDrive - apollo-towers.com\Apollo Towers\00-Process &amp; Database\Documentation\Colo Applications\Colo App Amara\AYYN_0620 (YGNDMSH008) Application Rev 1.xlsx</v>
      </c>
      <c r="BJ81" s="104"/>
      <c r="BK81" s="3"/>
      <c r="BL81" s="3"/>
      <c r="CJ81" s="5"/>
      <c r="CK81" s="5"/>
      <c r="CL81" s="3"/>
      <c r="CN81" s="5"/>
      <c r="CR81" s="3"/>
      <c r="CS81" s="3"/>
      <c r="CT81" s="5"/>
      <c r="CV81" s="3"/>
      <c r="DR81" s="5"/>
      <c r="DT81" s="3"/>
      <c r="EF81" s="7"/>
      <c r="EG81" s="7"/>
      <c r="EJ81" s="4"/>
      <c r="EK81" s="4"/>
      <c r="EU81" s="2"/>
      <c r="EV81" s="2"/>
    </row>
    <row r="82" spans="1:152">
      <c r="A82" s="125">
        <v>3565</v>
      </c>
      <c r="B82" s="126" t="s">
        <v>1401</v>
      </c>
      <c r="C82" s="126" t="s">
        <v>331</v>
      </c>
      <c r="D82" s="126" t="s">
        <v>127</v>
      </c>
      <c r="E82" s="126" t="s">
        <v>1402</v>
      </c>
      <c r="F82" s="126" t="s">
        <v>35</v>
      </c>
      <c r="G82" s="126" t="s">
        <v>1583</v>
      </c>
      <c r="H82" s="126" t="s">
        <v>1575</v>
      </c>
      <c r="I82" s="126" t="s">
        <v>1053</v>
      </c>
      <c r="J82" s="126" t="s">
        <v>957</v>
      </c>
      <c r="K82" s="127">
        <v>43473</v>
      </c>
      <c r="L82" s="128">
        <v>1.9890000000000001</v>
      </c>
      <c r="M82" s="128">
        <v>3.6110000000000002</v>
      </c>
      <c r="N82" s="126">
        <v>5.21</v>
      </c>
      <c r="O82" s="126" t="s">
        <v>950</v>
      </c>
      <c r="P82" s="129" t="s">
        <v>1275</v>
      </c>
      <c r="Q82" s="129" t="s">
        <v>1276</v>
      </c>
      <c r="R82" s="126" t="s">
        <v>24</v>
      </c>
      <c r="S82" s="126"/>
      <c r="T82" s="130" t="s">
        <v>120</v>
      </c>
      <c r="U82" s="126"/>
      <c r="V82" s="130" t="s">
        <v>120</v>
      </c>
      <c r="W82" s="126"/>
      <c r="X82" s="130" t="s">
        <v>120</v>
      </c>
      <c r="Y82" s="126" t="s">
        <v>1835</v>
      </c>
      <c r="Z82" s="162" t="s">
        <v>120</v>
      </c>
      <c r="AA82" s="154"/>
      <c r="AB82" s="154"/>
      <c r="AC82" s="167" t="s">
        <v>123</v>
      </c>
      <c r="AD82" s="126" t="s">
        <v>2096</v>
      </c>
      <c r="AE82" s="130" t="s">
        <v>120</v>
      </c>
      <c r="AF82" s="127" t="s">
        <v>1722</v>
      </c>
      <c r="AG82" s="131"/>
      <c r="AH82" s="131"/>
      <c r="AI82" s="126" t="s">
        <v>2097</v>
      </c>
      <c r="AJ82" s="130" t="s">
        <v>120</v>
      </c>
      <c r="AK82" s="126" t="s">
        <v>123</v>
      </c>
      <c r="AL82" s="126" t="s">
        <v>1198</v>
      </c>
      <c r="AM82" s="130"/>
      <c r="AN82" s="126"/>
      <c r="AO82" s="132"/>
      <c r="AP82" s="126"/>
      <c r="AQ82" s="126"/>
      <c r="AR82" s="130"/>
      <c r="AS82" s="126"/>
      <c r="AT82" s="127">
        <v>43474.500819675901</v>
      </c>
      <c r="AU82" s="127">
        <v>43479.735467476901</v>
      </c>
      <c r="AV82" s="127">
        <v>43479.504158680596</v>
      </c>
      <c r="AW82" s="127">
        <v>43474.500819675901</v>
      </c>
      <c r="AX82" s="127">
        <v>43480.732223148101</v>
      </c>
      <c r="AY82" s="127">
        <v>43475.973942361103</v>
      </c>
      <c r="AZ82" s="133">
        <v>43481.4125510417</v>
      </c>
      <c r="BA82" s="134">
        <f ca="1">IF(_05preva_view43[[#This Row],[Prevalidation Status]]="Under Prevalidation",NOW()-_05preva_view43[[#This Row],[Request Date]],IF(_05preva_view43[[#This Row],[Close Date]]&gt;_05preva_view43[[#This Row],[Request Date]],_05preva_view43[[#This Row],[Close Date]]-_05preva_view43[[#This Row],[Request Date]],"Not  Calculated"))</f>
        <v>8.4125510416997713</v>
      </c>
      <c r="BB82" s="135">
        <f>COUNTIFS(_05preva_view43[Site ID],_05preva_view43[[#This Row],[Site ID]],_05preva_view43[Prevalidation Status],"Under Prevalidation")</f>
        <v>0</v>
      </c>
      <c r="BC82" s="153" t="str">
        <f ca="1">HYPERLINK(CheckPath(_05preva_view43[[#This Row],[File Path]],_05preva_view43[[#This Row],[File Path]],_05preva_view43[[#This Row],[Folder Path3]]),CheckPath(_05preva_view43[[#This Row],[File Path]],"Open File","No File"))</f>
        <v>No File</v>
      </c>
      <c r="BD82" s="136" t="str">
        <f>CONCATENATE(_05preva_view43[[#This Row],[Site ID]]," (",_05preva_view43[[#This Row],[tenant id]],") Application",IF(_05preva_view43[[#This Row],[Colo Rev]]&gt;0," Rev "&amp;_05preva_view43[[#This Row],[Colo Rev]],""),".xlsx")</f>
        <v>1-01-15009-006 (SHN00051) Application Rev 4.xlsx</v>
      </c>
      <c r="BE82" s="64">
        <f t="shared" ca="1" si="3"/>
        <v>50</v>
      </c>
      <c r="BF82" s="104" t="str">
        <f ca="1">LEFT(CELL("filename",A67),_05preva_view43[[#This Row],[Find Process &amp; Database]]-1)</f>
        <v>D:\OneDrive - apollo-towers.com\Apollo Towers\00-</v>
      </c>
      <c r="BG82" s="104" t="str">
        <f ca="1">_05preva_view43[Folder Path1]&amp;"Process &amp; Database\Documentation\Colo Applications"</f>
        <v>D:\OneDrive - apollo-towers.com\Apollo Towers\00-Process &amp; Database\Documentation\Colo Applications</v>
      </c>
      <c r="BH82" s="104" t="str">
        <f ca="1">_05preva_view43[Folder Path2]&amp;"\Colo App "&amp;_05preva_view43[[#This Row],[Operator]]&amp;"\"</f>
        <v>D:\OneDrive - apollo-towers.com\Apollo Towers\00-Process &amp; Database\Documentation\Colo Applications\Colo App MPT\</v>
      </c>
      <c r="BI82" s="63" t="str">
        <f ca="1">_05preva_view43[[#This Row],[Folder Path3]]&amp;_05preva_view43[[#This Row],[File Name]]</f>
        <v>D:\OneDrive - apollo-towers.com\Apollo Towers\00-Process &amp; Database\Documentation\Colo Applications\Colo App MPT\1-01-15009-006 (SHN00051) Application Rev 4.xlsx</v>
      </c>
      <c r="BJ82" s="104"/>
      <c r="BK82" s="3"/>
      <c r="BL82" s="3"/>
      <c r="CJ82" s="5"/>
      <c r="CK82" s="5"/>
      <c r="CL82" s="3"/>
      <c r="CN82" s="5"/>
      <c r="CR82" s="3"/>
      <c r="CS82" s="3"/>
      <c r="CT82" s="5"/>
      <c r="CV82" s="3"/>
      <c r="DR82" s="5"/>
      <c r="DT82" s="3"/>
      <c r="EF82" s="7"/>
      <c r="EG82" s="7"/>
      <c r="EJ82" s="4"/>
      <c r="EK82" s="4"/>
      <c r="EU82" s="2"/>
      <c r="EV82" s="2"/>
    </row>
    <row r="83" spans="1:152">
      <c r="A83" s="125">
        <v>3566</v>
      </c>
      <c r="B83" s="126" t="s">
        <v>1836</v>
      </c>
      <c r="C83" s="126" t="s">
        <v>331</v>
      </c>
      <c r="D83" s="126" t="s">
        <v>127</v>
      </c>
      <c r="E83" s="126" t="s">
        <v>1837</v>
      </c>
      <c r="F83" s="126" t="s">
        <v>35</v>
      </c>
      <c r="G83" s="126" t="s">
        <v>1583</v>
      </c>
      <c r="H83" s="126" t="s">
        <v>1575</v>
      </c>
      <c r="I83" s="126" t="s">
        <v>1053</v>
      </c>
      <c r="J83" s="126" t="s">
        <v>931</v>
      </c>
      <c r="K83" s="127">
        <v>43473</v>
      </c>
      <c r="L83" s="128">
        <v>1.9890000000000001</v>
      </c>
      <c r="M83" s="128">
        <v>3.6110000000000002</v>
      </c>
      <c r="N83" s="126">
        <v>4.7300000000000004</v>
      </c>
      <c r="O83" s="126" t="s">
        <v>950</v>
      </c>
      <c r="P83" s="129" t="s">
        <v>958</v>
      </c>
      <c r="Q83" s="129" t="s">
        <v>959</v>
      </c>
      <c r="R83" s="126" t="s">
        <v>24</v>
      </c>
      <c r="S83" s="126"/>
      <c r="T83" s="130" t="s">
        <v>120</v>
      </c>
      <c r="U83" s="126"/>
      <c r="V83" s="130" t="s">
        <v>120</v>
      </c>
      <c r="W83" s="126"/>
      <c r="X83" s="130" t="s">
        <v>120</v>
      </c>
      <c r="Y83" s="126" t="s">
        <v>1838</v>
      </c>
      <c r="Z83" s="162" t="s">
        <v>120</v>
      </c>
      <c r="AA83" s="154"/>
      <c r="AB83" s="154"/>
      <c r="AC83" s="167" t="s">
        <v>123</v>
      </c>
      <c r="AD83" s="126" t="s">
        <v>2098</v>
      </c>
      <c r="AE83" s="130" t="s">
        <v>120</v>
      </c>
      <c r="AF83" s="127" t="s">
        <v>2099</v>
      </c>
      <c r="AG83" s="131"/>
      <c r="AH83" s="131"/>
      <c r="AI83" s="126" t="s">
        <v>2100</v>
      </c>
      <c r="AJ83" s="130" t="s">
        <v>120</v>
      </c>
      <c r="AK83" s="126" t="s">
        <v>123</v>
      </c>
      <c r="AL83" s="126" t="s">
        <v>1198</v>
      </c>
      <c r="AM83" s="130"/>
      <c r="AN83" s="126"/>
      <c r="AO83" s="132"/>
      <c r="AP83" s="126"/>
      <c r="AQ83" s="126"/>
      <c r="AR83" s="130"/>
      <c r="AS83" s="126"/>
      <c r="AT83" s="127">
        <v>43474.500821412003</v>
      </c>
      <c r="AU83" s="127">
        <v>43481.501133796301</v>
      </c>
      <c r="AV83" s="127">
        <v>43479.504159374999</v>
      </c>
      <c r="AW83" s="127">
        <v>43474.500821412003</v>
      </c>
      <c r="AX83" s="127">
        <v>43480.732223726904</v>
      </c>
      <c r="AY83" s="127">
        <v>43475.972884374998</v>
      </c>
      <c r="AZ83" s="133">
        <v>43481.630474305603</v>
      </c>
      <c r="BA83" s="134">
        <f ca="1">IF(_05preva_view43[[#This Row],[Prevalidation Status]]="Under Prevalidation",NOW()-_05preva_view43[[#This Row],[Request Date]],IF(_05preva_view43[[#This Row],[Close Date]]&gt;_05preva_view43[[#This Row],[Request Date]],_05preva_view43[[#This Row],[Close Date]]-_05preva_view43[[#This Row],[Request Date]],"Not  Calculated"))</f>
        <v>8.6304743056025472</v>
      </c>
      <c r="BB83" s="135">
        <f>COUNTIFS(_05preva_view43[Site ID],_05preva_view43[[#This Row],[Site ID]],_05preva_view43[Prevalidation Status],"Under Prevalidation")</f>
        <v>0</v>
      </c>
      <c r="BC83" s="153" t="str">
        <f ca="1">HYPERLINK(CheckPath(_05preva_view43[[#This Row],[File Path]],_05preva_view43[[#This Row],[File Path]],_05preva_view43[[#This Row],[Folder Path3]]),CheckPath(_05preva_view43[[#This Row],[File Path]],"Open File","No File"))</f>
        <v>No File</v>
      </c>
      <c r="BD83" s="136" t="str">
        <f>CONCATENATE(_05preva_view43[[#This Row],[Site ID]]," (",_05preva_view43[[#This Row],[tenant id]],") Application",IF(_05preva_view43[[#This Row],[Colo Rev]]&gt;0," Rev "&amp;_05preva_view43[[#This Row],[Colo Rev]],""),".xlsx")</f>
        <v>1-01-15002-002 (SHN00062) Application Rev 1.xlsx</v>
      </c>
      <c r="BE83" s="64">
        <f t="shared" ca="1" si="3"/>
        <v>50</v>
      </c>
      <c r="BF83" s="104" t="str">
        <f ca="1">LEFT(CELL("filename",A68),_05preva_view43[[#This Row],[Find Process &amp; Database]]-1)</f>
        <v>D:\OneDrive - apollo-towers.com\Apollo Towers\00-</v>
      </c>
      <c r="BG83" s="104" t="str">
        <f ca="1">_05preva_view43[Folder Path1]&amp;"Process &amp; Database\Documentation\Colo Applications"</f>
        <v>D:\OneDrive - apollo-towers.com\Apollo Towers\00-Process &amp; Database\Documentation\Colo Applications</v>
      </c>
      <c r="BH83" s="104" t="str">
        <f ca="1">_05preva_view43[Folder Path2]&amp;"\Colo App "&amp;_05preva_view43[[#This Row],[Operator]]&amp;"\"</f>
        <v>D:\OneDrive - apollo-towers.com\Apollo Towers\00-Process &amp; Database\Documentation\Colo Applications\Colo App MPT\</v>
      </c>
      <c r="BI83" s="63" t="str">
        <f ca="1">_05preva_view43[[#This Row],[Folder Path3]]&amp;_05preva_view43[[#This Row],[File Name]]</f>
        <v>D:\OneDrive - apollo-towers.com\Apollo Towers\00-Process &amp; Database\Documentation\Colo Applications\Colo App MPT\1-01-15002-002 (SHN00062) Application Rev 1.xlsx</v>
      </c>
      <c r="BJ83" s="104"/>
      <c r="BK83" s="3"/>
      <c r="BL83" s="3"/>
      <c r="CJ83" s="5"/>
      <c r="CK83" s="5"/>
      <c r="CL83" s="3"/>
      <c r="CN83" s="5"/>
      <c r="CR83" s="3"/>
      <c r="CS83" s="3"/>
      <c r="CT83" s="5"/>
      <c r="CV83" s="3"/>
      <c r="DR83" s="5"/>
      <c r="DT83" s="3"/>
      <c r="EF83" s="7"/>
      <c r="EG83" s="7"/>
      <c r="EJ83" s="4"/>
      <c r="EK83" s="4"/>
      <c r="EU83" s="2"/>
      <c r="EV83" s="2"/>
    </row>
    <row r="84" spans="1:152">
      <c r="A84" s="125">
        <v>3567</v>
      </c>
      <c r="B84" s="126" t="s">
        <v>1839</v>
      </c>
      <c r="C84" s="126" t="s">
        <v>331</v>
      </c>
      <c r="D84" s="126" t="s">
        <v>127</v>
      </c>
      <c r="E84" s="126" t="s">
        <v>1840</v>
      </c>
      <c r="F84" s="126" t="s">
        <v>35</v>
      </c>
      <c r="G84" s="126" t="s">
        <v>1583</v>
      </c>
      <c r="H84" s="126" t="s">
        <v>1575</v>
      </c>
      <c r="I84" s="126" t="s">
        <v>1053</v>
      </c>
      <c r="J84" s="126" t="s">
        <v>949</v>
      </c>
      <c r="K84" s="127">
        <v>43473</v>
      </c>
      <c r="L84" s="128">
        <v>2.0590000000000002</v>
      </c>
      <c r="M84" s="128">
        <v>3.6110000000000002</v>
      </c>
      <c r="N84" s="126">
        <v>5.47</v>
      </c>
      <c r="O84" s="126" t="s">
        <v>950</v>
      </c>
      <c r="P84" s="129" t="s">
        <v>1841</v>
      </c>
      <c r="Q84" s="129" t="s">
        <v>1842</v>
      </c>
      <c r="R84" s="126" t="s">
        <v>25</v>
      </c>
      <c r="S84" s="126"/>
      <c r="T84" s="130" t="s">
        <v>120</v>
      </c>
      <c r="U84" s="126"/>
      <c r="V84" s="130" t="s">
        <v>120</v>
      </c>
      <c r="W84" s="126"/>
      <c r="X84" s="130" t="s">
        <v>120</v>
      </c>
      <c r="Y84" s="126" t="s">
        <v>1843</v>
      </c>
      <c r="Z84" s="162" t="s">
        <v>144</v>
      </c>
      <c r="AA84" s="154"/>
      <c r="AB84" s="154"/>
      <c r="AC84" s="167" t="s">
        <v>123</v>
      </c>
      <c r="AD84" s="126" t="s">
        <v>2101</v>
      </c>
      <c r="AE84" s="130" t="s">
        <v>120</v>
      </c>
      <c r="AF84" s="127" t="s">
        <v>2099</v>
      </c>
      <c r="AG84" s="131"/>
      <c r="AH84" s="131"/>
      <c r="AI84" s="126" t="s">
        <v>2102</v>
      </c>
      <c r="AJ84" s="130" t="s">
        <v>120</v>
      </c>
      <c r="AK84" s="126" t="s">
        <v>123</v>
      </c>
      <c r="AL84" s="126" t="s">
        <v>1198</v>
      </c>
      <c r="AM84" s="130"/>
      <c r="AN84" s="126"/>
      <c r="AO84" s="132"/>
      <c r="AP84" s="126"/>
      <c r="AQ84" s="126"/>
      <c r="AR84" s="130"/>
      <c r="AS84" s="126"/>
      <c r="AT84" s="127">
        <v>43474.500823379603</v>
      </c>
      <c r="AU84" s="127">
        <v>43481.501134375001</v>
      </c>
      <c r="AV84" s="127">
        <v>43487.474186226798</v>
      </c>
      <c r="AW84" s="127">
        <v>43474.500823379603</v>
      </c>
      <c r="AX84" s="127">
        <v>43480.732230208298</v>
      </c>
      <c r="AY84" s="127">
        <v>43475.972885763898</v>
      </c>
      <c r="AZ84" s="133"/>
      <c r="BA84" s="134">
        <f ca="1">IF(_05preva_view43[[#This Row],[Prevalidation Status]]="Under Prevalidation",NOW()-_05preva_view43[[#This Row],[Request Date]],IF(_05preva_view43[[#This Row],[Close Date]]&gt;_05preva_view43[[#This Row],[Request Date]],_05preva_view43[[#This Row],[Close Date]]-_05preva_view43[[#This Row],[Request Date]],"Not  Calculated"))</f>
        <v>14.506734143520589</v>
      </c>
      <c r="BB84" s="135">
        <f>COUNTIFS(_05preva_view43[Site ID],_05preva_view43[[#This Row],[Site ID]],_05preva_view43[Prevalidation Status],"Under Prevalidation")</f>
        <v>1</v>
      </c>
      <c r="BC84" s="153" t="str">
        <f ca="1">HYPERLINK(CheckPath(_05preva_view43[[#This Row],[File Path]],_05preva_view43[[#This Row],[File Path]],_05preva_view43[[#This Row],[Folder Path3]]),CheckPath(_05preva_view43[[#This Row],[File Path]],"Open File","No File"))</f>
        <v>No File</v>
      </c>
      <c r="BD84" s="136" t="str">
        <f>CONCATENATE(_05preva_view43[[#This Row],[Site ID]]," (",_05preva_view43[[#This Row],[tenant id]],") Application",IF(_05preva_view43[[#This Row],[Colo Rev]]&gt;0," Rev "&amp;_05preva_view43[[#This Row],[Colo Rev]],""),".xlsx")</f>
        <v>1-01-14007-013 (SHN00081) Application Rev 2.xlsx</v>
      </c>
      <c r="BE84" s="64">
        <f t="shared" ca="1" si="3"/>
        <v>50</v>
      </c>
      <c r="BF84" s="104" t="str">
        <f ca="1">LEFT(CELL("filename",A69),_05preva_view43[[#This Row],[Find Process &amp; Database]]-1)</f>
        <v>D:\OneDrive - apollo-towers.com\Apollo Towers\00-</v>
      </c>
      <c r="BG84" s="104" t="str">
        <f ca="1">_05preva_view43[Folder Path1]&amp;"Process &amp; Database\Documentation\Colo Applications"</f>
        <v>D:\OneDrive - apollo-towers.com\Apollo Towers\00-Process &amp; Database\Documentation\Colo Applications</v>
      </c>
      <c r="BH84" s="104" t="str">
        <f ca="1">_05preva_view43[Folder Path2]&amp;"\Colo App "&amp;_05preva_view43[[#This Row],[Operator]]&amp;"\"</f>
        <v>D:\OneDrive - apollo-towers.com\Apollo Towers\00-Process &amp; Database\Documentation\Colo Applications\Colo App MPT\</v>
      </c>
      <c r="BI84" s="63" t="str">
        <f ca="1">_05preva_view43[[#This Row],[Folder Path3]]&amp;_05preva_view43[[#This Row],[File Name]]</f>
        <v>D:\OneDrive - apollo-towers.com\Apollo Towers\00-Process &amp; Database\Documentation\Colo Applications\Colo App MPT\1-01-14007-013 (SHN00081) Application Rev 2.xlsx</v>
      </c>
      <c r="BJ84" s="104"/>
      <c r="BK84" s="3"/>
      <c r="BL84" s="3"/>
      <c r="CJ84" s="5"/>
      <c r="CK84" s="5"/>
      <c r="CL84" s="3"/>
      <c r="CN84" s="5"/>
      <c r="CR84" s="3"/>
      <c r="CS84" s="3"/>
      <c r="CT84" s="5"/>
      <c r="CV84" s="3"/>
      <c r="DR84" s="5"/>
      <c r="DT84" s="3"/>
      <c r="EF84" s="7"/>
      <c r="EG84" s="7"/>
      <c r="EJ84" s="4"/>
      <c r="EK84" s="4"/>
      <c r="EU84" s="2"/>
      <c r="EV84" s="2"/>
    </row>
    <row r="85" spans="1:152">
      <c r="A85" s="125">
        <v>3568</v>
      </c>
      <c r="B85" s="126" t="s">
        <v>1844</v>
      </c>
      <c r="C85" s="126" t="s">
        <v>116</v>
      </c>
      <c r="D85" s="126" t="s">
        <v>163</v>
      </c>
      <c r="E85" s="126" t="s">
        <v>1845</v>
      </c>
      <c r="F85" s="126" t="s">
        <v>41</v>
      </c>
      <c r="G85" s="126" t="s">
        <v>1576</v>
      </c>
      <c r="H85" s="126" t="s">
        <v>1575</v>
      </c>
      <c r="I85" s="126" t="s">
        <v>1212</v>
      </c>
      <c r="J85" s="126" t="s">
        <v>931</v>
      </c>
      <c r="K85" s="127">
        <v>43473</v>
      </c>
      <c r="L85" s="128">
        <v>3.8</v>
      </c>
      <c r="M85" s="128"/>
      <c r="N85" s="126">
        <v>3</v>
      </c>
      <c r="O85" s="126" t="s">
        <v>119</v>
      </c>
      <c r="P85" s="129" t="s">
        <v>1225</v>
      </c>
      <c r="Q85" s="129"/>
      <c r="R85" s="126" t="s">
        <v>24</v>
      </c>
      <c r="S85" s="126"/>
      <c r="T85" s="130" t="s">
        <v>120</v>
      </c>
      <c r="U85" s="126" t="s">
        <v>1884</v>
      </c>
      <c r="V85" s="130" t="s">
        <v>120</v>
      </c>
      <c r="W85" s="126"/>
      <c r="X85" s="130" t="s">
        <v>120</v>
      </c>
      <c r="Y85" s="126" t="s">
        <v>1846</v>
      </c>
      <c r="Z85" s="162" t="s">
        <v>120</v>
      </c>
      <c r="AA85" s="154"/>
      <c r="AB85" s="154"/>
      <c r="AC85" s="167"/>
      <c r="AD85" s="126" t="s">
        <v>1881</v>
      </c>
      <c r="AE85" s="130" t="s">
        <v>120</v>
      </c>
      <c r="AF85" s="127" t="s">
        <v>1167</v>
      </c>
      <c r="AG85" s="131"/>
      <c r="AH85" s="131"/>
      <c r="AI85" s="126" t="s">
        <v>1417</v>
      </c>
      <c r="AJ85" s="130" t="s">
        <v>120</v>
      </c>
      <c r="AK85" s="126" t="s">
        <v>123</v>
      </c>
      <c r="AL85" s="126" t="s">
        <v>1198</v>
      </c>
      <c r="AM85" s="130"/>
      <c r="AN85" s="126"/>
      <c r="AO85" s="132"/>
      <c r="AP85" s="126"/>
      <c r="AQ85" s="126"/>
      <c r="AR85" s="130" t="s">
        <v>120</v>
      </c>
      <c r="AS85" s="126" t="s">
        <v>1882</v>
      </c>
      <c r="AT85" s="127">
        <v>43474.500825231502</v>
      </c>
      <c r="AU85" s="127">
        <v>43479.735470717598</v>
      </c>
      <c r="AV85" s="127">
        <v>43475.588293287001</v>
      </c>
      <c r="AW85" s="127">
        <v>43474.500825231502</v>
      </c>
      <c r="AX85" s="127">
        <v>43475.646645023102</v>
      </c>
      <c r="AY85" s="127">
        <v>43473.725857638899</v>
      </c>
      <c r="AZ85" s="133">
        <v>43476.400667013899</v>
      </c>
      <c r="BA85" s="134">
        <f ca="1">IF(_05preva_view43[[#This Row],[Prevalidation Status]]="Under Prevalidation",NOW()-_05preva_view43[[#This Row],[Request Date]],IF(_05preva_view43[[#This Row],[Close Date]]&gt;_05preva_view43[[#This Row],[Request Date]],_05preva_view43[[#This Row],[Close Date]]-_05preva_view43[[#This Row],[Request Date]],"Not  Calculated"))</f>
        <v>3.4006670138987829</v>
      </c>
      <c r="BB85" s="135">
        <f>COUNTIFS(_05preva_view43[Site ID],_05preva_view43[[#This Row],[Site ID]],_05preva_view43[Prevalidation Status],"Under Prevalidation")</f>
        <v>0</v>
      </c>
      <c r="BC85" s="153" t="str">
        <f ca="1">HYPERLINK(CheckPath(_05preva_view43[[#This Row],[File Path]],_05preva_view43[[#This Row],[File Path]],_05preva_view43[[#This Row],[Folder Path3]]),CheckPath(_05preva_view43[[#This Row],[File Path]],"Open File","No File"))</f>
        <v>No File</v>
      </c>
      <c r="BD85" s="136" t="str">
        <f>CONCATENATE(_05preva_view43[[#This Row],[Site ID]]," (",_05preva_view43[[#This Row],[tenant id]],") Application",IF(_05preva_view43[[#This Row],[Colo Rev]]&gt;0," Rev "&amp;_05preva_view43[[#This Row],[Colo Rev]],""),".xlsx")</f>
        <v>AYYN_0284 (YGNINSN005) Application Rev 1.xlsx</v>
      </c>
      <c r="BE85" s="64">
        <f t="shared" ca="1" si="3"/>
        <v>50</v>
      </c>
      <c r="BF85" s="104" t="str">
        <f ca="1">LEFT(CELL("filename",A70),_05preva_view43[[#This Row],[Find Process &amp; Database]]-1)</f>
        <v>D:\OneDrive - apollo-towers.com\Apollo Towers\00-</v>
      </c>
      <c r="BG85" s="104" t="str">
        <f ca="1">_05preva_view43[Folder Path1]&amp;"Process &amp; Database\Documentation\Colo Applications"</f>
        <v>D:\OneDrive - apollo-towers.com\Apollo Towers\00-Process &amp; Database\Documentation\Colo Applications</v>
      </c>
      <c r="BH85" s="104" t="str">
        <f ca="1">_05preva_view43[Folder Path2]&amp;"\Colo App "&amp;_05preva_view43[[#This Row],[Operator]]&amp;"\"</f>
        <v>D:\OneDrive - apollo-towers.com\Apollo Towers\00-Process &amp; Database\Documentation\Colo Applications\Colo App Amara\</v>
      </c>
      <c r="BI85" s="63" t="str">
        <f ca="1">_05preva_view43[[#This Row],[Folder Path3]]&amp;_05preva_view43[[#This Row],[File Name]]</f>
        <v>D:\OneDrive - apollo-towers.com\Apollo Towers\00-Process &amp; Database\Documentation\Colo Applications\Colo App Amara\AYYN_0284 (YGNINSN005) Application Rev 1.xlsx</v>
      </c>
      <c r="BJ85" s="104"/>
      <c r="BK85" s="3"/>
      <c r="BL85" s="3"/>
      <c r="CJ85" s="5"/>
      <c r="CK85" s="5"/>
      <c r="CL85" s="3"/>
      <c r="CN85" s="5"/>
      <c r="CR85" s="3"/>
      <c r="CS85" s="3"/>
      <c r="CT85" s="5"/>
      <c r="CV85" s="3"/>
      <c r="DR85" s="5"/>
      <c r="DT85" s="3"/>
      <c r="EF85" s="7"/>
      <c r="EG85" s="7"/>
      <c r="EJ85" s="4"/>
      <c r="EK85" s="4"/>
      <c r="EU85" s="2"/>
      <c r="EV85" s="2"/>
    </row>
    <row r="86" spans="1:152">
      <c r="A86" s="125">
        <v>3569</v>
      </c>
      <c r="B86" s="126" t="s">
        <v>1847</v>
      </c>
      <c r="C86" s="126" t="s">
        <v>116</v>
      </c>
      <c r="D86" s="126" t="s">
        <v>163</v>
      </c>
      <c r="E86" s="126" t="s">
        <v>1848</v>
      </c>
      <c r="F86" s="126" t="s">
        <v>41</v>
      </c>
      <c r="G86" s="126" t="s">
        <v>1576</v>
      </c>
      <c r="H86" s="126" t="s">
        <v>1575</v>
      </c>
      <c r="I86" s="126" t="s">
        <v>1212</v>
      </c>
      <c r="J86" s="126" t="s">
        <v>931</v>
      </c>
      <c r="K86" s="127">
        <v>43473</v>
      </c>
      <c r="L86" s="128">
        <v>2.5</v>
      </c>
      <c r="M86" s="128"/>
      <c r="N86" s="126">
        <v>3</v>
      </c>
      <c r="O86" s="126" t="s">
        <v>119</v>
      </c>
      <c r="P86" s="129" t="s">
        <v>339</v>
      </c>
      <c r="Q86" s="129" t="s">
        <v>903</v>
      </c>
      <c r="R86" s="126" t="s">
        <v>24</v>
      </c>
      <c r="S86" s="126"/>
      <c r="T86" s="130" t="s">
        <v>120</v>
      </c>
      <c r="U86" s="126" t="s">
        <v>1885</v>
      </c>
      <c r="V86" s="130" t="s">
        <v>120</v>
      </c>
      <c r="W86" s="126"/>
      <c r="X86" s="130" t="s">
        <v>120</v>
      </c>
      <c r="Y86" s="126" t="s">
        <v>1849</v>
      </c>
      <c r="Z86" s="162" t="s">
        <v>120</v>
      </c>
      <c r="AA86" s="154"/>
      <c r="AB86" s="154"/>
      <c r="AC86" s="167"/>
      <c r="AD86" s="126" t="s">
        <v>1881</v>
      </c>
      <c r="AE86" s="130" t="s">
        <v>120</v>
      </c>
      <c r="AF86" s="127" t="s">
        <v>1167</v>
      </c>
      <c r="AG86" s="131"/>
      <c r="AH86" s="131"/>
      <c r="AI86" s="126" t="s">
        <v>1417</v>
      </c>
      <c r="AJ86" s="130" t="s">
        <v>120</v>
      </c>
      <c r="AK86" s="126" t="s">
        <v>123</v>
      </c>
      <c r="AL86" s="126" t="s">
        <v>1198</v>
      </c>
      <c r="AM86" s="130"/>
      <c r="AN86" s="126"/>
      <c r="AO86" s="132"/>
      <c r="AP86" s="126"/>
      <c r="AQ86" s="126"/>
      <c r="AR86" s="130" t="s">
        <v>120</v>
      </c>
      <c r="AS86" s="126" t="s">
        <v>1882</v>
      </c>
      <c r="AT86" s="127">
        <v>43474.500826967596</v>
      </c>
      <c r="AU86" s="127">
        <v>43479.7354710648</v>
      </c>
      <c r="AV86" s="127">
        <v>43475.588293749999</v>
      </c>
      <c r="AW86" s="127">
        <v>43474.500826967596</v>
      </c>
      <c r="AX86" s="127">
        <v>43475.646649189803</v>
      </c>
      <c r="AY86" s="127">
        <v>43473.725860185201</v>
      </c>
      <c r="AZ86" s="133">
        <v>43476.400668865703</v>
      </c>
      <c r="BA86" s="134">
        <f ca="1">IF(_05preva_view43[[#This Row],[Prevalidation Status]]="Under Prevalidation",NOW()-_05preva_view43[[#This Row],[Request Date]],IF(_05preva_view43[[#This Row],[Close Date]]&gt;_05preva_view43[[#This Row],[Request Date]],_05preva_view43[[#This Row],[Close Date]]-_05preva_view43[[#This Row],[Request Date]],"Not  Calculated"))</f>
        <v>3.4006688657027553</v>
      </c>
      <c r="BB86" s="135">
        <f>COUNTIFS(_05preva_view43[Site ID],_05preva_view43[[#This Row],[Site ID]],_05preva_view43[Prevalidation Status],"Under Prevalidation")</f>
        <v>0</v>
      </c>
      <c r="BC86" s="153" t="str">
        <f ca="1">HYPERLINK(CheckPath(_05preva_view43[[#This Row],[File Path]],_05preva_view43[[#This Row],[File Path]],_05preva_view43[[#This Row],[Folder Path3]]),CheckPath(_05preva_view43[[#This Row],[File Path]],"Open File","No File"))</f>
        <v>No File</v>
      </c>
      <c r="BD86" s="136" t="str">
        <f>CONCATENATE(_05preva_view43[[#This Row],[Site ID]]," (",_05preva_view43[[#This Row],[tenant id]],") Application",IF(_05preva_view43[[#This Row],[Colo Rev]]&gt;0," Rev "&amp;_05preva_view43[[#This Row],[Colo Rev]],""),".xlsx")</f>
        <v>AYYN_0575 (YGNSPTR001) Application Rev 1.xlsx</v>
      </c>
      <c r="BE86" s="64">
        <f t="shared" ca="1" si="3"/>
        <v>50</v>
      </c>
      <c r="BF86" s="104" t="str">
        <f ca="1">LEFT(CELL("filename",A71),_05preva_view43[[#This Row],[Find Process &amp; Database]]-1)</f>
        <v>D:\OneDrive - apollo-towers.com\Apollo Towers\00-</v>
      </c>
      <c r="BG86" s="104" t="str">
        <f ca="1">_05preva_view43[Folder Path1]&amp;"Process &amp; Database\Documentation\Colo Applications"</f>
        <v>D:\OneDrive - apollo-towers.com\Apollo Towers\00-Process &amp; Database\Documentation\Colo Applications</v>
      </c>
      <c r="BH86" s="104" t="str">
        <f ca="1">_05preva_view43[Folder Path2]&amp;"\Colo App "&amp;_05preva_view43[[#This Row],[Operator]]&amp;"\"</f>
        <v>D:\OneDrive - apollo-towers.com\Apollo Towers\00-Process &amp; Database\Documentation\Colo Applications\Colo App Amara\</v>
      </c>
      <c r="BI86" s="63" t="str">
        <f ca="1">_05preva_view43[[#This Row],[Folder Path3]]&amp;_05preva_view43[[#This Row],[File Name]]</f>
        <v>D:\OneDrive - apollo-towers.com\Apollo Towers\00-Process &amp; Database\Documentation\Colo Applications\Colo App Amara\AYYN_0575 (YGNSPTR001) Application Rev 1.xlsx</v>
      </c>
      <c r="BJ86" s="104"/>
      <c r="BK86" s="3"/>
      <c r="BL86" s="3"/>
      <c r="CJ86" s="5"/>
      <c r="CK86" s="5"/>
      <c r="CL86" s="3"/>
      <c r="CN86" s="5"/>
      <c r="CR86" s="3"/>
      <c r="CS86" s="3"/>
      <c r="CT86" s="5"/>
      <c r="CV86" s="3"/>
      <c r="DR86" s="5"/>
      <c r="DT86" s="3"/>
      <c r="EF86" s="7"/>
      <c r="EG86" s="7"/>
      <c r="EJ86" s="4"/>
      <c r="EK86" s="4"/>
      <c r="EU86" s="2"/>
      <c r="EV86" s="2"/>
    </row>
    <row r="87" spans="1:152">
      <c r="A87" s="125">
        <v>3570</v>
      </c>
      <c r="B87" s="126" t="s">
        <v>1850</v>
      </c>
      <c r="C87" s="126" t="s">
        <v>116</v>
      </c>
      <c r="D87" s="126" t="s">
        <v>163</v>
      </c>
      <c r="E87" s="126" t="s">
        <v>1851</v>
      </c>
      <c r="F87" s="126" t="s">
        <v>41</v>
      </c>
      <c r="G87" s="126" t="s">
        <v>1576</v>
      </c>
      <c r="H87" s="126" t="s">
        <v>1575</v>
      </c>
      <c r="I87" s="126" t="s">
        <v>1212</v>
      </c>
      <c r="J87" s="126" t="s">
        <v>931</v>
      </c>
      <c r="K87" s="127">
        <v>43473</v>
      </c>
      <c r="L87" s="128">
        <v>2.5</v>
      </c>
      <c r="M87" s="128"/>
      <c r="N87" s="126">
        <v>3</v>
      </c>
      <c r="O87" s="126" t="s">
        <v>119</v>
      </c>
      <c r="P87" s="129" t="s">
        <v>1225</v>
      </c>
      <c r="Q87" s="129"/>
      <c r="R87" s="126" t="s">
        <v>24</v>
      </c>
      <c r="S87" s="126"/>
      <c r="T87" s="130" t="s">
        <v>120</v>
      </c>
      <c r="U87" s="126" t="s">
        <v>1886</v>
      </c>
      <c r="V87" s="130" t="s">
        <v>120</v>
      </c>
      <c r="W87" s="126"/>
      <c r="X87" s="130" t="s">
        <v>120</v>
      </c>
      <c r="Y87" s="126" t="s">
        <v>1852</v>
      </c>
      <c r="Z87" s="162" t="s">
        <v>120</v>
      </c>
      <c r="AA87" s="154"/>
      <c r="AB87" s="154"/>
      <c r="AC87" s="167"/>
      <c r="AD87" s="126" t="s">
        <v>1881</v>
      </c>
      <c r="AE87" s="130" t="s">
        <v>120</v>
      </c>
      <c r="AF87" s="127" t="s">
        <v>1167</v>
      </c>
      <c r="AG87" s="131"/>
      <c r="AH87" s="131"/>
      <c r="AI87" s="126" t="s">
        <v>1417</v>
      </c>
      <c r="AJ87" s="130" t="s">
        <v>120</v>
      </c>
      <c r="AK87" s="126" t="s">
        <v>123</v>
      </c>
      <c r="AL87" s="126" t="s">
        <v>1198</v>
      </c>
      <c r="AM87" s="130"/>
      <c r="AN87" s="126"/>
      <c r="AO87" s="132"/>
      <c r="AP87" s="126"/>
      <c r="AQ87" s="126"/>
      <c r="AR87" s="130" t="s">
        <v>120</v>
      </c>
      <c r="AS87" s="126" t="s">
        <v>1882</v>
      </c>
      <c r="AT87" s="127">
        <v>43474.500828935197</v>
      </c>
      <c r="AU87" s="127">
        <v>43479.735471527798</v>
      </c>
      <c r="AV87" s="127">
        <v>43475.588294097201</v>
      </c>
      <c r="AW87" s="127">
        <v>43474.500828935197</v>
      </c>
      <c r="AX87" s="127">
        <v>43475.646653009302</v>
      </c>
      <c r="AY87" s="127">
        <v>43473.725861574101</v>
      </c>
      <c r="AZ87" s="133">
        <v>43476.400671064803</v>
      </c>
      <c r="BA87" s="134">
        <f ca="1">IF(_05preva_view43[[#This Row],[Prevalidation Status]]="Under Prevalidation",NOW()-_05preva_view43[[#This Row],[Request Date]],IF(_05preva_view43[[#This Row],[Close Date]]&gt;_05preva_view43[[#This Row],[Request Date]],_05preva_view43[[#This Row],[Close Date]]-_05preva_view43[[#This Row],[Request Date]],"Not  Calculated"))</f>
        <v>3.4006710648027365</v>
      </c>
      <c r="BB87" s="135">
        <f>COUNTIFS(_05preva_view43[Site ID],_05preva_view43[[#This Row],[Site ID]],_05preva_view43[Prevalidation Status],"Under Prevalidation")</f>
        <v>0</v>
      </c>
      <c r="BC87" s="153" t="str">
        <f ca="1">HYPERLINK(CheckPath(_05preva_view43[[#This Row],[File Path]],_05preva_view43[[#This Row],[File Path]],_05preva_view43[[#This Row],[Folder Path3]]),CheckPath(_05preva_view43[[#This Row],[File Path]],"Open File","No File"))</f>
        <v>No File</v>
      </c>
      <c r="BD87" s="136" t="str">
        <f>CONCATENATE(_05preva_view43[[#This Row],[Site ID]]," (",_05preva_view43[[#This Row],[tenant id]],") Application",IF(_05preva_view43[[#This Row],[Colo Rev]]&gt;0," Rev "&amp;_05preva_view43[[#This Row],[Colo Rev]],""),".xlsx")</f>
        <v>AYYN_0403 (YGNTKTA002) Application Rev 1.xlsx</v>
      </c>
      <c r="BE87" s="64">
        <f t="shared" ca="1" si="3"/>
        <v>50</v>
      </c>
      <c r="BF87" s="104" t="str">
        <f ca="1">LEFT(CELL("filename",A72),_05preva_view43[[#This Row],[Find Process &amp; Database]]-1)</f>
        <v>D:\OneDrive - apollo-towers.com\Apollo Towers\00-</v>
      </c>
      <c r="BG87" s="104" t="str">
        <f ca="1">_05preva_view43[Folder Path1]&amp;"Process &amp; Database\Documentation\Colo Applications"</f>
        <v>D:\OneDrive - apollo-towers.com\Apollo Towers\00-Process &amp; Database\Documentation\Colo Applications</v>
      </c>
      <c r="BH87" s="104" t="str">
        <f ca="1">_05preva_view43[Folder Path2]&amp;"\Colo App "&amp;_05preva_view43[[#This Row],[Operator]]&amp;"\"</f>
        <v>D:\OneDrive - apollo-towers.com\Apollo Towers\00-Process &amp; Database\Documentation\Colo Applications\Colo App Amara\</v>
      </c>
      <c r="BI87" s="63" t="str">
        <f ca="1">_05preva_view43[[#This Row],[Folder Path3]]&amp;_05preva_view43[[#This Row],[File Name]]</f>
        <v>D:\OneDrive - apollo-towers.com\Apollo Towers\00-Process &amp; Database\Documentation\Colo Applications\Colo App Amara\AYYN_0403 (YGNTKTA002) Application Rev 1.xlsx</v>
      </c>
      <c r="BJ87" s="104"/>
      <c r="BK87" s="3"/>
      <c r="BL87" s="3"/>
      <c r="CJ87" s="5"/>
      <c r="CK87" s="5"/>
      <c r="CL87" s="3"/>
      <c r="CN87" s="5"/>
      <c r="CR87" s="3"/>
      <c r="CS87" s="3"/>
      <c r="CT87" s="5"/>
      <c r="CV87" s="3"/>
      <c r="DR87" s="5"/>
      <c r="DT87" s="3"/>
      <c r="EF87" s="7"/>
      <c r="EG87" s="7"/>
      <c r="EJ87" s="4"/>
      <c r="EK87" s="4"/>
      <c r="EU87" s="2"/>
      <c r="EV87" s="2"/>
    </row>
    <row r="88" spans="1:152">
      <c r="A88" s="125">
        <v>3571</v>
      </c>
      <c r="B88" s="126" t="s">
        <v>1853</v>
      </c>
      <c r="C88" s="126" t="s">
        <v>116</v>
      </c>
      <c r="D88" s="126" t="s">
        <v>163</v>
      </c>
      <c r="E88" s="126" t="s">
        <v>1854</v>
      </c>
      <c r="F88" s="126" t="s">
        <v>41</v>
      </c>
      <c r="G88" s="126" t="s">
        <v>1576</v>
      </c>
      <c r="H88" s="126" t="s">
        <v>1575</v>
      </c>
      <c r="I88" s="126" t="s">
        <v>1212</v>
      </c>
      <c r="J88" s="126" t="s">
        <v>931</v>
      </c>
      <c r="K88" s="127">
        <v>43473</v>
      </c>
      <c r="L88" s="128">
        <v>1.1000000000000001</v>
      </c>
      <c r="M88" s="128"/>
      <c r="N88" s="126">
        <v>3</v>
      </c>
      <c r="O88" s="126" t="s">
        <v>119</v>
      </c>
      <c r="P88" s="129" t="s">
        <v>284</v>
      </c>
      <c r="Q88" s="129" t="s">
        <v>285</v>
      </c>
      <c r="R88" s="126" t="s">
        <v>24</v>
      </c>
      <c r="S88" s="126"/>
      <c r="T88" s="130" t="s">
        <v>120</v>
      </c>
      <c r="U88" s="126" t="s">
        <v>1887</v>
      </c>
      <c r="V88" s="130" t="s">
        <v>120</v>
      </c>
      <c r="W88" s="126"/>
      <c r="X88" s="130" t="s">
        <v>120</v>
      </c>
      <c r="Y88" s="126" t="s">
        <v>1855</v>
      </c>
      <c r="Z88" s="162" t="s">
        <v>120</v>
      </c>
      <c r="AA88" s="154"/>
      <c r="AB88" s="154"/>
      <c r="AC88" s="167"/>
      <c r="AD88" s="126" t="s">
        <v>1881</v>
      </c>
      <c r="AE88" s="130" t="s">
        <v>120</v>
      </c>
      <c r="AF88" s="127" t="s">
        <v>1167</v>
      </c>
      <c r="AG88" s="131"/>
      <c r="AH88" s="131"/>
      <c r="AI88" s="126" t="s">
        <v>1417</v>
      </c>
      <c r="AJ88" s="130" t="s">
        <v>120</v>
      </c>
      <c r="AK88" s="126" t="s">
        <v>123</v>
      </c>
      <c r="AL88" s="126" t="s">
        <v>1198</v>
      </c>
      <c r="AM88" s="130"/>
      <c r="AN88" s="126"/>
      <c r="AO88" s="132"/>
      <c r="AP88" s="126"/>
      <c r="AQ88" s="126"/>
      <c r="AR88" s="130" t="s">
        <v>120</v>
      </c>
      <c r="AS88" s="126" t="s">
        <v>1882</v>
      </c>
      <c r="AT88" s="127">
        <v>43474.500830671299</v>
      </c>
      <c r="AU88" s="127">
        <v>43479.735474189802</v>
      </c>
      <c r="AV88" s="127">
        <v>43475.588294675901</v>
      </c>
      <c r="AW88" s="127">
        <v>43474.500830671299</v>
      </c>
      <c r="AX88" s="127">
        <v>43475.646653703698</v>
      </c>
      <c r="AY88" s="127">
        <v>43473.725863194399</v>
      </c>
      <c r="AZ88" s="133">
        <v>43476.400672916701</v>
      </c>
      <c r="BA88" s="134">
        <f ca="1">IF(_05preva_view43[[#This Row],[Prevalidation Status]]="Under Prevalidation",NOW()-_05preva_view43[[#This Row],[Request Date]],IF(_05preva_view43[[#This Row],[Close Date]]&gt;_05preva_view43[[#This Row],[Request Date]],_05preva_view43[[#This Row],[Close Date]]-_05preva_view43[[#This Row],[Request Date]],"Not  Calculated"))</f>
        <v>3.4006729167012963</v>
      </c>
      <c r="BB88" s="135">
        <f>COUNTIFS(_05preva_view43[Site ID],_05preva_view43[[#This Row],[Site ID]],_05preva_view43[Prevalidation Status],"Under Prevalidation")</f>
        <v>0</v>
      </c>
      <c r="BC88" s="153" t="str">
        <f ca="1">HYPERLINK(CheckPath(_05preva_view43[[#This Row],[File Path]],_05preva_view43[[#This Row],[File Path]],_05preva_view43[[#This Row],[Folder Path3]]),CheckPath(_05preva_view43[[#This Row],[File Path]],"Open File","No File"))</f>
        <v>No File</v>
      </c>
      <c r="BD88" s="136" t="str">
        <f>CONCATENATE(_05preva_view43[[#This Row],[Site ID]]," (",_05preva_view43[[#This Row],[tenant id]],") Application",IF(_05preva_view43[[#This Row],[Colo Rev]]&gt;0," Rev "&amp;_05preva_view43[[#This Row],[Colo Rev]],""),".xlsx")</f>
        <v>AYYN_0570 (YGNSPTR022) Application Rev 1.xlsx</v>
      </c>
      <c r="BE88" s="64">
        <f t="shared" ca="1" si="3"/>
        <v>50</v>
      </c>
      <c r="BF88" s="104" t="str">
        <f ca="1">LEFT(CELL("filename",A73),_05preva_view43[[#This Row],[Find Process &amp; Database]]-1)</f>
        <v>D:\OneDrive - apollo-towers.com\Apollo Towers\00-</v>
      </c>
      <c r="BG88" s="104" t="str">
        <f ca="1">_05preva_view43[Folder Path1]&amp;"Process &amp; Database\Documentation\Colo Applications"</f>
        <v>D:\OneDrive - apollo-towers.com\Apollo Towers\00-Process &amp; Database\Documentation\Colo Applications</v>
      </c>
      <c r="BH88" s="104" t="str">
        <f ca="1">_05preva_view43[Folder Path2]&amp;"\Colo App "&amp;_05preva_view43[[#This Row],[Operator]]&amp;"\"</f>
        <v>D:\OneDrive - apollo-towers.com\Apollo Towers\00-Process &amp; Database\Documentation\Colo Applications\Colo App Amara\</v>
      </c>
      <c r="BI88" s="63" t="str">
        <f ca="1">_05preva_view43[[#This Row],[Folder Path3]]&amp;_05preva_view43[[#This Row],[File Name]]</f>
        <v>D:\OneDrive - apollo-towers.com\Apollo Towers\00-Process &amp; Database\Documentation\Colo Applications\Colo App Amara\AYYN_0570 (YGNSPTR022) Application Rev 1.xlsx</v>
      </c>
      <c r="BJ88" s="104"/>
      <c r="BK88" s="3"/>
      <c r="BL88" s="3"/>
      <c r="CJ88" s="5"/>
      <c r="CK88" s="5"/>
      <c r="CL88" s="3"/>
      <c r="CN88" s="5"/>
      <c r="CR88" s="3"/>
      <c r="CS88" s="3"/>
      <c r="CT88" s="5"/>
      <c r="CV88" s="3"/>
      <c r="DR88" s="5"/>
      <c r="DT88" s="3"/>
      <c r="EF88" s="7"/>
      <c r="EG88" s="7"/>
      <c r="EJ88" s="4"/>
      <c r="EK88" s="4"/>
      <c r="EU88" s="2"/>
      <c r="EV88" s="2"/>
    </row>
    <row r="89" spans="1:152">
      <c r="A89" s="125">
        <v>3551</v>
      </c>
      <c r="B89" s="126" t="s">
        <v>1779</v>
      </c>
      <c r="C89" s="126" t="s">
        <v>116</v>
      </c>
      <c r="D89" s="126" t="s">
        <v>163</v>
      </c>
      <c r="E89" s="126" t="s">
        <v>1780</v>
      </c>
      <c r="F89" s="126" t="s">
        <v>40</v>
      </c>
      <c r="G89" s="126" t="s">
        <v>1781</v>
      </c>
      <c r="H89" s="126" t="s">
        <v>1619</v>
      </c>
      <c r="I89" s="126" t="s">
        <v>1143</v>
      </c>
      <c r="J89" s="126" t="s">
        <v>1091</v>
      </c>
      <c r="K89" s="127">
        <v>43472</v>
      </c>
      <c r="L89" s="128">
        <v>3</v>
      </c>
      <c r="M89" s="128">
        <v>4</v>
      </c>
      <c r="N89" s="126">
        <v>6</v>
      </c>
      <c r="O89" s="126" t="s">
        <v>950</v>
      </c>
      <c r="P89" s="129" t="s">
        <v>968</v>
      </c>
      <c r="Q89" s="129" t="s">
        <v>969</v>
      </c>
      <c r="R89" s="126" t="s">
        <v>25</v>
      </c>
      <c r="S89" s="126"/>
      <c r="T89" s="130" t="s">
        <v>120</v>
      </c>
      <c r="U89" s="126"/>
      <c r="V89" s="130" t="s">
        <v>120</v>
      </c>
      <c r="W89" s="126"/>
      <c r="X89" s="130" t="s">
        <v>120</v>
      </c>
      <c r="Y89" s="126" t="s">
        <v>1782</v>
      </c>
      <c r="Z89" s="162" t="s">
        <v>120</v>
      </c>
      <c r="AA89" s="154"/>
      <c r="AB89" s="154"/>
      <c r="AC89" s="167" t="s">
        <v>123</v>
      </c>
      <c r="AD89" s="126" t="s">
        <v>1856</v>
      </c>
      <c r="AE89" s="130" t="s">
        <v>120</v>
      </c>
      <c r="AF89" s="127"/>
      <c r="AG89" s="131"/>
      <c r="AH89" s="131"/>
      <c r="AI89" s="126"/>
      <c r="AJ89" s="130" t="s">
        <v>120</v>
      </c>
      <c r="AK89" s="126" t="s">
        <v>123</v>
      </c>
      <c r="AL89" s="126" t="s">
        <v>1418</v>
      </c>
      <c r="AM89" s="130"/>
      <c r="AN89" s="126"/>
      <c r="AO89" s="132"/>
      <c r="AP89" s="126"/>
      <c r="AQ89" s="126"/>
      <c r="AR89" s="130"/>
      <c r="AS89" s="126"/>
      <c r="AT89" s="127">
        <v>43472.659166898098</v>
      </c>
      <c r="AU89" s="127">
        <v>43479.735454282403</v>
      </c>
      <c r="AV89" s="127">
        <v>43474.476503587997</v>
      </c>
      <c r="AW89" s="127">
        <v>43472.659166898098</v>
      </c>
      <c r="AX89" s="127">
        <v>43472.676697685201</v>
      </c>
      <c r="AY89" s="127">
        <v>43472.438912963</v>
      </c>
      <c r="AZ89" s="133"/>
      <c r="BA89" s="134">
        <f ca="1">IF(_05preva_view43[[#This Row],[Prevalidation Status]]="Under Prevalidation",NOW()-_05preva_view43[[#This Row],[Request Date]],IF(_05preva_view43[[#This Row],[Close Date]]&gt;_05preva_view43[[#This Row],[Request Date]],_05preva_view43[[#This Row],[Close Date]]-_05preva_view43[[#This Row],[Request Date]],"Not  Calculated"))</f>
        <v>15.506734143520589</v>
      </c>
      <c r="BB89" s="135">
        <f>COUNTIFS(_05preva_view43[Site ID],_05preva_view43[[#This Row],[Site ID]],_05preva_view43[Prevalidation Status],"Under Prevalidation")</f>
        <v>1</v>
      </c>
      <c r="BC89" s="153" t="str">
        <f ca="1">HYPERLINK(CheckPath(_05preva_view43[[#This Row],[File Path]],_05preva_view43[[#This Row],[File Path]],_05preva_view43[[#This Row],[Folder Path3]]),CheckPath(_05preva_view43[[#This Row],[File Path]],"Open File","No File"))</f>
        <v>No File</v>
      </c>
      <c r="BD89" s="136" t="str">
        <f>CONCATENATE(_05preva_view43[[#This Row],[Site ID]]," (",_05preva_view43[[#This Row],[tenant id]],") Application",IF(_05preva_view43[[#This Row],[Colo Rev]]&gt;0," Rev "&amp;_05preva_view43[[#This Row],[Colo Rev]],""),".xlsx")</f>
        <v>ASMO_0207 (MOW6137) Application Rev .xlsx</v>
      </c>
      <c r="BE89" s="64">
        <f t="shared" ca="1" si="3"/>
        <v>50</v>
      </c>
      <c r="BF89" s="104" t="str">
        <f ca="1">LEFT(CELL("filename",A74),_05preva_view43[[#This Row],[Find Process &amp; Database]]-1)</f>
        <v>D:\OneDrive - apollo-towers.com\Apollo Towers\00-</v>
      </c>
      <c r="BG89" s="104" t="str">
        <f ca="1">_05preva_view43[Folder Path1]&amp;"Process &amp; Database\Documentation\Colo Applications"</f>
        <v>D:\OneDrive - apollo-towers.com\Apollo Towers\00-Process &amp; Database\Documentation\Colo Applications</v>
      </c>
      <c r="BH89" s="104" t="str">
        <f ca="1">_05preva_view43[Folder Path2]&amp;"\Colo App "&amp;_05preva_view43[[#This Row],[Operator]]&amp;"\"</f>
        <v>D:\OneDrive - apollo-towers.com\Apollo Towers\00-Process &amp; Database\Documentation\Colo Applications\Colo App OML\</v>
      </c>
      <c r="BI89" s="63" t="str">
        <f ca="1">_05preva_view43[[#This Row],[Folder Path3]]&amp;_05preva_view43[[#This Row],[File Name]]</f>
        <v>D:\OneDrive - apollo-towers.com\Apollo Towers\00-Process &amp; Database\Documentation\Colo Applications\Colo App OML\ASMO_0207 (MOW6137) Application Rev .xlsx</v>
      </c>
      <c r="BJ89" s="104"/>
      <c r="BK89" s="3"/>
      <c r="BL89" s="3"/>
      <c r="CJ89" s="5"/>
      <c r="CK89" s="5"/>
      <c r="CL89" s="3"/>
      <c r="CN89" s="5"/>
      <c r="CR89" s="3"/>
      <c r="CS89" s="3"/>
      <c r="CT89" s="5"/>
      <c r="CV89" s="3"/>
      <c r="DR89" s="5"/>
      <c r="DT89" s="3"/>
      <c r="EF89" s="7"/>
      <c r="EG89" s="7"/>
      <c r="EJ89" s="4"/>
      <c r="EK89" s="4"/>
      <c r="EU89" s="2"/>
      <c r="EV89" s="2"/>
    </row>
    <row r="90" spans="1:152">
      <c r="A90" s="125">
        <v>3552</v>
      </c>
      <c r="B90" s="126" t="s">
        <v>1783</v>
      </c>
      <c r="C90" s="126" t="s">
        <v>116</v>
      </c>
      <c r="D90" s="126" t="s">
        <v>163</v>
      </c>
      <c r="E90" s="126" t="s">
        <v>1784</v>
      </c>
      <c r="F90" s="126" t="s">
        <v>40</v>
      </c>
      <c r="G90" s="126" t="s">
        <v>1781</v>
      </c>
      <c r="H90" s="126" t="s">
        <v>1619</v>
      </c>
      <c r="I90" s="126" t="s">
        <v>1143</v>
      </c>
      <c r="J90" s="126" t="s">
        <v>1091</v>
      </c>
      <c r="K90" s="127">
        <v>43472</v>
      </c>
      <c r="L90" s="128">
        <v>3</v>
      </c>
      <c r="M90" s="128">
        <v>4</v>
      </c>
      <c r="N90" s="126">
        <v>6</v>
      </c>
      <c r="O90" s="126" t="s">
        <v>950</v>
      </c>
      <c r="P90" s="129" t="s">
        <v>1785</v>
      </c>
      <c r="Q90" s="129" t="s">
        <v>277</v>
      </c>
      <c r="R90" s="126" t="s">
        <v>25</v>
      </c>
      <c r="S90" s="126"/>
      <c r="T90" s="130" t="s">
        <v>120</v>
      </c>
      <c r="U90" s="126" t="s">
        <v>1786</v>
      </c>
      <c r="V90" s="130" t="s">
        <v>120</v>
      </c>
      <c r="W90" s="126"/>
      <c r="X90" s="130" t="s">
        <v>120</v>
      </c>
      <c r="Y90" s="126" t="s">
        <v>1787</v>
      </c>
      <c r="Z90" s="162" t="s">
        <v>120</v>
      </c>
      <c r="AA90" s="154"/>
      <c r="AB90" s="154"/>
      <c r="AC90" s="167" t="s">
        <v>123</v>
      </c>
      <c r="AD90" s="126" t="s">
        <v>1857</v>
      </c>
      <c r="AE90" s="130" t="s">
        <v>120</v>
      </c>
      <c r="AF90" s="127"/>
      <c r="AG90" s="131"/>
      <c r="AH90" s="131"/>
      <c r="AI90" s="126" t="s">
        <v>2103</v>
      </c>
      <c r="AJ90" s="130" t="s">
        <v>120</v>
      </c>
      <c r="AK90" s="126" t="s">
        <v>123</v>
      </c>
      <c r="AL90" s="126" t="s">
        <v>1418</v>
      </c>
      <c r="AM90" s="130"/>
      <c r="AN90" s="126"/>
      <c r="AO90" s="132"/>
      <c r="AP90" s="126"/>
      <c r="AQ90" s="126"/>
      <c r="AR90" s="130"/>
      <c r="AS90" s="126"/>
      <c r="AT90" s="127">
        <v>43472.659168865699</v>
      </c>
      <c r="AU90" s="127">
        <v>43479.735457060196</v>
      </c>
      <c r="AV90" s="127">
        <v>43474.4765042824</v>
      </c>
      <c r="AW90" s="127">
        <v>43472.659168865699</v>
      </c>
      <c r="AX90" s="127">
        <v>43472.676698379597</v>
      </c>
      <c r="AY90" s="127">
        <v>43472.438917476902</v>
      </c>
      <c r="AZ90" s="133"/>
      <c r="BA90" s="134">
        <f ca="1">IF(_05preva_view43[[#This Row],[Prevalidation Status]]="Under Prevalidation",NOW()-_05preva_view43[[#This Row],[Request Date]],IF(_05preva_view43[[#This Row],[Close Date]]&gt;_05preva_view43[[#This Row],[Request Date]],_05preva_view43[[#This Row],[Close Date]]-_05preva_view43[[#This Row],[Request Date]],"Not  Calculated"))</f>
        <v>15.506734143520589</v>
      </c>
      <c r="BB90" s="135">
        <f>COUNTIFS(_05preva_view43[Site ID],_05preva_view43[[#This Row],[Site ID]],_05preva_view43[Prevalidation Status],"Under Prevalidation")</f>
        <v>1</v>
      </c>
      <c r="BC90" s="153" t="str">
        <f ca="1">HYPERLINK(CheckPath(_05preva_view43[[#This Row],[File Path]],_05preva_view43[[#This Row],[File Path]],_05preva_view43[[#This Row],[Folder Path3]]),CheckPath(_05preva_view43[[#This Row],[File Path]],"Open File","No File"))</f>
        <v>No File</v>
      </c>
      <c r="BD90" s="136" t="str">
        <f>CONCATENATE(_05preva_view43[[#This Row],[Site ID]]," (",_05preva_view43[[#This Row],[tenant id]],") Application",IF(_05preva_view43[[#This Row],[Colo Rev]]&gt;0," Rev "&amp;_05preva_view43[[#This Row],[Colo Rev]],""),".xlsx")</f>
        <v>ASMO_0199 (MOW6153) Application Rev .xlsx</v>
      </c>
      <c r="BE90" s="64">
        <f t="shared" ca="1" si="3"/>
        <v>50</v>
      </c>
      <c r="BF90" s="104" t="str">
        <f ca="1">LEFT(CELL("filename",A75),_05preva_view43[[#This Row],[Find Process &amp; Database]]-1)</f>
        <v>D:\OneDrive - apollo-towers.com\Apollo Towers\00-</v>
      </c>
      <c r="BG90" s="104" t="str">
        <f ca="1">_05preva_view43[Folder Path1]&amp;"Process &amp; Database\Documentation\Colo Applications"</f>
        <v>D:\OneDrive - apollo-towers.com\Apollo Towers\00-Process &amp; Database\Documentation\Colo Applications</v>
      </c>
      <c r="BH90" s="104" t="str">
        <f ca="1">_05preva_view43[Folder Path2]&amp;"\Colo App "&amp;_05preva_view43[[#This Row],[Operator]]&amp;"\"</f>
        <v>D:\OneDrive - apollo-towers.com\Apollo Towers\00-Process &amp; Database\Documentation\Colo Applications\Colo App OML\</v>
      </c>
      <c r="BI90" s="63" t="str">
        <f ca="1">_05preva_view43[[#This Row],[Folder Path3]]&amp;_05preva_view43[[#This Row],[File Name]]</f>
        <v>D:\OneDrive - apollo-towers.com\Apollo Towers\00-Process &amp; Database\Documentation\Colo Applications\Colo App OML\ASMO_0199 (MOW6153) Application Rev .xlsx</v>
      </c>
      <c r="BJ90" s="104"/>
      <c r="BK90" s="3"/>
      <c r="BL90" s="3"/>
      <c r="CJ90" s="5"/>
      <c r="CK90" s="5"/>
      <c r="CL90" s="3"/>
      <c r="CN90" s="5"/>
      <c r="CR90" s="3"/>
      <c r="CS90" s="3"/>
      <c r="CT90" s="5"/>
      <c r="CV90" s="3"/>
      <c r="DR90" s="5"/>
      <c r="DT90" s="3"/>
      <c r="EF90" s="7"/>
      <c r="EG90" s="7"/>
      <c r="EJ90" s="4"/>
      <c r="EK90" s="4"/>
      <c r="EU90" s="2"/>
      <c r="EV90" s="2"/>
    </row>
    <row r="91" spans="1:152">
      <c r="A91" s="125">
        <v>3553</v>
      </c>
      <c r="B91" s="126" t="s">
        <v>1788</v>
      </c>
      <c r="C91" s="126" t="s">
        <v>116</v>
      </c>
      <c r="D91" s="126" t="s">
        <v>163</v>
      </c>
      <c r="E91" s="126" t="s">
        <v>1789</v>
      </c>
      <c r="F91" s="126" t="s">
        <v>34</v>
      </c>
      <c r="G91" s="126" t="s">
        <v>118</v>
      </c>
      <c r="H91" s="126" t="s">
        <v>1619</v>
      </c>
      <c r="I91" s="126" t="s">
        <v>1143</v>
      </c>
      <c r="J91" s="126" t="s">
        <v>931</v>
      </c>
      <c r="K91" s="127">
        <v>43472</v>
      </c>
      <c r="L91" s="128">
        <v>2</v>
      </c>
      <c r="M91" s="128">
        <v>2</v>
      </c>
      <c r="N91" s="126">
        <v>3.5</v>
      </c>
      <c r="O91" s="126" t="s">
        <v>119</v>
      </c>
      <c r="P91" s="129" t="s">
        <v>363</v>
      </c>
      <c r="Q91" s="129" t="s">
        <v>736</v>
      </c>
      <c r="R91" s="126" t="s">
        <v>25</v>
      </c>
      <c r="S91" s="126"/>
      <c r="T91" s="130" t="s">
        <v>120</v>
      </c>
      <c r="U91" s="126" t="s">
        <v>1790</v>
      </c>
      <c r="V91" s="130" t="s">
        <v>120</v>
      </c>
      <c r="W91" s="126"/>
      <c r="X91" s="130" t="s">
        <v>120</v>
      </c>
      <c r="Y91" s="126" t="s">
        <v>1791</v>
      </c>
      <c r="Z91" s="162"/>
      <c r="AA91" s="154"/>
      <c r="AB91" s="154"/>
      <c r="AC91" s="167"/>
      <c r="AD91" s="126" t="s">
        <v>2089</v>
      </c>
      <c r="AE91" s="130" t="s">
        <v>120</v>
      </c>
      <c r="AF91" s="127"/>
      <c r="AG91" s="131"/>
      <c r="AH91" s="131"/>
      <c r="AI91" s="126"/>
      <c r="AJ91" s="130" t="s">
        <v>120</v>
      </c>
      <c r="AK91" s="126" t="s">
        <v>123</v>
      </c>
      <c r="AL91" s="126" t="s">
        <v>1792</v>
      </c>
      <c r="AM91" s="130"/>
      <c r="AN91" s="126"/>
      <c r="AO91" s="132"/>
      <c r="AP91" s="126"/>
      <c r="AQ91" s="126"/>
      <c r="AR91" s="130" t="s">
        <v>120</v>
      </c>
      <c r="AS91" s="126"/>
      <c r="AT91" s="127">
        <v>43472.659170254599</v>
      </c>
      <c r="AU91" s="127">
        <v>43479.735457754599</v>
      </c>
      <c r="AV91" s="127"/>
      <c r="AW91" s="127">
        <v>43472.659170254599</v>
      </c>
      <c r="AX91" s="127">
        <v>43472.676699768497</v>
      </c>
      <c r="AY91" s="127">
        <v>43472.456343634301</v>
      </c>
      <c r="AZ91" s="133"/>
      <c r="BA91" s="134">
        <f ca="1">IF(_05preva_view43[[#This Row],[Prevalidation Status]]="Under Prevalidation",NOW()-_05preva_view43[[#This Row],[Request Date]],IF(_05preva_view43[[#This Row],[Close Date]]&gt;_05preva_view43[[#This Row],[Request Date]],_05preva_view43[[#This Row],[Close Date]]-_05preva_view43[[#This Row],[Request Date]],"Not  Calculated"))</f>
        <v>15.506734143520589</v>
      </c>
      <c r="BB91" s="135">
        <f>COUNTIFS(_05preva_view43[Site ID],_05preva_view43[[#This Row],[Site ID]],_05preva_view43[Prevalidation Status],"Under Prevalidation")</f>
        <v>2</v>
      </c>
      <c r="BC91" s="153" t="str">
        <f ca="1">HYPERLINK(CheckPath(_05preva_view43[[#This Row],[File Path]],_05preva_view43[[#This Row],[File Path]],_05preva_view43[[#This Row],[Folder Path3]]),CheckPath(_05preva_view43[[#This Row],[File Path]],"Open File","No File"))</f>
        <v>No File</v>
      </c>
      <c r="BD91" s="136" t="str">
        <f>CONCATENATE(_05preva_view43[[#This Row],[Site ID]]," (",_05preva_view43[[#This Row],[tenant id]],") Application",IF(_05preva_view43[[#This Row],[Colo Rev]]&gt;0," Rev "&amp;_05preva_view43[[#This Row],[Colo Rev]],""),".xlsx")</f>
        <v>AYYN_0373 (YGN1424) Application Rev 1.xlsx</v>
      </c>
      <c r="BE91" s="64">
        <f t="shared" ca="1" si="3"/>
        <v>50</v>
      </c>
      <c r="BF91" s="104" t="str">
        <f ca="1">LEFT(CELL("filename",A76),_05preva_view43[[#This Row],[Find Process &amp; Database]]-1)</f>
        <v>D:\OneDrive - apollo-towers.com\Apollo Towers\00-</v>
      </c>
      <c r="BG91" s="104" t="str">
        <f ca="1">_05preva_view43[Folder Path1]&amp;"Process &amp; Database\Documentation\Colo Applications"</f>
        <v>D:\OneDrive - apollo-towers.com\Apollo Towers\00-Process &amp; Database\Documentation\Colo Applications</v>
      </c>
      <c r="BH91" s="104" t="str">
        <f ca="1">_05preva_view43[Folder Path2]&amp;"\Colo App "&amp;_05preva_view43[[#This Row],[Operator]]&amp;"\"</f>
        <v>D:\OneDrive - apollo-towers.com\Apollo Towers\00-Process &amp; Database\Documentation\Colo Applications\Colo App Mytel\</v>
      </c>
      <c r="BI91" s="63" t="str">
        <f ca="1">_05preva_view43[[#This Row],[Folder Path3]]&amp;_05preva_view43[[#This Row],[File Name]]</f>
        <v>D:\OneDrive - apollo-towers.com\Apollo Towers\00-Process &amp; Database\Documentation\Colo Applications\Colo App Mytel\AYYN_0373 (YGN1424) Application Rev 1.xlsx</v>
      </c>
      <c r="BJ91" s="104"/>
      <c r="BK91" s="3"/>
      <c r="BL91" s="3"/>
      <c r="CJ91" s="5"/>
      <c r="CK91" s="5"/>
      <c r="CL91" s="3"/>
      <c r="CN91" s="5"/>
      <c r="CR91" s="3"/>
      <c r="CS91" s="3"/>
      <c r="CT91" s="5"/>
      <c r="CV91" s="3"/>
      <c r="DR91" s="5"/>
      <c r="DT91" s="3"/>
      <c r="EF91" s="7"/>
      <c r="EG91" s="7"/>
      <c r="EJ91" s="4"/>
      <c r="EK91" s="4"/>
      <c r="EU91" s="2"/>
      <c r="EV91" s="2"/>
    </row>
    <row r="92" spans="1:152">
      <c r="A92" s="125">
        <v>3554</v>
      </c>
      <c r="B92" s="126" t="s">
        <v>1793</v>
      </c>
      <c r="C92" s="126" t="s">
        <v>331</v>
      </c>
      <c r="D92" s="126" t="s">
        <v>117</v>
      </c>
      <c r="E92" s="126" t="s">
        <v>1794</v>
      </c>
      <c r="F92" s="126" t="s">
        <v>35</v>
      </c>
      <c r="G92" s="126" t="s">
        <v>1583</v>
      </c>
      <c r="H92" s="126" t="s">
        <v>1575</v>
      </c>
      <c r="I92" s="126" t="s">
        <v>1053</v>
      </c>
      <c r="J92" s="126" t="s">
        <v>990</v>
      </c>
      <c r="K92" s="127">
        <v>43472</v>
      </c>
      <c r="L92" s="128">
        <v>3.44</v>
      </c>
      <c r="M92" s="128">
        <v>4.3</v>
      </c>
      <c r="N92" s="126">
        <v>5.12</v>
      </c>
      <c r="O92" s="126" t="s">
        <v>950</v>
      </c>
      <c r="P92" s="129" t="s">
        <v>1029</v>
      </c>
      <c r="Q92" s="129" t="s">
        <v>1795</v>
      </c>
      <c r="R92" s="126" t="s">
        <v>24</v>
      </c>
      <c r="S92" s="126"/>
      <c r="T92" s="130" t="s">
        <v>120</v>
      </c>
      <c r="U92" s="126"/>
      <c r="V92" s="130" t="s">
        <v>120</v>
      </c>
      <c r="W92" s="126"/>
      <c r="X92" s="130" t="s">
        <v>120</v>
      </c>
      <c r="Y92" s="126" t="s">
        <v>1796</v>
      </c>
      <c r="Z92" s="162" t="s">
        <v>120</v>
      </c>
      <c r="AA92" s="154"/>
      <c r="AB92" s="154"/>
      <c r="AC92" s="167" t="s">
        <v>123</v>
      </c>
      <c r="AD92" s="126" t="s">
        <v>1888</v>
      </c>
      <c r="AE92" s="130" t="s">
        <v>120</v>
      </c>
      <c r="AF92" s="127" t="s">
        <v>2099</v>
      </c>
      <c r="AG92" s="131"/>
      <c r="AH92" s="131"/>
      <c r="AI92" s="126" t="s">
        <v>2104</v>
      </c>
      <c r="AJ92" s="130" t="s">
        <v>120</v>
      </c>
      <c r="AK92" s="126" t="s">
        <v>123</v>
      </c>
      <c r="AL92" s="126" t="s">
        <v>1198</v>
      </c>
      <c r="AM92" s="130"/>
      <c r="AN92" s="126"/>
      <c r="AO92" s="132"/>
      <c r="AP92" s="126"/>
      <c r="AQ92" s="126"/>
      <c r="AR92" s="130"/>
      <c r="AS92" s="126"/>
      <c r="AT92" s="127">
        <v>43472.659171180603</v>
      </c>
      <c r="AU92" s="127">
        <v>43481.501132870399</v>
      </c>
      <c r="AV92" s="127">
        <v>43475.466540277797</v>
      </c>
      <c r="AW92" s="127">
        <v>43479.694292592598</v>
      </c>
      <c r="AX92" s="127">
        <v>43472.656828240702</v>
      </c>
      <c r="AY92" s="127">
        <v>43475.973932523098</v>
      </c>
      <c r="AZ92" s="133">
        <v>43481.630470601798</v>
      </c>
      <c r="BA92" s="134">
        <f ca="1">IF(_05preva_view43[[#This Row],[Prevalidation Status]]="Under Prevalidation",NOW()-_05preva_view43[[#This Row],[Request Date]],IF(_05preva_view43[[#This Row],[Close Date]]&gt;_05preva_view43[[#This Row],[Request Date]],_05preva_view43[[#This Row],[Close Date]]-_05preva_view43[[#This Row],[Request Date]],"Not  Calculated"))</f>
        <v>9.6304706017981516</v>
      </c>
      <c r="BB92" s="135">
        <f>COUNTIFS(_05preva_view43[Site ID],_05preva_view43[[#This Row],[Site ID]],_05preva_view43[Prevalidation Status],"Under Prevalidation")</f>
        <v>0</v>
      </c>
      <c r="BC92" s="153" t="str">
        <f ca="1">HYPERLINK(CheckPath(_05preva_view43[[#This Row],[File Path]],_05preva_view43[[#This Row],[File Path]],_05preva_view43[[#This Row],[Folder Path3]]),CheckPath(_05preva_view43[[#This Row],[File Path]],"Open File","No File"))</f>
        <v>No File</v>
      </c>
      <c r="BD92" s="136" t="str">
        <f>CONCATENATE(_05preva_view43[[#This Row],[Site ID]]," (",_05preva_view43[[#This Row],[tenant id]],") Application",IF(_05preva_view43[[#This Row],[Colo Rev]]&gt;0," Rev "&amp;_05preva_view43[[#This Row],[Colo Rev]],""),".xlsx")</f>
        <v>1-01-14013-003 (SHS00383) Application Rev 3.xlsx</v>
      </c>
      <c r="BE92" s="64">
        <f t="shared" ca="1" si="3"/>
        <v>50</v>
      </c>
      <c r="BF92" s="104" t="str">
        <f ca="1">LEFT(CELL("filename",A77),_05preva_view43[[#This Row],[Find Process &amp; Database]]-1)</f>
        <v>D:\OneDrive - apollo-towers.com\Apollo Towers\00-</v>
      </c>
      <c r="BG92" s="104" t="str">
        <f ca="1">_05preva_view43[Folder Path1]&amp;"Process &amp; Database\Documentation\Colo Applications"</f>
        <v>D:\OneDrive - apollo-towers.com\Apollo Towers\00-Process &amp; Database\Documentation\Colo Applications</v>
      </c>
      <c r="BH92" s="104" t="str">
        <f ca="1">_05preva_view43[Folder Path2]&amp;"\Colo App "&amp;_05preva_view43[[#This Row],[Operator]]&amp;"\"</f>
        <v>D:\OneDrive - apollo-towers.com\Apollo Towers\00-Process &amp; Database\Documentation\Colo Applications\Colo App MPT\</v>
      </c>
      <c r="BI92" s="63" t="str">
        <f ca="1">_05preva_view43[[#This Row],[Folder Path3]]&amp;_05preva_view43[[#This Row],[File Name]]</f>
        <v>D:\OneDrive - apollo-towers.com\Apollo Towers\00-Process &amp; Database\Documentation\Colo Applications\Colo App MPT\1-01-14013-003 (SHS00383) Application Rev 3.xlsx</v>
      </c>
      <c r="BJ92" s="104"/>
      <c r="BK92" s="3"/>
      <c r="BL92" s="3"/>
      <c r="CJ92" s="5"/>
      <c r="CK92" s="5"/>
      <c r="CL92" s="3"/>
      <c r="CN92" s="5"/>
      <c r="CR92" s="3"/>
      <c r="CS92" s="3"/>
      <c r="CT92" s="5"/>
      <c r="CV92" s="3"/>
      <c r="DR92" s="5"/>
      <c r="DT92" s="3"/>
      <c r="EF92" s="7"/>
      <c r="EG92" s="7"/>
      <c r="EJ92" s="4"/>
      <c r="EK92" s="4"/>
      <c r="EU92" s="2"/>
      <c r="EV92" s="2"/>
    </row>
    <row r="93" spans="1:152">
      <c r="A93" s="125">
        <v>3555</v>
      </c>
      <c r="B93" s="126" t="s">
        <v>1797</v>
      </c>
      <c r="C93" s="126" t="s">
        <v>331</v>
      </c>
      <c r="D93" s="126" t="s">
        <v>163</v>
      </c>
      <c r="E93" s="126" t="s">
        <v>1798</v>
      </c>
      <c r="F93" s="126" t="s">
        <v>38</v>
      </c>
      <c r="G93" s="126" t="s">
        <v>1586</v>
      </c>
      <c r="H93" s="126" t="s">
        <v>1619</v>
      </c>
      <c r="I93" s="126" t="s">
        <v>1143</v>
      </c>
      <c r="J93" s="126" t="s">
        <v>940</v>
      </c>
      <c r="K93" s="127">
        <v>43472</v>
      </c>
      <c r="L93" s="128"/>
      <c r="M93" s="128"/>
      <c r="N93" s="126">
        <v>2.81</v>
      </c>
      <c r="O93" s="126" t="s">
        <v>950</v>
      </c>
      <c r="P93" s="129" t="s">
        <v>1028</v>
      </c>
      <c r="Q93" s="129" t="s">
        <v>1029</v>
      </c>
      <c r="R93" s="126" t="s">
        <v>24</v>
      </c>
      <c r="S93" s="126"/>
      <c r="T93" s="130" t="s">
        <v>861</v>
      </c>
      <c r="U93" s="126"/>
      <c r="V93" s="130" t="s">
        <v>861</v>
      </c>
      <c r="W93" s="126"/>
      <c r="X93" s="130" t="s">
        <v>120</v>
      </c>
      <c r="Y93" s="126" t="s">
        <v>1799</v>
      </c>
      <c r="Z93" s="162" t="s">
        <v>120</v>
      </c>
      <c r="AA93" s="154"/>
      <c r="AB93" s="154"/>
      <c r="AC93" s="167" t="s">
        <v>123</v>
      </c>
      <c r="AD93" s="126" t="s">
        <v>1889</v>
      </c>
      <c r="AE93" s="130" t="s">
        <v>861</v>
      </c>
      <c r="AF93" s="127"/>
      <c r="AG93" s="131"/>
      <c r="AH93" s="131"/>
      <c r="AI93" s="126"/>
      <c r="AJ93" s="130" t="s">
        <v>120</v>
      </c>
      <c r="AK93" s="126" t="s">
        <v>240</v>
      </c>
      <c r="AL93" s="126" t="s">
        <v>1800</v>
      </c>
      <c r="AM93" s="130"/>
      <c r="AN93" s="126"/>
      <c r="AO93" s="132"/>
      <c r="AP93" s="126"/>
      <c r="AQ93" s="126"/>
      <c r="AR93" s="130" t="s">
        <v>120</v>
      </c>
      <c r="AS93" s="126" t="s">
        <v>1890</v>
      </c>
      <c r="AT93" s="127">
        <v>43472.659172337997</v>
      </c>
      <c r="AU93" s="127"/>
      <c r="AV93" s="127">
        <v>43475.715647685203</v>
      </c>
      <c r="AW93" s="127">
        <v>43472.659172337997</v>
      </c>
      <c r="AX93" s="127"/>
      <c r="AY93" s="127"/>
      <c r="AZ93" s="133">
        <v>43475.729218055603</v>
      </c>
      <c r="BA93" s="134">
        <f ca="1">IF(_05preva_view43[[#This Row],[Prevalidation Status]]="Under Prevalidation",NOW()-_05preva_view43[[#This Row],[Request Date]],IF(_05preva_view43[[#This Row],[Close Date]]&gt;_05preva_view43[[#This Row],[Request Date]],_05preva_view43[[#This Row],[Close Date]]-_05preva_view43[[#This Row],[Request Date]],"Not  Calculated"))</f>
        <v>3.729218055603269</v>
      </c>
      <c r="BB93" s="135">
        <f>COUNTIFS(_05preva_view43[Site ID],_05preva_view43[[#This Row],[Site ID]],_05preva_view43[Prevalidation Status],"Under Prevalidation")</f>
        <v>0</v>
      </c>
      <c r="BC93" s="153" t="str">
        <f ca="1">HYPERLINK(CheckPath(_05preva_view43[[#This Row],[File Path]],_05preva_view43[[#This Row],[File Path]],_05preva_view43[[#This Row],[Folder Path3]]),CheckPath(_05preva_view43[[#This Row],[File Path]],"Open File","No File"))</f>
        <v>No File</v>
      </c>
      <c r="BD93" s="136" t="str">
        <f>CONCATENATE(_05preva_view43[[#This Row],[Site ID]]," (",_05preva_view43[[#This Row],[tenant id]],") Application",IF(_05preva_view43[[#This Row],[Colo Rev]]&gt;0," Rev "&amp;_05preva_view43[[#This Row],[Colo Rev]],""),".xlsx")</f>
        <v>1-01-03007-002 (KA3411) Application Rev 0.xlsx</v>
      </c>
      <c r="BE93" s="64">
        <f t="shared" ca="1" si="3"/>
        <v>50</v>
      </c>
      <c r="BF93" s="104" t="str">
        <f ca="1">LEFT(CELL("filename",A78),_05preva_view43[[#This Row],[Find Process &amp; Database]]-1)</f>
        <v>D:\OneDrive - apollo-towers.com\Apollo Towers\00-</v>
      </c>
      <c r="BG93" s="104" t="str">
        <f ca="1">_05preva_view43[Folder Path1]&amp;"Process &amp; Database\Documentation\Colo Applications"</f>
        <v>D:\OneDrive - apollo-towers.com\Apollo Towers\00-Process &amp; Database\Documentation\Colo Applications</v>
      </c>
      <c r="BH93" s="104" t="str">
        <f ca="1">_05preva_view43[Folder Path2]&amp;"\Colo App "&amp;_05preva_view43[[#This Row],[Operator]]&amp;"\"</f>
        <v>D:\OneDrive - apollo-towers.com\Apollo Towers\00-Process &amp; Database\Documentation\Colo Applications\Colo App Telenor\</v>
      </c>
      <c r="BI93" s="63" t="str">
        <f ca="1">_05preva_view43[[#This Row],[Folder Path3]]&amp;_05preva_view43[[#This Row],[File Name]]</f>
        <v>D:\OneDrive - apollo-towers.com\Apollo Towers\00-Process &amp; Database\Documentation\Colo Applications\Colo App Telenor\1-01-03007-002 (KA3411) Application Rev 0.xlsx</v>
      </c>
      <c r="BJ93" s="104"/>
      <c r="BK93" s="3"/>
      <c r="BL93" s="3"/>
      <c r="CJ93" s="5"/>
      <c r="CK93" s="5"/>
      <c r="CL93" s="3"/>
      <c r="CN93" s="5"/>
      <c r="CR93" s="3"/>
      <c r="CS93" s="3"/>
      <c r="CT93" s="5"/>
      <c r="CV93" s="3"/>
      <c r="DR93" s="5"/>
      <c r="DT93" s="3"/>
      <c r="EF93" s="7"/>
      <c r="EG93" s="7"/>
      <c r="EJ93" s="4"/>
      <c r="EK93" s="4"/>
      <c r="EU93" s="2"/>
      <c r="EV93" s="2"/>
    </row>
    <row r="94" spans="1:152">
      <c r="A94" s="125">
        <v>3556</v>
      </c>
      <c r="B94" s="126" t="s">
        <v>1801</v>
      </c>
      <c r="C94" s="126" t="s">
        <v>331</v>
      </c>
      <c r="D94" s="126" t="s">
        <v>127</v>
      </c>
      <c r="E94" s="126" t="s">
        <v>1802</v>
      </c>
      <c r="F94" s="126" t="s">
        <v>38</v>
      </c>
      <c r="G94" s="126" t="s">
        <v>1586</v>
      </c>
      <c r="H94" s="126" t="s">
        <v>1619</v>
      </c>
      <c r="I94" s="126" t="s">
        <v>1143</v>
      </c>
      <c r="J94" s="126" t="s">
        <v>940</v>
      </c>
      <c r="K94" s="127">
        <v>43472</v>
      </c>
      <c r="L94" s="128"/>
      <c r="M94" s="128"/>
      <c r="N94" s="126">
        <v>4.13</v>
      </c>
      <c r="O94" s="126" t="s">
        <v>950</v>
      </c>
      <c r="P94" s="129" t="s">
        <v>1028</v>
      </c>
      <c r="Q94" s="129" t="s">
        <v>1029</v>
      </c>
      <c r="R94" s="126" t="s">
        <v>24</v>
      </c>
      <c r="S94" s="126"/>
      <c r="T94" s="130" t="s">
        <v>861</v>
      </c>
      <c r="U94" s="126"/>
      <c r="V94" s="130" t="s">
        <v>120</v>
      </c>
      <c r="W94" s="126"/>
      <c r="X94" s="130" t="s">
        <v>120</v>
      </c>
      <c r="Y94" s="126" t="s">
        <v>1803</v>
      </c>
      <c r="Z94" s="162"/>
      <c r="AA94" s="154"/>
      <c r="AB94" s="154"/>
      <c r="AC94" s="167" t="s">
        <v>123</v>
      </c>
      <c r="AD94" s="126" t="s">
        <v>1905</v>
      </c>
      <c r="AE94" s="130" t="s">
        <v>861</v>
      </c>
      <c r="AF94" s="127"/>
      <c r="AG94" s="131"/>
      <c r="AH94" s="131"/>
      <c r="AI94" s="126"/>
      <c r="AJ94" s="130" t="s">
        <v>120</v>
      </c>
      <c r="AK94" s="126" t="s">
        <v>240</v>
      </c>
      <c r="AL94" s="126" t="s">
        <v>1800</v>
      </c>
      <c r="AM94" s="130"/>
      <c r="AN94" s="126"/>
      <c r="AO94" s="132"/>
      <c r="AP94" s="126"/>
      <c r="AQ94" s="126"/>
      <c r="AR94" s="130"/>
      <c r="AS94" s="126"/>
      <c r="AT94" s="127">
        <v>43472.659172916698</v>
      </c>
      <c r="AU94" s="127"/>
      <c r="AV94" s="127">
        <v>43476.442651041703</v>
      </c>
      <c r="AW94" s="127">
        <v>43472.659172916698</v>
      </c>
      <c r="AX94" s="127"/>
      <c r="AY94" s="127">
        <v>43475.973933449102</v>
      </c>
      <c r="AZ94" s="133">
        <v>43476.4463650463</v>
      </c>
      <c r="BA94" s="134">
        <f ca="1">IF(_05preva_view43[[#This Row],[Prevalidation Status]]="Under Prevalidation",NOW()-_05preva_view43[[#This Row],[Request Date]],IF(_05preva_view43[[#This Row],[Close Date]]&gt;_05preva_view43[[#This Row],[Request Date]],_05preva_view43[[#This Row],[Close Date]]-_05preva_view43[[#This Row],[Request Date]],"Not  Calculated"))</f>
        <v>4.4463650463003432</v>
      </c>
      <c r="BB94" s="135">
        <f>COUNTIFS(_05preva_view43[Site ID],_05preva_view43[[#This Row],[Site ID]],_05preva_view43[Prevalidation Status],"Under Prevalidation")</f>
        <v>0</v>
      </c>
      <c r="BC94" s="153" t="str">
        <f ca="1">HYPERLINK(CheckPath(_05preva_view43[[#This Row],[File Path]],_05preva_view43[[#This Row],[File Path]],_05preva_view43[[#This Row],[Folder Path3]]),CheckPath(_05preva_view43[[#This Row],[File Path]],"Open File","No File"))</f>
        <v>No File</v>
      </c>
      <c r="BD94" s="136" t="str">
        <f>CONCATENATE(_05preva_view43[[#This Row],[Site ID]]," (",_05preva_view43[[#This Row],[tenant id]],") Application",IF(_05preva_view43[[#This Row],[Colo Rev]]&gt;0," Rev "&amp;_05preva_view43[[#This Row],[Colo Rev]],""),".xlsx")</f>
        <v>1-03-01014-017 (KC0459) Application Rev 0.xlsx</v>
      </c>
      <c r="BE94" s="64">
        <f t="shared" ca="1" si="3"/>
        <v>50</v>
      </c>
      <c r="BF94" s="104" t="str">
        <f ca="1">LEFT(CELL("filename",A79),_05preva_view43[[#This Row],[Find Process &amp; Database]]-1)</f>
        <v>D:\OneDrive - apollo-towers.com\Apollo Towers\00-</v>
      </c>
      <c r="BG94" s="104" t="str">
        <f ca="1">_05preva_view43[Folder Path1]&amp;"Process &amp; Database\Documentation\Colo Applications"</f>
        <v>D:\OneDrive - apollo-towers.com\Apollo Towers\00-Process &amp; Database\Documentation\Colo Applications</v>
      </c>
      <c r="BH94" s="104" t="str">
        <f ca="1">_05preva_view43[Folder Path2]&amp;"\Colo App "&amp;_05preva_view43[[#This Row],[Operator]]&amp;"\"</f>
        <v>D:\OneDrive - apollo-towers.com\Apollo Towers\00-Process &amp; Database\Documentation\Colo Applications\Colo App Telenor\</v>
      </c>
      <c r="BI94" s="63" t="str">
        <f ca="1">_05preva_view43[[#This Row],[Folder Path3]]&amp;_05preva_view43[[#This Row],[File Name]]</f>
        <v>D:\OneDrive - apollo-towers.com\Apollo Towers\00-Process &amp; Database\Documentation\Colo Applications\Colo App Telenor\1-03-01014-017 (KC0459) Application Rev 0.xlsx</v>
      </c>
      <c r="BJ94" s="104"/>
      <c r="BK94" s="3"/>
      <c r="BL94" s="3"/>
      <c r="CJ94" s="5"/>
      <c r="CK94" s="5"/>
      <c r="CL94" s="3"/>
      <c r="CN94" s="5"/>
      <c r="CR94" s="3"/>
      <c r="CS94" s="3"/>
      <c r="CT94" s="5"/>
      <c r="CV94" s="3"/>
      <c r="DR94" s="5"/>
      <c r="DT94" s="3"/>
      <c r="EF94" s="7"/>
      <c r="EG94" s="7"/>
      <c r="EJ94" s="4"/>
      <c r="EK94" s="4"/>
      <c r="EU94" s="2"/>
      <c r="EV94" s="2"/>
    </row>
    <row r="95" spans="1:152">
      <c r="A95" s="125">
        <v>3557</v>
      </c>
      <c r="B95" s="126" t="s">
        <v>1279</v>
      </c>
      <c r="C95" s="126" t="s">
        <v>331</v>
      </c>
      <c r="D95" s="126" t="s">
        <v>127</v>
      </c>
      <c r="E95" s="126" t="s">
        <v>1804</v>
      </c>
      <c r="F95" s="126" t="s">
        <v>38</v>
      </c>
      <c r="G95" s="126" t="s">
        <v>1586</v>
      </c>
      <c r="H95" s="126" t="s">
        <v>1619</v>
      </c>
      <c r="I95" s="126" t="s">
        <v>1143</v>
      </c>
      <c r="J95" s="126" t="s">
        <v>940</v>
      </c>
      <c r="K95" s="127">
        <v>43472</v>
      </c>
      <c r="L95" s="128"/>
      <c r="M95" s="128"/>
      <c r="N95" s="126">
        <v>4.2699999999999996</v>
      </c>
      <c r="O95" s="126" t="s">
        <v>950</v>
      </c>
      <c r="P95" s="129" t="s">
        <v>1028</v>
      </c>
      <c r="Q95" s="129" t="s">
        <v>1029</v>
      </c>
      <c r="R95" s="126" t="s">
        <v>24</v>
      </c>
      <c r="S95" s="126"/>
      <c r="T95" s="130" t="s">
        <v>861</v>
      </c>
      <c r="U95" s="126"/>
      <c r="V95" s="130" t="s">
        <v>861</v>
      </c>
      <c r="W95" s="126"/>
      <c r="X95" s="130" t="s">
        <v>120</v>
      </c>
      <c r="Y95" s="126" t="s">
        <v>1805</v>
      </c>
      <c r="Z95" s="162" t="s">
        <v>120</v>
      </c>
      <c r="AA95" s="154"/>
      <c r="AB95" s="154"/>
      <c r="AC95" s="167" t="s">
        <v>123</v>
      </c>
      <c r="AD95" s="126" t="s">
        <v>1891</v>
      </c>
      <c r="AE95" s="130" t="s">
        <v>861</v>
      </c>
      <c r="AF95" s="127"/>
      <c r="AG95" s="131"/>
      <c r="AH95" s="131"/>
      <c r="AI95" s="126"/>
      <c r="AJ95" s="130" t="s">
        <v>120</v>
      </c>
      <c r="AK95" s="126" t="s">
        <v>240</v>
      </c>
      <c r="AL95" s="126" t="s">
        <v>1800</v>
      </c>
      <c r="AM95" s="130"/>
      <c r="AN95" s="126"/>
      <c r="AO95" s="132"/>
      <c r="AP95" s="126"/>
      <c r="AQ95" s="126"/>
      <c r="AR95" s="130" t="s">
        <v>120</v>
      </c>
      <c r="AS95" s="126" t="s">
        <v>1890</v>
      </c>
      <c r="AT95" s="127">
        <v>43472.659173958302</v>
      </c>
      <c r="AU95" s="127"/>
      <c r="AV95" s="127">
        <v>43475.6627010417</v>
      </c>
      <c r="AW95" s="127">
        <v>43472.659173958302</v>
      </c>
      <c r="AX95" s="127"/>
      <c r="AY95" s="127"/>
      <c r="AZ95" s="133">
        <v>43475.729218634297</v>
      </c>
      <c r="BA95" s="134">
        <f ca="1">IF(_05preva_view43[[#This Row],[Prevalidation Status]]="Under Prevalidation",NOW()-_05preva_view43[[#This Row],[Request Date]],IF(_05preva_view43[[#This Row],[Close Date]]&gt;_05preva_view43[[#This Row],[Request Date]],_05preva_view43[[#This Row],[Close Date]]-_05preva_view43[[#This Row],[Request Date]],"Not  Calculated"))</f>
        <v>3.7292186342965579</v>
      </c>
      <c r="BB95" s="135">
        <f>COUNTIFS(_05preva_view43[Site ID],_05preva_view43[[#This Row],[Site ID]],_05preva_view43[Prevalidation Status],"Under Prevalidation")</f>
        <v>0</v>
      </c>
      <c r="BC95" s="153" t="str">
        <f ca="1">HYPERLINK(CheckPath(_05preva_view43[[#This Row],[File Path]],_05preva_view43[[#This Row],[File Path]],_05preva_view43[[#This Row],[Folder Path3]]),CheckPath(_05preva_view43[[#This Row],[File Path]],"Open File","No File"))</f>
        <v>No File</v>
      </c>
      <c r="BD95" s="136" t="str">
        <f>CONCATENATE(_05preva_view43[[#This Row],[Site ID]]," (",_05preva_view43[[#This Row],[tenant id]],") Application",IF(_05preva_view43[[#This Row],[Colo Rev]]&gt;0," Rev "&amp;_05preva_view43[[#This Row],[Colo Rev]],""),".xlsx")</f>
        <v>1-01-14007-014 (SH4020) Application Rev 0.xlsx</v>
      </c>
      <c r="BE95" s="64">
        <f t="shared" ca="1" si="3"/>
        <v>50</v>
      </c>
      <c r="BF95" s="104" t="str">
        <f ca="1">LEFT(CELL("filename",A80),_05preva_view43[[#This Row],[Find Process &amp; Database]]-1)</f>
        <v>D:\OneDrive - apollo-towers.com\Apollo Towers\00-</v>
      </c>
      <c r="BG95" s="104" t="str">
        <f ca="1">_05preva_view43[Folder Path1]&amp;"Process &amp; Database\Documentation\Colo Applications"</f>
        <v>D:\OneDrive - apollo-towers.com\Apollo Towers\00-Process &amp; Database\Documentation\Colo Applications</v>
      </c>
      <c r="BH95" s="104" t="str">
        <f ca="1">_05preva_view43[Folder Path2]&amp;"\Colo App "&amp;_05preva_view43[[#This Row],[Operator]]&amp;"\"</f>
        <v>D:\OneDrive - apollo-towers.com\Apollo Towers\00-Process &amp; Database\Documentation\Colo Applications\Colo App Telenor\</v>
      </c>
      <c r="BI95" s="63" t="str">
        <f ca="1">_05preva_view43[[#This Row],[Folder Path3]]&amp;_05preva_view43[[#This Row],[File Name]]</f>
        <v>D:\OneDrive - apollo-towers.com\Apollo Towers\00-Process &amp; Database\Documentation\Colo Applications\Colo App Telenor\1-01-14007-014 (SH4020) Application Rev 0.xlsx</v>
      </c>
      <c r="BJ95" s="104"/>
      <c r="BK95" s="3"/>
      <c r="BL95" s="3"/>
      <c r="CJ95" s="5"/>
      <c r="CK95" s="5"/>
      <c r="CL95" s="3"/>
      <c r="CN95" s="5"/>
      <c r="CR95" s="3"/>
      <c r="CS95" s="3"/>
      <c r="CT95" s="5"/>
      <c r="CV95" s="3"/>
      <c r="DR95" s="5"/>
      <c r="DT95" s="3"/>
      <c r="EF95" s="7"/>
      <c r="EG95" s="7"/>
      <c r="EJ95" s="4"/>
      <c r="EK95" s="4"/>
      <c r="EU95" s="2"/>
      <c r="EV95" s="2"/>
    </row>
    <row r="96" spans="1:152">
      <c r="A96" s="125">
        <v>3558</v>
      </c>
      <c r="B96" s="126" t="s">
        <v>1806</v>
      </c>
      <c r="C96" s="126" t="s">
        <v>331</v>
      </c>
      <c r="D96" s="126" t="s">
        <v>127</v>
      </c>
      <c r="E96" s="126" t="s">
        <v>1807</v>
      </c>
      <c r="F96" s="126" t="s">
        <v>38</v>
      </c>
      <c r="G96" s="126" t="s">
        <v>1586</v>
      </c>
      <c r="H96" s="126" t="s">
        <v>1619</v>
      </c>
      <c r="I96" s="126" t="s">
        <v>1143</v>
      </c>
      <c r="J96" s="126" t="s">
        <v>940</v>
      </c>
      <c r="K96" s="127">
        <v>43472</v>
      </c>
      <c r="L96" s="128"/>
      <c r="M96" s="128"/>
      <c r="N96" s="126">
        <v>3.78</v>
      </c>
      <c r="O96" s="126" t="s">
        <v>950</v>
      </c>
      <c r="P96" s="129" t="s">
        <v>1785</v>
      </c>
      <c r="Q96" s="129" t="s">
        <v>1018</v>
      </c>
      <c r="R96" s="126" t="s">
        <v>24</v>
      </c>
      <c r="S96" s="126"/>
      <c r="T96" s="130" t="s">
        <v>861</v>
      </c>
      <c r="U96" s="126"/>
      <c r="V96" s="130" t="s">
        <v>861</v>
      </c>
      <c r="W96" s="126"/>
      <c r="X96" s="130" t="s">
        <v>120</v>
      </c>
      <c r="Y96" s="126" t="s">
        <v>1808</v>
      </c>
      <c r="Z96" s="162" t="s">
        <v>120</v>
      </c>
      <c r="AA96" s="154"/>
      <c r="AB96" s="154"/>
      <c r="AC96" s="167" t="s">
        <v>123</v>
      </c>
      <c r="AD96" s="126" t="s">
        <v>1892</v>
      </c>
      <c r="AE96" s="130" t="s">
        <v>861</v>
      </c>
      <c r="AF96" s="127"/>
      <c r="AG96" s="131"/>
      <c r="AH96" s="131"/>
      <c r="AI96" s="126"/>
      <c r="AJ96" s="130" t="s">
        <v>120</v>
      </c>
      <c r="AK96" s="126" t="s">
        <v>240</v>
      </c>
      <c r="AL96" s="126" t="s">
        <v>1800</v>
      </c>
      <c r="AM96" s="130"/>
      <c r="AN96" s="126"/>
      <c r="AO96" s="132"/>
      <c r="AP96" s="126"/>
      <c r="AQ96" s="126"/>
      <c r="AR96" s="130" t="s">
        <v>120</v>
      </c>
      <c r="AS96" s="126" t="s">
        <v>1890</v>
      </c>
      <c r="AT96" s="127">
        <v>43472.659174884298</v>
      </c>
      <c r="AU96" s="127"/>
      <c r="AV96" s="127">
        <v>43475.662701504603</v>
      </c>
      <c r="AW96" s="127">
        <v>43472.659174884298</v>
      </c>
      <c r="AX96" s="127"/>
      <c r="AY96" s="127"/>
      <c r="AZ96" s="133">
        <v>43475.729218981498</v>
      </c>
      <c r="BA96" s="134">
        <f ca="1">IF(_05preva_view43[[#This Row],[Prevalidation Status]]="Under Prevalidation",NOW()-_05preva_view43[[#This Row],[Request Date]],IF(_05preva_view43[[#This Row],[Close Date]]&gt;_05preva_view43[[#This Row],[Request Date]],_05preva_view43[[#This Row],[Close Date]]-_05preva_view43[[#This Row],[Request Date]],"Not  Calculated"))</f>
        <v>3.7292189814979793</v>
      </c>
      <c r="BB96" s="135">
        <f>COUNTIFS(_05preva_view43[Site ID],_05preva_view43[[#This Row],[Site ID]],_05preva_view43[Prevalidation Status],"Under Prevalidation")</f>
        <v>0</v>
      </c>
      <c r="BC96" s="153" t="str">
        <f ca="1">HYPERLINK(CheckPath(_05preva_view43[[#This Row],[File Path]],_05preva_view43[[#This Row],[File Path]],_05preva_view43[[#This Row],[Folder Path3]]),CheckPath(_05preva_view43[[#This Row],[File Path]],"Open File","No File"))</f>
        <v>No File</v>
      </c>
      <c r="BD96" s="136" t="str">
        <f>CONCATENATE(_05preva_view43[[#This Row],[Site ID]]," (",_05preva_view43[[#This Row],[tenant id]],") Application",IF(_05preva_view43[[#This Row],[Colo Rev]]&gt;0," Rev "&amp;_05preva_view43[[#This Row],[Colo Rev]],""),".xlsx")</f>
        <v>1-01-01015-020 (KC0091) Application Rev 0.xlsx</v>
      </c>
      <c r="BE96" s="64">
        <f t="shared" ca="1" si="3"/>
        <v>50</v>
      </c>
      <c r="BF96" s="104" t="str">
        <f ca="1">LEFT(CELL("filename",A81),_05preva_view43[[#This Row],[Find Process &amp; Database]]-1)</f>
        <v>D:\OneDrive - apollo-towers.com\Apollo Towers\00-</v>
      </c>
      <c r="BG96" s="104" t="str">
        <f ca="1">_05preva_view43[Folder Path1]&amp;"Process &amp; Database\Documentation\Colo Applications"</f>
        <v>D:\OneDrive - apollo-towers.com\Apollo Towers\00-Process &amp; Database\Documentation\Colo Applications</v>
      </c>
      <c r="BH96" s="104" t="str">
        <f ca="1">_05preva_view43[Folder Path2]&amp;"\Colo App "&amp;_05preva_view43[[#This Row],[Operator]]&amp;"\"</f>
        <v>D:\OneDrive - apollo-towers.com\Apollo Towers\00-Process &amp; Database\Documentation\Colo Applications\Colo App Telenor\</v>
      </c>
      <c r="BI96" s="63" t="str">
        <f ca="1">_05preva_view43[[#This Row],[Folder Path3]]&amp;_05preva_view43[[#This Row],[File Name]]</f>
        <v>D:\OneDrive - apollo-towers.com\Apollo Towers\00-Process &amp; Database\Documentation\Colo Applications\Colo App Telenor\1-01-01015-020 (KC0091) Application Rev 0.xlsx</v>
      </c>
      <c r="BJ96" s="104"/>
      <c r="BK96" s="3"/>
      <c r="BL96" s="3"/>
      <c r="CJ96" s="5"/>
      <c r="CK96" s="5"/>
      <c r="CL96" s="3"/>
      <c r="CN96" s="5"/>
      <c r="CR96" s="3"/>
      <c r="CS96" s="3"/>
      <c r="CT96" s="5"/>
      <c r="CV96" s="3"/>
      <c r="DR96" s="5"/>
      <c r="DT96" s="3"/>
      <c r="EF96" s="7"/>
      <c r="EG96" s="7"/>
      <c r="EJ96" s="4"/>
      <c r="EK96" s="4"/>
      <c r="EU96" s="2"/>
      <c r="EV96" s="2"/>
    </row>
    <row r="97" spans="1:152">
      <c r="A97" s="125">
        <v>3550</v>
      </c>
      <c r="B97" s="126" t="s">
        <v>1667</v>
      </c>
      <c r="C97" s="126" t="s">
        <v>116</v>
      </c>
      <c r="D97" s="126" t="s">
        <v>163</v>
      </c>
      <c r="E97" s="126" t="s">
        <v>1668</v>
      </c>
      <c r="F97" s="126" t="s">
        <v>35</v>
      </c>
      <c r="G97" s="126" t="s">
        <v>1577</v>
      </c>
      <c r="H97" s="126" t="s">
        <v>1575</v>
      </c>
      <c r="I97" s="126" t="s">
        <v>1053</v>
      </c>
      <c r="J97" s="126" t="s">
        <v>990</v>
      </c>
      <c r="K97" s="127">
        <v>43468</v>
      </c>
      <c r="L97" s="128">
        <v>2.48</v>
      </c>
      <c r="M97" s="128">
        <v>3.1</v>
      </c>
      <c r="N97" s="126">
        <v>6.0839999999999996</v>
      </c>
      <c r="O97" s="126" t="s">
        <v>119</v>
      </c>
      <c r="P97" s="129" t="s">
        <v>1669</v>
      </c>
      <c r="Q97" s="129" t="s">
        <v>1670</v>
      </c>
      <c r="R97" s="126" t="s">
        <v>25</v>
      </c>
      <c r="S97" s="126"/>
      <c r="T97" s="130" t="s">
        <v>120</v>
      </c>
      <c r="U97" s="126"/>
      <c r="V97" s="130" t="s">
        <v>120</v>
      </c>
      <c r="W97" s="126"/>
      <c r="X97" s="130" t="s">
        <v>120</v>
      </c>
      <c r="Y97" s="126" t="s">
        <v>1770</v>
      </c>
      <c r="Z97" s="162" t="s">
        <v>144</v>
      </c>
      <c r="AA97" s="154"/>
      <c r="AB97" s="154"/>
      <c r="AC97" s="167" t="s">
        <v>123</v>
      </c>
      <c r="AD97" s="126" t="s">
        <v>1858</v>
      </c>
      <c r="AE97" s="130" t="s">
        <v>120</v>
      </c>
      <c r="AF97" s="127"/>
      <c r="AG97" s="131"/>
      <c r="AH97" s="131"/>
      <c r="AI97" s="126" t="s">
        <v>2105</v>
      </c>
      <c r="AJ97" s="130" t="s">
        <v>120</v>
      </c>
      <c r="AK97" s="126" t="s">
        <v>123</v>
      </c>
      <c r="AL97" s="126" t="s">
        <v>1198</v>
      </c>
      <c r="AM97" s="130"/>
      <c r="AN97" s="126"/>
      <c r="AO97" s="132"/>
      <c r="AP97" s="126"/>
      <c r="AQ97" s="126"/>
      <c r="AR97" s="130"/>
      <c r="AS97" s="126"/>
      <c r="AT97" s="127">
        <v>43472.382203240697</v>
      </c>
      <c r="AU97" s="127">
        <v>43479.735453703703</v>
      </c>
      <c r="AV97" s="127"/>
      <c r="AW97" s="127">
        <v>43472.382203240697</v>
      </c>
      <c r="AX97" s="127">
        <v>43472.656825810198</v>
      </c>
      <c r="AY97" s="127">
        <v>43472.437080902797</v>
      </c>
      <c r="AZ97" s="133"/>
      <c r="BA97" s="134">
        <f ca="1">IF(_05preva_view43[[#This Row],[Prevalidation Status]]="Under Prevalidation",NOW()-_05preva_view43[[#This Row],[Request Date]],IF(_05preva_view43[[#This Row],[Close Date]]&gt;_05preva_view43[[#This Row],[Request Date]],_05preva_view43[[#This Row],[Close Date]]-_05preva_view43[[#This Row],[Request Date]],"Not  Calculated"))</f>
        <v>19.506734143520589</v>
      </c>
      <c r="BB97" s="135">
        <f>COUNTIFS(_05preva_view43[Site ID],_05preva_view43[[#This Row],[Site ID]],_05preva_view43[Prevalidation Status],"Under Prevalidation")</f>
        <v>2</v>
      </c>
      <c r="BC97" s="153" t="str">
        <f ca="1">HYPERLINK(CheckPath(_05preva_view43[[#This Row],[File Path]],_05preva_view43[[#This Row],[File Path]],_05preva_view43[[#This Row],[Folder Path3]]),CheckPath(_05preva_view43[[#This Row],[File Path]],"Open File","No File"))</f>
        <v>No File</v>
      </c>
      <c r="BD97" s="136" t="str">
        <f>CONCATENATE(_05preva_view43[[#This Row],[Site ID]]," (",_05preva_view43[[#This Row],[tenant id]],") Application",IF(_05preva_view43[[#This Row],[Colo Rev]]&gt;0," Rev "&amp;_05preva_view43[[#This Row],[Colo Rev]],""),".xlsx")</f>
        <v>ASTN_0023 (TNY00315) Application Rev 3.xlsx</v>
      </c>
      <c r="BE97" s="64">
        <f t="shared" ca="1" si="3"/>
        <v>50</v>
      </c>
      <c r="BF97" s="104" t="str">
        <f ca="1">LEFT(CELL("filename",A82),_05preva_view43[[#This Row],[Find Process &amp; Database]]-1)</f>
        <v>D:\OneDrive - apollo-towers.com\Apollo Towers\00-</v>
      </c>
      <c r="BG97" s="104" t="str">
        <f ca="1">_05preva_view43[Folder Path1]&amp;"Process &amp; Database\Documentation\Colo Applications"</f>
        <v>D:\OneDrive - apollo-towers.com\Apollo Towers\00-Process &amp; Database\Documentation\Colo Applications</v>
      </c>
      <c r="BH97" s="104" t="str">
        <f ca="1">_05preva_view43[Folder Path2]&amp;"\Colo App "&amp;_05preva_view43[[#This Row],[Operator]]&amp;"\"</f>
        <v>D:\OneDrive - apollo-towers.com\Apollo Towers\00-Process &amp; Database\Documentation\Colo Applications\Colo App MPT\</v>
      </c>
      <c r="BI97" s="63" t="str">
        <f ca="1">_05preva_view43[[#This Row],[Folder Path3]]&amp;_05preva_view43[[#This Row],[File Name]]</f>
        <v>D:\OneDrive - apollo-towers.com\Apollo Towers\00-Process &amp; Database\Documentation\Colo Applications\Colo App MPT\ASTN_0023 (TNY00315) Application Rev 3.xlsx</v>
      </c>
      <c r="BJ97" s="104"/>
      <c r="BK97" s="3"/>
      <c r="BL97" s="3"/>
      <c r="CJ97" s="5"/>
      <c r="CK97" s="5"/>
      <c r="CL97" s="3"/>
      <c r="CN97" s="5"/>
      <c r="CR97" s="3"/>
      <c r="CS97" s="3"/>
      <c r="CT97" s="5"/>
      <c r="CV97" s="3"/>
      <c r="DR97" s="5"/>
      <c r="DT97" s="3"/>
      <c r="EF97" s="7"/>
      <c r="EG97" s="7"/>
      <c r="EJ97" s="4"/>
      <c r="EK97" s="4"/>
      <c r="EU97" s="2"/>
      <c r="EV97" s="2"/>
    </row>
    <row r="98" spans="1:152">
      <c r="A98" s="125">
        <v>3548</v>
      </c>
      <c r="B98" s="126" t="s">
        <v>1512</v>
      </c>
      <c r="C98" s="126" t="s">
        <v>331</v>
      </c>
      <c r="D98" s="126" t="s">
        <v>127</v>
      </c>
      <c r="E98" s="126" t="s">
        <v>1513</v>
      </c>
      <c r="F98" s="126" t="s">
        <v>35</v>
      </c>
      <c r="G98" s="126" t="s">
        <v>1583</v>
      </c>
      <c r="H98" s="126" t="s">
        <v>1580</v>
      </c>
      <c r="I98" s="126" t="s">
        <v>1263</v>
      </c>
      <c r="J98" s="126" t="s">
        <v>949</v>
      </c>
      <c r="K98" s="127">
        <v>43467</v>
      </c>
      <c r="L98" s="128">
        <v>1.621</v>
      </c>
      <c r="M98" s="128">
        <v>3.6989999999999998</v>
      </c>
      <c r="N98" s="126">
        <v>2.5099999999999998</v>
      </c>
      <c r="O98" s="126" t="s">
        <v>950</v>
      </c>
      <c r="P98" s="129" t="s">
        <v>736</v>
      </c>
      <c r="Q98" s="129" t="s">
        <v>880</v>
      </c>
      <c r="R98" s="126" t="s">
        <v>24</v>
      </c>
      <c r="S98" s="126"/>
      <c r="T98" s="130" t="s">
        <v>120</v>
      </c>
      <c r="U98" s="126"/>
      <c r="V98" s="130" t="s">
        <v>120</v>
      </c>
      <c r="W98" s="126"/>
      <c r="X98" s="130" t="s">
        <v>120</v>
      </c>
      <c r="Y98" s="126" t="s">
        <v>1771</v>
      </c>
      <c r="Z98" s="162" t="s">
        <v>120</v>
      </c>
      <c r="AA98" s="154"/>
      <c r="AB98" s="154"/>
      <c r="AC98" s="167" t="s">
        <v>123</v>
      </c>
      <c r="AD98" s="126" t="s">
        <v>1859</v>
      </c>
      <c r="AE98" s="130" t="s">
        <v>120</v>
      </c>
      <c r="AF98" s="127" t="s">
        <v>2106</v>
      </c>
      <c r="AG98" s="131"/>
      <c r="AH98" s="131"/>
      <c r="AI98" s="126" t="s">
        <v>2095</v>
      </c>
      <c r="AJ98" s="130" t="s">
        <v>120</v>
      </c>
      <c r="AK98" s="126" t="s">
        <v>123</v>
      </c>
      <c r="AL98" s="126" t="s">
        <v>1198</v>
      </c>
      <c r="AM98" s="130"/>
      <c r="AN98" s="126"/>
      <c r="AO98" s="132"/>
      <c r="AP98" s="126"/>
      <c r="AQ98" s="126"/>
      <c r="AR98" s="130"/>
      <c r="AS98" s="126"/>
      <c r="AT98" s="127">
        <v>43472.382201620399</v>
      </c>
      <c r="AU98" s="127">
        <v>43479.735450462998</v>
      </c>
      <c r="AV98" s="127">
        <v>43474.653560300903</v>
      </c>
      <c r="AW98" s="127">
        <v>43472.382201620399</v>
      </c>
      <c r="AX98" s="127">
        <v>43472.656823263897</v>
      </c>
      <c r="AY98" s="127">
        <v>43467.595315625003</v>
      </c>
      <c r="AZ98" s="133">
        <v>43480.437809953699</v>
      </c>
      <c r="BA98" s="134">
        <f ca="1">IF(_05preva_view43[[#This Row],[Prevalidation Status]]="Under Prevalidation",NOW()-_05preva_view43[[#This Row],[Request Date]],IF(_05preva_view43[[#This Row],[Close Date]]&gt;_05preva_view43[[#This Row],[Request Date]],_05preva_view43[[#This Row],[Close Date]]-_05preva_view43[[#This Row],[Request Date]],"Not  Calculated"))</f>
        <v>13.437809953698888</v>
      </c>
      <c r="BB98" s="135">
        <f>COUNTIFS(_05preva_view43[Site ID],_05preva_view43[[#This Row],[Site ID]],_05preva_view43[Prevalidation Status],"Under Prevalidation")</f>
        <v>0</v>
      </c>
      <c r="BC98" s="153" t="str">
        <f ca="1">HYPERLINK(CheckPath(_05preva_view43[[#This Row],[File Path]],_05preva_view43[[#This Row],[File Path]],_05preva_view43[[#This Row],[Folder Path3]]),CheckPath(_05preva_view43[[#This Row],[File Path]],"Open File","No File"))</f>
        <v>No File</v>
      </c>
      <c r="BD98" s="136" t="str">
        <f>CONCATENATE(_05preva_view43[[#This Row],[Site ID]]," (",_05preva_view43[[#This Row],[tenant id]],") Application",IF(_05preva_view43[[#This Row],[Colo Rev]]&gt;0," Rev "&amp;_05preva_view43[[#This Row],[Colo Rev]],""),".xlsx")</f>
        <v>1-01-01010-012 (KCN00455) Application Rev 2.xlsx</v>
      </c>
      <c r="BE98" s="64">
        <f t="shared" ca="1" si="3"/>
        <v>50</v>
      </c>
      <c r="BF98" s="104" t="str">
        <f ca="1">LEFT(CELL("filename",A83),_05preva_view43[[#This Row],[Find Process &amp; Database]]-1)</f>
        <v>D:\OneDrive - apollo-towers.com\Apollo Towers\00-</v>
      </c>
      <c r="BG98" s="104" t="str">
        <f ca="1">_05preva_view43[Folder Path1]&amp;"Process &amp; Database\Documentation\Colo Applications"</f>
        <v>D:\OneDrive - apollo-towers.com\Apollo Towers\00-Process &amp; Database\Documentation\Colo Applications</v>
      </c>
      <c r="BH98" s="104" t="str">
        <f ca="1">_05preva_view43[Folder Path2]&amp;"\Colo App "&amp;_05preva_view43[[#This Row],[Operator]]&amp;"\"</f>
        <v>D:\OneDrive - apollo-towers.com\Apollo Towers\00-Process &amp; Database\Documentation\Colo Applications\Colo App MPT\</v>
      </c>
      <c r="BI98" s="63" t="str">
        <f ca="1">_05preva_view43[[#This Row],[Folder Path3]]&amp;_05preva_view43[[#This Row],[File Name]]</f>
        <v>D:\OneDrive - apollo-towers.com\Apollo Towers\00-Process &amp; Database\Documentation\Colo Applications\Colo App MPT\1-01-01010-012 (KCN00455) Application Rev 2.xlsx</v>
      </c>
      <c r="BJ98" s="104"/>
      <c r="BK98" s="3"/>
      <c r="BL98" s="3"/>
      <c r="CJ98" s="5"/>
      <c r="CK98" s="5"/>
      <c r="CL98" s="3"/>
      <c r="CN98" s="5"/>
      <c r="CR98" s="3"/>
      <c r="CS98" s="3"/>
      <c r="CT98" s="5"/>
      <c r="CV98" s="3"/>
      <c r="DR98" s="5"/>
      <c r="DT98" s="3"/>
      <c r="EF98" s="7"/>
      <c r="EG98" s="7"/>
      <c r="EJ98" s="4"/>
      <c r="EK98" s="4"/>
      <c r="EU98" s="2"/>
      <c r="EV98" s="2"/>
    </row>
    <row r="99" spans="1:152">
      <c r="A99" s="125">
        <v>3549</v>
      </c>
      <c r="B99" s="126" t="s">
        <v>1772</v>
      </c>
      <c r="C99" s="126" t="s">
        <v>116</v>
      </c>
      <c r="D99" s="126" t="s">
        <v>163</v>
      </c>
      <c r="E99" s="126" t="s">
        <v>1773</v>
      </c>
      <c r="F99" s="126" t="s">
        <v>35</v>
      </c>
      <c r="G99" s="126" t="s">
        <v>1774</v>
      </c>
      <c r="H99" s="126" t="s">
        <v>1619</v>
      </c>
      <c r="I99" s="126" t="s">
        <v>1077</v>
      </c>
      <c r="J99" s="126" t="s">
        <v>940</v>
      </c>
      <c r="K99" s="127">
        <v>43467</v>
      </c>
      <c r="L99" s="128">
        <v>0.72</v>
      </c>
      <c r="M99" s="128">
        <v>0.9</v>
      </c>
      <c r="N99" s="126">
        <v>3.18</v>
      </c>
      <c r="O99" s="126" t="s">
        <v>119</v>
      </c>
      <c r="P99" s="129" t="s">
        <v>833</v>
      </c>
      <c r="Q99" s="129" t="s">
        <v>951</v>
      </c>
      <c r="R99" s="126" t="s">
        <v>24</v>
      </c>
      <c r="S99" s="126"/>
      <c r="T99" s="130" t="s">
        <v>120</v>
      </c>
      <c r="U99" s="126"/>
      <c r="V99" s="130" t="s">
        <v>120</v>
      </c>
      <c r="W99" s="126"/>
      <c r="X99" s="130" t="s">
        <v>120</v>
      </c>
      <c r="Y99" s="126" t="s">
        <v>1775</v>
      </c>
      <c r="Z99" s="162" t="s">
        <v>120</v>
      </c>
      <c r="AA99" s="154"/>
      <c r="AB99" s="154"/>
      <c r="AC99" s="167" t="s">
        <v>123</v>
      </c>
      <c r="AD99" s="126" t="s">
        <v>1860</v>
      </c>
      <c r="AE99" s="130" t="s">
        <v>120</v>
      </c>
      <c r="AF99" s="127"/>
      <c r="AG99" s="131"/>
      <c r="AH99" s="131"/>
      <c r="AI99" s="126"/>
      <c r="AJ99" s="130" t="s">
        <v>120</v>
      </c>
      <c r="AK99" s="126" t="s">
        <v>123</v>
      </c>
      <c r="AL99" s="126" t="s">
        <v>1418</v>
      </c>
      <c r="AM99" s="130"/>
      <c r="AN99" s="126"/>
      <c r="AO99" s="132"/>
      <c r="AP99" s="126"/>
      <c r="AQ99" s="126"/>
      <c r="AR99" s="130"/>
      <c r="AS99" s="126"/>
      <c r="AT99" s="127">
        <v>43472.382202314802</v>
      </c>
      <c r="AU99" s="127">
        <v>43479.7354508102</v>
      </c>
      <c r="AV99" s="127">
        <v>43474.501626388897</v>
      </c>
      <c r="AW99" s="127">
        <v>43472.382202314802</v>
      </c>
      <c r="AX99" s="127">
        <v>43472.656824189798</v>
      </c>
      <c r="AY99" s="127">
        <v>43468.615674884299</v>
      </c>
      <c r="AZ99" s="133">
        <v>43480.437810648102</v>
      </c>
      <c r="BA99" s="134">
        <f ca="1">IF(_05preva_view43[[#This Row],[Prevalidation Status]]="Under Prevalidation",NOW()-_05preva_view43[[#This Row],[Request Date]],IF(_05preva_view43[[#This Row],[Close Date]]&gt;_05preva_view43[[#This Row],[Request Date]],_05preva_view43[[#This Row],[Close Date]]-_05preva_view43[[#This Row],[Request Date]],"Not  Calculated"))</f>
        <v>13.437810648101731</v>
      </c>
      <c r="BB99" s="135">
        <f>COUNTIFS(_05preva_view43[Site ID],_05preva_view43[[#This Row],[Site ID]],_05preva_view43[Prevalidation Status],"Under Prevalidation")</f>
        <v>0</v>
      </c>
      <c r="BC99" s="153" t="str">
        <f ca="1">HYPERLINK(CheckPath(_05preva_view43[[#This Row],[File Path]],_05preva_view43[[#This Row],[File Path]],_05preva_view43[[#This Row],[Folder Path3]]),CheckPath(_05preva_view43[[#This Row],[File Path]],"Open File","No File"))</f>
        <v>No File</v>
      </c>
      <c r="BD99" s="136" t="str">
        <f>CONCATENATE(_05preva_view43[[#This Row],[Site ID]]," (",_05preva_view43[[#This Row],[tenant id]],") Application",IF(_05preva_view43[[#This Row],[Colo Rev]]&gt;0," Rev "&amp;_05preva_view43[[#This Row],[Colo Rev]],""),".xlsx")</f>
        <v>ASMO_0155 (MON00618) Application Rev 0.xlsx</v>
      </c>
      <c r="BE99" s="64">
        <f t="shared" ca="1" si="3"/>
        <v>50</v>
      </c>
      <c r="BF99" s="104" t="str">
        <f ca="1">LEFT(CELL("filename",A84),_05preva_view43[[#This Row],[Find Process &amp; Database]]-1)</f>
        <v>D:\OneDrive - apollo-towers.com\Apollo Towers\00-</v>
      </c>
      <c r="BG99" s="104" t="str">
        <f ca="1">_05preva_view43[Folder Path1]&amp;"Process &amp; Database\Documentation\Colo Applications"</f>
        <v>D:\OneDrive - apollo-towers.com\Apollo Towers\00-Process &amp; Database\Documentation\Colo Applications</v>
      </c>
      <c r="BH99" s="104" t="str">
        <f ca="1">_05preva_view43[Folder Path2]&amp;"\Colo App "&amp;_05preva_view43[[#This Row],[Operator]]&amp;"\"</f>
        <v>D:\OneDrive - apollo-towers.com\Apollo Towers\00-Process &amp; Database\Documentation\Colo Applications\Colo App MPT\</v>
      </c>
      <c r="BI99" s="63" t="str">
        <f ca="1">_05preva_view43[[#This Row],[Folder Path3]]&amp;_05preva_view43[[#This Row],[File Name]]</f>
        <v>D:\OneDrive - apollo-towers.com\Apollo Towers\00-Process &amp; Database\Documentation\Colo Applications\Colo App MPT\ASMO_0155 (MON00618) Application Rev 0.xlsx</v>
      </c>
      <c r="BJ99" s="104"/>
      <c r="BK99" s="3"/>
      <c r="BL99" s="3"/>
      <c r="CJ99" s="5"/>
      <c r="CK99" s="5"/>
      <c r="CL99" s="3"/>
      <c r="CN99" s="5"/>
      <c r="CR99" s="3"/>
      <c r="CS99" s="3"/>
      <c r="CT99" s="5"/>
      <c r="CV99" s="3"/>
      <c r="DR99" s="5"/>
      <c r="DT99" s="3"/>
      <c r="EF99" s="7"/>
      <c r="EG99" s="7"/>
      <c r="EJ99" s="4"/>
      <c r="EK99" s="4"/>
      <c r="EU99" s="2"/>
      <c r="EV99" s="2"/>
    </row>
    <row r="100" spans="1:152">
      <c r="A100" s="125">
        <v>3536</v>
      </c>
      <c r="B100" s="126" t="s">
        <v>1616</v>
      </c>
      <c r="C100" s="126" t="s">
        <v>116</v>
      </c>
      <c r="D100" s="126" t="s">
        <v>117</v>
      </c>
      <c r="E100" s="126" t="s">
        <v>1617</v>
      </c>
      <c r="F100" s="126" t="s">
        <v>35</v>
      </c>
      <c r="G100" s="126" t="s">
        <v>1618</v>
      </c>
      <c r="H100" s="126" t="s">
        <v>1619</v>
      </c>
      <c r="I100" s="126" t="s">
        <v>1077</v>
      </c>
      <c r="J100" s="126" t="s">
        <v>940</v>
      </c>
      <c r="K100" s="127">
        <v>43461</v>
      </c>
      <c r="L100" s="128">
        <v>0.72</v>
      </c>
      <c r="M100" s="128">
        <v>0.9</v>
      </c>
      <c r="N100" s="126">
        <v>3.18</v>
      </c>
      <c r="O100" s="126" t="s">
        <v>119</v>
      </c>
      <c r="P100" s="129" t="s">
        <v>291</v>
      </c>
      <c r="Q100" s="129" t="s">
        <v>292</v>
      </c>
      <c r="R100" s="126" t="s">
        <v>24</v>
      </c>
      <c r="S100" s="126"/>
      <c r="T100" s="130" t="s">
        <v>120</v>
      </c>
      <c r="U100" s="126"/>
      <c r="V100" s="130" t="s">
        <v>120</v>
      </c>
      <c r="W100" s="126"/>
      <c r="X100" s="130" t="s">
        <v>120</v>
      </c>
      <c r="Y100" s="126" t="s">
        <v>1620</v>
      </c>
      <c r="Z100" s="162" t="s">
        <v>120</v>
      </c>
      <c r="AA100" s="154"/>
      <c r="AB100" s="154"/>
      <c r="AC100" s="167" t="s">
        <v>123</v>
      </c>
      <c r="AD100" s="126" t="s">
        <v>1906</v>
      </c>
      <c r="AE100" s="130" t="s">
        <v>120</v>
      </c>
      <c r="AF100" s="127"/>
      <c r="AG100" s="131"/>
      <c r="AH100" s="131"/>
      <c r="AI100" s="126"/>
      <c r="AJ100" s="130" t="s">
        <v>120</v>
      </c>
      <c r="AK100" s="126" t="s">
        <v>123</v>
      </c>
      <c r="AL100" s="126" t="s">
        <v>1418</v>
      </c>
      <c r="AM100" s="130"/>
      <c r="AN100" s="126"/>
      <c r="AO100" s="132"/>
      <c r="AP100" s="126"/>
      <c r="AQ100" s="126"/>
      <c r="AR100" s="130"/>
      <c r="AS100" s="126"/>
      <c r="AT100" s="127">
        <v>43461.456340625002</v>
      </c>
      <c r="AU100" s="127">
        <v>43479.735439120399</v>
      </c>
      <c r="AV100" s="127">
        <v>43476.689971527798</v>
      </c>
      <c r="AW100" s="127">
        <v>43461.456340625002</v>
      </c>
      <c r="AX100" s="127">
        <v>43472.6568140046</v>
      </c>
      <c r="AY100" s="127">
        <v>43461.444858217597</v>
      </c>
      <c r="AZ100" s="133">
        <v>43480.437805208298</v>
      </c>
      <c r="BA100" s="134">
        <f ca="1">IF(_05preva_view43[[#This Row],[Prevalidation Status]]="Under Prevalidation",NOW()-_05preva_view43[[#This Row],[Request Date]],IF(_05preva_view43[[#This Row],[Close Date]]&gt;_05preva_view43[[#This Row],[Request Date]],_05preva_view43[[#This Row],[Close Date]]-_05preva_view43[[#This Row],[Request Date]],"Not  Calculated"))</f>
        <v>19.437805208297505</v>
      </c>
      <c r="BB100" s="135">
        <f>COUNTIFS(_05preva_view43[Site ID],_05preva_view43[[#This Row],[Site ID]],_05preva_view43[Prevalidation Status],"Under Prevalidation")</f>
        <v>0</v>
      </c>
      <c r="BC100" s="153" t="str">
        <f ca="1">HYPERLINK(CheckPath(_05preva_view43[[#This Row],[File Path]],_05preva_view43[[#This Row],[File Path]],_05preva_view43[[#This Row],[Folder Path3]]),CheckPath(_05preva_view43[[#This Row],[File Path]],"Open File","No File"))</f>
        <v>No File</v>
      </c>
      <c r="BD100" s="136" t="str">
        <f>CONCATENATE(_05preva_view43[[#This Row],[Site ID]]," (",_05preva_view43[[#This Row],[tenant id]],") Application",IF(_05preva_view43[[#This Row],[Colo Rev]]&gt;0," Rev "&amp;_05preva_view43[[#This Row],[Colo Rev]],""),".xlsx")</f>
        <v>ASKH_0007 (KYH00181) Application Rev 0.xlsx</v>
      </c>
      <c r="BE100" s="64">
        <f t="shared" ca="1" si="3"/>
        <v>50</v>
      </c>
      <c r="BF100" s="104" t="str">
        <f ca="1">LEFT(CELL("filename",A85),_05preva_view43[[#This Row],[Find Process &amp; Database]]-1)</f>
        <v>D:\OneDrive - apollo-towers.com\Apollo Towers\00-</v>
      </c>
      <c r="BG100" s="104" t="str">
        <f ca="1">_05preva_view43[Folder Path1]&amp;"Process &amp; Database\Documentation\Colo Applications"</f>
        <v>D:\OneDrive - apollo-towers.com\Apollo Towers\00-Process &amp; Database\Documentation\Colo Applications</v>
      </c>
      <c r="BH100" s="104" t="str">
        <f ca="1">_05preva_view43[Folder Path2]&amp;"\Colo App "&amp;_05preva_view43[[#This Row],[Operator]]&amp;"\"</f>
        <v>D:\OneDrive - apollo-towers.com\Apollo Towers\00-Process &amp; Database\Documentation\Colo Applications\Colo App MPT\</v>
      </c>
      <c r="BI100" s="63" t="str">
        <f ca="1">_05preva_view43[[#This Row],[Folder Path3]]&amp;_05preva_view43[[#This Row],[File Name]]</f>
        <v>D:\OneDrive - apollo-towers.com\Apollo Towers\00-Process &amp; Database\Documentation\Colo Applications\Colo App MPT\ASKH_0007 (KYH00181) Application Rev 0.xlsx</v>
      </c>
      <c r="BJ100" s="104"/>
      <c r="BK100" s="3"/>
      <c r="BL100" s="3"/>
      <c r="CJ100" s="5"/>
      <c r="CK100" s="5"/>
      <c r="CL100" s="3"/>
      <c r="CN100" s="5"/>
      <c r="CR100" s="3"/>
      <c r="CS100" s="3"/>
      <c r="CT100" s="5"/>
      <c r="CV100" s="3"/>
      <c r="DR100" s="5"/>
      <c r="DT100" s="3"/>
      <c r="EF100" s="7"/>
      <c r="EG100" s="7"/>
      <c r="EJ100" s="4"/>
      <c r="EK100" s="4"/>
      <c r="EU100" s="2"/>
      <c r="EV100" s="2"/>
    </row>
    <row r="101" spans="1:152">
      <c r="A101" s="125">
        <v>3537</v>
      </c>
      <c r="B101" s="126" t="s">
        <v>1621</v>
      </c>
      <c r="C101" s="126" t="s">
        <v>116</v>
      </c>
      <c r="D101" s="126" t="s">
        <v>117</v>
      </c>
      <c r="E101" s="126" t="s">
        <v>1622</v>
      </c>
      <c r="F101" s="126" t="s">
        <v>35</v>
      </c>
      <c r="G101" s="126" t="s">
        <v>118</v>
      </c>
      <c r="H101" s="126" t="s">
        <v>1143</v>
      </c>
      <c r="I101" s="126" t="s">
        <v>1077</v>
      </c>
      <c r="J101" s="126" t="s">
        <v>940</v>
      </c>
      <c r="K101" s="127">
        <v>43461</v>
      </c>
      <c r="L101" s="128">
        <v>0.72</v>
      </c>
      <c r="M101" s="128">
        <v>0.9</v>
      </c>
      <c r="N101" s="126">
        <v>3.18</v>
      </c>
      <c r="O101" s="126" t="s">
        <v>119</v>
      </c>
      <c r="P101" s="129" t="s">
        <v>958</v>
      </c>
      <c r="Q101" s="129" t="s">
        <v>959</v>
      </c>
      <c r="R101" s="126" t="s">
        <v>24</v>
      </c>
      <c r="S101" s="126"/>
      <c r="T101" s="130" t="s">
        <v>120</v>
      </c>
      <c r="U101" s="126"/>
      <c r="V101" s="130" t="s">
        <v>120</v>
      </c>
      <c r="W101" s="126"/>
      <c r="X101" s="130" t="s">
        <v>120</v>
      </c>
      <c r="Y101" s="126" t="s">
        <v>1623</v>
      </c>
      <c r="Z101" s="162" t="s">
        <v>120</v>
      </c>
      <c r="AA101" s="154"/>
      <c r="AB101" s="154"/>
      <c r="AC101" s="167" t="s">
        <v>123</v>
      </c>
      <c r="AD101" s="126" t="s">
        <v>1861</v>
      </c>
      <c r="AE101" s="130" t="s">
        <v>120</v>
      </c>
      <c r="AF101" s="127"/>
      <c r="AG101" s="131"/>
      <c r="AH101" s="131"/>
      <c r="AI101" s="126"/>
      <c r="AJ101" s="130" t="s">
        <v>120</v>
      </c>
      <c r="AK101" s="126" t="s">
        <v>123</v>
      </c>
      <c r="AL101" s="126" t="s">
        <v>1418</v>
      </c>
      <c r="AM101" s="130"/>
      <c r="AN101" s="126"/>
      <c r="AO101" s="132"/>
      <c r="AP101" s="126"/>
      <c r="AQ101" s="126"/>
      <c r="AR101" s="130"/>
      <c r="AS101" s="126"/>
      <c r="AT101" s="127">
        <v>43461.456341550896</v>
      </c>
      <c r="AU101" s="127">
        <v>43479.7354394676</v>
      </c>
      <c r="AV101" s="127">
        <v>43473.5905802083</v>
      </c>
      <c r="AW101" s="127">
        <v>43461.456341550896</v>
      </c>
      <c r="AX101" s="127">
        <v>43472.656815046299</v>
      </c>
      <c r="AY101" s="127">
        <v>43461.444858912</v>
      </c>
      <c r="AZ101" s="133">
        <v>43480.437806597198</v>
      </c>
      <c r="BA101" s="134">
        <f ca="1">IF(_05preva_view43[[#This Row],[Prevalidation Status]]="Under Prevalidation",NOW()-_05preva_view43[[#This Row],[Request Date]],IF(_05preva_view43[[#This Row],[Close Date]]&gt;_05preva_view43[[#This Row],[Request Date]],_05preva_view43[[#This Row],[Close Date]]-_05preva_view43[[#This Row],[Request Date]],"Not  Calculated"))</f>
        <v>19.437806597197778</v>
      </c>
      <c r="BB101" s="135">
        <f>COUNTIFS(_05preva_view43[Site ID],_05preva_view43[[#This Row],[Site ID]],_05preva_view43[Prevalidation Status],"Under Prevalidation")</f>
        <v>0</v>
      </c>
      <c r="BC101" s="153" t="str">
        <f ca="1">HYPERLINK(CheckPath(_05preva_view43[[#This Row],[File Path]],_05preva_view43[[#This Row],[File Path]],_05preva_view43[[#This Row],[Folder Path3]]),CheckPath(_05preva_view43[[#This Row],[File Path]],"Open File","No File"))</f>
        <v>No File</v>
      </c>
      <c r="BD101" s="136" t="str">
        <f>CONCATENATE(_05preva_view43[[#This Row],[Site ID]]," (",_05preva_view43[[#This Row],[tenant id]],") Application",IF(_05preva_view43[[#This Row],[Colo Rev]]&gt;0," Rev "&amp;_05preva_view43[[#This Row],[Colo Rev]],""),".xlsx")</f>
        <v>ANNP_0222 (NPT00514) Application Rev 0.xlsx</v>
      </c>
      <c r="BE101" s="64">
        <f t="shared" ca="1" si="3"/>
        <v>50</v>
      </c>
      <c r="BF101" s="104" t="str">
        <f ca="1">LEFT(CELL("filename",A86),_05preva_view43[[#This Row],[Find Process &amp; Database]]-1)</f>
        <v>D:\OneDrive - apollo-towers.com\Apollo Towers\00-</v>
      </c>
      <c r="BG101" s="104" t="str">
        <f ca="1">_05preva_view43[Folder Path1]&amp;"Process &amp; Database\Documentation\Colo Applications"</f>
        <v>D:\OneDrive - apollo-towers.com\Apollo Towers\00-Process &amp; Database\Documentation\Colo Applications</v>
      </c>
      <c r="BH101" s="104" t="str">
        <f ca="1">_05preva_view43[Folder Path2]&amp;"\Colo App "&amp;_05preva_view43[[#This Row],[Operator]]&amp;"\"</f>
        <v>D:\OneDrive - apollo-towers.com\Apollo Towers\00-Process &amp; Database\Documentation\Colo Applications\Colo App MPT\</v>
      </c>
      <c r="BI101" s="63" t="str">
        <f ca="1">_05preva_view43[[#This Row],[Folder Path3]]&amp;_05preva_view43[[#This Row],[File Name]]</f>
        <v>D:\OneDrive - apollo-towers.com\Apollo Towers\00-Process &amp; Database\Documentation\Colo Applications\Colo App MPT\ANNP_0222 (NPT00514) Application Rev 0.xlsx</v>
      </c>
      <c r="BJ101" s="104"/>
      <c r="BK101" s="3"/>
      <c r="BL101" s="3"/>
      <c r="CJ101" s="5"/>
      <c r="CK101" s="5"/>
      <c r="CL101" s="3"/>
      <c r="CN101" s="5"/>
      <c r="CR101" s="3"/>
      <c r="CS101" s="3"/>
      <c r="CT101" s="5"/>
      <c r="CV101" s="3"/>
      <c r="DR101" s="5"/>
      <c r="DT101" s="3"/>
      <c r="EF101" s="7"/>
      <c r="EG101" s="7"/>
      <c r="EJ101" s="4"/>
      <c r="EK101" s="4"/>
      <c r="EU101" s="2"/>
      <c r="EV101" s="2"/>
    </row>
    <row r="102" spans="1:152">
      <c r="A102" s="125">
        <v>3538</v>
      </c>
      <c r="B102" s="126" t="s">
        <v>1624</v>
      </c>
      <c r="C102" s="126" t="s">
        <v>331</v>
      </c>
      <c r="D102" s="126" t="s">
        <v>127</v>
      </c>
      <c r="E102" s="126" t="s">
        <v>1625</v>
      </c>
      <c r="F102" s="126" t="s">
        <v>35</v>
      </c>
      <c r="G102" s="126" t="s">
        <v>1583</v>
      </c>
      <c r="H102" s="126" t="s">
        <v>1575</v>
      </c>
      <c r="I102" s="126" t="s">
        <v>1263</v>
      </c>
      <c r="J102" s="126" t="s">
        <v>990</v>
      </c>
      <c r="K102" s="127">
        <v>43461</v>
      </c>
      <c r="L102" s="128">
        <v>1.054</v>
      </c>
      <c r="M102" s="128">
        <v>1.46</v>
      </c>
      <c r="N102" s="126">
        <v>3.59</v>
      </c>
      <c r="O102" s="126" t="s">
        <v>950</v>
      </c>
      <c r="P102" s="129" t="s">
        <v>1072</v>
      </c>
      <c r="Q102" s="129" t="s">
        <v>1227</v>
      </c>
      <c r="R102" s="126" t="s">
        <v>24</v>
      </c>
      <c r="S102" s="126"/>
      <c r="T102" s="130" t="s">
        <v>120</v>
      </c>
      <c r="U102" s="126"/>
      <c r="V102" s="130" t="s">
        <v>120</v>
      </c>
      <c r="W102" s="126"/>
      <c r="X102" s="130" t="s">
        <v>120</v>
      </c>
      <c r="Y102" s="126" t="s">
        <v>1626</v>
      </c>
      <c r="Z102" s="162" t="s">
        <v>120</v>
      </c>
      <c r="AA102" s="154"/>
      <c r="AB102" s="154"/>
      <c r="AC102" s="167" t="s">
        <v>123</v>
      </c>
      <c r="AD102" s="126" t="s">
        <v>1627</v>
      </c>
      <c r="AE102" s="130" t="s">
        <v>861</v>
      </c>
      <c r="AF102" s="127"/>
      <c r="AG102" s="131"/>
      <c r="AH102" s="131"/>
      <c r="AI102" s="126" t="s">
        <v>2107</v>
      </c>
      <c r="AJ102" s="130" t="s">
        <v>120</v>
      </c>
      <c r="AK102" s="126" t="s">
        <v>123</v>
      </c>
      <c r="AL102" s="126" t="s">
        <v>1198</v>
      </c>
      <c r="AM102" s="130"/>
      <c r="AN102" s="126"/>
      <c r="AO102" s="132"/>
      <c r="AP102" s="126"/>
      <c r="AQ102" s="126"/>
      <c r="AR102" s="130"/>
      <c r="AS102" s="126"/>
      <c r="AT102" s="127">
        <v>43461.484659143498</v>
      </c>
      <c r="AU102" s="127"/>
      <c r="AV102" s="127">
        <v>43462.497513078699</v>
      </c>
      <c r="AW102" s="127">
        <v>43461.484659143498</v>
      </c>
      <c r="AX102" s="127">
        <v>43472.656815740702</v>
      </c>
      <c r="AY102" s="127">
        <v>43461.439167476798</v>
      </c>
      <c r="AZ102" s="133">
        <v>43480.577520717598</v>
      </c>
      <c r="BA102" s="134">
        <f ca="1">IF(_05preva_view43[[#This Row],[Prevalidation Status]]="Under Prevalidation",NOW()-_05preva_view43[[#This Row],[Request Date]],IF(_05preva_view43[[#This Row],[Close Date]]&gt;_05preva_view43[[#This Row],[Request Date]],_05preva_view43[[#This Row],[Close Date]]-_05preva_view43[[#This Row],[Request Date]],"Not  Calculated"))</f>
        <v>19.577520717597508</v>
      </c>
      <c r="BB102" s="135">
        <f>COUNTIFS(_05preva_view43[Site ID],_05preva_view43[[#This Row],[Site ID]],_05preva_view43[Prevalidation Status],"Under Prevalidation")</f>
        <v>0</v>
      </c>
      <c r="BC102" s="153" t="str">
        <f ca="1">HYPERLINK(CheckPath(_05preva_view43[[#This Row],[File Path]],_05preva_view43[[#This Row],[File Path]],_05preva_view43[[#This Row],[Folder Path3]]),CheckPath(_05preva_view43[[#This Row],[File Path]],"Open File","No File"))</f>
        <v>No File</v>
      </c>
      <c r="BD102" s="136" t="str">
        <f>CONCATENATE(_05preva_view43[[#This Row],[Site ID]]," (",_05preva_view43[[#This Row],[tenant id]],") Application",IF(_05preva_view43[[#This Row],[Colo Rev]]&gt;0," Rev "&amp;_05preva_view43[[#This Row],[Colo Rev]],""),".xlsx")</f>
        <v>3-00-01014-003 (KCN00120) Application Rev 3.xlsx</v>
      </c>
      <c r="BE102" s="64">
        <f t="shared" ca="1" si="3"/>
        <v>50</v>
      </c>
      <c r="BF102" s="104" t="str">
        <f ca="1">LEFT(CELL("filename",A87),_05preva_view43[[#This Row],[Find Process &amp; Database]]-1)</f>
        <v>D:\OneDrive - apollo-towers.com\Apollo Towers\00-</v>
      </c>
      <c r="BG102" s="104" t="str">
        <f ca="1">_05preva_view43[Folder Path1]&amp;"Process &amp; Database\Documentation\Colo Applications"</f>
        <v>D:\OneDrive - apollo-towers.com\Apollo Towers\00-Process &amp; Database\Documentation\Colo Applications</v>
      </c>
      <c r="BH102" s="104" t="str">
        <f ca="1">_05preva_view43[Folder Path2]&amp;"\Colo App "&amp;_05preva_view43[[#This Row],[Operator]]&amp;"\"</f>
        <v>D:\OneDrive - apollo-towers.com\Apollo Towers\00-Process &amp; Database\Documentation\Colo Applications\Colo App MPT\</v>
      </c>
      <c r="BI102" s="63" t="str">
        <f ca="1">_05preva_view43[[#This Row],[Folder Path3]]&amp;_05preva_view43[[#This Row],[File Name]]</f>
        <v>D:\OneDrive - apollo-towers.com\Apollo Towers\00-Process &amp; Database\Documentation\Colo Applications\Colo App MPT\3-00-01014-003 (KCN00120) Application Rev 3.xlsx</v>
      </c>
      <c r="BJ102" s="104"/>
      <c r="BK102" s="3"/>
      <c r="BL102" s="3"/>
      <c r="CJ102" s="5"/>
      <c r="CK102" s="5"/>
      <c r="CL102" s="3"/>
      <c r="CN102" s="5"/>
      <c r="CR102" s="3"/>
      <c r="CS102" s="3"/>
      <c r="CT102" s="5"/>
      <c r="CV102" s="3"/>
      <c r="DR102" s="5"/>
      <c r="DT102" s="3"/>
      <c r="EF102" s="7"/>
      <c r="EG102" s="7"/>
      <c r="EJ102" s="4"/>
      <c r="EK102" s="4"/>
      <c r="EU102" s="2"/>
      <c r="EV102" s="2"/>
    </row>
    <row r="103" spans="1:152">
      <c r="A103" s="125">
        <v>3539</v>
      </c>
      <c r="B103" s="126" t="s">
        <v>1628</v>
      </c>
      <c r="C103" s="126" t="s">
        <v>331</v>
      </c>
      <c r="D103" s="126" t="s">
        <v>127</v>
      </c>
      <c r="E103" s="126" t="s">
        <v>1629</v>
      </c>
      <c r="F103" s="126" t="s">
        <v>35</v>
      </c>
      <c r="G103" s="126" t="s">
        <v>1583</v>
      </c>
      <c r="H103" s="126" t="s">
        <v>1575</v>
      </c>
      <c r="I103" s="126" t="s">
        <v>1263</v>
      </c>
      <c r="J103" s="126" t="s">
        <v>990</v>
      </c>
      <c r="K103" s="127">
        <v>43461</v>
      </c>
      <c r="L103" s="128">
        <v>1.1080000000000001</v>
      </c>
      <c r="M103" s="128">
        <v>1.52</v>
      </c>
      <c r="N103" s="126">
        <v>4.25</v>
      </c>
      <c r="O103" s="126" t="s">
        <v>950</v>
      </c>
      <c r="P103" s="129" t="s">
        <v>1072</v>
      </c>
      <c r="Q103" s="129" t="s">
        <v>1227</v>
      </c>
      <c r="R103" s="126" t="s">
        <v>24</v>
      </c>
      <c r="S103" s="126"/>
      <c r="T103" s="130" t="s">
        <v>120</v>
      </c>
      <c r="U103" s="126"/>
      <c r="V103" s="130" t="s">
        <v>120</v>
      </c>
      <c r="W103" s="126"/>
      <c r="X103" s="130" t="s">
        <v>120</v>
      </c>
      <c r="Y103" s="126" t="s">
        <v>1630</v>
      </c>
      <c r="Z103" s="162" t="s">
        <v>120</v>
      </c>
      <c r="AA103" s="154"/>
      <c r="AB103" s="154"/>
      <c r="AC103" s="167" t="s">
        <v>123</v>
      </c>
      <c r="AD103" s="126" t="s">
        <v>1776</v>
      </c>
      <c r="AE103" s="130" t="s">
        <v>861</v>
      </c>
      <c r="AF103" s="127"/>
      <c r="AG103" s="131"/>
      <c r="AH103" s="131"/>
      <c r="AI103" s="126" t="s">
        <v>2107</v>
      </c>
      <c r="AJ103" s="130" t="s">
        <v>120</v>
      </c>
      <c r="AK103" s="126" t="s">
        <v>123</v>
      </c>
      <c r="AL103" s="126" t="s">
        <v>1198</v>
      </c>
      <c r="AM103" s="130"/>
      <c r="AN103" s="126"/>
      <c r="AO103" s="132"/>
      <c r="AP103" s="126"/>
      <c r="AQ103" s="126"/>
      <c r="AR103" s="130"/>
      <c r="AS103" s="126"/>
      <c r="AT103" s="127">
        <v>43461.484659722199</v>
      </c>
      <c r="AU103" s="127"/>
      <c r="AV103" s="127">
        <v>43462.701907638897</v>
      </c>
      <c r="AW103" s="127">
        <v>43461.484659722199</v>
      </c>
      <c r="AX103" s="127">
        <v>43472.656817129602</v>
      </c>
      <c r="AY103" s="127">
        <v>43461.439167939803</v>
      </c>
      <c r="AZ103" s="133">
        <v>43480.577521180603</v>
      </c>
      <c r="BA103" s="134">
        <f ca="1">IF(_05preva_view43[[#This Row],[Prevalidation Status]]="Under Prevalidation",NOW()-_05preva_view43[[#This Row],[Request Date]],IF(_05preva_view43[[#This Row],[Close Date]]&gt;_05preva_view43[[#This Row],[Request Date]],_05preva_view43[[#This Row],[Close Date]]-_05preva_view43[[#This Row],[Request Date]],"Not  Calculated"))</f>
        <v>19.577521180603071</v>
      </c>
      <c r="BB103" s="135">
        <f>COUNTIFS(_05preva_view43[Site ID],_05preva_view43[[#This Row],[Site ID]],_05preva_view43[Prevalidation Status],"Under Prevalidation")</f>
        <v>0</v>
      </c>
      <c r="BC103" s="153" t="str">
        <f ca="1">HYPERLINK(CheckPath(_05preva_view43[[#This Row],[File Path]],_05preva_view43[[#This Row],[File Path]],_05preva_view43[[#This Row],[Folder Path3]]),CheckPath(_05preva_view43[[#This Row],[File Path]],"Open File","No File"))</f>
        <v>No File</v>
      </c>
      <c r="BD103" s="136" t="str">
        <f>CONCATENATE(_05preva_view43[[#This Row],[Site ID]]," (",_05preva_view43[[#This Row],[tenant id]],") Application",IF(_05preva_view43[[#This Row],[Colo Rev]]&gt;0," Rev "&amp;_05preva_view43[[#This Row],[Colo Rev]],""),".xlsx")</f>
        <v>3-00-01014-002 (KCN00121) Application Rev 3.xlsx</v>
      </c>
      <c r="BE103" s="64">
        <f t="shared" ca="1" si="3"/>
        <v>50</v>
      </c>
      <c r="BF103" s="104" t="str">
        <f ca="1">LEFT(CELL("filename",A88),_05preva_view43[[#This Row],[Find Process &amp; Database]]-1)</f>
        <v>D:\OneDrive - apollo-towers.com\Apollo Towers\00-</v>
      </c>
      <c r="BG103" s="104" t="str">
        <f ca="1">_05preva_view43[Folder Path1]&amp;"Process &amp; Database\Documentation\Colo Applications"</f>
        <v>D:\OneDrive - apollo-towers.com\Apollo Towers\00-Process &amp; Database\Documentation\Colo Applications</v>
      </c>
      <c r="BH103" s="104" t="str">
        <f ca="1">_05preva_view43[Folder Path2]&amp;"\Colo App "&amp;_05preva_view43[[#This Row],[Operator]]&amp;"\"</f>
        <v>D:\OneDrive - apollo-towers.com\Apollo Towers\00-Process &amp; Database\Documentation\Colo Applications\Colo App MPT\</v>
      </c>
      <c r="BI103" s="63" t="str">
        <f ca="1">_05preva_view43[[#This Row],[Folder Path3]]&amp;_05preva_view43[[#This Row],[File Name]]</f>
        <v>D:\OneDrive - apollo-towers.com\Apollo Towers\00-Process &amp; Database\Documentation\Colo Applications\Colo App MPT\3-00-01014-002 (KCN00121) Application Rev 3.xlsx</v>
      </c>
      <c r="BJ103" s="104"/>
      <c r="BK103" s="3"/>
      <c r="BL103" s="3"/>
      <c r="CJ103" s="5"/>
      <c r="CK103" s="5"/>
      <c r="CL103" s="3"/>
      <c r="CN103" s="5"/>
      <c r="CR103" s="3"/>
      <c r="CS103" s="3"/>
      <c r="CT103" s="5"/>
      <c r="CV103" s="3"/>
      <c r="DR103" s="5"/>
      <c r="DT103" s="3"/>
      <c r="EF103" s="7"/>
      <c r="EG103" s="7"/>
      <c r="EJ103" s="4"/>
      <c r="EK103" s="4"/>
      <c r="EU103" s="2"/>
      <c r="EV103" s="2"/>
    </row>
    <row r="104" spans="1:152">
      <c r="A104" s="125">
        <v>3540</v>
      </c>
      <c r="B104" s="126" t="s">
        <v>1631</v>
      </c>
      <c r="C104" s="126" t="s">
        <v>331</v>
      </c>
      <c r="D104" s="126" t="s">
        <v>127</v>
      </c>
      <c r="E104" s="126" t="s">
        <v>1632</v>
      </c>
      <c r="F104" s="126" t="s">
        <v>35</v>
      </c>
      <c r="G104" s="126" t="s">
        <v>1583</v>
      </c>
      <c r="H104" s="126" t="s">
        <v>1575</v>
      </c>
      <c r="I104" s="126" t="s">
        <v>1263</v>
      </c>
      <c r="J104" s="126" t="s">
        <v>990</v>
      </c>
      <c r="K104" s="127">
        <v>43461</v>
      </c>
      <c r="L104" s="128">
        <v>1</v>
      </c>
      <c r="M104" s="128">
        <v>1.4</v>
      </c>
      <c r="N104" s="126">
        <v>3.61</v>
      </c>
      <c r="O104" s="126" t="s">
        <v>950</v>
      </c>
      <c r="P104" s="129" t="s">
        <v>1062</v>
      </c>
      <c r="Q104" s="129" t="s">
        <v>958</v>
      </c>
      <c r="R104" s="126" t="s">
        <v>24</v>
      </c>
      <c r="S104" s="126"/>
      <c r="T104" s="130" t="s">
        <v>120</v>
      </c>
      <c r="U104" s="126"/>
      <c r="V104" s="130" t="s">
        <v>120</v>
      </c>
      <c r="W104" s="126"/>
      <c r="X104" s="130" t="s">
        <v>120</v>
      </c>
      <c r="Y104" s="126" t="s">
        <v>1633</v>
      </c>
      <c r="Z104" s="162" t="s">
        <v>120</v>
      </c>
      <c r="AA104" s="154"/>
      <c r="AB104" s="154"/>
      <c r="AC104" s="167" t="s">
        <v>123</v>
      </c>
      <c r="AD104" s="126" t="s">
        <v>1777</v>
      </c>
      <c r="AE104" s="130" t="s">
        <v>120</v>
      </c>
      <c r="AF104" s="127"/>
      <c r="AG104" s="131"/>
      <c r="AH104" s="131"/>
      <c r="AI104" s="126"/>
      <c r="AJ104" s="130" t="s">
        <v>120</v>
      </c>
      <c r="AK104" s="126" t="s">
        <v>123</v>
      </c>
      <c r="AL104" s="126" t="s">
        <v>1198</v>
      </c>
      <c r="AM104" s="130"/>
      <c r="AN104" s="126"/>
      <c r="AO104" s="132"/>
      <c r="AP104" s="126"/>
      <c r="AQ104" s="126"/>
      <c r="AR104" s="130"/>
      <c r="AS104" s="126"/>
      <c r="AT104" s="127">
        <v>43461.484660300899</v>
      </c>
      <c r="AU104" s="127">
        <v>43479.735444560203</v>
      </c>
      <c r="AV104" s="127">
        <v>43467.484192592601</v>
      </c>
      <c r="AW104" s="127">
        <v>43461.484660300899</v>
      </c>
      <c r="AX104" s="127">
        <v>43472.656817708303</v>
      </c>
      <c r="AY104" s="127">
        <v>43461.439168981502</v>
      </c>
      <c r="AZ104" s="133">
        <v>43480.437808796298</v>
      </c>
      <c r="BA104" s="134">
        <f ca="1">IF(_05preva_view43[[#This Row],[Prevalidation Status]]="Under Prevalidation",NOW()-_05preva_view43[[#This Row],[Request Date]],IF(_05preva_view43[[#This Row],[Close Date]]&gt;_05preva_view43[[#This Row],[Request Date]],_05preva_view43[[#This Row],[Close Date]]-_05preva_view43[[#This Row],[Request Date]],"Not  Calculated"))</f>
        <v>19.437808796297759</v>
      </c>
      <c r="BB104" s="135">
        <f>COUNTIFS(_05preva_view43[Site ID],_05preva_view43[[#This Row],[Site ID]],_05preva_view43[Prevalidation Status],"Under Prevalidation")</f>
        <v>1</v>
      </c>
      <c r="BC104" s="153" t="str">
        <f ca="1">HYPERLINK(CheckPath(_05preva_view43[[#This Row],[File Path]],_05preva_view43[[#This Row],[File Path]],_05preva_view43[[#This Row],[Folder Path3]]),CheckPath(_05preva_view43[[#This Row],[File Path]],"Open File","No File"))</f>
        <v>No File</v>
      </c>
      <c r="BD104" s="136" t="str">
        <f>CONCATENATE(_05preva_view43[[#This Row],[Site ID]]," (",_05preva_view43[[#This Row],[tenant id]],") Application",IF(_05preva_view43[[#This Row],[Colo Rev]]&gt;0," Rev "&amp;_05preva_view43[[#This Row],[Colo Rev]],""),".xlsx")</f>
        <v>1-01-05015-002 (SGG00199) Application Rev 3.xlsx</v>
      </c>
      <c r="BE104" s="64">
        <f t="shared" ca="1" si="3"/>
        <v>50</v>
      </c>
      <c r="BF104" s="104" t="str">
        <f ca="1">LEFT(CELL("filename",A89),_05preva_view43[[#This Row],[Find Process &amp; Database]]-1)</f>
        <v>D:\OneDrive - apollo-towers.com\Apollo Towers\00-</v>
      </c>
      <c r="BG104" s="104" t="str">
        <f ca="1">_05preva_view43[Folder Path1]&amp;"Process &amp; Database\Documentation\Colo Applications"</f>
        <v>D:\OneDrive - apollo-towers.com\Apollo Towers\00-Process &amp; Database\Documentation\Colo Applications</v>
      </c>
      <c r="BH104" s="104" t="str">
        <f ca="1">_05preva_view43[Folder Path2]&amp;"\Colo App "&amp;_05preva_view43[[#This Row],[Operator]]&amp;"\"</f>
        <v>D:\OneDrive - apollo-towers.com\Apollo Towers\00-Process &amp; Database\Documentation\Colo Applications\Colo App MPT\</v>
      </c>
      <c r="BI104" s="63" t="str">
        <f ca="1">_05preva_view43[[#This Row],[Folder Path3]]&amp;_05preva_view43[[#This Row],[File Name]]</f>
        <v>D:\OneDrive - apollo-towers.com\Apollo Towers\00-Process &amp; Database\Documentation\Colo Applications\Colo App MPT\1-01-05015-002 (SGG00199) Application Rev 3.xlsx</v>
      </c>
      <c r="BJ104" s="104"/>
      <c r="BK104" s="3"/>
      <c r="BL104" s="3"/>
      <c r="CJ104" s="5"/>
      <c r="CK104" s="5"/>
      <c r="CL104" s="3"/>
      <c r="CN104" s="5"/>
      <c r="CR104" s="3"/>
      <c r="CS104" s="3"/>
      <c r="CT104" s="5"/>
      <c r="CV104" s="3"/>
      <c r="DR104" s="5"/>
      <c r="DT104" s="3"/>
      <c r="EF104" s="7"/>
      <c r="EG104" s="7"/>
      <c r="EJ104" s="4"/>
      <c r="EK104" s="4"/>
      <c r="EU104" s="2"/>
      <c r="EV104" s="2"/>
    </row>
    <row r="105" spans="1:152">
      <c r="A105" s="125">
        <v>3541</v>
      </c>
      <c r="B105" s="126" t="s">
        <v>976</v>
      </c>
      <c r="C105" s="126" t="s">
        <v>331</v>
      </c>
      <c r="D105" s="126" t="s">
        <v>127</v>
      </c>
      <c r="E105" s="126" t="s">
        <v>977</v>
      </c>
      <c r="F105" s="126" t="s">
        <v>35</v>
      </c>
      <c r="G105" s="126" t="s">
        <v>1583</v>
      </c>
      <c r="H105" s="126" t="s">
        <v>1575</v>
      </c>
      <c r="I105" s="126" t="s">
        <v>1634</v>
      </c>
      <c r="J105" s="126" t="s">
        <v>990</v>
      </c>
      <c r="K105" s="127">
        <v>43461</v>
      </c>
      <c r="L105" s="128">
        <v>2.2999999999999998</v>
      </c>
      <c r="M105" s="128">
        <v>3.5</v>
      </c>
      <c r="N105" s="126">
        <v>4.0599999999999996</v>
      </c>
      <c r="O105" s="126" t="s">
        <v>950</v>
      </c>
      <c r="P105" s="129" t="s">
        <v>704</v>
      </c>
      <c r="Q105" s="129" t="s">
        <v>705</v>
      </c>
      <c r="R105" s="126" t="s">
        <v>24</v>
      </c>
      <c r="S105" s="126"/>
      <c r="T105" s="130" t="s">
        <v>120</v>
      </c>
      <c r="U105" s="126"/>
      <c r="V105" s="130" t="s">
        <v>120</v>
      </c>
      <c r="W105" s="126"/>
      <c r="X105" s="130" t="s">
        <v>120</v>
      </c>
      <c r="Y105" s="126" t="s">
        <v>1635</v>
      </c>
      <c r="Z105" s="162" t="s">
        <v>120</v>
      </c>
      <c r="AA105" s="154"/>
      <c r="AB105" s="154"/>
      <c r="AC105" s="167" t="s">
        <v>123</v>
      </c>
      <c r="AD105" s="126" t="s">
        <v>1778</v>
      </c>
      <c r="AE105" s="130" t="s">
        <v>120</v>
      </c>
      <c r="AF105" s="127" t="s">
        <v>2099</v>
      </c>
      <c r="AG105" s="131"/>
      <c r="AH105" s="131"/>
      <c r="AI105" s="126" t="s">
        <v>2108</v>
      </c>
      <c r="AJ105" s="130" t="s">
        <v>120</v>
      </c>
      <c r="AK105" s="126" t="s">
        <v>123</v>
      </c>
      <c r="AL105" s="126" t="s">
        <v>1198</v>
      </c>
      <c r="AM105" s="130"/>
      <c r="AN105" s="126"/>
      <c r="AO105" s="132"/>
      <c r="AP105" s="126"/>
      <c r="AQ105" s="126"/>
      <c r="AR105" s="130"/>
      <c r="AS105" s="126"/>
      <c r="AT105" s="127">
        <v>43461.702668055601</v>
      </c>
      <c r="AU105" s="127">
        <v>43481.501123611102</v>
      </c>
      <c r="AV105" s="127">
        <v>43467.618563194403</v>
      </c>
      <c r="AW105" s="127">
        <v>43461.702668055601</v>
      </c>
      <c r="AX105" s="127">
        <v>43472.656819097203</v>
      </c>
      <c r="AY105" s="127">
        <v>43461.633895370403</v>
      </c>
      <c r="AZ105" s="133">
        <v>43481.630462847199</v>
      </c>
      <c r="BA105" s="134">
        <f ca="1">IF(_05preva_view43[[#This Row],[Prevalidation Status]]="Under Prevalidation",NOW()-_05preva_view43[[#This Row],[Request Date]],IF(_05preva_view43[[#This Row],[Close Date]]&gt;_05preva_view43[[#This Row],[Request Date]],_05preva_view43[[#This Row],[Close Date]]-_05preva_view43[[#This Row],[Request Date]],"Not  Calculated"))</f>
        <v>20.630462847198942</v>
      </c>
      <c r="BB105" s="135">
        <f>COUNTIFS(_05preva_view43[Site ID],_05preva_view43[[#This Row],[Site ID]],_05preva_view43[Prevalidation Status],"Under Prevalidation")</f>
        <v>0</v>
      </c>
      <c r="BC105" s="153" t="str">
        <f ca="1">HYPERLINK(CheckPath(_05preva_view43[[#This Row],[File Path]],_05preva_view43[[#This Row],[File Path]],_05preva_view43[[#This Row],[Folder Path3]]),CheckPath(_05preva_view43[[#This Row],[File Path]],"Open File","No File"))</f>
        <v>No File</v>
      </c>
      <c r="BD105" s="136" t="str">
        <f>CONCATENATE(_05preva_view43[[#This Row],[Site ID]]," (",_05preva_view43[[#This Row],[tenant id]],") Application",IF(_05preva_view43[[#This Row],[Colo Rev]]&gt;0," Rev "&amp;_05preva_view43[[#This Row],[Colo Rev]],""),".xlsx")</f>
        <v>1-01-01002-007 (KCN00293) Application Rev 3.xlsx</v>
      </c>
      <c r="BE105" s="64">
        <f t="shared" ca="1" si="3"/>
        <v>50</v>
      </c>
      <c r="BF105" s="104" t="str">
        <f ca="1">LEFT(CELL("filename",A90),_05preva_view43[[#This Row],[Find Process &amp; Database]]-1)</f>
        <v>D:\OneDrive - apollo-towers.com\Apollo Towers\00-</v>
      </c>
      <c r="BG105" s="104" t="str">
        <f ca="1">_05preva_view43[Folder Path1]&amp;"Process &amp; Database\Documentation\Colo Applications"</f>
        <v>D:\OneDrive - apollo-towers.com\Apollo Towers\00-Process &amp; Database\Documentation\Colo Applications</v>
      </c>
      <c r="BH105" s="104" t="str">
        <f ca="1">_05preva_view43[Folder Path2]&amp;"\Colo App "&amp;_05preva_view43[[#This Row],[Operator]]&amp;"\"</f>
        <v>D:\OneDrive - apollo-towers.com\Apollo Towers\00-Process &amp; Database\Documentation\Colo Applications\Colo App MPT\</v>
      </c>
      <c r="BI105" s="63" t="str">
        <f ca="1">_05preva_view43[[#This Row],[Folder Path3]]&amp;_05preva_view43[[#This Row],[File Name]]</f>
        <v>D:\OneDrive - apollo-towers.com\Apollo Towers\00-Process &amp; Database\Documentation\Colo Applications\Colo App MPT\1-01-01002-007 (KCN00293) Application Rev 3.xlsx</v>
      </c>
      <c r="BJ105" s="104"/>
      <c r="BK105" s="3"/>
      <c r="BL105" s="3"/>
      <c r="CJ105" s="5"/>
      <c r="CK105" s="5"/>
      <c r="CL105" s="3"/>
      <c r="CN105" s="5"/>
      <c r="CR105" s="3"/>
      <c r="CS105" s="3"/>
      <c r="CT105" s="5"/>
      <c r="CV105" s="3"/>
      <c r="DR105" s="5"/>
      <c r="DT105" s="3"/>
      <c r="EF105" s="7"/>
      <c r="EG105" s="7"/>
      <c r="EJ105" s="4"/>
      <c r="EK105" s="4"/>
      <c r="EU105" s="2"/>
      <c r="EV105" s="2"/>
    </row>
    <row r="106" spans="1:152">
      <c r="A106" s="125">
        <v>3542</v>
      </c>
      <c r="B106" s="126" t="s">
        <v>1636</v>
      </c>
      <c r="C106" s="126" t="s">
        <v>331</v>
      </c>
      <c r="D106" s="126" t="s">
        <v>163</v>
      </c>
      <c r="E106" s="126" t="s">
        <v>1637</v>
      </c>
      <c r="F106" s="126" t="s">
        <v>34</v>
      </c>
      <c r="G106" s="126" t="s">
        <v>1582</v>
      </c>
      <c r="H106" s="126" t="s">
        <v>1575</v>
      </c>
      <c r="I106" s="126" t="s">
        <v>1517</v>
      </c>
      <c r="J106" s="126" t="s">
        <v>949</v>
      </c>
      <c r="K106" s="127">
        <v>43461</v>
      </c>
      <c r="L106" s="128"/>
      <c r="M106" s="128"/>
      <c r="N106" s="126">
        <v>4.6399999999999997</v>
      </c>
      <c r="O106" s="126" t="s">
        <v>950</v>
      </c>
      <c r="P106" s="129" t="s">
        <v>704</v>
      </c>
      <c r="Q106" s="129" t="s">
        <v>705</v>
      </c>
      <c r="R106" s="126" t="s">
        <v>24</v>
      </c>
      <c r="S106" s="126"/>
      <c r="T106" s="130" t="s">
        <v>861</v>
      </c>
      <c r="U106" s="126"/>
      <c r="V106" s="130" t="s">
        <v>861</v>
      </c>
      <c r="W106" s="126"/>
      <c r="X106" s="130" t="s">
        <v>120</v>
      </c>
      <c r="Y106" s="126" t="s">
        <v>1638</v>
      </c>
      <c r="Z106" s="162" t="s">
        <v>120</v>
      </c>
      <c r="AA106" s="154"/>
      <c r="AB106" s="154"/>
      <c r="AC106" s="167" t="s">
        <v>123</v>
      </c>
      <c r="AD106" s="126" t="s">
        <v>1809</v>
      </c>
      <c r="AE106" s="130" t="s">
        <v>861</v>
      </c>
      <c r="AF106" s="127"/>
      <c r="AG106" s="131"/>
      <c r="AH106" s="131"/>
      <c r="AI106" s="126"/>
      <c r="AJ106" s="130" t="s">
        <v>861</v>
      </c>
      <c r="AK106" s="126"/>
      <c r="AL106" s="126"/>
      <c r="AM106" s="130" t="s">
        <v>861</v>
      </c>
      <c r="AN106" s="126"/>
      <c r="AO106" s="132"/>
      <c r="AP106" s="126" t="s">
        <v>861</v>
      </c>
      <c r="AQ106" s="126"/>
      <c r="AR106" s="130" t="s">
        <v>120</v>
      </c>
      <c r="AS106" s="126"/>
      <c r="AT106" s="127">
        <v>43461.702668749997</v>
      </c>
      <c r="AU106" s="127"/>
      <c r="AV106" s="127">
        <v>43472.675091666701</v>
      </c>
      <c r="AW106" s="127"/>
      <c r="AX106" s="127"/>
      <c r="AY106" s="127"/>
      <c r="AZ106" s="133">
        <v>43472.675091666701</v>
      </c>
      <c r="BA106" s="134">
        <f ca="1">IF(_05preva_view43[[#This Row],[Prevalidation Status]]="Under Prevalidation",NOW()-_05preva_view43[[#This Row],[Request Date]],IF(_05preva_view43[[#This Row],[Close Date]]&gt;_05preva_view43[[#This Row],[Request Date]],_05preva_view43[[#This Row],[Close Date]]-_05preva_view43[[#This Row],[Request Date]],"Not  Calculated"))</f>
        <v>11.675091666700609</v>
      </c>
      <c r="BB106" s="135">
        <f>COUNTIFS(_05preva_view43[Site ID],_05preva_view43[[#This Row],[Site ID]],_05preva_view43[Prevalidation Status],"Under Prevalidation")</f>
        <v>0</v>
      </c>
      <c r="BC106" s="153" t="str">
        <f ca="1">HYPERLINK(CheckPath(_05preva_view43[[#This Row],[File Path]],_05preva_view43[[#This Row],[File Path]],_05preva_view43[[#This Row],[Folder Path3]]),CheckPath(_05preva_view43[[#This Row],[File Path]],"Open File","No File"))</f>
        <v>No File</v>
      </c>
      <c r="BD106" s="136" t="str">
        <f>CONCATENATE(_05preva_view43[[#This Row],[Site ID]]," (",_05preva_view43[[#This Row],[tenant id]],") Application",IF(_05preva_view43[[#This Row],[Colo Rev]]&gt;0," Rev "&amp;_05preva_view43[[#This Row],[Colo Rev]],""),".xlsx")</f>
        <v>1-01-17008-014 (AYY0016) Application Rev 2.xlsx</v>
      </c>
      <c r="BE106" s="64">
        <f t="shared" ca="1" si="3"/>
        <v>50</v>
      </c>
      <c r="BF106" s="104" t="str">
        <f ca="1">LEFT(CELL("filename",A91),_05preva_view43[[#This Row],[Find Process &amp; Database]]-1)</f>
        <v>D:\OneDrive - apollo-towers.com\Apollo Towers\00-</v>
      </c>
      <c r="BG106" s="104" t="str">
        <f ca="1">_05preva_view43[Folder Path1]&amp;"Process &amp; Database\Documentation\Colo Applications"</f>
        <v>D:\OneDrive - apollo-towers.com\Apollo Towers\00-Process &amp; Database\Documentation\Colo Applications</v>
      </c>
      <c r="BH106" s="104" t="str">
        <f ca="1">_05preva_view43[Folder Path2]&amp;"\Colo App "&amp;_05preva_view43[[#This Row],[Operator]]&amp;"\"</f>
        <v>D:\OneDrive - apollo-towers.com\Apollo Towers\00-Process &amp; Database\Documentation\Colo Applications\Colo App Mytel\</v>
      </c>
      <c r="BI106" s="63" t="str">
        <f ca="1">_05preva_view43[[#This Row],[Folder Path3]]&amp;_05preva_view43[[#This Row],[File Name]]</f>
        <v>D:\OneDrive - apollo-towers.com\Apollo Towers\00-Process &amp; Database\Documentation\Colo Applications\Colo App Mytel\1-01-17008-014 (AYY0016) Application Rev 2.xlsx</v>
      </c>
      <c r="BJ106" s="104"/>
      <c r="BK106" s="3"/>
      <c r="BL106" s="3"/>
      <c r="CJ106" s="5"/>
      <c r="CK106" s="5"/>
      <c r="CL106" s="3"/>
      <c r="CN106" s="5"/>
      <c r="CR106" s="3"/>
      <c r="CS106" s="3"/>
      <c r="CT106" s="5"/>
      <c r="CV106" s="3"/>
      <c r="DR106" s="5"/>
      <c r="DT106" s="3"/>
      <c r="EF106" s="7"/>
      <c r="EG106" s="7"/>
      <c r="EJ106" s="4"/>
      <c r="EK106" s="4"/>
      <c r="EU106" s="2"/>
      <c r="EV106" s="2"/>
    </row>
    <row r="107" spans="1:152">
      <c r="A107" s="125">
        <v>3543</v>
      </c>
      <c r="B107" s="126" t="s">
        <v>1639</v>
      </c>
      <c r="C107" s="126" t="s">
        <v>331</v>
      </c>
      <c r="D107" s="126" t="s">
        <v>163</v>
      </c>
      <c r="E107" s="126" t="s">
        <v>1640</v>
      </c>
      <c r="F107" s="126" t="s">
        <v>34</v>
      </c>
      <c r="G107" s="126" t="s">
        <v>1582</v>
      </c>
      <c r="H107" s="126" t="s">
        <v>1575</v>
      </c>
      <c r="I107" s="126" t="s">
        <v>1517</v>
      </c>
      <c r="J107" s="126" t="s">
        <v>949</v>
      </c>
      <c r="K107" s="127">
        <v>43461</v>
      </c>
      <c r="L107" s="128">
        <v>1.6</v>
      </c>
      <c r="M107" s="128">
        <v>1.8</v>
      </c>
      <c r="N107" s="126">
        <v>4.92</v>
      </c>
      <c r="O107" s="126" t="s">
        <v>950</v>
      </c>
      <c r="P107" s="129" t="s">
        <v>1028</v>
      </c>
      <c r="Q107" s="129" t="s">
        <v>1029</v>
      </c>
      <c r="R107" s="126" t="s">
        <v>24</v>
      </c>
      <c r="S107" s="126"/>
      <c r="T107" s="130" t="s">
        <v>861</v>
      </c>
      <c r="U107" s="126"/>
      <c r="V107" s="130" t="s">
        <v>861</v>
      </c>
      <c r="W107" s="126"/>
      <c r="X107" s="130" t="s">
        <v>120</v>
      </c>
      <c r="Y107" s="126" t="s">
        <v>1641</v>
      </c>
      <c r="Z107" s="162" t="s">
        <v>120</v>
      </c>
      <c r="AA107" s="154"/>
      <c r="AB107" s="154"/>
      <c r="AC107" s="167" t="s">
        <v>123</v>
      </c>
      <c r="AD107" s="126" t="s">
        <v>1810</v>
      </c>
      <c r="AE107" s="130" t="s">
        <v>861</v>
      </c>
      <c r="AF107" s="127"/>
      <c r="AG107" s="131"/>
      <c r="AH107" s="131"/>
      <c r="AI107" s="126"/>
      <c r="AJ107" s="130" t="s">
        <v>861</v>
      </c>
      <c r="AK107" s="126"/>
      <c r="AL107" s="126"/>
      <c r="AM107" s="130" t="s">
        <v>861</v>
      </c>
      <c r="AN107" s="126"/>
      <c r="AO107" s="132"/>
      <c r="AP107" s="126" t="s">
        <v>861</v>
      </c>
      <c r="AQ107" s="126"/>
      <c r="AR107" s="130" t="s">
        <v>120</v>
      </c>
      <c r="AS107" s="126"/>
      <c r="AT107" s="127">
        <v>43461.702670023202</v>
      </c>
      <c r="AU107" s="127"/>
      <c r="AV107" s="127">
        <v>43472.675092245401</v>
      </c>
      <c r="AW107" s="127"/>
      <c r="AX107" s="127"/>
      <c r="AY107" s="127"/>
      <c r="AZ107" s="133">
        <v>43472.675092245401</v>
      </c>
      <c r="BA107" s="134">
        <f ca="1">IF(_05preva_view43[[#This Row],[Prevalidation Status]]="Under Prevalidation",NOW()-_05preva_view43[[#This Row],[Request Date]],IF(_05preva_view43[[#This Row],[Close Date]]&gt;_05preva_view43[[#This Row],[Request Date]],_05preva_view43[[#This Row],[Close Date]]-_05preva_view43[[#This Row],[Request Date]],"Not  Calculated"))</f>
        <v>11.675092245401174</v>
      </c>
      <c r="BB107" s="135">
        <f>COUNTIFS(_05preva_view43[Site ID],_05preva_view43[[#This Row],[Site ID]],_05preva_view43[Prevalidation Status],"Under Prevalidation")</f>
        <v>0</v>
      </c>
      <c r="BC107" s="153" t="str">
        <f ca="1">HYPERLINK(CheckPath(_05preva_view43[[#This Row],[File Path]],_05preva_view43[[#This Row],[File Path]],_05preva_view43[[#This Row],[Folder Path3]]),CheckPath(_05preva_view43[[#This Row],[File Path]],"Open File","No File"))</f>
        <v>No File</v>
      </c>
      <c r="BD107" s="136" t="str">
        <f>CONCATENATE(_05preva_view43[[#This Row],[Site ID]]," (",_05preva_view43[[#This Row],[tenant id]],") Application",IF(_05preva_view43[[#This Row],[Colo Rev]]&gt;0," Rev "&amp;_05preva_view43[[#This Row],[Colo Rev]],""),".xlsx")</f>
        <v>1-01-17019-006 (AYY0333) Application Rev 2.xlsx</v>
      </c>
      <c r="BE107" s="64">
        <f t="shared" ca="1" si="3"/>
        <v>50</v>
      </c>
      <c r="BF107" s="104" t="str">
        <f ca="1">LEFT(CELL("filename",A92),_05preva_view43[[#This Row],[Find Process &amp; Database]]-1)</f>
        <v>D:\OneDrive - apollo-towers.com\Apollo Towers\00-</v>
      </c>
      <c r="BG107" s="104" t="str">
        <f ca="1">_05preva_view43[Folder Path1]&amp;"Process &amp; Database\Documentation\Colo Applications"</f>
        <v>D:\OneDrive - apollo-towers.com\Apollo Towers\00-Process &amp; Database\Documentation\Colo Applications</v>
      </c>
      <c r="BH107" s="104" t="str">
        <f ca="1">_05preva_view43[Folder Path2]&amp;"\Colo App "&amp;_05preva_view43[[#This Row],[Operator]]&amp;"\"</f>
        <v>D:\OneDrive - apollo-towers.com\Apollo Towers\00-Process &amp; Database\Documentation\Colo Applications\Colo App Mytel\</v>
      </c>
      <c r="BI107" s="63" t="str">
        <f ca="1">_05preva_view43[[#This Row],[Folder Path3]]&amp;_05preva_view43[[#This Row],[File Name]]</f>
        <v>D:\OneDrive - apollo-towers.com\Apollo Towers\00-Process &amp; Database\Documentation\Colo Applications\Colo App Mytel\1-01-17019-006 (AYY0333) Application Rev 2.xlsx</v>
      </c>
      <c r="BJ107" s="104"/>
      <c r="BK107" s="3"/>
      <c r="BL107" s="3"/>
      <c r="CJ107" s="5"/>
      <c r="CK107" s="5"/>
      <c r="CL107" s="3"/>
      <c r="CN107" s="5"/>
      <c r="CR107" s="3"/>
      <c r="CS107" s="3"/>
      <c r="CT107" s="5"/>
      <c r="CV107" s="3"/>
      <c r="DR107" s="5"/>
      <c r="DT107" s="3"/>
      <c r="EF107" s="7"/>
      <c r="EG107" s="7"/>
      <c r="EJ107" s="4"/>
      <c r="EK107" s="4"/>
      <c r="EU107" s="2"/>
      <c r="EV107" s="2"/>
    </row>
    <row r="108" spans="1:152">
      <c r="A108" s="125">
        <v>3544</v>
      </c>
      <c r="B108" s="126" t="s">
        <v>1642</v>
      </c>
      <c r="C108" s="126" t="s">
        <v>331</v>
      </c>
      <c r="D108" s="126" t="s">
        <v>127</v>
      </c>
      <c r="E108" s="126" t="s">
        <v>1643</v>
      </c>
      <c r="F108" s="126" t="s">
        <v>34</v>
      </c>
      <c r="G108" s="126" t="s">
        <v>1582</v>
      </c>
      <c r="H108" s="126" t="s">
        <v>1575</v>
      </c>
      <c r="I108" s="126" t="s">
        <v>1517</v>
      </c>
      <c r="J108" s="126" t="s">
        <v>949</v>
      </c>
      <c r="K108" s="127">
        <v>43461</v>
      </c>
      <c r="L108" s="128">
        <v>1.5</v>
      </c>
      <c r="M108" s="128">
        <v>1.7</v>
      </c>
      <c r="N108" s="126">
        <v>4.07</v>
      </c>
      <c r="O108" s="126" t="s">
        <v>950</v>
      </c>
      <c r="P108" s="129" t="s">
        <v>704</v>
      </c>
      <c r="Q108" s="129" t="s">
        <v>705</v>
      </c>
      <c r="R108" s="126" t="s">
        <v>24</v>
      </c>
      <c r="S108" s="126"/>
      <c r="T108" s="130" t="s">
        <v>861</v>
      </c>
      <c r="U108" s="126"/>
      <c r="V108" s="130" t="s">
        <v>861</v>
      </c>
      <c r="W108" s="126"/>
      <c r="X108" s="130" t="s">
        <v>120</v>
      </c>
      <c r="Y108" s="126" t="s">
        <v>1644</v>
      </c>
      <c r="Z108" s="162" t="s">
        <v>120</v>
      </c>
      <c r="AA108" s="154"/>
      <c r="AB108" s="154"/>
      <c r="AC108" s="167" t="s">
        <v>123</v>
      </c>
      <c r="AD108" s="126" t="s">
        <v>1811</v>
      </c>
      <c r="AE108" s="130" t="s">
        <v>861</v>
      </c>
      <c r="AF108" s="127"/>
      <c r="AG108" s="131"/>
      <c r="AH108" s="131"/>
      <c r="AI108" s="126"/>
      <c r="AJ108" s="130" t="s">
        <v>861</v>
      </c>
      <c r="AK108" s="126"/>
      <c r="AL108" s="126"/>
      <c r="AM108" s="130" t="s">
        <v>861</v>
      </c>
      <c r="AN108" s="126"/>
      <c r="AO108" s="132"/>
      <c r="AP108" s="126" t="s">
        <v>861</v>
      </c>
      <c r="AQ108" s="126"/>
      <c r="AR108" s="130" t="s">
        <v>120</v>
      </c>
      <c r="AS108" s="126"/>
      <c r="AT108" s="127">
        <v>43461.702671064799</v>
      </c>
      <c r="AU108" s="127"/>
      <c r="AV108" s="127">
        <v>43472.510648379597</v>
      </c>
      <c r="AW108" s="127"/>
      <c r="AX108" s="127"/>
      <c r="AY108" s="127"/>
      <c r="AZ108" s="133">
        <v>43472.510648379597</v>
      </c>
      <c r="BA108" s="134">
        <f ca="1">IF(_05preva_view43[[#This Row],[Prevalidation Status]]="Under Prevalidation",NOW()-_05preva_view43[[#This Row],[Request Date]],IF(_05preva_view43[[#This Row],[Close Date]]&gt;_05preva_view43[[#This Row],[Request Date]],_05preva_view43[[#This Row],[Close Date]]-_05preva_view43[[#This Row],[Request Date]],"Not  Calculated"))</f>
        <v>11.510648379597114</v>
      </c>
      <c r="BB108" s="135">
        <f>COUNTIFS(_05preva_view43[Site ID],_05preva_view43[[#This Row],[Site ID]],_05preva_view43[Prevalidation Status],"Under Prevalidation")</f>
        <v>0</v>
      </c>
      <c r="BC108" s="153" t="str">
        <f ca="1">HYPERLINK(CheckPath(_05preva_view43[[#This Row],[File Path]],_05preva_view43[[#This Row],[File Path]],_05preva_view43[[#This Row],[Folder Path3]]),CheckPath(_05preva_view43[[#This Row],[File Path]],"Open File","No File"))</f>
        <v>No File</v>
      </c>
      <c r="BD108" s="136" t="str">
        <f>CONCATENATE(_05preva_view43[[#This Row],[Site ID]]," (",_05preva_view43[[#This Row],[tenant id]],") Application",IF(_05preva_view43[[#This Row],[Colo Rev]]&gt;0," Rev "&amp;_05preva_view43[[#This Row],[Colo Rev]],""),".xlsx")</f>
        <v>1-01-01008-016 (KCN0033) Application Rev 2.xlsx</v>
      </c>
      <c r="BE108" s="64">
        <f t="shared" ca="1" si="3"/>
        <v>50</v>
      </c>
      <c r="BF108" s="104" t="str">
        <f ca="1">LEFT(CELL("filename",A93),_05preva_view43[[#This Row],[Find Process &amp; Database]]-1)</f>
        <v>D:\OneDrive - apollo-towers.com\Apollo Towers\00-</v>
      </c>
      <c r="BG108" s="104" t="str">
        <f ca="1">_05preva_view43[Folder Path1]&amp;"Process &amp; Database\Documentation\Colo Applications"</f>
        <v>D:\OneDrive - apollo-towers.com\Apollo Towers\00-Process &amp; Database\Documentation\Colo Applications</v>
      </c>
      <c r="BH108" s="104" t="str">
        <f ca="1">_05preva_view43[Folder Path2]&amp;"\Colo App "&amp;_05preva_view43[[#This Row],[Operator]]&amp;"\"</f>
        <v>D:\OneDrive - apollo-towers.com\Apollo Towers\00-Process &amp; Database\Documentation\Colo Applications\Colo App Mytel\</v>
      </c>
      <c r="BI108" s="63" t="str">
        <f ca="1">_05preva_view43[[#This Row],[Folder Path3]]&amp;_05preva_view43[[#This Row],[File Name]]</f>
        <v>D:\OneDrive - apollo-towers.com\Apollo Towers\00-Process &amp; Database\Documentation\Colo Applications\Colo App Mytel\1-01-01008-016 (KCN0033) Application Rev 2.xlsx</v>
      </c>
      <c r="BJ108" s="104"/>
      <c r="BK108" s="3"/>
      <c r="BL108" s="3"/>
      <c r="CJ108" s="5"/>
      <c r="CK108" s="5"/>
      <c r="CL108" s="3"/>
      <c r="CN108" s="5"/>
      <c r="CR108" s="3"/>
      <c r="CS108" s="3"/>
      <c r="CT108" s="5"/>
      <c r="CV108" s="3"/>
      <c r="DR108" s="5"/>
      <c r="DT108" s="3"/>
      <c r="EF108" s="7"/>
      <c r="EG108" s="7"/>
      <c r="EJ108" s="4"/>
      <c r="EK108" s="4"/>
      <c r="EU108" s="2"/>
      <c r="EV108" s="2"/>
    </row>
    <row r="109" spans="1:152">
      <c r="A109" s="125">
        <v>3545</v>
      </c>
      <c r="B109" s="126" t="s">
        <v>1645</v>
      </c>
      <c r="C109" s="126" t="s">
        <v>331</v>
      </c>
      <c r="D109" s="126" t="s">
        <v>127</v>
      </c>
      <c r="E109" s="126" t="s">
        <v>1646</v>
      </c>
      <c r="F109" s="126" t="s">
        <v>34</v>
      </c>
      <c r="G109" s="126" t="s">
        <v>1582</v>
      </c>
      <c r="H109" s="126" t="s">
        <v>1575</v>
      </c>
      <c r="I109" s="126" t="s">
        <v>1517</v>
      </c>
      <c r="J109" s="126" t="s">
        <v>949</v>
      </c>
      <c r="K109" s="127">
        <v>43461</v>
      </c>
      <c r="L109" s="128">
        <v>1.6</v>
      </c>
      <c r="M109" s="128">
        <v>1.8</v>
      </c>
      <c r="N109" s="126">
        <v>4.99</v>
      </c>
      <c r="O109" s="126" t="s">
        <v>950</v>
      </c>
      <c r="P109" s="129" t="s">
        <v>704</v>
      </c>
      <c r="Q109" s="129" t="s">
        <v>705</v>
      </c>
      <c r="R109" s="126" t="s">
        <v>24</v>
      </c>
      <c r="S109" s="126"/>
      <c r="T109" s="130" t="s">
        <v>861</v>
      </c>
      <c r="U109" s="126"/>
      <c r="V109" s="130" t="s">
        <v>861</v>
      </c>
      <c r="W109" s="126"/>
      <c r="X109" s="130" t="s">
        <v>120</v>
      </c>
      <c r="Y109" s="126" t="s">
        <v>1647</v>
      </c>
      <c r="Z109" s="162" t="s">
        <v>120</v>
      </c>
      <c r="AA109" s="154"/>
      <c r="AB109" s="154"/>
      <c r="AC109" s="167" t="s">
        <v>123</v>
      </c>
      <c r="AD109" s="126" t="s">
        <v>1862</v>
      </c>
      <c r="AE109" s="130" t="s">
        <v>861</v>
      </c>
      <c r="AF109" s="127"/>
      <c r="AG109" s="131"/>
      <c r="AH109" s="131"/>
      <c r="AI109" s="126"/>
      <c r="AJ109" s="130" t="s">
        <v>861</v>
      </c>
      <c r="AK109" s="126"/>
      <c r="AL109" s="126"/>
      <c r="AM109" s="130" t="s">
        <v>861</v>
      </c>
      <c r="AN109" s="126"/>
      <c r="AO109" s="132"/>
      <c r="AP109" s="126" t="s">
        <v>861</v>
      </c>
      <c r="AQ109" s="126"/>
      <c r="AR109" s="130" t="s">
        <v>120</v>
      </c>
      <c r="AS109" s="126"/>
      <c r="AT109" s="127">
        <v>43461.702671759303</v>
      </c>
      <c r="AU109" s="127"/>
      <c r="AV109" s="127">
        <v>43473.657833333302</v>
      </c>
      <c r="AW109" s="127"/>
      <c r="AX109" s="127"/>
      <c r="AY109" s="127"/>
      <c r="AZ109" s="133">
        <v>43473.657833333302</v>
      </c>
      <c r="BA109" s="134">
        <f ca="1">IF(_05preva_view43[[#This Row],[Prevalidation Status]]="Under Prevalidation",NOW()-_05preva_view43[[#This Row],[Request Date]],IF(_05preva_view43[[#This Row],[Close Date]]&gt;_05preva_view43[[#This Row],[Request Date]],_05preva_view43[[#This Row],[Close Date]]-_05preva_view43[[#This Row],[Request Date]],"Not  Calculated"))</f>
        <v>12.657833333301824</v>
      </c>
      <c r="BB109" s="135">
        <f>COUNTIFS(_05preva_view43[Site ID],_05preva_view43[[#This Row],[Site ID]],_05preva_view43[Prevalidation Status],"Under Prevalidation")</f>
        <v>0</v>
      </c>
      <c r="BC109" s="153" t="str">
        <f ca="1">HYPERLINK(CheckPath(_05preva_view43[[#This Row],[File Path]],_05preva_view43[[#This Row],[File Path]],_05preva_view43[[#This Row],[Folder Path3]]),CheckPath(_05preva_view43[[#This Row],[File Path]],"Open File","No File"))</f>
        <v>No File</v>
      </c>
      <c r="BD109" s="136" t="str">
        <f>CONCATENATE(_05preva_view43[[#This Row],[Site ID]]," (",_05preva_view43[[#This Row],[tenant id]],") Application",IF(_05preva_view43[[#This Row],[Colo Rev]]&gt;0," Rev "&amp;_05preva_view43[[#This Row],[Colo Rev]],""),".xlsx")</f>
        <v>1-01-10030-007 (MDY0162) Application Rev 2.xlsx</v>
      </c>
      <c r="BE109" s="64">
        <f t="shared" ca="1" si="3"/>
        <v>50</v>
      </c>
      <c r="BF109" s="104" t="str">
        <f ca="1">LEFT(CELL("filename",A94),_05preva_view43[[#This Row],[Find Process &amp; Database]]-1)</f>
        <v>D:\OneDrive - apollo-towers.com\Apollo Towers\00-</v>
      </c>
      <c r="BG109" s="104" t="str">
        <f ca="1">_05preva_view43[Folder Path1]&amp;"Process &amp; Database\Documentation\Colo Applications"</f>
        <v>D:\OneDrive - apollo-towers.com\Apollo Towers\00-Process &amp; Database\Documentation\Colo Applications</v>
      </c>
      <c r="BH109" s="104" t="str">
        <f ca="1">_05preva_view43[Folder Path2]&amp;"\Colo App "&amp;_05preva_view43[[#This Row],[Operator]]&amp;"\"</f>
        <v>D:\OneDrive - apollo-towers.com\Apollo Towers\00-Process &amp; Database\Documentation\Colo Applications\Colo App Mytel\</v>
      </c>
      <c r="BI109" s="63" t="str">
        <f ca="1">_05preva_view43[[#This Row],[Folder Path3]]&amp;_05preva_view43[[#This Row],[File Name]]</f>
        <v>D:\OneDrive - apollo-towers.com\Apollo Towers\00-Process &amp; Database\Documentation\Colo Applications\Colo App Mytel\1-01-10030-007 (MDY0162) Application Rev 2.xlsx</v>
      </c>
      <c r="BJ109" s="104"/>
      <c r="BK109" s="3"/>
      <c r="BL109" s="3"/>
      <c r="CJ109" s="5"/>
      <c r="CK109" s="5"/>
      <c r="CL109" s="3"/>
      <c r="CN109" s="5"/>
      <c r="CR109" s="3"/>
      <c r="CS109" s="3"/>
      <c r="CT109" s="5"/>
      <c r="CV109" s="3"/>
      <c r="DR109" s="5"/>
      <c r="DT109" s="3"/>
      <c r="EF109" s="7"/>
      <c r="EG109" s="7"/>
      <c r="EJ109" s="4"/>
      <c r="EK109" s="4"/>
      <c r="EU109" s="2"/>
      <c r="EV109" s="2"/>
    </row>
    <row r="110" spans="1:152">
      <c r="A110" s="125">
        <v>3546</v>
      </c>
      <c r="B110" s="126" t="s">
        <v>1648</v>
      </c>
      <c r="C110" s="126" t="s">
        <v>331</v>
      </c>
      <c r="D110" s="126" t="s">
        <v>127</v>
      </c>
      <c r="E110" s="126" t="s">
        <v>1649</v>
      </c>
      <c r="F110" s="126" t="s">
        <v>34</v>
      </c>
      <c r="G110" s="126" t="s">
        <v>1582</v>
      </c>
      <c r="H110" s="126" t="s">
        <v>1575</v>
      </c>
      <c r="I110" s="126" t="s">
        <v>1517</v>
      </c>
      <c r="J110" s="126" t="s">
        <v>949</v>
      </c>
      <c r="K110" s="127">
        <v>43461</v>
      </c>
      <c r="L110" s="128">
        <v>1.6</v>
      </c>
      <c r="M110" s="128">
        <v>1.7</v>
      </c>
      <c r="N110" s="126">
        <v>4.3600000000000003</v>
      </c>
      <c r="O110" s="126" t="s">
        <v>950</v>
      </c>
      <c r="P110" s="129" t="s">
        <v>1378</v>
      </c>
      <c r="Q110" s="129" t="s">
        <v>1121</v>
      </c>
      <c r="R110" s="126" t="s">
        <v>24</v>
      </c>
      <c r="S110" s="126"/>
      <c r="T110" s="130" t="s">
        <v>861</v>
      </c>
      <c r="U110" s="126"/>
      <c r="V110" s="130" t="s">
        <v>861</v>
      </c>
      <c r="W110" s="126"/>
      <c r="X110" s="130" t="s">
        <v>120</v>
      </c>
      <c r="Y110" s="126" t="s">
        <v>1650</v>
      </c>
      <c r="Z110" s="162" t="s">
        <v>120</v>
      </c>
      <c r="AA110" s="154"/>
      <c r="AB110" s="154"/>
      <c r="AC110" s="167" t="s">
        <v>123</v>
      </c>
      <c r="AD110" s="126" t="s">
        <v>1863</v>
      </c>
      <c r="AE110" s="130" t="s">
        <v>861</v>
      </c>
      <c r="AF110" s="127"/>
      <c r="AG110" s="131"/>
      <c r="AH110" s="131"/>
      <c r="AI110" s="126"/>
      <c r="AJ110" s="130" t="s">
        <v>861</v>
      </c>
      <c r="AK110" s="126"/>
      <c r="AL110" s="126"/>
      <c r="AM110" s="130" t="s">
        <v>861</v>
      </c>
      <c r="AN110" s="126"/>
      <c r="AO110" s="132"/>
      <c r="AP110" s="126" t="s">
        <v>861</v>
      </c>
      <c r="AQ110" s="126"/>
      <c r="AR110" s="130" t="s">
        <v>120</v>
      </c>
      <c r="AS110" s="126"/>
      <c r="AT110" s="127">
        <v>43461.702673148102</v>
      </c>
      <c r="AU110" s="127"/>
      <c r="AV110" s="127">
        <v>43474.469203240697</v>
      </c>
      <c r="AW110" s="127"/>
      <c r="AX110" s="127"/>
      <c r="AY110" s="127"/>
      <c r="AZ110" s="133">
        <v>43474.469203240697</v>
      </c>
      <c r="BA110" s="134">
        <f ca="1">IF(_05preva_view43[[#This Row],[Prevalidation Status]]="Under Prevalidation",NOW()-_05preva_view43[[#This Row],[Request Date]],IF(_05preva_view43[[#This Row],[Close Date]]&gt;_05preva_view43[[#This Row],[Request Date]],_05preva_view43[[#This Row],[Close Date]]-_05preva_view43[[#This Row],[Request Date]],"Not  Calculated"))</f>
        <v>13.469203240696515</v>
      </c>
      <c r="BB110" s="135">
        <f>COUNTIFS(_05preva_view43[Site ID],_05preva_view43[[#This Row],[Site ID]],_05preva_view43[Prevalidation Status],"Under Prevalidation")</f>
        <v>0</v>
      </c>
      <c r="BC110" s="153" t="str">
        <f ca="1">HYPERLINK(CheckPath(_05preva_view43[[#This Row],[File Path]],_05preva_view43[[#This Row],[File Path]],_05preva_view43[[#This Row],[Folder Path3]]),CheckPath(_05preva_view43[[#This Row],[File Path]],"Open File","No File"))</f>
        <v>No File</v>
      </c>
      <c r="BD110" s="136" t="str">
        <f>CONCATENATE(_05preva_view43[[#This Row],[Site ID]]," (",_05preva_view43[[#This Row],[tenant id]],") Application",IF(_05preva_view43[[#This Row],[Colo Rev]]&gt;0," Rev "&amp;_05preva_view43[[#This Row],[Colo Rev]],""),".xlsx")</f>
        <v>1-01-10024-004 (MDY0379) Application Rev 2.xlsx</v>
      </c>
      <c r="BE110" s="64">
        <f t="shared" ca="1" si="3"/>
        <v>50</v>
      </c>
      <c r="BF110" s="104" t="str">
        <f ca="1">LEFT(CELL("filename",A95),_05preva_view43[[#This Row],[Find Process &amp; Database]]-1)</f>
        <v>D:\OneDrive - apollo-towers.com\Apollo Towers\00-</v>
      </c>
      <c r="BG110" s="104" t="str">
        <f ca="1">_05preva_view43[Folder Path1]&amp;"Process &amp; Database\Documentation\Colo Applications"</f>
        <v>D:\OneDrive - apollo-towers.com\Apollo Towers\00-Process &amp; Database\Documentation\Colo Applications</v>
      </c>
      <c r="BH110" s="104" t="str">
        <f ca="1">_05preva_view43[Folder Path2]&amp;"\Colo App "&amp;_05preva_view43[[#This Row],[Operator]]&amp;"\"</f>
        <v>D:\OneDrive - apollo-towers.com\Apollo Towers\00-Process &amp; Database\Documentation\Colo Applications\Colo App Mytel\</v>
      </c>
      <c r="BI110" s="63" t="str">
        <f ca="1">_05preva_view43[[#This Row],[Folder Path3]]&amp;_05preva_view43[[#This Row],[File Name]]</f>
        <v>D:\OneDrive - apollo-towers.com\Apollo Towers\00-Process &amp; Database\Documentation\Colo Applications\Colo App Mytel\1-01-10024-004 (MDY0379) Application Rev 2.xlsx</v>
      </c>
      <c r="BJ110" s="104"/>
      <c r="BK110" s="3"/>
      <c r="BL110" s="3"/>
      <c r="CJ110" s="5"/>
      <c r="CK110" s="5"/>
      <c r="CL110" s="3"/>
      <c r="CN110" s="5"/>
      <c r="CR110" s="3"/>
      <c r="CS110" s="3"/>
      <c r="CT110" s="5"/>
      <c r="CV110" s="3"/>
      <c r="DR110" s="5"/>
      <c r="DT110" s="3"/>
      <c r="EF110" s="7"/>
      <c r="EG110" s="7"/>
      <c r="EJ110" s="4"/>
      <c r="EK110" s="4"/>
      <c r="EU110" s="2"/>
      <c r="EV110" s="2"/>
    </row>
    <row r="111" spans="1:152">
      <c r="A111" s="125">
        <v>3547</v>
      </c>
      <c r="B111" s="126" t="s">
        <v>1651</v>
      </c>
      <c r="C111" s="126" t="s">
        <v>331</v>
      </c>
      <c r="D111" s="126" t="s">
        <v>127</v>
      </c>
      <c r="E111" s="126" t="s">
        <v>1652</v>
      </c>
      <c r="F111" s="126" t="s">
        <v>34</v>
      </c>
      <c r="G111" s="126" t="s">
        <v>118</v>
      </c>
      <c r="H111" s="126" t="s">
        <v>1619</v>
      </c>
      <c r="I111" s="126" t="s">
        <v>1252</v>
      </c>
      <c r="J111" s="126" t="s">
        <v>931</v>
      </c>
      <c r="K111" s="127">
        <v>43461</v>
      </c>
      <c r="L111" s="128">
        <v>2</v>
      </c>
      <c r="M111" s="128">
        <v>2</v>
      </c>
      <c r="N111" s="126">
        <v>6</v>
      </c>
      <c r="O111" s="126" t="s">
        <v>950</v>
      </c>
      <c r="P111" s="129" t="s">
        <v>276</v>
      </c>
      <c r="Q111" s="129" t="s">
        <v>277</v>
      </c>
      <c r="R111" s="126" t="s">
        <v>24</v>
      </c>
      <c r="S111" s="126"/>
      <c r="T111" s="130" t="s">
        <v>861</v>
      </c>
      <c r="U111" s="126"/>
      <c r="V111" s="130" t="s">
        <v>861</v>
      </c>
      <c r="W111" s="126"/>
      <c r="X111" s="130" t="s">
        <v>861</v>
      </c>
      <c r="Y111" s="126"/>
      <c r="Z111" s="162" t="s">
        <v>861</v>
      </c>
      <c r="AA111" s="154"/>
      <c r="AB111" s="154"/>
      <c r="AC111" s="167"/>
      <c r="AD111" s="126"/>
      <c r="AE111" s="130" t="s">
        <v>120</v>
      </c>
      <c r="AF111" s="127" t="s">
        <v>2109</v>
      </c>
      <c r="AG111" s="131"/>
      <c r="AH111" s="131"/>
      <c r="AI111" s="126" t="s">
        <v>2110</v>
      </c>
      <c r="AJ111" s="130" t="s">
        <v>861</v>
      </c>
      <c r="AK111" s="126"/>
      <c r="AL111" s="126"/>
      <c r="AM111" s="130" t="s">
        <v>861</v>
      </c>
      <c r="AN111" s="126"/>
      <c r="AO111" s="132"/>
      <c r="AP111" s="126" t="s">
        <v>861</v>
      </c>
      <c r="AQ111" s="126"/>
      <c r="AR111" s="130" t="s">
        <v>120</v>
      </c>
      <c r="AS111" s="126"/>
      <c r="AT111" s="127"/>
      <c r="AU111" s="127">
        <v>43479.735448148102</v>
      </c>
      <c r="AV111" s="127"/>
      <c r="AW111" s="127"/>
      <c r="AX111" s="127"/>
      <c r="AY111" s="127"/>
      <c r="AZ111" s="133">
        <v>43480.463188888898</v>
      </c>
      <c r="BA111" s="134">
        <f ca="1">IF(_05preva_view43[[#This Row],[Prevalidation Status]]="Under Prevalidation",NOW()-_05preva_view43[[#This Row],[Request Date]],IF(_05preva_view43[[#This Row],[Close Date]]&gt;_05preva_view43[[#This Row],[Request Date]],_05preva_view43[[#This Row],[Close Date]]-_05preva_view43[[#This Row],[Request Date]],"Not  Calculated"))</f>
        <v>19.463188888898003</v>
      </c>
      <c r="BB111" s="135">
        <f>COUNTIFS(_05preva_view43[Site ID],_05preva_view43[[#This Row],[Site ID]],_05preva_view43[Prevalidation Status],"Under Prevalidation")</f>
        <v>0</v>
      </c>
      <c r="BC111" s="153" t="str">
        <f ca="1">HYPERLINK(CheckPath(_05preva_view43[[#This Row],[File Path]],_05preva_view43[[#This Row],[File Path]],_05preva_view43[[#This Row],[Folder Path3]]),CheckPath(_05preva_view43[[#This Row],[File Path]],"Open File","No File"))</f>
        <v>No File</v>
      </c>
      <c r="BD111" s="136" t="str">
        <f>CONCATENATE(_05preva_view43[[#This Row],[Site ID]]," (",_05preva_view43[[#This Row],[tenant id]],") Application",IF(_05preva_view43[[#This Row],[Colo Rev]]&gt;0," Rev "&amp;_05preva_view43[[#This Row],[Colo Rev]],""),".xlsx")</f>
        <v>1-01-01001-018 (KCN0063) Application Rev 1.xlsx</v>
      </c>
      <c r="BE111" s="64">
        <f t="shared" ca="1" si="3"/>
        <v>50</v>
      </c>
      <c r="BF111" s="104" t="str">
        <f ca="1">LEFT(CELL("filename",A96),_05preva_view43[[#This Row],[Find Process &amp; Database]]-1)</f>
        <v>D:\OneDrive - apollo-towers.com\Apollo Towers\00-</v>
      </c>
      <c r="BG111" s="104" t="str">
        <f ca="1">_05preva_view43[Folder Path1]&amp;"Process &amp; Database\Documentation\Colo Applications"</f>
        <v>D:\OneDrive - apollo-towers.com\Apollo Towers\00-Process &amp; Database\Documentation\Colo Applications</v>
      </c>
      <c r="BH111" s="104" t="str">
        <f ca="1">_05preva_view43[Folder Path2]&amp;"\Colo App "&amp;_05preva_view43[[#This Row],[Operator]]&amp;"\"</f>
        <v>D:\OneDrive - apollo-towers.com\Apollo Towers\00-Process &amp; Database\Documentation\Colo Applications\Colo App Mytel\</v>
      </c>
      <c r="BI111" s="63" t="str">
        <f ca="1">_05preva_view43[[#This Row],[Folder Path3]]&amp;_05preva_view43[[#This Row],[File Name]]</f>
        <v>D:\OneDrive - apollo-towers.com\Apollo Towers\00-Process &amp; Database\Documentation\Colo Applications\Colo App Mytel\1-01-01001-018 (KCN0063) Application Rev 1.xlsx</v>
      </c>
      <c r="BJ111" s="104"/>
      <c r="BK111" s="3"/>
      <c r="BL111" s="3"/>
      <c r="CJ111" s="5"/>
      <c r="CK111" s="5"/>
      <c r="CL111" s="3"/>
      <c r="CN111" s="5"/>
      <c r="CR111" s="3"/>
      <c r="CS111" s="3"/>
      <c r="CT111" s="5"/>
      <c r="CV111" s="3"/>
      <c r="DR111" s="5"/>
      <c r="DT111" s="3"/>
      <c r="EF111" s="7"/>
      <c r="EG111" s="7"/>
      <c r="EJ111" s="4"/>
      <c r="EK111" s="4"/>
      <c r="EU111" s="2"/>
      <c r="EV111" s="2"/>
    </row>
    <row r="112" spans="1:152">
      <c r="A112" s="125">
        <v>3528</v>
      </c>
      <c r="B112" s="126" t="s">
        <v>1653</v>
      </c>
      <c r="C112" s="126" t="s">
        <v>116</v>
      </c>
      <c r="D112" s="126" t="s">
        <v>117</v>
      </c>
      <c r="E112" s="126" t="s">
        <v>1654</v>
      </c>
      <c r="F112" s="126" t="s">
        <v>35</v>
      </c>
      <c r="G112" s="126" t="s">
        <v>1577</v>
      </c>
      <c r="H112" s="126" t="s">
        <v>1575</v>
      </c>
      <c r="I112" s="126" t="s">
        <v>1053</v>
      </c>
      <c r="J112" s="126" t="s">
        <v>949</v>
      </c>
      <c r="K112" s="127">
        <v>43460</v>
      </c>
      <c r="L112" s="128">
        <v>2.3050000000000002</v>
      </c>
      <c r="M112" s="128">
        <v>4.07</v>
      </c>
      <c r="N112" s="126">
        <v>6.81</v>
      </c>
      <c r="O112" s="126" t="s">
        <v>119</v>
      </c>
      <c r="P112" s="129" t="s">
        <v>338</v>
      </c>
      <c r="Q112" s="129" t="s">
        <v>339</v>
      </c>
      <c r="R112" s="126" t="s">
        <v>24</v>
      </c>
      <c r="S112" s="126"/>
      <c r="T112" s="130" t="s">
        <v>120</v>
      </c>
      <c r="U112" s="126" t="s">
        <v>1655</v>
      </c>
      <c r="V112" s="130" t="s">
        <v>120</v>
      </c>
      <c r="W112" s="126"/>
      <c r="X112" s="130" t="s">
        <v>120</v>
      </c>
      <c r="Y112" s="126" t="s">
        <v>1656</v>
      </c>
      <c r="Z112" s="162" t="s">
        <v>120</v>
      </c>
      <c r="AA112" s="154"/>
      <c r="AB112" s="154"/>
      <c r="AC112" s="167" t="s">
        <v>123</v>
      </c>
      <c r="AD112" s="126" t="s">
        <v>1657</v>
      </c>
      <c r="AE112" s="130" t="s">
        <v>120</v>
      </c>
      <c r="AF112" s="127"/>
      <c r="AG112" s="131"/>
      <c r="AH112" s="131"/>
      <c r="AI112" s="126"/>
      <c r="AJ112" s="130" t="s">
        <v>120</v>
      </c>
      <c r="AK112" s="126" t="s">
        <v>123</v>
      </c>
      <c r="AL112" s="126" t="s">
        <v>1198</v>
      </c>
      <c r="AM112" s="130"/>
      <c r="AN112" s="126"/>
      <c r="AO112" s="132"/>
      <c r="AP112" s="126"/>
      <c r="AQ112" s="126"/>
      <c r="AR112" s="130"/>
      <c r="AS112" s="126"/>
      <c r="AT112" s="127">
        <v>43460.704988425903</v>
      </c>
      <c r="AU112" s="127">
        <v>43479.735422800899</v>
      </c>
      <c r="AV112" s="127">
        <v>43461.5884149306</v>
      </c>
      <c r="AW112" s="127">
        <v>43460.704988425903</v>
      </c>
      <c r="AX112" s="127">
        <v>43460.604122800898</v>
      </c>
      <c r="AY112" s="127">
        <v>43460.457213773101</v>
      </c>
      <c r="AZ112" s="133">
        <v>43480.437797106497</v>
      </c>
      <c r="BA112" s="134">
        <f ca="1">IF(_05preva_view43[[#This Row],[Prevalidation Status]]="Under Prevalidation",NOW()-_05preva_view43[[#This Row],[Request Date]],IF(_05preva_view43[[#This Row],[Close Date]]&gt;_05preva_view43[[#This Row],[Request Date]],_05preva_view43[[#This Row],[Close Date]]-_05preva_view43[[#This Row],[Request Date]],"Not  Calculated"))</f>
        <v>20.437797106496873</v>
      </c>
      <c r="BB112" s="135">
        <f>COUNTIFS(_05preva_view43[Site ID],_05preva_view43[[#This Row],[Site ID]],_05preva_view43[Prevalidation Status],"Under Prevalidation")</f>
        <v>0</v>
      </c>
      <c r="BC112" s="153" t="str">
        <f ca="1">HYPERLINK(CheckPath(_05preva_view43[[#This Row],[File Path]],_05preva_view43[[#This Row],[File Path]],_05preva_view43[[#This Row],[Folder Path3]]),CheckPath(_05preva_view43[[#This Row],[File Path]],"Open File","No File"))</f>
        <v>No File</v>
      </c>
      <c r="BD112" s="136" t="str">
        <f>CONCATENATE(_05preva_view43[[#This Row],[Site ID]]," (",_05preva_view43[[#This Row],[tenant id]],") Application",IF(_05preva_view43[[#This Row],[Colo Rev]]&gt;0," Rev "&amp;_05preva_view43[[#This Row],[Colo Rev]],""),".xlsx")</f>
        <v>ANMG_0037 (MGW00580) Application Rev 2.xlsx</v>
      </c>
      <c r="BE112" s="64">
        <f t="shared" ca="1" si="3"/>
        <v>50</v>
      </c>
      <c r="BF112" s="104" t="str">
        <f ca="1">LEFT(CELL("filename",A97),_05preva_view43[[#This Row],[Find Process &amp; Database]]-1)</f>
        <v>D:\OneDrive - apollo-towers.com\Apollo Towers\00-</v>
      </c>
      <c r="BG112" s="104" t="str">
        <f ca="1">_05preva_view43[Folder Path1]&amp;"Process &amp; Database\Documentation\Colo Applications"</f>
        <v>D:\OneDrive - apollo-towers.com\Apollo Towers\00-Process &amp; Database\Documentation\Colo Applications</v>
      </c>
      <c r="BH112" s="104" t="str">
        <f ca="1">_05preva_view43[Folder Path2]&amp;"\Colo App "&amp;_05preva_view43[[#This Row],[Operator]]&amp;"\"</f>
        <v>D:\OneDrive - apollo-towers.com\Apollo Towers\00-Process &amp; Database\Documentation\Colo Applications\Colo App MPT\</v>
      </c>
      <c r="BI112" s="63" t="str">
        <f ca="1">_05preva_view43[[#This Row],[Folder Path3]]&amp;_05preva_view43[[#This Row],[File Name]]</f>
        <v>D:\OneDrive - apollo-towers.com\Apollo Towers\00-Process &amp; Database\Documentation\Colo Applications\Colo App MPT\ANMG_0037 (MGW00580) Application Rev 2.xlsx</v>
      </c>
      <c r="BJ112" s="104"/>
      <c r="BK112" s="3"/>
      <c r="BL112" s="3"/>
      <c r="CJ112" s="5"/>
      <c r="CK112" s="5"/>
      <c r="CL112" s="3"/>
      <c r="CN112" s="5"/>
      <c r="CR112" s="3"/>
      <c r="CS112" s="3"/>
      <c r="CT112" s="5"/>
      <c r="CV112" s="3"/>
      <c r="DR112" s="5"/>
      <c r="DT112" s="3"/>
      <c r="EF112" s="7"/>
      <c r="EG112" s="7"/>
      <c r="EJ112" s="4"/>
      <c r="EK112" s="4"/>
      <c r="EU112" s="2"/>
      <c r="EV112" s="2"/>
    </row>
    <row r="113" spans="1:152">
      <c r="A113" s="125">
        <v>3529</v>
      </c>
      <c r="B113" s="126" t="s">
        <v>224</v>
      </c>
      <c r="C113" s="126" t="s">
        <v>116</v>
      </c>
      <c r="D113" s="126" t="s">
        <v>163</v>
      </c>
      <c r="E113" s="126" t="s">
        <v>225</v>
      </c>
      <c r="F113" s="126" t="s">
        <v>35</v>
      </c>
      <c r="G113" s="126" t="s">
        <v>1577</v>
      </c>
      <c r="H113" s="126" t="s">
        <v>1575</v>
      </c>
      <c r="I113" s="126" t="s">
        <v>1077</v>
      </c>
      <c r="J113" s="126" t="s">
        <v>949</v>
      </c>
      <c r="K113" s="127">
        <v>43460</v>
      </c>
      <c r="L113" s="128">
        <v>1.04</v>
      </c>
      <c r="M113" s="128">
        <v>1.3</v>
      </c>
      <c r="N113" s="126">
        <v>1.1479999999999999</v>
      </c>
      <c r="O113" s="126" t="s">
        <v>119</v>
      </c>
      <c r="P113" s="129" t="s">
        <v>334</v>
      </c>
      <c r="Q113" s="129" t="s">
        <v>736</v>
      </c>
      <c r="R113" s="126" t="s">
        <v>24</v>
      </c>
      <c r="S113" s="126"/>
      <c r="T113" s="130" t="s">
        <v>120</v>
      </c>
      <c r="U113" s="126" t="s">
        <v>1658</v>
      </c>
      <c r="V113" s="130" t="s">
        <v>120</v>
      </c>
      <c r="W113" s="126"/>
      <c r="X113" s="130" t="s">
        <v>120</v>
      </c>
      <c r="Y113" s="126" t="s">
        <v>1659</v>
      </c>
      <c r="Z113" s="162" t="s">
        <v>120</v>
      </c>
      <c r="AA113" s="154"/>
      <c r="AB113" s="154"/>
      <c r="AC113" s="167" t="s">
        <v>123</v>
      </c>
      <c r="AD113" s="126" t="s">
        <v>1660</v>
      </c>
      <c r="AE113" s="130" t="s">
        <v>120</v>
      </c>
      <c r="AF113" s="127"/>
      <c r="AG113" s="131"/>
      <c r="AH113" s="131"/>
      <c r="AI113" s="126"/>
      <c r="AJ113" s="130" t="s">
        <v>120</v>
      </c>
      <c r="AK113" s="126" t="s">
        <v>123</v>
      </c>
      <c r="AL113" s="126" t="s">
        <v>1198</v>
      </c>
      <c r="AM113" s="130"/>
      <c r="AN113" s="126"/>
      <c r="AO113" s="132"/>
      <c r="AP113" s="126"/>
      <c r="AQ113" s="126"/>
      <c r="AR113" s="130"/>
      <c r="AS113" s="126"/>
      <c r="AT113" s="127">
        <v>43460.704989699101</v>
      </c>
      <c r="AU113" s="127">
        <v>43479.7354233796</v>
      </c>
      <c r="AV113" s="127">
        <v>43461.692372106503</v>
      </c>
      <c r="AW113" s="127">
        <v>43460.704989699101</v>
      </c>
      <c r="AX113" s="127">
        <v>43460.604123379599</v>
      </c>
      <c r="AY113" s="127">
        <v>43460.457214699098</v>
      </c>
      <c r="AZ113" s="133">
        <v>43480.437797916697</v>
      </c>
      <c r="BA113" s="134">
        <f ca="1">IF(_05preva_view43[[#This Row],[Prevalidation Status]]="Under Prevalidation",NOW()-_05preva_view43[[#This Row],[Request Date]],IF(_05preva_view43[[#This Row],[Close Date]]&gt;_05preva_view43[[#This Row],[Request Date]],_05preva_view43[[#This Row],[Close Date]]-_05preva_view43[[#This Row],[Request Date]],"Not  Calculated"))</f>
        <v>20.437797916696582</v>
      </c>
      <c r="BB113" s="135">
        <f>COUNTIFS(_05preva_view43[Site ID],_05preva_view43[[#This Row],[Site ID]],_05preva_view43[Prevalidation Status],"Under Prevalidation")</f>
        <v>0</v>
      </c>
      <c r="BC113" s="153" t="str">
        <f ca="1">HYPERLINK(CheckPath(_05preva_view43[[#This Row],[File Path]],_05preva_view43[[#This Row],[File Path]],_05preva_view43[[#This Row],[Folder Path3]]),CheckPath(_05preva_view43[[#This Row],[File Path]],"Open File","No File"))</f>
        <v>No File</v>
      </c>
      <c r="BD113" s="136" t="str">
        <f>CONCATENATE(_05preva_view43[[#This Row],[Site ID]]," (",_05preva_view43[[#This Row],[tenant id]],") Application",IF(_05preva_view43[[#This Row],[Colo Rev]]&gt;0," Rev "&amp;_05preva_view43[[#This Row],[Colo Rev]],""),".xlsx")</f>
        <v>AYYN_0251 (YGN01769) Application Rev 2.xlsx</v>
      </c>
      <c r="BE113" s="64">
        <f t="shared" ca="1" si="3"/>
        <v>50</v>
      </c>
      <c r="BF113" s="104" t="str">
        <f ca="1">LEFT(CELL("filename",A98),_05preva_view43[[#This Row],[Find Process &amp; Database]]-1)</f>
        <v>D:\OneDrive - apollo-towers.com\Apollo Towers\00-</v>
      </c>
      <c r="BG113" s="104" t="str">
        <f ca="1">_05preva_view43[Folder Path1]&amp;"Process &amp; Database\Documentation\Colo Applications"</f>
        <v>D:\OneDrive - apollo-towers.com\Apollo Towers\00-Process &amp; Database\Documentation\Colo Applications</v>
      </c>
      <c r="BH113" s="104" t="str">
        <f ca="1">_05preva_view43[Folder Path2]&amp;"\Colo App "&amp;_05preva_view43[[#This Row],[Operator]]&amp;"\"</f>
        <v>D:\OneDrive - apollo-towers.com\Apollo Towers\00-Process &amp; Database\Documentation\Colo Applications\Colo App MPT\</v>
      </c>
      <c r="BI113" s="63" t="str">
        <f ca="1">_05preva_view43[[#This Row],[Folder Path3]]&amp;_05preva_view43[[#This Row],[File Name]]</f>
        <v>D:\OneDrive - apollo-towers.com\Apollo Towers\00-Process &amp; Database\Documentation\Colo Applications\Colo App MPT\AYYN_0251 (YGN01769) Application Rev 2.xlsx</v>
      </c>
      <c r="BJ113" s="104"/>
      <c r="BK113" s="3"/>
      <c r="BL113" s="3"/>
      <c r="CJ113" s="5"/>
      <c r="CK113" s="5"/>
      <c r="CL113" s="3"/>
      <c r="CN113" s="5"/>
      <c r="CR113" s="3"/>
      <c r="CS113" s="3"/>
      <c r="CT113" s="5"/>
      <c r="CV113" s="3"/>
      <c r="DR113" s="5"/>
      <c r="DT113" s="3"/>
      <c r="EF113" s="7"/>
      <c r="EG113" s="7"/>
      <c r="EJ113" s="4"/>
      <c r="EK113" s="4"/>
      <c r="EU113" s="2"/>
      <c r="EV113" s="2"/>
    </row>
    <row r="114" spans="1:152">
      <c r="A114" s="125">
        <v>3530</v>
      </c>
      <c r="B114" s="126" t="s">
        <v>1661</v>
      </c>
      <c r="C114" s="126" t="s">
        <v>116</v>
      </c>
      <c r="D114" s="126" t="s">
        <v>127</v>
      </c>
      <c r="E114" s="126" t="s">
        <v>1662</v>
      </c>
      <c r="F114" s="126" t="s">
        <v>35</v>
      </c>
      <c r="G114" s="126" t="s">
        <v>1577</v>
      </c>
      <c r="H114" s="126" t="s">
        <v>1575</v>
      </c>
      <c r="I114" s="126" t="s">
        <v>1351</v>
      </c>
      <c r="J114" s="126" t="s">
        <v>949</v>
      </c>
      <c r="K114" s="127">
        <v>43460</v>
      </c>
      <c r="L114" s="128">
        <v>1.8220000000000001</v>
      </c>
      <c r="M114" s="128">
        <v>2.93</v>
      </c>
      <c r="N114" s="126">
        <v>7.31</v>
      </c>
      <c r="O114" s="126" t="s">
        <v>119</v>
      </c>
      <c r="P114" s="129" t="s">
        <v>276</v>
      </c>
      <c r="Q114" s="129" t="s">
        <v>277</v>
      </c>
      <c r="R114" s="126" t="s">
        <v>25</v>
      </c>
      <c r="S114" s="126"/>
      <c r="T114" s="130" t="s">
        <v>120</v>
      </c>
      <c r="U114" s="126" t="s">
        <v>1663</v>
      </c>
      <c r="V114" s="130" t="s">
        <v>120</v>
      </c>
      <c r="W114" s="126"/>
      <c r="X114" s="130" t="s">
        <v>120</v>
      </c>
      <c r="Y114" s="126" t="s">
        <v>1664</v>
      </c>
      <c r="Z114" s="162" t="s">
        <v>144</v>
      </c>
      <c r="AA114" s="154"/>
      <c r="AB114" s="154"/>
      <c r="AC114" s="167" t="s">
        <v>123</v>
      </c>
      <c r="AD114" s="126" t="s">
        <v>1864</v>
      </c>
      <c r="AE114" s="130" t="s">
        <v>120</v>
      </c>
      <c r="AF114" s="127"/>
      <c r="AG114" s="131"/>
      <c r="AH114" s="131"/>
      <c r="AI114" s="126"/>
      <c r="AJ114" s="130" t="s">
        <v>120</v>
      </c>
      <c r="AK114" s="126" t="s">
        <v>123</v>
      </c>
      <c r="AL114" s="126" t="s">
        <v>1198</v>
      </c>
      <c r="AM114" s="130"/>
      <c r="AN114" s="126"/>
      <c r="AO114" s="132"/>
      <c r="AP114" s="126"/>
      <c r="AQ114" s="126"/>
      <c r="AR114" s="130"/>
      <c r="AS114" s="126"/>
      <c r="AT114" s="127">
        <v>43460.704991435203</v>
      </c>
      <c r="AU114" s="127">
        <v>43479.735425694402</v>
      </c>
      <c r="AV114" s="127"/>
      <c r="AW114" s="127">
        <v>43460.704991435203</v>
      </c>
      <c r="AX114" s="127">
        <v>43460.606377546297</v>
      </c>
      <c r="AY114" s="127">
        <v>43461.412907060199</v>
      </c>
      <c r="AZ114" s="133"/>
      <c r="BA114" s="134">
        <f ca="1">IF(_05preva_view43[[#This Row],[Prevalidation Status]]="Under Prevalidation",NOW()-_05preva_view43[[#This Row],[Request Date]],IF(_05preva_view43[[#This Row],[Close Date]]&gt;_05preva_view43[[#This Row],[Request Date]],_05preva_view43[[#This Row],[Close Date]]-_05preva_view43[[#This Row],[Request Date]],"Not  Calculated"))</f>
        <v>27.506734143520589</v>
      </c>
      <c r="BB114" s="135">
        <f>COUNTIFS(_05preva_view43[Site ID],_05preva_view43[[#This Row],[Site ID]],_05preva_view43[Prevalidation Status],"Under Prevalidation")</f>
        <v>1</v>
      </c>
      <c r="BC114" s="153" t="str">
        <f ca="1">HYPERLINK(CheckPath(_05preva_view43[[#This Row],[File Path]],_05preva_view43[[#This Row],[File Path]],_05preva_view43[[#This Row],[Folder Path3]]),CheckPath(_05preva_view43[[#This Row],[File Path]],"Open File","No File"))</f>
        <v>No File</v>
      </c>
      <c r="BD114" s="136" t="str">
        <f>CONCATENATE(_05preva_view43[[#This Row],[Site ID]]," (",_05preva_view43[[#This Row],[tenant id]],") Application",IF(_05preva_view43[[#This Row],[Colo Rev]]&gt;0," Rev "&amp;_05preva_view43[[#This Row],[Colo Rev]],""),".xlsx")</f>
        <v>ANMD_0176 (MDY00350) Application Rev 2.xlsx</v>
      </c>
      <c r="BE114" s="64">
        <f t="shared" ca="1" si="3"/>
        <v>50</v>
      </c>
      <c r="BF114" s="104" t="str">
        <f ca="1">LEFT(CELL("filename",A99),_05preva_view43[[#This Row],[Find Process &amp; Database]]-1)</f>
        <v>D:\OneDrive - apollo-towers.com\Apollo Towers\00-</v>
      </c>
      <c r="BG114" s="104" t="str">
        <f ca="1">_05preva_view43[Folder Path1]&amp;"Process &amp; Database\Documentation\Colo Applications"</f>
        <v>D:\OneDrive - apollo-towers.com\Apollo Towers\00-Process &amp; Database\Documentation\Colo Applications</v>
      </c>
      <c r="BH114" s="104" t="str">
        <f ca="1">_05preva_view43[Folder Path2]&amp;"\Colo App "&amp;_05preva_view43[[#This Row],[Operator]]&amp;"\"</f>
        <v>D:\OneDrive - apollo-towers.com\Apollo Towers\00-Process &amp; Database\Documentation\Colo Applications\Colo App MPT\</v>
      </c>
      <c r="BI114" s="63" t="str">
        <f ca="1">_05preva_view43[[#This Row],[Folder Path3]]&amp;_05preva_view43[[#This Row],[File Name]]</f>
        <v>D:\OneDrive - apollo-towers.com\Apollo Towers\00-Process &amp; Database\Documentation\Colo Applications\Colo App MPT\ANMD_0176 (MDY00350) Application Rev 2.xlsx</v>
      </c>
      <c r="BJ114" s="104"/>
      <c r="BK114" s="3"/>
      <c r="BL114" s="3"/>
      <c r="CJ114" s="5"/>
      <c r="CK114" s="5"/>
      <c r="CL114" s="3"/>
      <c r="CN114" s="5"/>
      <c r="CR114" s="3"/>
      <c r="CS114" s="3"/>
      <c r="CT114" s="5"/>
      <c r="CV114" s="3"/>
      <c r="DR114" s="5"/>
      <c r="DT114" s="3"/>
      <c r="EF114" s="7"/>
      <c r="EG114" s="7"/>
      <c r="EJ114" s="4"/>
      <c r="EK114" s="4"/>
      <c r="EU114" s="2"/>
      <c r="EV114" s="2"/>
    </row>
    <row r="115" spans="1:152">
      <c r="A115" s="125">
        <v>3531</v>
      </c>
      <c r="B115" s="126" t="s">
        <v>1089</v>
      </c>
      <c r="C115" s="126" t="s">
        <v>116</v>
      </c>
      <c r="D115" s="126" t="s">
        <v>127</v>
      </c>
      <c r="E115" s="126" t="s">
        <v>1090</v>
      </c>
      <c r="F115" s="126" t="s">
        <v>35</v>
      </c>
      <c r="G115" s="126" t="s">
        <v>1577</v>
      </c>
      <c r="H115" s="126" t="s">
        <v>1575</v>
      </c>
      <c r="I115" s="126" t="s">
        <v>1053</v>
      </c>
      <c r="J115" s="126" t="s">
        <v>957</v>
      </c>
      <c r="K115" s="127">
        <v>43460</v>
      </c>
      <c r="L115" s="128">
        <v>1.9890000000000001</v>
      </c>
      <c r="M115" s="128">
        <v>3.5489999999999999</v>
      </c>
      <c r="N115" s="126">
        <v>6.3</v>
      </c>
      <c r="O115" s="126" t="s">
        <v>119</v>
      </c>
      <c r="P115" s="129" t="s">
        <v>916</v>
      </c>
      <c r="Q115" s="129" t="s">
        <v>932</v>
      </c>
      <c r="R115" s="126" t="s">
        <v>24</v>
      </c>
      <c r="S115" s="126"/>
      <c r="T115" s="130" t="s">
        <v>120</v>
      </c>
      <c r="U115" s="126" t="s">
        <v>1665</v>
      </c>
      <c r="V115" s="130" t="s">
        <v>120</v>
      </c>
      <c r="W115" s="126"/>
      <c r="X115" s="130" t="s">
        <v>120</v>
      </c>
      <c r="Y115" s="126" t="s">
        <v>1666</v>
      </c>
      <c r="Z115" s="162" t="s">
        <v>120</v>
      </c>
      <c r="AA115" s="154"/>
      <c r="AB115" s="154"/>
      <c r="AC115" s="167" t="s">
        <v>123</v>
      </c>
      <c r="AD115" s="126" t="s">
        <v>1812</v>
      </c>
      <c r="AE115" s="130" t="s">
        <v>120</v>
      </c>
      <c r="AF115" s="127"/>
      <c r="AG115" s="131"/>
      <c r="AH115" s="131"/>
      <c r="AI115" s="126" t="s">
        <v>2111</v>
      </c>
      <c r="AJ115" s="130" t="s">
        <v>120</v>
      </c>
      <c r="AK115" s="126" t="s">
        <v>123</v>
      </c>
      <c r="AL115" s="126" t="s">
        <v>1198</v>
      </c>
      <c r="AM115" s="130"/>
      <c r="AN115" s="126"/>
      <c r="AO115" s="132"/>
      <c r="AP115" s="126"/>
      <c r="AQ115" s="126"/>
      <c r="AR115" s="130"/>
      <c r="AS115" s="126"/>
      <c r="AT115" s="127">
        <v>43461.456333564798</v>
      </c>
      <c r="AU115" s="127">
        <v>43479.735428472202</v>
      </c>
      <c r="AV115" s="127">
        <v>43472.480117939798</v>
      </c>
      <c r="AW115" s="127">
        <v>43461.456333564798</v>
      </c>
      <c r="AX115" s="127">
        <v>43460.606378703698</v>
      </c>
      <c r="AY115" s="127">
        <v>43461.412907986101</v>
      </c>
      <c r="AZ115" s="133">
        <v>43480.437799537001</v>
      </c>
      <c r="BA115" s="134">
        <f ca="1">IF(_05preva_view43[[#This Row],[Prevalidation Status]]="Under Prevalidation",NOW()-_05preva_view43[[#This Row],[Request Date]],IF(_05preva_view43[[#This Row],[Close Date]]&gt;_05preva_view43[[#This Row],[Request Date]],_05preva_view43[[#This Row],[Close Date]]-_05preva_view43[[#This Row],[Request Date]],"Not  Calculated"))</f>
        <v>20.43779953700141</v>
      </c>
      <c r="BB115" s="135">
        <f>COUNTIFS(_05preva_view43[Site ID],_05preva_view43[[#This Row],[Site ID]],_05preva_view43[Prevalidation Status],"Under Prevalidation")</f>
        <v>0</v>
      </c>
      <c r="BC115" s="153" t="str">
        <f ca="1">HYPERLINK(CheckPath(_05preva_view43[[#This Row],[File Path]],_05preva_view43[[#This Row],[File Path]],_05preva_view43[[#This Row],[Folder Path3]]),CheckPath(_05preva_view43[[#This Row],[File Path]],"Open File","No File"))</f>
        <v>No File</v>
      </c>
      <c r="BD115" s="136" t="str">
        <f>CONCATENATE(_05preva_view43[[#This Row],[Site ID]]," (",_05preva_view43[[#This Row],[tenant id]],") Application",IF(_05preva_view43[[#This Row],[Colo Rev]]&gt;0," Rev "&amp;_05preva_view43[[#This Row],[Colo Rev]],""),".xlsx")</f>
        <v>ANSG_0454 (SGG00785) Application Rev 4.xlsx</v>
      </c>
      <c r="BE115" s="64">
        <f t="shared" ca="1" si="3"/>
        <v>50</v>
      </c>
      <c r="BF115" s="104" t="str">
        <f ca="1">LEFT(CELL("filename",A100),_05preva_view43[[#This Row],[Find Process &amp; Database]]-1)</f>
        <v>D:\OneDrive - apollo-towers.com\Apollo Towers\00-</v>
      </c>
      <c r="BG115" s="104" t="str">
        <f ca="1">_05preva_view43[Folder Path1]&amp;"Process &amp; Database\Documentation\Colo Applications"</f>
        <v>D:\OneDrive - apollo-towers.com\Apollo Towers\00-Process &amp; Database\Documentation\Colo Applications</v>
      </c>
      <c r="BH115" s="104" t="str">
        <f ca="1">_05preva_view43[Folder Path2]&amp;"\Colo App "&amp;_05preva_view43[[#This Row],[Operator]]&amp;"\"</f>
        <v>D:\OneDrive - apollo-towers.com\Apollo Towers\00-Process &amp; Database\Documentation\Colo Applications\Colo App MPT\</v>
      </c>
      <c r="BI115" s="63" t="str">
        <f ca="1">_05preva_view43[[#This Row],[Folder Path3]]&amp;_05preva_view43[[#This Row],[File Name]]</f>
        <v>D:\OneDrive - apollo-towers.com\Apollo Towers\00-Process &amp; Database\Documentation\Colo Applications\Colo App MPT\ANSG_0454 (SGG00785) Application Rev 4.xlsx</v>
      </c>
      <c r="BJ115" s="104"/>
      <c r="BK115" s="3"/>
      <c r="BL115" s="3"/>
      <c r="CJ115" s="5"/>
      <c r="CK115" s="5"/>
      <c r="CL115" s="3"/>
      <c r="CN115" s="5"/>
      <c r="CR115" s="3"/>
      <c r="CS115" s="3"/>
      <c r="CT115" s="5"/>
      <c r="CV115" s="3"/>
      <c r="DR115" s="5"/>
      <c r="DT115" s="3"/>
      <c r="EF115" s="7"/>
      <c r="EG115" s="7"/>
      <c r="EJ115" s="4"/>
      <c r="EK115" s="4"/>
      <c r="EU115" s="2"/>
      <c r="EV115" s="2"/>
    </row>
    <row r="116" spans="1:152">
      <c r="A116" s="125">
        <v>3532</v>
      </c>
      <c r="B116" s="126" t="s">
        <v>1667</v>
      </c>
      <c r="C116" s="126" t="s">
        <v>116</v>
      </c>
      <c r="D116" s="126" t="s">
        <v>163</v>
      </c>
      <c r="E116" s="126" t="s">
        <v>1668</v>
      </c>
      <c r="F116" s="126" t="s">
        <v>35</v>
      </c>
      <c r="G116" s="126" t="s">
        <v>1577</v>
      </c>
      <c r="H116" s="126" t="s">
        <v>1575</v>
      </c>
      <c r="I116" s="126" t="s">
        <v>1263</v>
      </c>
      <c r="J116" s="126" t="s">
        <v>949</v>
      </c>
      <c r="K116" s="127">
        <v>43460</v>
      </c>
      <c r="L116" s="128">
        <v>1.44</v>
      </c>
      <c r="M116" s="128">
        <v>1.8</v>
      </c>
      <c r="N116" s="126">
        <v>3.21</v>
      </c>
      <c r="O116" s="126" t="s">
        <v>119</v>
      </c>
      <c r="P116" s="129" t="s">
        <v>1669</v>
      </c>
      <c r="Q116" s="129" t="s">
        <v>1670</v>
      </c>
      <c r="R116" s="126" t="s">
        <v>25</v>
      </c>
      <c r="S116" s="126"/>
      <c r="T116" s="130" t="s">
        <v>120</v>
      </c>
      <c r="U116" s="126" t="s">
        <v>1671</v>
      </c>
      <c r="V116" s="130" t="s">
        <v>120</v>
      </c>
      <c r="W116" s="126"/>
      <c r="X116" s="130" t="s">
        <v>120</v>
      </c>
      <c r="Y116" s="126" t="s">
        <v>1672</v>
      </c>
      <c r="Z116" s="162" t="s">
        <v>144</v>
      </c>
      <c r="AA116" s="154"/>
      <c r="AB116" s="154"/>
      <c r="AC116" s="167" t="s">
        <v>123</v>
      </c>
      <c r="AD116" s="126" t="s">
        <v>1865</v>
      </c>
      <c r="AE116" s="130" t="s">
        <v>120</v>
      </c>
      <c r="AF116" s="127"/>
      <c r="AG116" s="131"/>
      <c r="AH116" s="131"/>
      <c r="AI116" s="126"/>
      <c r="AJ116" s="130" t="s">
        <v>120</v>
      </c>
      <c r="AK116" s="126" t="s">
        <v>123</v>
      </c>
      <c r="AL116" s="126" t="s">
        <v>1198</v>
      </c>
      <c r="AM116" s="130"/>
      <c r="AN116" s="126"/>
      <c r="AO116" s="132"/>
      <c r="AP116" s="126"/>
      <c r="AQ116" s="126"/>
      <c r="AR116" s="130"/>
      <c r="AS116" s="126"/>
      <c r="AT116" s="127">
        <v>43461.456334953698</v>
      </c>
      <c r="AU116" s="127">
        <v>43479.7354305556</v>
      </c>
      <c r="AV116" s="127">
        <v>43487.474183912003</v>
      </c>
      <c r="AW116" s="127">
        <v>43461.456334953698</v>
      </c>
      <c r="AX116" s="127">
        <v>43460.606382986101</v>
      </c>
      <c r="AY116" s="127">
        <v>43461.412909259299</v>
      </c>
      <c r="AZ116" s="133"/>
      <c r="BA116" s="134">
        <f ca="1">IF(_05preva_view43[[#This Row],[Prevalidation Status]]="Under Prevalidation",NOW()-_05preva_view43[[#This Row],[Request Date]],IF(_05preva_view43[[#This Row],[Close Date]]&gt;_05preva_view43[[#This Row],[Request Date]],_05preva_view43[[#This Row],[Close Date]]-_05preva_view43[[#This Row],[Request Date]],"Not  Calculated"))</f>
        <v>27.506734143520589</v>
      </c>
      <c r="BB116" s="135">
        <f>COUNTIFS(_05preva_view43[Site ID],_05preva_view43[[#This Row],[Site ID]],_05preva_view43[Prevalidation Status],"Under Prevalidation")</f>
        <v>2</v>
      </c>
      <c r="BC116" s="153" t="str">
        <f ca="1">HYPERLINK(CheckPath(_05preva_view43[[#This Row],[File Path]],_05preva_view43[[#This Row],[File Path]],_05preva_view43[[#This Row],[Folder Path3]]),CheckPath(_05preva_view43[[#This Row],[File Path]],"Open File","No File"))</f>
        <v>No File</v>
      </c>
      <c r="BD116" s="136" t="str">
        <f>CONCATENATE(_05preva_view43[[#This Row],[Site ID]]," (",_05preva_view43[[#This Row],[tenant id]],") Application",IF(_05preva_view43[[#This Row],[Colo Rev]]&gt;0," Rev "&amp;_05preva_view43[[#This Row],[Colo Rev]],""),".xlsx")</f>
        <v>ASTN_0023 (TNY00315) Application Rev 2.xlsx</v>
      </c>
      <c r="BE116" s="64">
        <f t="shared" ca="1" si="3"/>
        <v>50</v>
      </c>
      <c r="BF116" s="104" t="str">
        <f ca="1">LEFT(CELL("filename",A101),_05preva_view43[[#This Row],[Find Process &amp; Database]]-1)</f>
        <v>D:\OneDrive - apollo-towers.com\Apollo Towers\00-</v>
      </c>
      <c r="BG116" s="104" t="str">
        <f ca="1">_05preva_view43[Folder Path1]&amp;"Process &amp; Database\Documentation\Colo Applications"</f>
        <v>D:\OneDrive - apollo-towers.com\Apollo Towers\00-Process &amp; Database\Documentation\Colo Applications</v>
      </c>
      <c r="BH116" s="104" t="str">
        <f ca="1">_05preva_view43[Folder Path2]&amp;"\Colo App "&amp;_05preva_view43[[#This Row],[Operator]]&amp;"\"</f>
        <v>D:\OneDrive - apollo-towers.com\Apollo Towers\00-Process &amp; Database\Documentation\Colo Applications\Colo App MPT\</v>
      </c>
      <c r="BI116" s="63" t="str">
        <f ca="1">_05preva_view43[[#This Row],[Folder Path3]]&amp;_05preva_view43[[#This Row],[File Name]]</f>
        <v>D:\OneDrive - apollo-towers.com\Apollo Towers\00-Process &amp; Database\Documentation\Colo Applications\Colo App MPT\ASTN_0023 (TNY00315) Application Rev 2.xlsx</v>
      </c>
      <c r="BJ116" s="104"/>
      <c r="BK116" s="3"/>
      <c r="BL116" s="3"/>
      <c r="CJ116" s="5"/>
      <c r="CK116" s="5"/>
      <c r="CL116" s="3"/>
      <c r="CN116" s="5"/>
      <c r="CR116" s="3"/>
      <c r="CS116" s="3"/>
      <c r="CT116" s="5"/>
      <c r="CV116" s="3"/>
      <c r="DR116" s="5"/>
      <c r="DT116" s="3"/>
      <c r="EF116" s="7"/>
      <c r="EG116" s="7"/>
      <c r="EJ116" s="4"/>
      <c r="EK116" s="4"/>
      <c r="EU116" s="2"/>
      <c r="EV116" s="2"/>
    </row>
    <row r="117" spans="1:152">
      <c r="A117" s="125">
        <v>3533</v>
      </c>
      <c r="B117" s="126" t="s">
        <v>1673</v>
      </c>
      <c r="C117" s="126" t="s">
        <v>331</v>
      </c>
      <c r="D117" s="126" t="s">
        <v>127</v>
      </c>
      <c r="E117" s="126" t="s">
        <v>1674</v>
      </c>
      <c r="F117" s="126" t="s">
        <v>35</v>
      </c>
      <c r="G117" s="126" t="s">
        <v>1583</v>
      </c>
      <c r="H117" s="126" t="s">
        <v>1575</v>
      </c>
      <c r="I117" s="126" t="s">
        <v>1061</v>
      </c>
      <c r="J117" s="126" t="s">
        <v>949</v>
      </c>
      <c r="K117" s="127">
        <v>43460</v>
      </c>
      <c r="L117" s="128">
        <v>1.712</v>
      </c>
      <c r="M117" s="128">
        <v>3.0579999999999998</v>
      </c>
      <c r="N117" s="126">
        <v>6.88</v>
      </c>
      <c r="O117" s="126" t="s">
        <v>950</v>
      </c>
      <c r="P117" s="129" t="s">
        <v>958</v>
      </c>
      <c r="Q117" s="129" t="s">
        <v>959</v>
      </c>
      <c r="R117" s="126" t="s">
        <v>24</v>
      </c>
      <c r="S117" s="126"/>
      <c r="T117" s="130" t="s">
        <v>120</v>
      </c>
      <c r="U117" s="126"/>
      <c r="V117" s="130" t="s">
        <v>120</v>
      </c>
      <c r="W117" s="126"/>
      <c r="X117" s="130" t="s">
        <v>120</v>
      </c>
      <c r="Y117" s="126" t="s">
        <v>1675</v>
      </c>
      <c r="Z117" s="162" t="s">
        <v>120</v>
      </c>
      <c r="AA117" s="154"/>
      <c r="AB117" s="154"/>
      <c r="AC117" s="167" t="s">
        <v>123</v>
      </c>
      <c r="AD117" s="126" t="s">
        <v>1676</v>
      </c>
      <c r="AE117" s="130" t="s">
        <v>120</v>
      </c>
      <c r="AF117" s="127" t="s">
        <v>2109</v>
      </c>
      <c r="AG117" s="131"/>
      <c r="AH117" s="131"/>
      <c r="AI117" s="126" t="s">
        <v>2112</v>
      </c>
      <c r="AJ117" s="130" t="s">
        <v>120</v>
      </c>
      <c r="AK117" s="126" t="s">
        <v>123</v>
      </c>
      <c r="AL117" s="126" t="s">
        <v>1198</v>
      </c>
      <c r="AM117" s="130"/>
      <c r="AN117" s="126"/>
      <c r="AO117" s="132"/>
      <c r="AP117" s="126"/>
      <c r="AQ117" s="126"/>
      <c r="AR117" s="130"/>
      <c r="AS117" s="126"/>
      <c r="AT117" s="127">
        <v>43461.4563361111</v>
      </c>
      <c r="AU117" s="127">
        <v>43479.735431134301</v>
      </c>
      <c r="AV117" s="127">
        <v>43462.497509143497</v>
      </c>
      <c r="AW117" s="127">
        <v>43461.4563361111</v>
      </c>
      <c r="AX117" s="127">
        <v>43472.656811111097</v>
      </c>
      <c r="AY117" s="127">
        <v>43461.439164120398</v>
      </c>
      <c r="AZ117" s="133">
        <v>43480.4378013889</v>
      </c>
      <c r="BA117" s="134">
        <f ca="1">IF(_05preva_view43[[#This Row],[Prevalidation Status]]="Under Prevalidation",NOW()-_05preva_view43[[#This Row],[Request Date]],IF(_05preva_view43[[#This Row],[Close Date]]&gt;_05preva_view43[[#This Row],[Request Date]],_05preva_view43[[#This Row],[Close Date]]-_05preva_view43[[#This Row],[Request Date]],"Not  Calculated"))</f>
        <v>20.43780138889997</v>
      </c>
      <c r="BB117" s="135">
        <f>COUNTIFS(_05preva_view43[Site ID],_05preva_view43[[#This Row],[Site ID]],_05preva_view43[Prevalidation Status],"Under Prevalidation")</f>
        <v>0</v>
      </c>
      <c r="BC117" s="153" t="str">
        <f ca="1">HYPERLINK(CheckPath(_05preva_view43[[#This Row],[File Path]],_05preva_view43[[#This Row],[File Path]],_05preva_view43[[#This Row],[Folder Path3]]),CheckPath(_05preva_view43[[#This Row],[File Path]],"Open File","No File"))</f>
        <v>No File</v>
      </c>
      <c r="BD117" s="136" t="str">
        <f>CONCATENATE(_05preva_view43[[#This Row],[Site ID]]," (",_05preva_view43[[#This Row],[tenant id]],") Application",IF(_05preva_view43[[#This Row],[Colo Rev]]&gt;0," Rev "&amp;_05preva_view43[[#This Row],[Colo Rev]],""),".xlsx")</f>
        <v>1-01-01004-001 (KCN00148) Application Rev 2.xlsx</v>
      </c>
      <c r="BE117" s="64">
        <f t="shared" ca="1" si="3"/>
        <v>50</v>
      </c>
      <c r="BF117" s="104" t="str">
        <f ca="1">LEFT(CELL("filename",A102),_05preva_view43[[#This Row],[Find Process &amp; Database]]-1)</f>
        <v>D:\OneDrive - apollo-towers.com\Apollo Towers\00-</v>
      </c>
      <c r="BG117" s="104" t="str">
        <f ca="1">_05preva_view43[Folder Path1]&amp;"Process &amp; Database\Documentation\Colo Applications"</f>
        <v>D:\OneDrive - apollo-towers.com\Apollo Towers\00-Process &amp; Database\Documentation\Colo Applications</v>
      </c>
      <c r="BH117" s="104" t="str">
        <f ca="1">_05preva_view43[Folder Path2]&amp;"\Colo App "&amp;_05preva_view43[[#This Row],[Operator]]&amp;"\"</f>
        <v>D:\OneDrive - apollo-towers.com\Apollo Towers\00-Process &amp; Database\Documentation\Colo Applications\Colo App MPT\</v>
      </c>
      <c r="BI117" s="63" t="str">
        <f ca="1">_05preva_view43[[#This Row],[Folder Path3]]&amp;_05preva_view43[[#This Row],[File Name]]</f>
        <v>D:\OneDrive - apollo-towers.com\Apollo Towers\00-Process &amp; Database\Documentation\Colo Applications\Colo App MPT\1-01-01004-001 (KCN00148) Application Rev 2.xlsx</v>
      </c>
      <c r="BJ117" s="104"/>
      <c r="BK117" s="3"/>
      <c r="BL117" s="3"/>
      <c r="CJ117" s="5"/>
      <c r="CK117" s="5"/>
      <c r="CL117" s="3"/>
      <c r="CN117" s="5"/>
      <c r="CR117" s="3"/>
      <c r="CS117" s="3"/>
      <c r="CT117" s="5"/>
      <c r="CV117" s="3"/>
      <c r="DR117" s="5"/>
      <c r="DT117" s="3"/>
      <c r="EF117" s="7"/>
      <c r="EG117" s="7"/>
      <c r="EJ117" s="4"/>
      <c r="EK117" s="4"/>
      <c r="EU117" s="2"/>
      <c r="EV117" s="2"/>
    </row>
    <row r="118" spans="1:152">
      <c r="A118" s="125">
        <v>3534</v>
      </c>
      <c r="B118" s="126" t="s">
        <v>1677</v>
      </c>
      <c r="C118" s="126" t="s">
        <v>331</v>
      </c>
      <c r="D118" s="126" t="s">
        <v>127</v>
      </c>
      <c r="E118" s="126" t="s">
        <v>1678</v>
      </c>
      <c r="F118" s="126" t="s">
        <v>35</v>
      </c>
      <c r="G118" s="126" t="s">
        <v>1583</v>
      </c>
      <c r="H118" s="126" t="s">
        <v>1575</v>
      </c>
      <c r="I118" s="126" t="s">
        <v>1053</v>
      </c>
      <c r="J118" s="126" t="s">
        <v>931</v>
      </c>
      <c r="K118" s="127">
        <v>43460</v>
      </c>
      <c r="L118" s="128">
        <v>2.0590000000000002</v>
      </c>
      <c r="M118" s="128">
        <v>3.6110000000000002</v>
      </c>
      <c r="N118" s="126">
        <v>7.84</v>
      </c>
      <c r="O118" s="126" t="s">
        <v>950</v>
      </c>
      <c r="P118" s="129" t="s">
        <v>958</v>
      </c>
      <c r="Q118" s="129" t="s">
        <v>959</v>
      </c>
      <c r="R118" s="126" t="s">
        <v>24</v>
      </c>
      <c r="S118" s="126"/>
      <c r="T118" s="130" t="s">
        <v>120</v>
      </c>
      <c r="U118" s="126"/>
      <c r="V118" s="130" t="s">
        <v>120</v>
      </c>
      <c r="W118" s="126" t="s">
        <v>1679</v>
      </c>
      <c r="X118" s="130" t="s">
        <v>120</v>
      </c>
      <c r="Y118" s="126" t="s">
        <v>1680</v>
      </c>
      <c r="Z118" s="162" t="s">
        <v>120</v>
      </c>
      <c r="AA118" s="154"/>
      <c r="AB118" s="154"/>
      <c r="AC118" s="167" t="s">
        <v>123</v>
      </c>
      <c r="AD118" s="126" t="s">
        <v>1681</v>
      </c>
      <c r="AE118" s="130" t="s">
        <v>120</v>
      </c>
      <c r="AF118" s="127"/>
      <c r="AG118" s="131"/>
      <c r="AH118" s="131"/>
      <c r="AI118" s="126"/>
      <c r="AJ118" s="130" t="s">
        <v>120</v>
      </c>
      <c r="AK118" s="126" t="s">
        <v>123</v>
      </c>
      <c r="AL118" s="126" t="s">
        <v>1198</v>
      </c>
      <c r="AM118" s="130"/>
      <c r="AN118" s="126"/>
      <c r="AO118" s="132"/>
      <c r="AP118" s="126"/>
      <c r="AQ118" s="126"/>
      <c r="AR118" s="130"/>
      <c r="AS118" s="126"/>
      <c r="AT118" s="127">
        <v>43461.456337268501</v>
      </c>
      <c r="AU118" s="127">
        <v>43479.735433680602</v>
      </c>
      <c r="AV118" s="127">
        <v>43462.497509953697</v>
      </c>
      <c r="AW118" s="127">
        <v>43461.456337268501</v>
      </c>
      <c r="AX118" s="127">
        <v>43472.656811921297</v>
      </c>
      <c r="AY118" s="127">
        <v>43461.439164583302</v>
      </c>
      <c r="AZ118" s="133">
        <v>43480.437802893503</v>
      </c>
      <c r="BA118" s="134">
        <f ca="1">IF(_05preva_view43[[#This Row],[Prevalidation Status]]="Under Prevalidation",NOW()-_05preva_view43[[#This Row],[Request Date]],IF(_05preva_view43[[#This Row],[Close Date]]&gt;_05preva_view43[[#This Row],[Request Date]],_05preva_view43[[#This Row],[Close Date]]-_05preva_view43[[#This Row],[Request Date]],"Not  Calculated"))</f>
        <v>20.437802893502521</v>
      </c>
      <c r="BB118" s="135">
        <f>COUNTIFS(_05preva_view43[Site ID],_05preva_view43[[#This Row],[Site ID]],_05preva_view43[Prevalidation Status],"Under Prevalidation")</f>
        <v>0</v>
      </c>
      <c r="BC118" s="153" t="str">
        <f ca="1">HYPERLINK(CheckPath(_05preva_view43[[#This Row],[File Path]],_05preva_view43[[#This Row],[File Path]],_05preva_view43[[#This Row],[Folder Path3]]),CheckPath(_05preva_view43[[#This Row],[File Path]],"Open File","No File"))</f>
        <v>No File</v>
      </c>
      <c r="BD118" s="136" t="str">
        <f>CONCATENATE(_05preva_view43[[#This Row],[Site ID]]," (",_05preva_view43[[#This Row],[tenant id]],") Application",IF(_05preva_view43[[#This Row],[Colo Rev]]&gt;0," Rev "&amp;_05preva_view43[[#This Row],[Colo Rev]],""),".xlsx")</f>
        <v>1-01-15013-001 (SHN00055) Application Rev 1.xlsx</v>
      </c>
      <c r="BE118" s="64">
        <f t="shared" ca="1" si="3"/>
        <v>50</v>
      </c>
      <c r="BF118" s="104" t="str">
        <f ca="1">LEFT(CELL("filename",A103),_05preva_view43[[#This Row],[Find Process &amp; Database]]-1)</f>
        <v>D:\OneDrive - apollo-towers.com\Apollo Towers\00-</v>
      </c>
      <c r="BG118" s="104" t="str">
        <f ca="1">_05preva_view43[Folder Path1]&amp;"Process &amp; Database\Documentation\Colo Applications"</f>
        <v>D:\OneDrive - apollo-towers.com\Apollo Towers\00-Process &amp; Database\Documentation\Colo Applications</v>
      </c>
      <c r="BH118" s="104" t="str">
        <f ca="1">_05preva_view43[Folder Path2]&amp;"\Colo App "&amp;_05preva_view43[[#This Row],[Operator]]&amp;"\"</f>
        <v>D:\OneDrive - apollo-towers.com\Apollo Towers\00-Process &amp; Database\Documentation\Colo Applications\Colo App MPT\</v>
      </c>
      <c r="BI118" s="63" t="str">
        <f ca="1">_05preva_view43[[#This Row],[Folder Path3]]&amp;_05preva_view43[[#This Row],[File Name]]</f>
        <v>D:\OneDrive - apollo-towers.com\Apollo Towers\00-Process &amp; Database\Documentation\Colo Applications\Colo App MPT\1-01-15013-001 (SHN00055) Application Rev 1.xlsx</v>
      </c>
      <c r="BJ118" s="104"/>
      <c r="BK118" s="3"/>
      <c r="BL118" s="3"/>
      <c r="CJ118" s="5"/>
      <c r="CK118" s="5"/>
      <c r="CL118" s="3"/>
      <c r="CN118" s="5"/>
      <c r="CR118" s="3"/>
      <c r="CS118" s="3"/>
      <c r="CT118" s="5"/>
      <c r="CV118" s="3"/>
      <c r="DR118" s="5"/>
      <c r="DT118" s="3"/>
      <c r="EF118" s="7"/>
      <c r="EG118" s="7"/>
      <c r="EJ118" s="4"/>
      <c r="EK118" s="4"/>
      <c r="EU118" s="2"/>
      <c r="EV118" s="2"/>
    </row>
    <row r="119" spans="1:152">
      <c r="A119" s="125">
        <v>3535</v>
      </c>
      <c r="B119" s="126" t="s">
        <v>1682</v>
      </c>
      <c r="C119" s="126" t="s">
        <v>331</v>
      </c>
      <c r="D119" s="126" t="s">
        <v>127</v>
      </c>
      <c r="E119" s="126" t="s">
        <v>1683</v>
      </c>
      <c r="F119" s="126" t="s">
        <v>35</v>
      </c>
      <c r="G119" s="126" t="s">
        <v>1583</v>
      </c>
      <c r="H119" s="126" t="s">
        <v>1575</v>
      </c>
      <c r="I119" s="126" t="s">
        <v>1288</v>
      </c>
      <c r="J119" s="126" t="s">
        <v>990</v>
      </c>
      <c r="K119" s="127">
        <v>43460</v>
      </c>
      <c r="L119" s="128">
        <v>1.399</v>
      </c>
      <c r="M119" s="128">
        <v>2.1989999999999998</v>
      </c>
      <c r="N119" s="126">
        <v>5.13</v>
      </c>
      <c r="O119" s="126" t="s">
        <v>950</v>
      </c>
      <c r="P119" s="129" t="s">
        <v>958</v>
      </c>
      <c r="Q119" s="129" t="s">
        <v>959</v>
      </c>
      <c r="R119" s="126" t="s">
        <v>24</v>
      </c>
      <c r="S119" s="126"/>
      <c r="T119" s="130" t="s">
        <v>120</v>
      </c>
      <c r="U119" s="126"/>
      <c r="V119" s="130" t="s">
        <v>120</v>
      </c>
      <c r="W119" s="126"/>
      <c r="X119" s="130" t="s">
        <v>120</v>
      </c>
      <c r="Y119" s="126" t="s">
        <v>1684</v>
      </c>
      <c r="Z119" s="162" t="s">
        <v>120</v>
      </c>
      <c r="AA119" s="154"/>
      <c r="AB119" s="154"/>
      <c r="AC119" s="167" t="s">
        <v>123</v>
      </c>
      <c r="AD119" s="126" t="s">
        <v>1685</v>
      </c>
      <c r="AE119" s="130" t="s">
        <v>120</v>
      </c>
      <c r="AF119" s="127"/>
      <c r="AG119" s="131"/>
      <c r="AH119" s="131"/>
      <c r="AI119" s="126"/>
      <c r="AJ119" s="130" t="s">
        <v>120</v>
      </c>
      <c r="AK119" s="126" t="s">
        <v>123</v>
      </c>
      <c r="AL119" s="126" t="s">
        <v>1198</v>
      </c>
      <c r="AM119" s="130"/>
      <c r="AN119" s="126"/>
      <c r="AO119" s="132"/>
      <c r="AP119" s="126"/>
      <c r="AQ119" s="126"/>
      <c r="AR119" s="130"/>
      <c r="AS119" s="126"/>
      <c r="AT119" s="127">
        <v>43461.456339004602</v>
      </c>
      <c r="AU119" s="127">
        <v>43479.735436342598</v>
      </c>
      <c r="AV119" s="127">
        <v>43462.497511226902</v>
      </c>
      <c r="AW119" s="127">
        <v>43461.456339004602</v>
      </c>
      <c r="AX119" s="127">
        <v>43472.6568134259</v>
      </c>
      <c r="AY119" s="127">
        <v>43461.439165740703</v>
      </c>
      <c r="AZ119" s="133">
        <v>43480.437804282403</v>
      </c>
      <c r="BA119" s="134">
        <f ca="1">IF(_05preva_view43[[#This Row],[Prevalidation Status]]="Under Prevalidation",NOW()-_05preva_view43[[#This Row],[Request Date]],IF(_05preva_view43[[#This Row],[Close Date]]&gt;_05preva_view43[[#This Row],[Request Date]],_05preva_view43[[#This Row],[Close Date]]-_05preva_view43[[#This Row],[Request Date]],"Not  Calculated"))</f>
        <v>20.437804282402794</v>
      </c>
      <c r="BB119" s="135">
        <f>COUNTIFS(_05preva_view43[Site ID],_05preva_view43[[#This Row],[Site ID]],_05preva_view43[Prevalidation Status],"Under Prevalidation")</f>
        <v>0</v>
      </c>
      <c r="BC119" s="153" t="str">
        <f ca="1">HYPERLINK(CheckPath(_05preva_view43[[#This Row],[File Path]],_05preva_view43[[#This Row],[File Path]],_05preva_view43[[#This Row],[Folder Path3]]),CheckPath(_05preva_view43[[#This Row],[File Path]],"Open File","No File"))</f>
        <v>No File</v>
      </c>
      <c r="BD119" s="136" t="str">
        <f>CONCATENATE(_05preva_view43[[#This Row],[Site ID]]," (",_05preva_view43[[#This Row],[tenant id]],") Application",IF(_05preva_view43[[#This Row],[Colo Rev]]&gt;0," Rev "&amp;_05preva_view43[[#This Row],[Colo Rev]],""),".xlsx")</f>
        <v>1-01-14007-016 (SHN00079) Application Rev 3.xlsx</v>
      </c>
      <c r="BE119" s="64">
        <f t="shared" ca="1" si="3"/>
        <v>50</v>
      </c>
      <c r="BF119" s="104" t="str">
        <f ca="1">LEFT(CELL("filename",A104),_05preva_view43[[#This Row],[Find Process &amp; Database]]-1)</f>
        <v>D:\OneDrive - apollo-towers.com\Apollo Towers\00-</v>
      </c>
      <c r="BG119" s="104" t="str">
        <f ca="1">_05preva_view43[Folder Path1]&amp;"Process &amp; Database\Documentation\Colo Applications"</f>
        <v>D:\OneDrive - apollo-towers.com\Apollo Towers\00-Process &amp; Database\Documentation\Colo Applications</v>
      </c>
      <c r="BH119" s="104" t="str">
        <f ca="1">_05preva_view43[Folder Path2]&amp;"\Colo App "&amp;_05preva_view43[[#This Row],[Operator]]&amp;"\"</f>
        <v>D:\OneDrive - apollo-towers.com\Apollo Towers\00-Process &amp; Database\Documentation\Colo Applications\Colo App MPT\</v>
      </c>
      <c r="BI119" s="63" t="str">
        <f ca="1">_05preva_view43[[#This Row],[Folder Path3]]&amp;_05preva_view43[[#This Row],[File Name]]</f>
        <v>D:\OneDrive - apollo-towers.com\Apollo Towers\00-Process &amp; Database\Documentation\Colo Applications\Colo App MPT\1-01-14007-016 (SHN00079) Application Rev 3.xlsx</v>
      </c>
      <c r="BJ119" s="104"/>
      <c r="BK119" s="3"/>
      <c r="BL119" s="3"/>
      <c r="CJ119" s="5"/>
      <c r="CK119" s="5"/>
      <c r="CL119" s="3"/>
      <c r="CN119" s="5"/>
      <c r="CR119" s="3"/>
      <c r="CS119" s="3"/>
      <c r="CT119" s="5"/>
      <c r="CV119" s="3"/>
      <c r="DR119" s="5"/>
      <c r="DT119" s="3"/>
      <c r="EF119" s="7"/>
      <c r="EG119" s="7"/>
      <c r="EJ119" s="4"/>
      <c r="EK119" s="4"/>
      <c r="EU119" s="2"/>
      <c r="EV119" s="2"/>
    </row>
    <row r="120" spans="1:152">
      <c r="A120" s="125">
        <v>3522</v>
      </c>
      <c r="B120" s="126" t="s">
        <v>1686</v>
      </c>
      <c r="C120" s="126" t="s">
        <v>331</v>
      </c>
      <c r="D120" s="126" t="s">
        <v>127</v>
      </c>
      <c r="E120" s="126" t="s">
        <v>1687</v>
      </c>
      <c r="F120" s="126" t="s">
        <v>34</v>
      </c>
      <c r="G120" s="126" t="s">
        <v>118</v>
      </c>
      <c r="H120" s="126" t="s">
        <v>1619</v>
      </c>
      <c r="I120" s="126" t="s">
        <v>1252</v>
      </c>
      <c r="J120" s="126" t="s">
        <v>931</v>
      </c>
      <c r="K120" s="127">
        <v>43458</v>
      </c>
      <c r="L120" s="128">
        <v>2</v>
      </c>
      <c r="M120" s="128">
        <v>2</v>
      </c>
      <c r="N120" s="126">
        <v>6</v>
      </c>
      <c r="O120" s="126" t="s">
        <v>950</v>
      </c>
      <c r="P120" s="129" t="s">
        <v>1028</v>
      </c>
      <c r="Q120" s="129" t="s">
        <v>1029</v>
      </c>
      <c r="R120" s="126" t="s">
        <v>24</v>
      </c>
      <c r="S120" s="126"/>
      <c r="T120" s="130" t="s">
        <v>861</v>
      </c>
      <c r="U120" s="126"/>
      <c r="V120" s="130" t="s">
        <v>861</v>
      </c>
      <c r="W120" s="126"/>
      <c r="X120" s="130" t="s">
        <v>861</v>
      </c>
      <c r="Y120" s="126"/>
      <c r="Z120" s="162" t="s">
        <v>861</v>
      </c>
      <c r="AA120" s="154"/>
      <c r="AB120" s="154"/>
      <c r="AC120" s="167"/>
      <c r="AD120" s="126"/>
      <c r="AE120" s="130" t="s">
        <v>120</v>
      </c>
      <c r="AF120" s="127" t="s">
        <v>1167</v>
      </c>
      <c r="AG120" s="131"/>
      <c r="AH120" s="131"/>
      <c r="AI120" s="126" t="s">
        <v>2113</v>
      </c>
      <c r="AJ120" s="130" t="s">
        <v>861</v>
      </c>
      <c r="AK120" s="126"/>
      <c r="AL120" s="126"/>
      <c r="AM120" s="130" t="s">
        <v>861</v>
      </c>
      <c r="AN120" s="126"/>
      <c r="AO120" s="132"/>
      <c r="AP120" s="126" t="s">
        <v>861</v>
      </c>
      <c r="AQ120" s="126"/>
      <c r="AR120" s="130" t="s">
        <v>120</v>
      </c>
      <c r="AS120" s="126"/>
      <c r="AT120" s="127"/>
      <c r="AU120" s="127">
        <v>43479.735417361102</v>
      </c>
      <c r="AV120" s="127"/>
      <c r="AW120" s="127"/>
      <c r="AX120" s="127"/>
      <c r="AY120" s="127"/>
      <c r="AZ120" s="133">
        <v>43480.463186226902</v>
      </c>
      <c r="BA120" s="134">
        <f ca="1">IF(_05preva_view43[[#This Row],[Prevalidation Status]]="Under Prevalidation",NOW()-_05preva_view43[[#This Row],[Request Date]],IF(_05preva_view43[[#This Row],[Close Date]]&gt;_05preva_view43[[#This Row],[Request Date]],_05preva_view43[[#This Row],[Close Date]]-_05preva_view43[[#This Row],[Request Date]],"Not  Calculated"))</f>
        <v>22.463186226901598</v>
      </c>
      <c r="BB120" s="135">
        <f>COUNTIFS(_05preva_view43[Site ID],_05preva_view43[[#This Row],[Site ID]],_05preva_view43[Prevalidation Status],"Under Prevalidation")</f>
        <v>0</v>
      </c>
      <c r="BC120" s="153" t="str">
        <f ca="1">HYPERLINK(CheckPath(_05preva_view43[[#This Row],[File Path]],_05preva_view43[[#This Row],[File Path]],_05preva_view43[[#This Row],[Folder Path3]]),CheckPath(_05preva_view43[[#This Row],[File Path]],"Open File","No File"))</f>
        <v>No File</v>
      </c>
      <c r="BD120" s="136" t="str">
        <f>CONCATENATE(_05preva_view43[[#This Row],[Site ID]]," (",_05preva_view43[[#This Row],[tenant id]],") Application",IF(_05preva_view43[[#This Row],[Colo Rev]]&gt;0," Rev "&amp;_05preva_view43[[#This Row],[Colo Rev]],""),".xlsx")</f>
        <v>1-01-10029-005 (MDY0382) Application Rev 1.xlsx</v>
      </c>
      <c r="BE120" s="64">
        <f t="shared" ca="1" si="3"/>
        <v>50</v>
      </c>
      <c r="BF120" s="104" t="str">
        <f ca="1">LEFT(CELL("filename",A105),_05preva_view43[[#This Row],[Find Process &amp; Database]]-1)</f>
        <v>D:\OneDrive - apollo-towers.com\Apollo Towers\00-</v>
      </c>
      <c r="BG120" s="104" t="str">
        <f ca="1">_05preva_view43[Folder Path1]&amp;"Process &amp; Database\Documentation\Colo Applications"</f>
        <v>D:\OneDrive - apollo-towers.com\Apollo Towers\00-Process &amp; Database\Documentation\Colo Applications</v>
      </c>
      <c r="BH120" s="104" t="str">
        <f ca="1">_05preva_view43[Folder Path2]&amp;"\Colo App "&amp;_05preva_view43[[#This Row],[Operator]]&amp;"\"</f>
        <v>D:\OneDrive - apollo-towers.com\Apollo Towers\00-Process &amp; Database\Documentation\Colo Applications\Colo App Mytel\</v>
      </c>
      <c r="BI120" s="63" t="str">
        <f ca="1">_05preva_view43[[#This Row],[Folder Path3]]&amp;_05preva_view43[[#This Row],[File Name]]</f>
        <v>D:\OneDrive - apollo-towers.com\Apollo Towers\00-Process &amp; Database\Documentation\Colo Applications\Colo App Mytel\1-01-10029-005 (MDY0382) Application Rev 1.xlsx</v>
      </c>
      <c r="BJ120" s="104"/>
      <c r="BK120" s="3"/>
      <c r="BL120" s="3"/>
      <c r="CJ120" s="5"/>
      <c r="CK120" s="5"/>
      <c r="CL120" s="3"/>
      <c r="CN120" s="5"/>
      <c r="CR120" s="3"/>
      <c r="CS120" s="3"/>
      <c r="CT120" s="5"/>
      <c r="CV120" s="3"/>
      <c r="DR120" s="5"/>
      <c r="DT120" s="3"/>
      <c r="EF120" s="7"/>
      <c r="EG120" s="7"/>
      <c r="EJ120" s="4"/>
      <c r="EK120" s="4"/>
      <c r="EU120" s="2"/>
      <c r="EV120" s="2"/>
    </row>
    <row r="121" spans="1:152">
      <c r="A121" s="125">
        <v>3523</v>
      </c>
      <c r="B121" s="126" t="s">
        <v>1688</v>
      </c>
      <c r="C121" s="126" t="s">
        <v>331</v>
      </c>
      <c r="D121" s="126" t="s">
        <v>117</v>
      </c>
      <c r="E121" s="126" t="s">
        <v>1689</v>
      </c>
      <c r="F121" s="126" t="s">
        <v>34</v>
      </c>
      <c r="G121" s="126" t="s">
        <v>1582</v>
      </c>
      <c r="H121" s="126" t="s">
        <v>1580</v>
      </c>
      <c r="I121" s="126" t="s">
        <v>1252</v>
      </c>
      <c r="J121" s="126" t="s">
        <v>931</v>
      </c>
      <c r="K121" s="127">
        <v>43458</v>
      </c>
      <c r="L121" s="128">
        <v>2</v>
      </c>
      <c r="M121" s="128">
        <v>2</v>
      </c>
      <c r="N121" s="126">
        <v>6</v>
      </c>
      <c r="O121" s="126" t="s">
        <v>950</v>
      </c>
      <c r="P121" s="129" t="s">
        <v>1028</v>
      </c>
      <c r="Q121" s="129" t="s">
        <v>1029</v>
      </c>
      <c r="R121" s="126" t="s">
        <v>27</v>
      </c>
      <c r="S121" s="126"/>
      <c r="T121" s="130" t="s">
        <v>861</v>
      </c>
      <c r="U121" s="126"/>
      <c r="V121" s="130" t="s">
        <v>861</v>
      </c>
      <c r="W121" s="126"/>
      <c r="X121" s="130" t="s">
        <v>861</v>
      </c>
      <c r="Y121" s="126"/>
      <c r="Z121" s="162" t="s">
        <v>861</v>
      </c>
      <c r="AA121" s="154"/>
      <c r="AB121" s="154"/>
      <c r="AC121" s="167"/>
      <c r="AD121" s="126"/>
      <c r="AE121" s="130" t="s">
        <v>120</v>
      </c>
      <c r="AF121" s="127" t="s">
        <v>1167</v>
      </c>
      <c r="AG121" s="131"/>
      <c r="AH121" s="131"/>
      <c r="AI121" s="126" t="s">
        <v>2114</v>
      </c>
      <c r="AJ121" s="130" t="s">
        <v>861</v>
      </c>
      <c r="AK121" s="126"/>
      <c r="AL121" s="126"/>
      <c r="AM121" s="130" t="s">
        <v>861</v>
      </c>
      <c r="AN121" s="126"/>
      <c r="AO121" s="132"/>
      <c r="AP121" s="126" t="s">
        <v>861</v>
      </c>
      <c r="AQ121" s="126"/>
      <c r="AR121" s="130" t="s">
        <v>120</v>
      </c>
      <c r="AS121" s="126"/>
      <c r="AT121" s="127"/>
      <c r="AU121" s="127">
        <v>43479.735417939803</v>
      </c>
      <c r="AV121" s="127"/>
      <c r="AW121" s="127"/>
      <c r="AX121" s="127"/>
      <c r="AY121" s="127"/>
      <c r="AZ121" s="133">
        <v>43476.700147453703</v>
      </c>
      <c r="BA121" s="134">
        <f ca="1">IF(_05preva_view43[[#This Row],[Prevalidation Status]]="Under Prevalidation",NOW()-_05preva_view43[[#This Row],[Request Date]],IF(_05preva_view43[[#This Row],[Close Date]]&gt;_05preva_view43[[#This Row],[Request Date]],_05preva_view43[[#This Row],[Close Date]]-_05preva_view43[[#This Row],[Request Date]],"Not  Calculated"))</f>
        <v>18.700147453702812</v>
      </c>
      <c r="BB121" s="135">
        <f>COUNTIFS(_05preva_view43[Site ID],_05preva_view43[[#This Row],[Site ID]],_05preva_view43[Prevalidation Status],"Under Prevalidation")</f>
        <v>0</v>
      </c>
      <c r="BC121" s="153" t="str">
        <f ca="1">HYPERLINK(CheckPath(_05preva_view43[[#This Row],[File Path]],_05preva_view43[[#This Row],[File Path]],_05preva_view43[[#This Row],[Folder Path3]]),CheckPath(_05preva_view43[[#This Row],[File Path]],"Open File","No File"))</f>
        <v>No File</v>
      </c>
      <c r="BD121" s="136" t="str">
        <f>CONCATENATE(_05preva_view43[[#This Row],[Site ID]]," (",_05preva_view43[[#This Row],[tenant id]],") Application",IF(_05preva_view43[[#This Row],[Colo Rev]]&gt;0," Rev "&amp;_05preva_view43[[#This Row],[Colo Rev]],""),".xlsx")</f>
        <v>1-01-12007-001 (RKE0013) Application Rev 1.xlsx</v>
      </c>
      <c r="BE121" s="64">
        <f t="shared" ca="1" si="3"/>
        <v>50</v>
      </c>
      <c r="BF121" s="104" t="str">
        <f ca="1">LEFT(CELL("filename",A106),_05preva_view43[[#This Row],[Find Process &amp; Database]]-1)</f>
        <v>D:\OneDrive - apollo-towers.com\Apollo Towers\00-</v>
      </c>
      <c r="BG121" s="104" t="str">
        <f ca="1">_05preva_view43[Folder Path1]&amp;"Process &amp; Database\Documentation\Colo Applications"</f>
        <v>D:\OneDrive - apollo-towers.com\Apollo Towers\00-Process &amp; Database\Documentation\Colo Applications</v>
      </c>
      <c r="BH121" s="104" t="str">
        <f ca="1">_05preva_view43[Folder Path2]&amp;"\Colo App "&amp;_05preva_view43[[#This Row],[Operator]]&amp;"\"</f>
        <v>D:\OneDrive - apollo-towers.com\Apollo Towers\00-Process &amp; Database\Documentation\Colo Applications\Colo App Mytel\</v>
      </c>
      <c r="BI121" s="63" t="str">
        <f ca="1">_05preva_view43[[#This Row],[Folder Path3]]&amp;_05preva_view43[[#This Row],[File Name]]</f>
        <v>D:\OneDrive - apollo-towers.com\Apollo Towers\00-Process &amp; Database\Documentation\Colo Applications\Colo App Mytel\1-01-12007-001 (RKE0013) Application Rev 1.xlsx</v>
      </c>
      <c r="BJ121" s="104"/>
      <c r="BK121" s="3"/>
      <c r="BL121" s="3"/>
      <c r="CJ121" s="5"/>
      <c r="CK121" s="5"/>
      <c r="CL121" s="3"/>
      <c r="CN121" s="5"/>
      <c r="CR121" s="3"/>
      <c r="CS121" s="3"/>
      <c r="CT121" s="5"/>
      <c r="CV121" s="3"/>
      <c r="DR121" s="5"/>
      <c r="DT121" s="3"/>
      <c r="EF121" s="7"/>
      <c r="EG121" s="7"/>
      <c r="EJ121" s="4"/>
      <c r="EK121" s="4"/>
      <c r="EU121" s="2"/>
      <c r="EV121" s="2"/>
    </row>
    <row r="122" spans="1:152">
      <c r="A122" s="125">
        <v>3524</v>
      </c>
      <c r="B122" s="126" t="s">
        <v>1690</v>
      </c>
      <c r="C122" s="126" t="s">
        <v>331</v>
      </c>
      <c r="D122" s="126" t="s">
        <v>163</v>
      </c>
      <c r="E122" s="126" t="s">
        <v>1691</v>
      </c>
      <c r="F122" s="126" t="s">
        <v>34</v>
      </c>
      <c r="G122" s="126" t="s">
        <v>1582</v>
      </c>
      <c r="H122" s="126" t="s">
        <v>1575</v>
      </c>
      <c r="I122" s="126" t="s">
        <v>1252</v>
      </c>
      <c r="J122" s="126" t="s">
        <v>931</v>
      </c>
      <c r="K122" s="127">
        <v>43458</v>
      </c>
      <c r="L122" s="128">
        <v>2</v>
      </c>
      <c r="M122" s="128">
        <v>2</v>
      </c>
      <c r="N122" s="126">
        <v>6</v>
      </c>
      <c r="O122" s="126" t="s">
        <v>950</v>
      </c>
      <c r="P122" s="129" t="s">
        <v>1028</v>
      </c>
      <c r="Q122" s="129" t="s">
        <v>1029</v>
      </c>
      <c r="R122" s="126" t="s">
        <v>24</v>
      </c>
      <c r="S122" s="126"/>
      <c r="T122" s="130" t="s">
        <v>861</v>
      </c>
      <c r="U122" s="126"/>
      <c r="V122" s="130" t="s">
        <v>861</v>
      </c>
      <c r="W122" s="126"/>
      <c r="X122" s="130" t="s">
        <v>861</v>
      </c>
      <c r="Y122" s="126"/>
      <c r="Z122" s="162" t="s">
        <v>861</v>
      </c>
      <c r="AA122" s="154"/>
      <c r="AB122" s="154"/>
      <c r="AC122" s="167"/>
      <c r="AD122" s="126"/>
      <c r="AE122" s="130" t="s">
        <v>120</v>
      </c>
      <c r="AF122" s="127"/>
      <c r="AG122" s="131"/>
      <c r="AH122" s="131"/>
      <c r="AI122" s="126"/>
      <c r="AJ122" s="130" t="s">
        <v>861</v>
      </c>
      <c r="AK122" s="126"/>
      <c r="AL122" s="126"/>
      <c r="AM122" s="130" t="s">
        <v>861</v>
      </c>
      <c r="AN122" s="126"/>
      <c r="AO122" s="132"/>
      <c r="AP122" s="126" t="s">
        <v>861</v>
      </c>
      <c r="AQ122" s="126"/>
      <c r="AR122" s="130" t="s">
        <v>120</v>
      </c>
      <c r="AS122" s="126"/>
      <c r="AT122" s="127"/>
      <c r="AU122" s="127">
        <v>43479.735418518503</v>
      </c>
      <c r="AV122" s="127"/>
      <c r="AW122" s="127"/>
      <c r="AX122" s="127"/>
      <c r="AY122" s="127"/>
      <c r="AZ122" s="133">
        <v>43476.700148148098</v>
      </c>
      <c r="BA122" s="134">
        <f ca="1">IF(_05preva_view43[[#This Row],[Prevalidation Status]]="Under Prevalidation",NOW()-_05preva_view43[[#This Row],[Request Date]],IF(_05preva_view43[[#This Row],[Close Date]]&gt;_05preva_view43[[#This Row],[Request Date]],_05preva_view43[[#This Row],[Close Date]]-_05preva_view43[[#This Row],[Request Date]],"Not  Calculated"))</f>
        <v>18.700148148098378</v>
      </c>
      <c r="BB122" s="135">
        <f>COUNTIFS(_05preva_view43[Site ID],_05preva_view43[[#This Row],[Site ID]],_05preva_view43[Prevalidation Status],"Under Prevalidation")</f>
        <v>0</v>
      </c>
      <c r="BC122" s="153" t="str">
        <f ca="1">HYPERLINK(CheckPath(_05preva_view43[[#This Row],[File Path]],_05preva_view43[[#This Row],[File Path]],_05preva_view43[[#This Row],[Folder Path3]]),CheckPath(_05preva_view43[[#This Row],[File Path]],"Open File","No File"))</f>
        <v>No File</v>
      </c>
      <c r="BD122" s="136" t="str">
        <f>CONCATENATE(_05preva_view43[[#This Row],[Site ID]]," (",_05preva_view43[[#This Row],[tenant id]],") Application",IF(_05preva_view43[[#This Row],[Colo Rev]]&gt;0," Rev "&amp;_05preva_view43[[#This Row],[Colo Rev]],""),".xlsx")</f>
        <v>1-01-03005-004 (KYN0185) Application Rev 1.xlsx</v>
      </c>
      <c r="BE122" s="64">
        <f t="shared" ca="1" si="3"/>
        <v>50</v>
      </c>
      <c r="BF122" s="104" t="str">
        <f ca="1">LEFT(CELL("filename",A107),_05preva_view43[[#This Row],[Find Process &amp; Database]]-1)</f>
        <v>D:\OneDrive - apollo-towers.com\Apollo Towers\00-</v>
      </c>
      <c r="BG122" s="104" t="str">
        <f ca="1">_05preva_view43[Folder Path1]&amp;"Process &amp; Database\Documentation\Colo Applications"</f>
        <v>D:\OneDrive - apollo-towers.com\Apollo Towers\00-Process &amp; Database\Documentation\Colo Applications</v>
      </c>
      <c r="BH122" s="104" t="str">
        <f ca="1">_05preva_view43[Folder Path2]&amp;"\Colo App "&amp;_05preva_view43[[#This Row],[Operator]]&amp;"\"</f>
        <v>D:\OneDrive - apollo-towers.com\Apollo Towers\00-Process &amp; Database\Documentation\Colo Applications\Colo App Mytel\</v>
      </c>
      <c r="BI122" s="63" t="str">
        <f ca="1">_05preva_view43[[#This Row],[Folder Path3]]&amp;_05preva_view43[[#This Row],[File Name]]</f>
        <v>D:\OneDrive - apollo-towers.com\Apollo Towers\00-Process &amp; Database\Documentation\Colo Applications\Colo App Mytel\1-01-03005-004 (KYN0185) Application Rev 1.xlsx</v>
      </c>
      <c r="BJ122" s="104"/>
      <c r="BK122" s="3"/>
      <c r="BL122" s="3"/>
      <c r="CJ122" s="5"/>
      <c r="CK122" s="5"/>
      <c r="CL122" s="3"/>
      <c r="CN122" s="5"/>
      <c r="CR122" s="3"/>
      <c r="CS122" s="3"/>
      <c r="CT122" s="5"/>
      <c r="CV122" s="3"/>
      <c r="DR122" s="5"/>
      <c r="DT122" s="3"/>
      <c r="EF122" s="7"/>
      <c r="EG122" s="7"/>
      <c r="EJ122" s="4"/>
      <c r="EK122" s="4"/>
      <c r="EU122" s="2"/>
      <c r="EV122" s="2"/>
    </row>
    <row r="123" spans="1:152">
      <c r="A123" s="125">
        <v>3525</v>
      </c>
      <c r="B123" s="126" t="s">
        <v>1692</v>
      </c>
      <c r="C123" s="126" t="s">
        <v>331</v>
      </c>
      <c r="D123" s="126" t="s">
        <v>163</v>
      </c>
      <c r="E123" s="126" t="s">
        <v>1693</v>
      </c>
      <c r="F123" s="126" t="s">
        <v>34</v>
      </c>
      <c r="G123" s="126" t="s">
        <v>1582</v>
      </c>
      <c r="H123" s="126" t="s">
        <v>1575</v>
      </c>
      <c r="I123" s="126" t="s">
        <v>1252</v>
      </c>
      <c r="J123" s="126" t="s">
        <v>931</v>
      </c>
      <c r="K123" s="127">
        <v>43458</v>
      </c>
      <c r="L123" s="128">
        <v>2</v>
      </c>
      <c r="M123" s="128">
        <v>2</v>
      </c>
      <c r="N123" s="126">
        <v>6</v>
      </c>
      <c r="O123" s="126" t="s">
        <v>950</v>
      </c>
      <c r="P123" s="129" t="s">
        <v>1028</v>
      </c>
      <c r="Q123" s="129" t="s">
        <v>1029</v>
      </c>
      <c r="R123" s="126" t="s">
        <v>24</v>
      </c>
      <c r="S123" s="126"/>
      <c r="T123" s="130" t="s">
        <v>861</v>
      </c>
      <c r="U123" s="126"/>
      <c r="V123" s="130" t="s">
        <v>861</v>
      </c>
      <c r="W123" s="126"/>
      <c r="X123" s="130" t="s">
        <v>861</v>
      </c>
      <c r="Y123" s="126"/>
      <c r="Z123" s="162" t="s">
        <v>861</v>
      </c>
      <c r="AA123" s="154"/>
      <c r="AB123" s="154"/>
      <c r="AC123" s="167"/>
      <c r="AD123" s="126"/>
      <c r="AE123" s="130" t="s">
        <v>120</v>
      </c>
      <c r="AF123" s="127"/>
      <c r="AG123" s="131"/>
      <c r="AH123" s="131"/>
      <c r="AI123" s="126"/>
      <c r="AJ123" s="130" t="s">
        <v>861</v>
      </c>
      <c r="AK123" s="126"/>
      <c r="AL123" s="126"/>
      <c r="AM123" s="130" t="s">
        <v>861</v>
      </c>
      <c r="AN123" s="126"/>
      <c r="AO123" s="132"/>
      <c r="AP123" s="126" t="s">
        <v>861</v>
      </c>
      <c r="AQ123" s="126"/>
      <c r="AR123" s="130" t="s">
        <v>120</v>
      </c>
      <c r="AS123" s="126"/>
      <c r="AT123" s="127"/>
      <c r="AU123" s="127">
        <v>43479.735420254598</v>
      </c>
      <c r="AV123" s="127"/>
      <c r="AW123" s="127"/>
      <c r="AX123" s="127"/>
      <c r="AY123" s="127"/>
      <c r="AZ123" s="133">
        <v>43476.700148958298</v>
      </c>
      <c r="BA123" s="134">
        <f ca="1">IF(_05preva_view43[[#This Row],[Prevalidation Status]]="Under Prevalidation",NOW()-_05preva_view43[[#This Row],[Request Date]],IF(_05preva_view43[[#This Row],[Close Date]]&gt;_05preva_view43[[#This Row],[Request Date]],_05preva_view43[[#This Row],[Close Date]]-_05preva_view43[[#This Row],[Request Date]],"Not  Calculated"))</f>
        <v>18.700148958298087</v>
      </c>
      <c r="BB123" s="135">
        <f>COUNTIFS(_05preva_view43[Site ID],_05preva_view43[[#This Row],[Site ID]],_05preva_view43[Prevalidation Status],"Under Prevalidation")</f>
        <v>0</v>
      </c>
      <c r="BC123" s="153" t="str">
        <f ca="1">HYPERLINK(CheckPath(_05preva_view43[[#This Row],[File Path]],_05preva_view43[[#This Row],[File Path]],_05preva_view43[[#This Row],[Folder Path3]]),CheckPath(_05preva_view43[[#This Row],[File Path]],"Open File","No File"))</f>
        <v>No File</v>
      </c>
      <c r="BD123" s="136" t="str">
        <f>CONCATENATE(_05preva_view43[[#This Row],[Site ID]]," (",_05preva_view43[[#This Row],[tenant id]],") Application",IF(_05preva_view43[[#This Row],[Colo Rev]]&gt;0," Rev "&amp;_05preva_view43[[#This Row],[Colo Rev]],""),".xlsx")</f>
        <v>1-01-17026-003 (AYY0879) Application Rev 1.xlsx</v>
      </c>
      <c r="BE123" s="64">
        <f t="shared" ca="1" si="3"/>
        <v>50</v>
      </c>
      <c r="BF123" s="104" t="str">
        <f ca="1">LEFT(CELL("filename",A108),_05preva_view43[[#This Row],[Find Process &amp; Database]]-1)</f>
        <v>D:\OneDrive - apollo-towers.com\Apollo Towers\00-</v>
      </c>
      <c r="BG123" s="104" t="str">
        <f ca="1">_05preva_view43[Folder Path1]&amp;"Process &amp; Database\Documentation\Colo Applications"</f>
        <v>D:\OneDrive - apollo-towers.com\Apollo Towers\00-Process &amp; Database\Documentation\Colo Applications</v>
      </c>
      <c r="BH123" s="104" t="str">
        <f ca="1">_05preva_view43[Folder Path2]&amp;"\Colo App "&amp;_05preva_view43[[#This Row],[Operator]]&amp;"\"</f>
        <v>D:\OneDrive - apollo-towers.com\Apollo Towers\00-Process &amp; Database\Documentation\Colo Applications\Colo App Mytel\</v>
      </c>
      <c r="BI123" s="63" t="str">
        <f ca="1">_05preva_view43[[#This Row],[Folder Path3]]&amp;_05preva_view43[[#This Row],[File Name]]</f>
        <v>D:\OneDrive - apollo-towers.com\Apollo Towers\00-Process &amp; Database\Documentation\Colo Applications\Colo App Mytel\1-01-17026-003 (AYY0879) Application Rev 1.xlsx</v>
      </c>
      <c r="BJ123" s="104"/>
      <c r="BK123" s="3"/>
      <c r="BL123" s="3"/>
      <c r="CJ123" s="5"/>
      <c r="CK123" s="5"/>
      <c r="CL123" s="3"/>
      <c r="CN123" s="5"/>
      <c r="CR123" s="3"/>
      <c r="CS123" s="3"/>
      <c r="CT123" s="5"/>
      <c r="CV123" s="3"/>
      <c r="DR123" s="5"/>
      <c r="DT123" s="3"/>
      <c r="EF123" s="7"/>
      <c r="EG123" s="7"/>
      <c r="EJ123" s="4"/>
      <c r="EK123" s="4"/>
      <c r="EU123" s="2"/>
      <c r="EV123" s="2"/>
    </row>
    <row r="124" spans="1:152">
      <c r="A124" s="125">
        <v>3526</v>
      </c>
      <c r="B124" s="126" t="s">
        <v>1694</v>
      </c>
      <c r="C124" s="126" t="s">
        <v>331</v>
      </c>
      <c r="D124" s="126" t="s">
        <v>163</v>
      </c>
      <c r="E124" s="126" t="s">
        <v>1695</v>
      </c>
      <c r="F124" s="126" t="s">
        <v>34</v>
      </c>
      <c r="G124" s="126" t="s">
        <v>1582</v>
      </c>
      <c r="H124" s="126" t="s">
        <v>1575</v>
      </c>
      <c r="I124" s="126" t="s">
        <v>1252</v>
      </c>
      <c r="J124" s="126" t="s">
        <v>931</v>
      </c>
      <c r="K124" s="127">
        <v>43458</v>
      </c>
      <c r="L124" s="128">
        <v>2</v>
      </c>
      <c r="M124" s="128">
        <v>2</v>
      </c>
      <c r="N124" s="126">
        <v>6</v>
      </c>
      <c r="O124" s="126" t="s">
        <v>950</v>
      </c>
      <c r="P124" s="129" t="s">
        <v>1028</v>
      </c>
      <c r="Q124" s="129" t="s">
        <v>1029</v>
      </c>
      <c r="R124" s="126" t="s">
        <v>24</v>
      </c>
      <c r="S124" s="126"/>
      <c r="T124" s="130" t="s">
        <v>861</v>
      </c>
      <c r="U124" s="126"/>
      <c r="V124" s="130" t="s">
        <v>861</v>
      </c>
      <c r="W124" s="126"/>
      <c r="X124" s="130" t="s">
        <v>861</v>
      </c>
      <c r="Y124" s="126"/>
      <c r="Z124" s="162" t="s">
        <v>861</v>
      </c>
      <c r="AA124" s="154"/>
      <c r="AB124" s="154"/>
      <c r="AC124" s="167"/>
      <c r="AD124" s="126"/>
      <c r="AE124" s="130" t="s">
        <v>120</v>
      </c>
      <c r="AF124" s="127" t="s">
        <v>1167</v>
      </c>
      <c r="AG124" s="131"/>
      <c r="AH124" s="131"/>
      <c r="AI124" s="126" t="s">
        <v>2115</v>
      </c>
      <c r="AJ124" s="130" t="s">
        <v>861</v>
      </c>
      <c r="AK124" s="126"/>
      <c r="AL124" s="126"/>
      <c r="AM124" s="130" t="s">
        <v>861</v>
      </c>
      <c r="AN124" s="126"/>
      <c r="AO124" s="132"/>
      <c r="AP124" s="126" t="s">
        <v>861</v>
      </c>
      <c r="AQ124" s="126"/>
      <c r="AR124" s="130" t="s">
        <v>120</v>
      </c>
      <c r="AS124" s="126"/>
      <c r="AT124" s="127"/>
      <c r="AU124" s="127">
        <v>43479.735420833298</v>
      </c>
      <c r="AV124" s="127"/>
      <c r="AW124" s="127"/>
      <c r="AX124" s="127"/>
      <c r="AY124" s="127"/>
      <c r="AZ124" s="133">
        <v>43480.4631876157</v>
      </c>
      <c r="BA124" s="134">
        <f ca="1">IF(_05preva_view43[[#This Row],[Prevalidation Status]]="Under Prevalidation",NOW()-_05preva_view43[[#This Row],[Request Date]],IF(_05preva_view43[[#This Row],[Close Date]]&gt;_05preva_view43[[#This Row],[Request Date]],_05preva_view43[[#This Row],[Close Date]]-_05preva_view43[[#This Row],[Request Date]],"Not  Calculated"))</f>
        <v>22.463187615700008</v>
      </c>
      <c r="BB124" s="135">
        <f>COUNTIFS(_05preva_view43[Site ID],_05preva_view43[[#This Row],[Site ID]],_05preva_view43[Prevalidation Status],"Under Prevalidation")</f>
        <v>0</v>
      </c>
      <c r="BC124" s="153" t="str">
        <f ca="1">HYPERLINK(CheckPath(_05preva_view43[[#This Row],[File Path]],_05preva_view43[[#This Row],[File Path]],_05preva_view43[[#This Row],[Folder Path3]]),CheckPath(_05preva_view43[[#This Row],[File Path]],"Open File","No File"))</f>
        <v>No File</v>
      </c>
      <c r="BD124" s="136" t="str">
        <f>CONCATENATE(_05preva_view43[[#This Row],[Site ID]]," (",_05preva_view43[[#This Row],[tenant id]],") Application",IF(_05preva_view43[[#This Row],[Colo Rev]]&gt;0," Rev "&amp;_05preva_view43[[#This Row],[Colo Rev]],""),".xlsx")</f>
        <v>1-01-17004-007 (AYY0207) Application Rev 1.xlsx</v>
      </c>
      <c r="BE124" s="64">
        <f t="shared" ca="1" si="3"/>
        <v>50</v>
      </c>
      <c r="BF124" s="104" t="str">
        <f ca="1">LEFT(CELL("filename",A109),_05preva_view43[[#This Row],[Find Process &amp; Database]]-1)</f>
        <v>D:\OneDrive - apollo-towers.com\Apollo Towers\00-</v>
      </c>
      <c r="BG124" s="104" t="str">
        <f ca="1">_05preva_view43[Folder Path1]&amp;"Process &amp; Database\Documentation\Colo Applications"</f>
        <v>D:\OneDrive - apollo-towers.com\Apollo Towers\00-Process &amp; Database\Documentation\Colo Applications</v>
      </c>
      <c r="BH124" s="104" t="str">
        <f ca="1">_05preva_view43[Folder Path2]&amp;"\Colo App "&amp;_05preva_view43[[#This Row],[Operator]]&amp;"\"</f>
        <v>D:\OneDrive - apollo-towers.com\Apollo Towers\00-Process &amp; Database\Documentation\Colo Applications\Colo App Mytel\</v>
      </c>
      <c r="BI124" s="63" t="str">
        <f ca="1">_05preva_view43[[#This Row],[Folder Path3]]&amp;_05preva_view43[[#This Row],[File Name]]</f>
        <v>D:\OneDrive - apollo-towers.com\Apollo Towers\00-Process &amp; Database\Documentation\Colo Applications\Colo App Mytel\1-01-17004-007 (AYY0207) Application Rev 1.xlsx</v>
      </c>
      <c r="BJ124" s="104"/>
      <c r="BK124" s="3"/>
      <c r="BL124" s="3"/>
      <c r="CJ124" s="5"/>
      <c r="CK124" s="5"/>
      <c r="CL124" s="3"/>
      <c r="CN124" s="5"/>
      <c r="CR124" s="3"/>
      <c r="CS124" s="3"/>
      <c r="CT124" s="5"/>
      <c r="CV124" s="3"/>
      <c r="DR124" s="5"/>
      <c r="DT124" s="3"/>
      <c r="EF124" s="7"/>
      <c r="EG124" s="7"/>
      <c r="EJ124" s="4"/>
      <c r="EK124" s="4"/>
      <c r="EU124" s="2"/>
      <c r="EV124" s="2"/>
    </row>
    <row r="125" spans="1:152">
      <c r="A125" s="125">
        <v>3521</v>
      </c>
      <c r="B125" s="126" t="s">
        <v>1696</v>
      </c>
      <c r="C125" s="126" t="s">
        <v>331</v>
      </c>
      <c r="D125" s="126" t="s">
        <v>127</v>
      </c>
      <c r="E125" s="126" t="s">
        <v>1697</v>
      </c>
      <c r="F125" s="126" t="s">
        <v>34</v>
      </c>
      <c r="G125" s="126" t="s">
        <v>118</v>
      </c>
      <c r="H125" s="126" t="s">
        <v>1619</v>
      </c>
      <c r="I125" s="126" t="s">
        <v>1143</v>
      </c>
      <c r="J125" s="126" t="s">
        <v>940</v>
      </c>
      <c r="K125" s="127">
        <v>43454</v>
      </c>
      <c r="L125" s="128">
        <v>2</v>
      </c>
      <c r="M125" s="128">
        <v>2</v>
      </c>
      <c r="N125" s="126">
        <v>6</v>
      </c>
      <c r="O125" s="126" t="s">
        <v>950</v>
      </c>
      <c r="P125" s="129" t="s">
        <v>1698</v>
      </c>
      <c r="Q125" s="129" t="s">
        <v>1699</v>
      </c>
      <c r="R125" s="126" t="s">
        <v>25</v>
      </c>
      <c r="S125" s="126"/>
      <c r="T125" s="130" t="s">
        <v>120</v>
      </c>
      <c r="U125" s="126"/>
      <c r="V125" s="130" t="s">
        <v>120</v>
      </c>
      <c r="W125" s="126"/>
      <c r="X125" s="130" t="s">
        <v>120</v>
      </c>
      <c r="Y125" s="126" t="s">
        <v>1700</v>
      </c>
      <c r="Z125" s="162" t="s">
        <v>120</v>
      </c>
      <c r="AA125" s="154"/>
      <c r="AB125" s="154"/>
      <c r="AC125" s="167" t="s">
        <v>123</v>
      </c>
      <c r="AD125" s="126" t="s">
        <v>1701</v>
      </c>
      <c r="AE125" s="130" t="s">
        <v>120</v>
      </c>
      <c r="AF125" s="127" t="s">
        <v>1167</v>
      </c>
      <c r="AG125" s="131"/>
      <c r="AH125" s="131"/>
      <c r="AI125" s="126" t="s">
        <v>2116</v>
      </c>
      <c r="AJ125" s="130" t="s">
        <v>120</v>
      </c>
      <c r="AK125" s="126" t="s">
        <v>240</v>
      </c>
      <c r="AL125" s="126" t="s">
        <v>1493</v>
      </c>
      <c r="AM125" s="130"/>
      <c r="AN125" s="126"/>
      <c r="AO125" s="132"/>
      <c r="AP125" s="126"/>
      <c r="AQ125" s="126"/>
      <c r="AR125" s="130" t="s">
        <v>120</v>
      </c>
      <c r="AS125" s="126"/>
      <c r="AT125" s="127">
        <v>43456.477405787002</v>
      </c>
      <c r="AU125" s="127">
        <v>43479.735417013901</v>
      </c>
      <c r="AV125" s="127">
        <v>43458.463354050902</v>
      </c>
      <c r="AW125" s="127">
        <v>43456.477405787002</v>
      </c>
      <c r="AX125" s="127">
        <v>43472.676680439799</v>
      </c>
      <c r="AY125" s="127">
        <v>43461.439160416703</v>
      </c>
      <c r="AZ125" s="133"/>
      <c r="BA125" s="134">
        <f ca="1">IF(_05preva_view43[[#This Row],[Prevalidation Status]]="Under Prevalidation",NOW()-_05preva_view43[[#This Row],[Request Date]],IF(_05preva_view43[[#This Row],[Close Date]]&gt;_05preva_view43[[#This Row],[Request Date]],_05preva_view43[[#This Row],[Close Date]]-_05preva_view43[[#This Row],[Request Date]],"Not  Calculated"))</f>
        <v>33.506734143520589</v>
      </c>
      <c r="BB125" s="135">
        <f>COUNTIFS(_05preva_view43[Site ID],_05preva_view43[[#This Row],[Site ID]],_05preva_view43[Prevalidation Status],"Under Prevalidation")</f>
        <v>1</v>
      </c>
      <c r="BC125" s="153" t="str">
        <f ca="1">HYPERLINK(CheckPath(_05preva_view43[[#This Row],[File Path]],_05preva_view43[[#This Row],[File Path]],_05preva_view43[[#This Row],[Folder Path3]]),CheckPath(_05preva_view43[[#This Row],[File Path]],"Open File","No File"))</f>
        <v>No File</v>
      </c>
      <c r="BD125" s="136" t="str">
        <f>CONCATENATE(_05preva_view43[[#This Row],[Site ID]]," (",_05preva_view43[[#This Row],[tenant id]],") Application",IF(_05preva_view43[[#This Row],[Colo Rev]]&gt;0," Rev "&amp;_05preva_view43[[#This Row],[Colo Rev]],""),".xlsx")</f>
        <v>1-01-10020-003 (MDY0280) Application Rev 0.xlsx</v>
      </c>
      <c r="BE125" s="64">
        <f t="shared" ca="1" si="3"/>
        <v>50</v>
      </c>
      <c r="BF125" s="104" t="str">
        <f ca="1">LEFT(CELL("filename",A110),_05preva_view43[[#This Row],[Find Process &amp; Database]]-1)</f>
        <v>D:\OneDrive - apollo-towers.com\Apollo Towers\00-</v>
      </c>
      <c r="BG125" s="104" t="str">
        <f ca="1">_05preva_view43[Folder Path1]&amp;"Process &amp; Database\Documentation\Colo Applications"</f>
        <v>D:\OneDrive - apollo-towers.com\Apollo Towers\00-Process &amp; Database\Documentation\Colo Applications</v>
      </c>
      <c r="BH125" s="104" t="str">
        <f ca="1">_05preva_view43[Folder Path2]&amp;"\Colo App "&amp;_05preva_view43[[#This Row],[Operator]]&amp;"\"</f>
        <v>D:\OneDrive - apollo-towers.com\Apollo Towers\00-Process &amp; Database\Documentation\Colo Applications\Colo App Mytel\</v>
      </c>
      <c r="BI125" s="63" t="str">
        <f ca="1">_05preva_view43[[#This Row],[Folder Path3]]&amp;_05preva_view43[[#This Row],[File Name]]</f>
        <v>D:\OneDrive - apollo-towers.com\Apollo Towers\00-Process &amp; Database\Documentation\Colo Applications\Colo App Mytel\1-01-10020-003 (MDY0280) Application Rev 0.xlsx</v>
      </c>
      <c r="BJ125" s="104"/>
      <c r="BK125" s="3"/>
      <c r="BL125" s="3"/>
      <c r="CJ125" s="5"/>
      <c r="CK125" s="5"/>
      <c r="CL125" s="3"/>
      <c r="CN125" s="5"/>
      <c r="CR125" s="3"/>
      <c r="CS125" s="3"/>
      <c r="CT125" s="5"/>
      <c r="CV125" s="3"/>
      <c r="DR125" s="5"/>
      <c r="DT125" s="3"/>
      <c r="EF125" s="7"/>
      <c r="EG125" s="7"/>
      <c r="EJ125" s="4"/>
      <c r="EK125" s="4"/>
      <c r="EU125" s="2"/>
      <c r="EV125" s="2"/>
    </row>
    <row r="126" spans="1:152">
      <c r="A126" s="125">
        <v>3516</v>
      </c>
      <c r="B126" s="126" t="s">
        <v>1181</v>
      </c>
      <c r="C126" s="126" t="s">
        <v>331</v>
      </c>
      <c r="D126" s="126" t="s">
        <v>117</v>
      </c>
      <c r="E126" s="126" t="s">
        <v>1182</v>
      </c>
      <c r="F126" s="126" t="s">
        <v>35</v>
      </c>
      <c r="G126" s="126" t="s">
        <v>1583</v>
      </c>
      <c r="H126" s="126" t="s">
        <v>1575</v>
      </c>
      <c r="I126" s="126" t="s">
        <v>1252</v>
      </c>
      <c r="J126" s="126" t="s">
        <v>1091</v>
      </c>
      <c r="K126" s="127">
        <v>43452</v>
      </c>
      <c r="L126" s="128">
        <v>1.68</v>
      </c>
      <c r="M126" s="128">
        <v>2.1</v>
      </c>
      <c r="N126" s="126"/>
      <c r="O126" s="126" t="s">
        <v>950</v>
      </c>
      <c r="P126" s="129" t="s">
        <v>958</v>
      </c>
      <c r="Q126" s="129" t="s">
        <v>959</v>
      </c>
      <c r="R126" s="126" t="s">
        <v>24</v>
      </c>
      <c r="S126" s="126"/>
      <c r="T126" s="130" t="s">
        <v>861</v>
      </c>
      <c r="U126" s="126"/>
      <c r="V126" s="130" t="s">
        <v>861</v>
      </c>
      <c r="W126" s="126"/>
      <c r="X126" s="130" t="s">
        <v>861</v>
      </c>
      <c r="Y126" s="126"/>
      <c r="Z126" s="162" t="s">
        <v>861</v>
      </c>
      <c r="AA126" s="154"/>
      <c r="AB126" s="154"/>
      <c r="AC126" s="167"/>
      <c r="AD126" s="126"/>
      <c r="AE126" s="130" t="s">
        <v>120</v>
      </c>
      <c r="AF126" s="127"/>
      <c r="AG126" s="131"/>
      <c r="AH126" s="131"/>
      <c r="AI126" s="126" t="s">
        <v>2117</v>
      </c>
      <c r="AJ126" s="130" t="s">
        <v>861</v>
      </c>
      <c r="AK126" s="126"/>
      <c r="AL126" s="126"/>
      <c r="AM126" s="130"/>
      <c r="AN126" s="126"/>
      <c r="AO126" s="132"/>
      <c r="AP126" s="126"/>
      <c r="AQ126" s="126"/>
      <c r="AR126" s="130"/>
      <c r="AS126" s="126"/>
      <c r="AT126" s="127"/>
      <c r="AU126" s="127">
        <v>43479.735409259301</v>
      </c>
      <c r="AV126" s="127"/>
      <c r="AW126" s="127"/>
      <c r="AX126" s="127"/>
      <c r="AY126" s="127"/>
      <c r="AZ126" s="133">
        <v>43480.442146759298</v>
      </c>
      <c r="BA126" s="134">
        <f ca="1">IF(_05preva_view43[[#This Row],[Prevalidation Status]]="Under Prevalidation",NOW()-_05preva_view43[[#This Row],[Request Date]],IF(_05preva_view43[[#This Row],[Close Date]]&gt;_05preva_view43[[#This Row],[Request Date]],_05preva_view43[[#This Row],[Close Date]]-_05preva_view43[[#This Row],[Request Date]],"Not  Calculated"))</f>
        <v>28.442146759298339</v>
      </c>
      <c r="BB126" s="135">
        <f>COUNTIFS(_05preva_view43[Site ID],_05preva_view43[[#This Row],[Site ID]],_05preva_view43[Prevalidation Status],"Under Prevalidation")</f>
        <v>0</v>
      </c>
      <c r="BC126" s="153" t="str">
        <f ca="1">HYPERLINK(CheckPath(_05preva_view43[[#This Row],[File Path]],_05preva_view43[[#This Row],[File Path]],_05preva_view43[[#This Row],[Folder Path3]]),CheckPath(_05preva_view43[[#This Row],[File Path]],"Open File","No File"))</f>
        <v>No File</v>
      </c>
      <c r="BD126" s="136" t="str">
        <f>CONCATENATE(_05preva_view43[[#This Row],[Site ID]]," (",_05preva_view43[[#This Row],[tenant id]],") Application",IF(_05preva_view43[[#This Row],[Colo Rev]]&gt;0," Rev "&amp;_05preva_view43[[#This Row],[Colo Rev]],""),".xlsx")</f>
        <v>1-01-14001-033 (SHS00466) Application Rev .xlsx</v>
      </c>
      <c r="BE126" s="64">
        <f t="shared" ca="1" si="3"/>
        <v>50</v>
      </c>
      <c r="BF126" s="104" t="str">
        <f ca="1">LEFT(CELL("filename",A111),_05preva_view43[[#This Row],[Find Process &amp; Database]]-1)</f>
        <v>D:\OneDrive - apollo-towers.com\Apollo Towers\00-</v>
      </c>
      <c r="BG126" s="104" t="str">
        <f ca="1">_05preva_view43[Folder Path1]&amp;"Process &amp; Database\Documentation\Colo Applications"</f>
        <v>D:\OneDrive - apollo-towers.com\Apollo Towers\00-Process &amp; Database\Documentation\Colo Applications</v>
      </c>
      <c r="BH126" s="104" t="str">
        <f ca="1">_05preva_view43[Folder Path2]&amp;"\Colo App "&amp;_05preva_view43[[#This Row],[Operator]]&amp;"\"</f>
        <v>D:\OneDrive - apollo-towers.com\Apollo Towers\00-Process &amp; Database\Documentation\Colo Applications\Colo App MPT\</v>
      </c>
      <c r="BI126" s="63" t="str">
        <f ca="1">_05preva_view43[[#This Row],[Folder Path3]]&amp;_05preva_view43[[#This Row],[File Name]]</f>
        <v>D:\OneDrive - apollo-towers.com\Apollo Towers\00-Process &amp; Database\Documentation\Colo Applications\Colo App MPT\1-01-14001-033 (SHS00466) Application Rev .xlsx</v>
      </c>
      <c r="BJ126" s="104"/>
      <c r="BK126" s="3"/>
      <c r="BL126" s="3"/>
      <c r="CJ126" s="5"/>
      <c r="CK126" s="5"/>
      <c r="CL126" s="3"/>
      <c r="CN126" s="5"/>
      <c r="CR126" s="3"/>
      <c r="CS126" s="3"/>
      <c r="CT126" s="5"/>
      <c r="CV126" s="3"/>
      <c r="DR126" s="5"/>
      <c r="DT126" s="3"/>
      <c r="EF126" s="7"/>
      <c r="EG126" s="7"/>
      <c r="EJ126" s="4"/>
      <c r="EK126" s="4"/>
      <c r="EU126" s="2"/>
      <c r="EV126" s="2"/>
    </row>
    <row r="127" spans="1:152">
      <c r="A127" s="125">
        <v>3517</v>
      </c>
      <c r="B127" s="126" t="s">
        <v>1458</v>
      </c>
      <c r="C127" s="126" t="s">
        <v>116</v>
      </c>
      <c r="D127" s="126" t="s">
        <v>163</v>
      </c>
      <c r="E127" s="126" t="s">
        <v>1459</v>
      </c>
      <c r="F127" s="126" t="s">
        <v>35</v>
      </c>
      <c r="G127" s="126" t="s">
        <v>1577</v>
      </c>
      <c r="H127" s="126" t="s">
        <v>1575</v>
      </c>
      <c r="I127" s="126" t="s">
        <v>1702</v>
      </c>
      <c r="J127" s="126" t="s">
        <v>990</v>
      </c>
      <c r="K127" s="127">
        <v>43452</v>
      </c>
      <c r="L127" s="128">
        <v>2.16</v>
      </c>
      <c r="M127" s="128">
        <v>2.7</v>
      </c>
      <c r="N127" s="126">
        <v>6.0010000000000003</v>
      </c>
      <c r="O127" s="126" t="s">
        <v>119</v>
      </c>
      <c r="P127" s="129" t="s">
        <v>263</v>
      </c>
      <c r="Q127" s="129" t="s">
        <v>264</v>
      </c>
      <c r="R127" s="126" t="s">
        <v>24</v>
      </c>
      <c r="S127" s="126"/>
      <c r="T127" s="130" t="s">
        <v>861</v>
      </c>
      <c r="U127" s="126"/>
      <c r="V127" s="130" t="s">
        <v>861</v>
      </c>
      <c r="W127" s="126"/>
      <c r="X127" s="130" t="s">
        <v>120</v>
      </c>
      <c r="Y127" s="126" t="s">
        <v>1703</v>
      </c>
      <c r="Z127" s="162" t="s">
        <v>144</v>
      </c>
      <c r="AA127" s="154"/>
      <c r="AB127" s="154"/>
      <c r="AC127" s="167" t="s">
        <v>123</v>
      </c>
      <c r="AD127" s="126" t="s">
        <v>1704</v>
      </c>
      <c r="AE127" s="130" t="s">
        <v>120</v>
      </c>
      <c r="AF127" s="127"/>
      <c r="AG127" s="131"/>
      <c r="AH127" s="131"/>
      <c r="AI127" s="126"/>
      <c r="AJ127" s="130" t="s">
        <v>120</v>
      </c>
      <c r="AK127" s="126" t="s">
        <v>123</v>
      </c>
      <c r="AL127" s="126" t="s">
        <v>1198</v>
      </c>
      <c r="AM127" s="130"/>
      <c r="AN127" s="126"/>
      <c r="AO127" s="132"/>
      <c r="AP127" s="126"/>
      <c r="AQ127" s="126"/>
      <c r="AR127" s="130" t="s">
        <v>1866</v>
      </c>
      <c r="AS127" s="126" t="s">
        <v>2118</v>
      </c>
      <c r="AT127" s="127">
        <v>43453.414149652803</v>
      </c>
      <c r="AU127" s="127">
        <v>43480.567753009302</v>
      </c>
      <c r="AV127" s="127"/>
      <c r="AW127" s="127">
        <v>43453.414149652803</v>
      </c>
      <c r="AX127" s="127"/>
      <c r="AY127" s="127"/>
      <c r="AZ127" s="133">
        <v>43481.412547916698</v>
      </c>
      <c r="BA127" s="134">
        <f ca="1">IF(_05preva_view43[[#This Row],[Prevalidation Status]]="Under Prevalidation",NOW()-_05preva_view43[[#This Row],[Request Date]],IF(_05preva_view43[[#This Row],[Close Date]]&gt;_05preva_view43[[#This Row],[Request Date]],_05preva_view43[[#This Row],[Close Date]]-_05preva_view43[[#This Row],[Request Date]],"Not  Calculated"))</f>
        <v>29.412547916697804</v>
      </c>
      <c r="BB127" s="135">
        <f>COUNTIFS(_05preva_view43[Site ID],_05preva_view43[[#This Row],[Site ID]],_05preva_view43[Prevalidation Status],"Under Prevalidation")</f>
        <v>0</v>
      </c>
      <c r="BC127" s="153" t="str">
        <f ca="1">HYPERLINK(CheckPath(_05preva_view43[[#This Row],[File Path]],_05preva_view43[[#This Row],[File Path]],_05preva_view43[[#This Row],[Folder Path3]]),CheckPath(_05preva_view43[[#This Row],[File Path]],"Open File","No File"))</f>
        <v>No File</v>
      </c>
      <c r="BD127" s="136" t="str">
        <f>CONCATENATE(_05preva_view43[[#This Row],[Site ID]]," (",_05preva_view43[[#This Row],[tenant id]],") Application",IF(_05preva_view43[[#This Row],[Colo Rev]]&gt;0," Rev "&amp;_05preva_view43[[#This Row],[Colo Rev]],""),".xlsx")</f>
        <v>ACAY_0122 (AWD00530) Application Rev 3.xlsx</v>
      </c>
      <c r="BE127" s="64">
        <f t="shared" ca="1" si="3"/>
        <v>50</v>
      </c>
      <c r="BF127" s="104" t="str">
        <f ca="1">LEFT(CELL("filename",A112),_05preva_view43[[#This Row],[Find Process &amp; Database]]-1)</f>
        <v>D:\OneDrive - apollo-towers.com\Apollo Towers\00-</v>
      </c>
      <c r="BG127" s="104" t="str">
        <f ca="1">_05preva_view43[Folder Path1]&amp;"Process &amp; Database\Documentation\Colo Applications"</f>
        <v>D:\OneDrive - apollo-towers.com\Apollo Towers\00-Process &amp; Database\Documentation\Colo Applications</v>
      </c>
      <c r="BH127" s="104" t="str">
        <f ca="1">_05preva_view43[Folder Path2]&amp;"\Colo App "&amp;_05preva_view43[[#This Row],[Operator]]&amp;"\"</f>
        <v>D:\OneDrive - apollo-towers.com\Apollo Towers\00-Process &amp; Database\Documentation\Colo Applications\Colo App MPT\</v>
      </c>
      <c r="BI127" s="63" t="str">
        <f ca="1">_05preva_view43[[#This Row],[Folder Path3]]&amp;_05preva_view43[[#This Row],[File Name]]</f>
        <v>D:\OneDrive - apollo-towers.com\Apollo Towers\00-Process &amp; Database\Documentation\Colo Applications\Colo App MPT\ACAY_0122 (AWD00530) Application Rev 3.xlsx</v>
      </c>
      <c r="BJ127" s="104"/>
      <c r="BK127" s="3"/>
      <c r="BL127" s="3"/>
      <c r="CJ127" s="5"/>
      <c r="CK127" s="5"/>
      <c r="CL127" s="3"/>
      <c r="CN127" s="5"/>
      <c r="CR127" s="3"/>
      <c r="CS127" s="3"/>
      <c r="CT127" s="5"/>
      <c r="CV127" s="3"/>
      <c r="DR127" s="5"/>
      <c r="DT127" s="3"/>
      <c r="EF127" s="7"/>
      <c r="EG127" s="7"/>
      <c r="EJ127" s="4"/>
      <c r="EK127" s="4"/>
      <c r="EU127" s="2"/>
      <c r="EV127" s="2"/>
    </row>
    <row r="128" spans="1:152">
      <c r="A128" s="125">
        <v>3518</v>
      </c>
      <c r="B128" s="126" t="s">
        <v>1705</v>
      </c>
      <c r="C128" s="126" t="s">
        <v>116</v>
      </c>
      <c r="D128" s="126" t="s">
        <v>127</v>
      </c>
      <c r="E128" s="126" t="s">
        <v>1706</v>
      </c>
      <c r="F128" s="126" t="s">
        <v>35</v>
      </c>
      <c r="G128" s="126" t="s">
        <v>1577</v>
      </c>
      <c r="H128" s="126" t="s">
        <v>1580</v>
      </c>
      <c r="I128" s="126" t="s">
        <v>1077</v>
      </c>
      <c r="J128" s="126" t="s">
        <v>949</v>
      </c>
      <c r="K128" s="127">
        <v>43452</v>
      </c>
      <c r="L128" s="128">
        <v>1.175</v>
      </c>
      <c r="M128" s="128">
        <v>2.1389999999999998</v>
      </c>
      <c r="N128" s="126">
        <v>4.29</v>
      </c>
      <c r="O128" s="126" t="s">
        <v>119</v>
      </c>
      <c r="P128" s="129" t="s">
        <v>276</v>
      </c>
      <c r="Q128" s="129" t="s">
        <v>277</v>
      </c>
      <c r="R128" s="126" t="s">
        <v>24</v>
      </c>
      <c r="S128" s="126"/>
      <c r="T128" s="130" t="s">
        <v>120</v>
      </c>
      <c r="U128" s="126" t="s">
        <v>1707</v>
      </c>
      <c r="V128" s="130" t="s">
        <v>120</v>
      </c>
      <c r="W128" s="126"/>
      <c r="X128" s="130" t="s">
        <v>120</v>
      </c>
      <c r="Y128" s="126" t="s">
        <v>1708</v>
      </c>
      <c r="Z128" s="162" t="s">
        <v>120</v>
      </c>
      <c r="AA128" s="154"/>
      <c r="AB128" s="154"/>
      <c r="AC128" s="167" t="s">
        <v>123</v>
      </c>
      <c r="AD128" s="126" t="s">
        <v>1709</v>
      </c>
      <c r="AE128" s="130" t="s">
        <v>120</v>
      </c>
      <c r="AF128" s="127"/>
      <c r="AG128" s="131"/>
      <c r="AH128" s="131"/>
      <c r="AI128" s="126"/>
      <c r="AJ128" s="130" t="s">
        <v>120</v>
      </c>
      <c r="AK128" s="126" t="s">
        <v>123</v>
      </c>
      <c r="AL128" s="126" t="s">
        <v>1198</v>
      </c>
      <c r="AM128" s="130"/>
      <c r="AN128" s="126"/>
      <c r="AO128" s="132"/>
      <c r="AP128" s="126"/>
      <c r="AQ128" s="126"/>
      <c r="AR128" s="130"/>
      <c r="AS128" s="126"/>
      <c r="AT128" s="127">
        <v>43453.414151504599</v>
      </c>
      <c r="AU128" s="127">
        <v>43479.735410763897</v>
      </c>
      <c r="AV128" s="127">
        <v>43453.663259259301</v>
      </c>
      <c r="AW128" s="127">
        <v>43453.414151504599</v>
      </c>
      <c r="AX128" s="127">
        <v>43460.604116666698</v>
      </c>
      <c r="AY128" s="127">
        <v>43453.6699806713</v>
      </c>
      <c r="AZ128" s="133">
        <v>43480.437795254598</v>
      </c>
      <c r="BA128" s="134">
        <f ca="1">IF(_05preva_view43[[#This Row],[Prevalidation Status]]="Under Prevalidation",NOW()-_05preva_view43[[#This Row],[Request Date]],IF(_05preva_view43[[#This Row],[Close Date]]&gt;_05preva_view43[[#This Row],[Request Date]],_05preva_view43[[#This Row],[Close Date]]-_05preva_view43[[#This Row],[Request Date]],"Not  Calculated"))</f>
        <v>28.437795254598313</v>
      </c>
      <c r="BB128" s="135">
        <f>COUNTIFS(_05preva_view43[Site ID],_05preva_view43[[#This Row],[Site ID]],_05preva_view43[Prevalidation Status],"Under Prevalidation")</f>
        <v>0</v>
      </c>
      <c r="BC128" s="153" t="str">
        <f ca="1">HYPERLINK(CheckPath(_05preva_view43[[#This Row],[File Path]],_05preva_view43[[#This Row],[File Path]],_05preva_view43[[#This Row],[Folder Path3]]),CheckPath(_05preva_view43[[#This Row],[File Path]],"Open File","No File"))</f>
        <v>No File</v>
      </c>
      <c r="BD128" s="136" t="str">
        <f>CONCATENATE(_05preva_view43[[#This Row],[Site ID]]," (",_05preva_view43[[#This Row],[tenant id]],") Application",IF(_05preva_view43[[#This Row],[Colo Rev]]&gt;0," Rev "&amp;_05preva_view43[[#This Row],[Colo Rev]],""),".xlsx")</f>
        <v>ANMD_0136 (MDY01437) Application Rev 2.xlsx</v>
      </c>
      <c r="BE128" s="64">
        <f t="shared" ca="1" si="3"/>
        <v>50</v>
      </c>
      <c r="BF128" s="104" t="str">
        <f ca="1">LEFT(CELL("filename",A113),_05preva_view43[[#This Row],[Find Process &amp; Database]]-1)</f>
        <v>D:\OneDrive - apollo-towers.com\Apollo Towers\00-</v>
      </c>
      <c r="BG128" s="104" t="str">
        <f ca="1">_05preva_view43[Folder Path1]&amp;"Process &amp; Database\Documentation\Colo Applications"</f>
        <v>D:\OneDrive - apollo-towers.com\Apollo Towers\00-Process &amp; Database\Documentation\Colo Applications</v>
      </c>
      <c r="BH128" s="104" t="str">
        <f ca="1">_05preva_view43[Folder Path2]&amp;"\Colo App "&amp;_05preva_view43[[#This Row],[Operator]]&amp;"\"</f>
        <v>D:\OneDrive - apollo-towers.com\Apollo Towers\00-Process &amp; Database\Documentation\Colo Applications\Colo App MPT\</v>
      </c>
      <c r="BI128" s="63" t="str">
        <f ca="1">_05preva_view43[[#This Row],[Folder Path3]]&amp;_05preva_view43[[#This Row],[File Name]]</f>
        <v>D:\OneDrive - apollo-towers.com\Apollo Towers\00-Process &amp; Database\Documentation\Colo Applications\Colo App MPT\ANMD_0136 (MDY01437) Application Rev 2.xlsx</v>
      </c>
      <c r="BJ128" s="104"/>
      <c r="BK128" s="3"/>
      <c r="BL128" s="3"/>
      <c r="CJ128" s="5"/>
      <c r="CK128" s="5"/>
      <c r="CL128" s="3"/>
      <c r="CN128" s="5"/>
      <c r="CR128" s="3"/>
      <c r="CS128" s="3"/>
      <c r="CT128" s="5"/>
      <c r="CV128" s="3"/>
      <c r="DR128" s="5"/>
      <c r="DT128" s="3"/>
      <c r="EF128" s="7"/>
      <c r="EG128" s="7"/>
      <c r="EJ128" s="4"/>
      <c r="EK128" s="4"/>
      <c r="EU128" s="2"/>
      <c r="EV128" s="2"/>
    </row>
    <row r="129" spans="1:152">
      <c r="A129" s="125">
        <v>3519</v>
      </c>
      <c r="B129" s="126" t="s">
        <v>1710</v>
      </c>
      <c r="C129" s="126" t="s">
        <v>331</v>
      </c>
      <c r="D129" s="126" t="s">
        <v>127</v>
      </c>
      <c r="E129" s="126" t="s">
        <v>1711</v>
      </c>
      <c r="F129" s="126" t="s">
        <v>35</v>
      </c>
      <c r="G129" s="126" t="s">
        <v>1583</v>
      </c>
      <c r="H129" s="126" t="s">
        <v>1580</v>
      </c>
      <c r="I129" s="126" t="s">
        <v>1077</v>
      </c>
      <c r="J129" s="126" t="s">
        <v>931</v>
      </c>
      <c r="K129" s="127">
        <v>43452</v>
      </c>
      <c r="L129" s="128">
        <v>1.175</v>
      </c>
      <c r="M129" s="128">
        <v>2.1389999999999998</v>
      </c>
      <c r="N129" s="126">
        <v>5.64</v>
      </c>
      <c r="O129" s="126" t="s">
        <v>950</v>
      </c>
      <c r="P129" s="129" t="s">
        <v>916</v>
      </c>
      <c r="Q129" s="129" t="s">
        <v>932</v>
      </c>
      <c r="R129" s="126" t="s">
        <v>24</v>
      </c>
      <c r="S129" s="126"/>
      <c r="T129" s="130" t="s">
        <v>120</v>
      </c>
      <c r="U129" s="126"/>
      <c r="V129" s="130" t="s">
        <v>120</v>
      </c>
      <c r="W129" s="126"/>
      <c r="X129" s="130" t="s">
        <v>120</v>
      </c>
      <c r="Y129" s="126" t="s">
        <v>1712</v>
      </c>
      <c r="Z129" s="162" t="s">
        <v>120</v>
      </c>
      <c r="AA129" s="154"/>
      <c r="AB129" s="154"/>
      <c r="AC129" s="167" t="s">
        <v>123</v>
      </c>
      <c r="AD129" s="126" t="s">
        <v>1713</v>
      </c>
      <c r="AE129" s="130" t="s">
        <v>120</v>
      </c>
      <c r="AF129" s="127"/>
      <c r="AG129" s="131"/>
      <c r="AH129" s="131"/>
      <c r="AI129" s="126" t="s">
        <v>2119</v>
      </c>
      <c r="AJ129" s="130" t="s">
        <v>120</v>
      </c>
      <c r="AK129" s="126" t="s">
        <v>123</v>
      </c>
      <c r="AL129" s="126" t="s">
        <v>1198</v>
      </c>
      <c r="AM129" s="130"/>
      <c r="AN129" s="126"/>
      <c r="AO129" s="132"/>
      <c r="AP129" s="126"/>
      <c r="AQ129" s="126"/>
      <c r="AR129" s="130"/>
      <c r="AS129" s="126"/>
      <c r="AT129" s="127">
        <v>43453.414153819402</v>
      </c>
      <c r="AU129" s="127">
        <v>43479.735415972202</v>
      </c>
      <c r="AV129" s="127">
        <v>43454.667723032398</v>
      </c>
      <c r="AW129" s="127">
        <v>43453.414153819402</v>
      </c>
      <c r="AX129" s="127">
        <v>43472.656804050901</v>
      </c>
      <c r="AY129" s="127">
        <v>43452.731311921299</v>
      </c>
      <c r="AZ129" s="133">
        <v>43480.437795833299</v>
      </c>
      <c r="BA129" s="134">
        <f ca="1">IF(_05preva_view43[[#This Row],[Prevalidation Status]]="Under Prevalidation",NOW()-_05preva_view43[[#This Row],[Request Date]],IF(_05preva_view43[[#This Row],[Close Date]]&gt;_05preva_view43[[#This Row],[Request Date]],_05preva_view43[[#This Row],[Close Date]]-_05preva_view43[[#This Row],[Request Date]],"Not  Calculated"))</f>
        <v>28.437795833298878</v>
      </c>
      <c r="BB129" s="135">
        <f>COUNTIFS(_05preva_view43[Site ID],_05preva_view43[[#This Row],[Site ID]],_05preva_view43[Prevalidation Status],"Under Prevalidation")</f>
        <v>0</v>
      </c>
      <c r="BC129" s="153" t="str">
        <f ca="1">HYPERLINK(CheckPath(_05preva_view43[[#This Row],[File Path]],_05preva_view43[[#This Row],[File Path]],_05preva_view43[[#This Row],[Folder Path3]]),CheckPath(_05preva_view43[[#This Row],[File Path]],"Open File","No File"))</f>
        <v>No File</v>
      </c>
      <c r="BD129" s="136" t="str">
        <f>CONCATENATE(_05preva_view43[[#This Row],[Site ID]]," (",_05preva_view43[[#This Row],[tenant id]],") Application",IF(_05preva_view43[[#This Row],[Colo Rev]]&gt;0," Rev "&amp;_05preva_view43[[#This Row],[Colo Rev]],""),".xlsx")</f>
        <v>1-01-01010-003 (KCN00441) Application Rev 1.xlsx</v>
      </c>
      <c r="BE129" s="64">
        <f t="shared" ca="1" si="3"/>
        <v>50</v>
      </c>
      <c r="BF129" s="104" t="str">
        <f ca="1">LEFT(CELL("filename",A114),_05preva_view43[[#This Row],[Find Process &amp; Database]]-1)</f>
        <v>D:\OneDrive - apollo-towers.com\Apollo Towers\00-</v>
      </c>
      <c r="BG129" s="104" t="str">
        <f ca="1">_05preva_view43[Folder Path1]&amp;"Process &amp; Database\Documentation\Colo Applications"</f>
        <v>D:\OneDrive - apollo-towers.com\Apollo Towers\00-Process &amp; Database\Documentation\Colo Applications</v>
      </c>
      <c r="BH129" s="104" t="str">
        <f ca="1">_05preva_view43[Folder Path2]&amp;"\Colo App "&amp;_05preva_view43[[#This Row],[Operator]]&amp;"\"</f>
        <v>D:\OneDrive - apollo-towers.com\Apollo Towers\00-Process &amp; Database\Documentation\Colo Applications\Colo App MPT\</v>
      </c>
      <c r="BI129" s="63" t="str">
        <f ca="1">_05preva_view43[[#This Row],[Folder Path3]]&amp;_05preva_view43[[#This Row],[File Name]]</f>
        <v>D:\OneDrive - apollo-towers.com\Apollo Towers\00-Process &amp; Database\Documentation\Colo Applications\Colo App MPT\1-01-01010-003 (KCN00441) Application Rev 1.xlsx</v>
      </c>
      <c r="BJ129" s="104"/>
      <c r="BK129" s="3"/>
      <c r="BL129" s="3"/>
      <c r="CJ129" s="5"/>
      <c r="CK129" s="5"/>
      <c r="CL129" s="3"/>
      <c r="CN129" s="5"/>
      <c r="CR129" s="3"/>
      <c r="CS129" s="3"/>
      <c r="CT129" s="5"/>
      <c r="CV129" s="3"/>
      <c r="DR129" s="5"/>
      <c r="DT129" s="3"/>
      <c r="EF129" s="7"/>
      <c r="EG129" s="7"/>
      <c r="EJ129" s="4"/>
      <c r="EK129" s="4"/>
      <c r="EU129" s="2"/>
      <c r="EV129" s="2"/>
    </row>
    <row r="130" spans="1:152">
      <c r="A130" s="125">
        <v>3520</v>
      </c>
      <c r="B130" s="126" t="s">
        <v>274</v>
      </c>
      <c r="C130" s="126" t="s">
        <v>116</v>
      </c>
      <c r="D130" s="126" t="s">
        <v>127</v>
      </c>
      <c r="E130" s="126" t="s">
        <v>1714</v>
      </c>
      <c r="F130" s="126" t="s">
        <v>35</v>
      </c>
      <c r="G130" s="126" t="s">
        <v>1577</v>
      </c>
      <c r="H130" s="126" t="s">
        <v>1580</v>
      </c>
      <c r="I130" s="126" t="s">
        <v>1715</v>
      </c>
      <c r="J130" s="126" t="s">
        <v>949</v>
      </c>
      <c r="K130" s="127">
        <v>43452</v>
      </c>
      <c r="L130" s="128">
        <v>1.175</v>
      </c>
      <c r="M130" s="128">
        <v>2.1389999999999998</v>
      </c>
      <c r="N130" s="126">
        <v>4.32</v>
      </c>
      <c r="O130" s="126" t="s">
        <v>119</v>
      </c>
      <c r="P130" s="129" t="s">
        <v>705</v>
      </c>
      <c r="Q130" s="129" t="s">
        <v>1062</v>
      </c>
      <c r="R130" s="126" t="s">
        <v>24</v>
      </c>
      <c r="S130" s="126"/>
      <c r="T130" s="130" t="s">
        <v>120</v>
      </c>
      <c r="U130" s="126" t="s">
        <v>1707</v>
      </c>
      <c r="V130" s="130" t="s">
        <v>120</v>
      </c>
      <c r="W130" s="126"/>
      <c r="X130" s="130" t="s">
        <v>120</v>
      </c>
      <c r="Y130" s="126" t="s">
        <v>1716</v>
      </c>
      <c r="Z130" s="162" t="s">
        <v>120</v>
      </c>
      <c r="AA130" s="154"/>
      <c r="AB130" s="154"/>
      <c r="AC130" s="167" t="s">
        <v>123</v>
      </c>
      <c r="AD130" s="126" t="s">
        <v>1717</v>
      </c>
      <c r="AE130" s="130" t="s">
        <v>120</v>
      </c>
      <c r="AF130" s="127"/>
      <c r="AG130" s="131"/>
      <c r="AH130" s="131"/>
      <c r="AI130" s="126"/>
      <c r="AJ130" s="130" t="s">
        <v>120</v>
      </c>
      <c r="AK130" s="126" t="s">
        <v>123</v>
      </c>
      <c r="AL130" s="126" t="s">
        <v>1198</v>
      </c>
      <c r="AM130" s="130"/>
      <c r="AN130" s="126"/>
      <c r="AO130" s="132"/>
      <c r="AP130" s="126"/>
      <c r="AQ130" s="126"/>
      <c r="AR130" s="130"/>
      <c r="AS130" s="126"/>
      <c r="AT130" s="127">
        <v>43453.414155555598</v>
      </c>
      <c r="AU130" s="127">
        <v>43479.735416666699</v>
      </c>
      <c r="AV130" s="127">
        <v>43454.6677239583</v>
      </c>
      <c r="AW130" s="127">
        <v>43453.414155555598</v>
      </c>
      <c r="AX130" s="127">
        <v>43460.6041184028</v>
      </c>
      <c r="AY130" s="127">
        <v>43453.669993518502</v>
      </c>
      <c r="AZ130" s="133">
        <v>43480.437796527804</v>
      </c>
      <c r="BA130" s="134">
        <f ca="1">IF(_05preva_view43[[#This Row],[Prevalidation Status]]="Under Prevalidation",NOW()-_05preva_view43[[#This Row],[Request Date]],IF(_05preva_view43[[#This Row],[Close Date]]&gt;_05preva_view43[[#This Row],[Request Date]],_05preva_view43[[#This Row],[Close Date]]-_05preva_view43[[#This Row],[Request Date]],"Not  Calculated"))</f>
        <v>28.437796527803584</v>
      </c>
      <c r="BB130" s="135">
        <f>COUNTIFS(_05preva_view43[Site ID],_05preva_view43[[#This Row],[Site ID]],_05preva_view43[Prevalidation Status],"Under Prevalidation")</f>
        <v>0</v>
      </c>
      <c r="BC130" s="153" t="str">
        <f ca="1">HYPERLINK(CheckPath(_05preva_view43[[#This Row],[File Path]],_05preva_view43[[#This Row],[File Path]],_05preva_view43[[#This Row],[Folder Path3]]),CheckPath(_05preva_view43[[#This Row],[File Path]],"Open File","No File"))</f>
        <v>No File</v>
      </c>
      <c r="BD130" s="136" t="str">
        <f>CONCATENATE(_05preva_view43[[#This Row],[Site ID]]," (",_05preva_view43[[#This Row],[tenant id]],") Application",IF(_05preva_view43[[#This Row],[Colo Rev]]&gt;0," Rev "&amp;_05preva_view43[[#This Row],[Colo Rev]],""),".xlsx")</f>
        <v>ANKC_0017 (KCN00564) Application Rev 2.xlsx</v>
      </c>
      <c r="BE130" s="64">
        <f t="shared" ca="1" si="3"/>
        <v>50</v>
      </c>
      <c r="BF130" s="104" t="str">
        <f ca="1">LEFT(CELL("filename",A115),_05preva_view43[[#This Row],[Find Process &amp; Database]]-1)</f>
        <v>D:\OneDrive - apollo-towers.com\Apollo Towers\00-</v>
      </c>
      <c r="BG130" s="104" t="str">
        <f ca="1">_05preva_view43[Folder Path1]&amp;"Process &amp; Database\Documentation\Colo Applications"</f>
        <v>D:\OneDrive - apollo-towers.com\Apollo Towers\00-Process &amp; Database\Documentation\Colo Applications</v>
      </c>
      <c r="BH130" s="104" t="str">
        <f ca="1">_05preva_view43[Folder Path2]&amp;"\Colo App "&amp;_05preva_view43[[#This Row],[Operator]]&amp;"\"</f>
        <v>D:\OneDrive - apollo-towers.com\Apollo Towers\00-Process &amp; Database\Documentation\Colo Applications\Colo App MPT\</v>
      </c>
      <c r="BI130" s="63" t="str">
        <f ca="1">_05preva_view43[[#This Row],[Folder Path3]]&amp;_05preva_view43[[#This Row],[File Name]]</f>
        <v>D:\OneDrive - apollo-towers.com\Apollo Towers\00-Process &amp; Database\Documentation\Colo Applications\Colo App MPT\ANKC_0017 (KCN00564) Application Rev 2.xlsx</v>
      </c>
      <c r="BJ130" s="104"/>
      <c r="BK130" s="3"/>
      <c r="BL130" s="3"/>
      <c r="CJ130" s="5"/>
      <c r="CK130" s="5"/>
      <c r="CL130" s="3"/>
      <c r="CN130" s="5"/>
      <c r="CR130" s="3"/>
      <c r="CS130" s="3"/>
      <c r="CT130" s="5"/>
      <c r="CV130" s="3"/>
      <c r="DR130" s="5"/>
      <c r="DT130" s="3"/>
      <c r="EF130" s="7"/>
      <c r="EG130" s="7"/>
      <c r="EJ130" s="4"/>
      <c r="EK130" s="4"/>
      <c r="EU130" s="2"/>
      <c r="EV130" s="2"/>
    </row>
    <row r="131" spans="1:152">
      <c r="A131" s="125">
        <v>3512</v>
      </c>
      <c r="B131" s="126" t="s">
        <v>1718</v>
      </c>
      <c r="C131" s="126" t="s">
        <v>331</v>
      </c>
      <c r="D131" s="126" t="s">
        <v>117</v>
      </c>
      <c r="E131" s="126" t="s">
        <v>1719</v>
      </c>
      <c r="F131" s="126" t="s">
        <v>35</v>
      </c>
      <c r="G131" s="126" t="s">
        <v>1583</v>
      </c>
      <c r="H131" s="126" t="s">
        <v>1575</v>
      </c>
      <c r="I131" s="126" t="s">
        <v>1053</v>
      </c>
      <c r="J131" s="126" t="s">
        <v>990</v>
      </c>
      <c r="K131" s="127">
        <v>43451</v>
      </c>
      <c r="L131" s="128">
        <v>3.44</v>
      </c>
      <c r="M131" s="128">
        <v>4.3</v>
      </c>
      <c r="N131" s="126">
        <v>7.63</v>
      </c>
      <c r="O131" s="126" t="s">
        <v>950</v>
      </c>
      <c r="P131" s="129" t="s">
        <v>276</v>
      </c>
      <c r="Q131" s="129" t="s">
        <v>1018</v>
      </c>
      <c r="R131" s="126" t="s">
        <v>24</v>
      </c>
      <c r="S131" s="126"/>
      <c r="T131" s="130" t="s">
        <v>861</v>
      </c>
      <c r="U131" s="126"/>
      <c r="V131" s="130" t="s">
        <v>120</v>
      </c>
      <c r="W131" s="126"/>
      <c r="X131" s="130" t="s">
        <v>120</v>
      </c>
      <c r="Y131" s="126" t="s">
        <v>1720</v>
      </c>
      <c r="Z131" s="162" t="s">
        <v>120</v>
      </c>
      <c r="AA131" s="154"/>
      <c r="AB131" s="154"/>
      <c r="AC131" s="167" t="s">
        <v>123</v>
      </c>
      <c r="AD131" s="126" t="s">
        <v>1721</v>
      </c>
      <c r="AE131" s="130" t="s">
        <v>120</v>
      </c>
      <c r="AF131" s="127" t="s">
        <v>1722</v>
      </c>
      <c r="AG131" s="131"/>
      <c r="AH131" s="131"/>
      <c r="AI131" s="126" t="s">
        <v>1597</v>
      </c>
      <c r="AJ131" s="130" t="s">
        <v>120</v>
      </c>
      <c r="AK131" s="126" t="s">
        <v>123</v>
      </c>
      <c r="AL131" s="126" t="s">
        <v>1198</v>
      </c>
      <c r="AM131" s="130"/>
      <c r="AN131" s="126"/>
      <c r="AO131" s="132"/>
      <c r="AP131" s="126"/>
      <c r="AQ131" s="126"/>
      <c r="AR131" s="130"/>
      <c r="AS131" s="126"/>
      <c r="AT131" s="127">
        <v>43452.439615162002</v>
      </c>
      <c r="AU131" s="127">
        <v>43452.507346527796</v>
      </c>
      <c r="AV131" s="127">
        <v>43452.672315625001</v>
      </c>
      <c r="AW131" s="127">
        <v>43452.439615162002</v>
      </c>
      <c r="AX131" s="127"/>
      <c r="AY131" s="127">
        <v>43451.729554513899</v>
      </c>
      <c r="AZ131" s="133">
        <v>43453.663835300897</v>
      </c>
      <c r="BA131" s="134">
        <f ca="1">IF(_05preva_view43[[#This Row],[Prevalidation Status]]="Under Prevalidation",NOW()-_05preva_view43[[#This Row],[Request Date]],IF(_05preva_view43[[#This Row],[Close Date]]&gt;_05preva_view43[[#This Row],[Request Date]],_05preva_view43[[#This Row],[Close Date]]-_05preva_view43[[#This Row],[Request Date]],"Not  Calculated"))</f>
        <v>2.6638353008966078</v>
      </c>
      <c r="BB131" s="135">
        <f>COUNTIFS(_05preva_view43[Site ID],_05preva_view43[[#This Row],[Site ID]],_05preva_view43[Prevalidation Status],"Under Prevalidation")</f>
        <v>0</v>
      </c>
      <c r="BC131" s="153" t="str">
        <f ca="1">HYPERLINK(CheckPath(_05preva_view43[[#This Row],[File Path]],_05preva_view43[[#This Row],[File Path]],_05preva_view43[[#This Row],[Folder Path3]]),CheckPath(_05preva_view43[[#This Row],[File Path]],"Open File","No File"))</f>
        <v>No File</v>
      </c>
      <c r="BD131" s="136" t="str">
        <f>CONCATENATE(_05preva_view43[[#This Row],[Site ID]]," (",_05preva_view43[[#This Row],[tenant id]],") Application",IF(_05preva_view43[[#This Row],[Colo Rev]]&gt;0," Rev "&amp;_05preva_view43[[#This Row],[Colo Rev]],""),".xlsx")</f>
        <v>1-01-14001-010 (SHS00100) Application Rev 3.xlsx</v>
      </c>
      <c r="BE131" s="64">
        <f t="shared" ca="1" si="3"/>
        <v>50</v>
      </c>
      <c r="BF131" s="104" t="str">
        <f ca="1">LEFT(CELL("filename",A116),_05preva_view43[[#This Row],[Find Process &amp; Database]]-1)</f>
        <v>D:\OneDrive - apollo-towers.com\Apollo Towers\00-</v>
      </c>
      <c r="BG131" s="104" t="str">
        <f ca="1">_05preva_view43[Folder Path1]&amp;"Process &amp; Database\Documentation\Colo Applications"</f>
        <v>D:\OneDrive - apollo-towers.com\Apollo Towers\00-Process &amp; Database\Documentation\Colo Applications</v>
      </c>
      <c r="BH131" s="104" t="str">
        <f ca="1">_05preva_view43[Folder Path2]&amp;"\Colo App "&amp;_05preva_view43[[#This Row],[Operator]]&amp;"\"</f>
        <v>D:\OneDrive - apollo-towers.com\Apollo Towers\00-Process &amp; Database\Documentation\Colo Applications\Colo App MPT\</v>
      </c>
      <c r="BI131" s="63" t="str">
        <f ca="1">_05preva_view43[[#This Row],[Folder Path3]]&amp;_05preva_view43[[#This Row],[File Name]]</f>
        <v>D:\OneDrive - apollo-towers.com\Apollo Towers\00-Process &amp; Database\Documentation\Colo Applications\Colo App MPT\1-01-14001-010 (SHS00100) Application Rev 3.xlsx</v>
      </c>
      <c r="BJ131" s="104"/>
      <c r="BK131" s="3"/>
      <c r="BL131" s="3"/>
      <c r="CJ131" s="5"/>
      <c r="CK131" s="5"/>
      <c r="CL131" s="3"/>
      <c r="CN131" s="5"/>
      <c r="CR131" s="3"/>
      <c r="CS131" s="3"/>
      <c r="CT131" s="5"/>
      <c r="CV131" s="3"/>
      <c r="DR131" s="5"/>
      <c r="DT131" s="3"/>
      <c r="EF131" s="7"/>
      <c r="EG131" s="7"/>
      <c r="EJ131" s="4"/>
      <c r="EK131" s="4"/>
      <c r="EU131" s="2"/>
      <c r="EV131" s="2"/>
    </row>
    <row r="132" spans="1:152">
      <c r="A132" s="125">
        <v>3513</v>
      </c>
      <c r="B132" s="126" t="s">
        <v>1141</v>
      </c>
      <c r="C132" s="126" t="s">
        <v>331</v>
      </c>
      <c r="D132" s="126" t="s">
        <v>117</v>
      </c>
      <c r="E132" s="126" t="s">
        <v>1142</v>
      </c>
      <c r="F132" s="126" t="s">
        <v>35</v>
      </c>
      <c r="G132" s="126" t="s">
        <v>1584</v>
      </c>
      <c r="H132" s="126" t="s">
        <v>1580</v>
      </c>
      <c r="I132" s="126" t="s">
        <v>1144</v>
      </c>
      <c r="J132" s="126" t="s">
        <v>957</v>
      </c>
      <c r="K132" s="127">
        <v>43451</v>
      </c>
      <c r="L132" s="128">
        <v>0.58399999999999996</v>
      </c>
      <c r="M132" s="128">
        <v>0.879</v>
      </c>
      <c r="N132" s="126"/>
      <c r="O132" s="126" t="s">
        <v>950</v>
      </c>
      <c r="P132" s="129" t="s">
        <v>1028</v>
      </c>
      <c r="Q132" s="129" t="s">
        <v>1029</v>
      </c>
      <c r="R132" s="126" t="s">
        <v>24</v>
      </c>
      <c r="S132" s="126"/>
      <c r="T132" s="130" t="s">
        <v>861</v>
      </c>
      <c r="U132" s="126"/>
      <c r="V132" s="130" t="s">
        <v>861</v>
      </c>
      <c r="W132" s="126"/>
      <c r="X132" s="130" t="s">
        <v>861</v>
      </c>
      <c r="Y132" s="126"/>
      <c r="Z132" s="162" t="s">
        <v>861</v>
      </c>
      <c r="AA132" s="154"/>
      <c r="AB132" s="154"/>
      <c r="AC132" s="167"/>
      <c r="AD132" s="126"/>
      <c r="AE132" s="130" t="s">
        <v>120</v>
      </c>
      <c r="AF132" s="127" t="s">
        <v>1723</v>
      </c>
      <c r="AG132" s="131"/>
      <c r="AH132" s="131"/>
      <c r="AI132" s="126"/>
      <c r="AJ132" s="130" t="s">
        <v>861</v>
      </c>
      <c r="AK132" s="126"/>
      <c r="AL132" s="126"/>
      <c r="AM132" s="130"/>
      <c r="AN132" s="126"/>
      <c r="AO132" s="132"/>
      <c r="AP132" s="126"/>
      <c r="AQ132" s="126"/>
      <c r="AR132" s="130"/>
      <c r="AS132" s="126"/>
      <c r="AT132" s="127"/>
      <c r="AU132" s="127">
        <v>43452.5073486111</v>
      </c>
      <c r="AV132" s="127"/>
      <c r="AW132" s="127"/>
      <c r="AX132" s="127"/>
      <c r="AY132" s="127"/>
      <c r="AZ132" s="133">
        <v>43452.584178935198</v>
      </c>
      <c r="BA132" s="134">
        <f ca="1">IF(_05preva_view43[[#This Row],[Prevalidation Status]]="Under Prevalidation",NOW()-_05preva_view43[[#This Row],[Request Date]],IF(_05preva_view43[[#This Row],[Close Date]]&gt;_05preva_view43[[#This Row],[Request Date]],_05preva_view43[[#This Row],[Close Date]]-_05preva_view43[[#This Row],[Request Date]],"Not  Calculated"))</f>
        <v>1.5841789351979969</v>
      </c>
      <c r="BB132" s="135">
        <f>COUNTIFS(_05preva_view43[Site ID],_05preva_view43[[#This Row],[Site ID]],_05preva_view43[Prevalidation Status],"Under Prevalidation")</f>
        <v>0</v>
      </c>
      <c r="BC132" s="153" t="str">
        <f ca="1">HYPERLINK(CheckPath(_05preva_view43[[#This Row],[File Path]],_05preva_view43[[#This Row],[File Path]],_05preva_view43[[#This Row],[Folder Path3]]),CheckPath(_05preva_view43[[#This Row],[File Path]],"Open File","No File"))</f>
        <v>No File</v>
      </c>
      <c r="BD132" s="136" t="str">
        <f>CONCATENATE(_05preva_view43[[#This Row],[Site ID]]," (",_05preva_view43[[#This Row],[tenant id]],") Application",IF(_05preva_view43[[#This Row],[Colo Rev]]&gt;0," Rev "&amp;_05preva_view43[[#This Row],[Colo Rev]],""),".xlsx")</f>
        <v>1-01-04007-009 (CHN00225) Application Rev 4.xlsx</v>
      </c>
      <c r="BE132" s="64">
        <f t="shared" ca="1" si="3"/>
        <v>50</v>
      </c>
      <c r="BF132" s="104" t="str">
        <f ca="1">LEFT(CELL("filename",A117),_05preva_view43[[#This Row],[Find Process &amp; Database]]-1)</f>
        <v>D:\OneDrive - apollo-towers.com\Apollo Towers\00-</v>
      </c>
      <c r="BG132" s="104" t="str">
        <f ca="1">_05preva_view43[Folder Path1]&amp;"Process &amp; Database\Documentation\Colo Applications"</f>
        <v>D:\OneDrive - apollo-towers.com\Apollo Towers\00-Process &amp; Database\Documentation\Colo Applications</v>
      </c>
      <c r="BH132" s="104" t="str">
        <f ca="1">_05preva_view43[Folder Path2]&amp;"\Colo App "&amp;_05preva_view43[[#This Row],[Operator]]&amp;"\"</f>
        <v>D:\OneDrive - apollo-towers.com\Apollo Towers\00-Process &amp; Database\Documentation\Colo Applications\Colo App MPT\</v>
      </c>
      <c r="BI132" s="63" t="str">
        <f ca="1">_05preva_view43[[#This Row],[Folder Path3]]&amp;_05preva_view43[[#This Row],[File Name]]</f>
        <v>D:\OneDrive - apollo-towers.com\Apollo Towers\00-Process &amp; Database\Documentation\Colo Applications\Colo App MPT\1-01-04007-009 (CHN00225) Application Rev 4.xlsx</v>
      </c>
      <c r="BJ132" s="104"/>
      <c r="BK132" s="3"/>
      <c r="BL132" s="3"/>
      <c r="CJ132" s="5"/>
      <c r="CK132" s="5"/>
      <c r="CL132" s="3"/>
      <c r="CN132" s="5"/>
      <c r="CR132" s="3"/>
      <c r="CS132" s="3"/>
      <c r="CT132" s="5"/>
      <c r="CV132" s="3"/>
      <c r="DR132" s="5"/>
      <c r="DT132" s="3"/>
      <c r="EF132" s="7"/>
      <c r="EG132" s="7"/>
      <c r="EJ132" s="4"/>
      <c r="EK132" s="4"/>
      <c r="EU132" s="2"/>
      <c r="EV132" s="2"/>
    </row>
    <row r="133" spans="1:152">
      <c r="A133" s="125">
        <v>3514</v>
      </c>
      <c r="B133" s="126" t="s">
        <v>1724</v>
      </c>
      <c r="C133" s="126" t="s">
        <v>331</v>
      </c>
      <c r="D133" s="126" t="s">
        <v>127</v>
      </c>
      <c r="E133" s="126" t="s">
        <v>1725</v>
      </c>
      <c r="F133" s="126" t="s">
        <v>35</v>
      </c>
      <c r="G133" s="126" t="s">
        <v>1583</v>
      </c>
      <c r="H133" s="126" t="s">
        <v>1580</v>
      </c>
      <c r="I133" s="126" t="s">
        <v>1252</v>
      </c>
      <c r="J133" s="126" t="s">
        <v>931</v>
      </c>
      <c r="K133" s="127">
        <v>43451</v>
      </c>
      <c r="L133" s="128">
        <v>1</v>
      </c>
      <c r="M133" s="128">
        <v>1.4</v>
      </c>
      <c r="N133" s="126"/>
      <c r="O133" s="126" t="s">
        <v>950</v>
      </c>
      <c r="P133" s="129" t="s">
        <v>968</v>
      </c>
      <c r="Q133" s="129" t="s">
        <v>969</v>
      </c>
      <c r="R133" s="126" t="s">
        <v>24</v>
      </c>
      <c r="S133" s="126"/>
      <c r="T133" s="130" t="s">
        <v>861</v>
      </c>
      <c r="U133" s="126"/>
      <c r="V133" s="130" t="s">
        <v>861</v>
      </c>
      <c r="W133" s="126"/>
      <c r="X133" s="130" t="s">
        <v>861</v>
      </c>
      <c r="Y133" s="126"/>
      <c r="Z133" s="162" t="s">
        <v>861</v>
      </c>
      <c r="AA133" s="154"/>
      <c r="AB133" s="154"/>
      <c r="AC133" s="167"/>
      <c r="AD133" s="126"/>
      <c r="AE133" s="130" t="s">
        <v>120</v>
      </c>
      <c r="AF133" s="127" t="s">
        <v>1726</v>
      </c>
      <c r="AG133" s="131"/>
      <c r="AH133" s="131"/>
      <c r="AI133" s="126" t="s">
        <v>1727</v>
      </c>
      <c r="AJ133" s="130" t="s">
        <v>861</v>
      </c>
      <c r="AK133" s="126"/>
      <c r="AL133" s="126"/>
      <c r="AM133" s="130"/>
      <c r="AN133" s="126"/>
      <c r="AO133" s="132"/>
      <c r="AP133" s="126"/>
      <c r="AQ133" s="126"/>
      <c r="AR133" s="130"/>
      <c r="AS133" s="126"/>
      <c r="AT133" s="127"/>
      <c r="AU133" s="127">
        <v>43452.507353472203</v>
      </c>
      <c r="AV133" s="127"/>
      <c r="AW133" s="127"/>
      <c r="AX133" s="127"/>
      <c r="AY133" s="127"/>
      <c r="AZ133" s="133">
        <v>43452.584182638901</v>
      </c>
      <c r="BA133" s="134">
        <f ca="1">IF(_05preva_view43[[#This Row],[Prevalidation Status]]="Under Prevalidation",NOW()-_05preva_view43[[#This Row],[Request Date]],IF(_05preva_view43[[#This Row],[Close Date]]&gt;_05preva_view43[[#This Row],[Request Date]],_05preva_view43[[#This Row],[Close Date]]-_05preva_view43[[#This Row],[Request Date]],"Not  Calculated"))</f>
        <v>1.5841826389005291</v>
      </c>
      <c r="BB133" s="135">
        <f>COUNTIFS(_05preva_view43[Site ID],_05preva_view43[[#This Row],[Site ID]],_05preva_view43[Prevalidation Status],"Under Prevalidation")</f>
        <v>0</v>
      </c>
      <c r="BC133" s="153" t="str">
        <f ca="1">HYPERLINK(CheckPath(_05preva_view43[[#This Row],[File Path]],_05preva_view43[[#This Row],[File Path]],_05preva_view43[[#This Row],[Folder Path3]]),CheckPath(_05preva_view43[[#This Row],[File Path]],"Open File","No File"))</f>
        <v>No File</v>
      </c>
      <c r="BD133" s="136" t="str">
        <f>CONCATENATE(_05preva_view43[[#This Row],[Site ID]]," (",_05preva_view43[[#This Row],[tenant id]],") Application",IF(_05preva_view43[[#This Row],[Colo Rev]]&gt;0," Rev "&amp;_05preva_view43[[#This Row],[Colo Rev]],""),".xlsx")</f>
        <v>1-01-10009-003 (MDY01362) Application Rev 1.xlsx</v>
      </c>
      <c r="BE133" s="64">
        <f t="shared" ca="1" si="3"/>
        <v>50</v>
      </c>
      <c r="BF133" s="104" t="str">
        <f ca="1">LEFT(CELL("filename",A118),_05preva_view43[[#This Row],[Find Process &amp; Database]]-1)</f>
        <v>D:\OneDrive - apollo-towers.com\Apollo Towers\00-</v>
      </c>
      <c r="BG133" s="104" t="str">
        <f ca="1">_05preva_view43[Folder Path1]&amp;"Process &amp; Database\Documentation\Colo Applications"</f>
        <v>D:\OneDrive - apollo-towers.com\Apollo Towers\00-Process &amp; Database\Documentation\Colo Applications</v>
      </c>
      <c r="BH133" s="104" t="str">
        <f ca="1">_05preva_view43[Folder Path2]&amp;"\Colo App "&amp;_05preva_view43[[#This Row],[Operator]]&amp;"\"</f>
        <v>D:\OneDrive - apollo-towers.com\Apollo Towers\00-Process &amp; Database\Documentation\Colo Applications\Colo App MPT\</v>
      </c>
      <c r="BI133" s="63" t="str">
        <f ca="1">_05preva_view43[[#This Row],[Folder Path3]]&amp;_05preva_view43[[#This Row],[File Name]]</f>
        <v>D:\OneDrive - apollo-towers.com\Apollo Towers\00-Process &amp; Database\Documentation\Colo Applications\Colo App MPT\1-01-10009-003 (MDY01362) Application Rev 1.xlsx</v>
      </c>
      <c r="BJ133" s="104"/>
      <c r="BK133" s="3"/>
      <c r="BL133" s="3"/>
      <c r="CJ133" s="5"/>
      <c r="CK133" s="5"/>
      <c r="CL133" s="3"/>
      <c r="CN133" s="5"/>
      <c r="CR133" s="3"/>
      <c r="CS133" s="3"/>
      <c r="CT133" s="5"/>
      <c r="CV133" s="3"/>
      <c r="DR133" s="5"/>
      <c r="DT133" s="3"/>
      <c r="EF133" s="7"/>
      <c r="EG133" s="7"/>
      <c r="EJ133" s="4"/>
      <c r="EK133" s="4"/>
      <c r="EU133" s="2"/>
      <c r="EV133" s="2"/>
    </row>
    <row r="134" spans="1:152">
      <c r="A134" s="125">
        <v>3515</v>
      </c>
      <c r="B134" s="126" t="s">
        <v>1682</v>
      </c>
      <c r="C134" s="126" t="s">
        <v>331</v>
      </c>
      <c r="D134" s="126" t="s">
        <v>127</v>
      </c>
      <c r="E134" s="126" t="s">
        <v>1683</v>
      </c>
      <c r="F134" s="126" t="s">
        <v>35</v>
      </c>
      <c r="G134" s="126" t="s">
        <v>1583</v>
      </c>
      <c r="H134" s="126" t="s">
        <v>1575</v>
      </c>
      <c r="I134" s="126" t="s">
        <v>1120</v>
      </c>
      <c r="J134" s="126" t="s">
        <v>949</v>
      </c>
      <c r="K134" s="127">
        <v>43451</v>
      </c>
      <c r="L134" s="128">
        <v>1</v>
      </c>
      <c r="M134" s="128">
        <v>1.4</v>
      </c>
      <c r="N134" s="126">
        <v>4.97</v>
      </c>
      <c r="O134" s="126" t="s">
        <v>950</v>
      </c>
      <c r="P134" s="129" t="s">
        <v>958</v>
      </c>
      <c r="Q134" s="129" t="s">
        <v>959</v>
      </c>
      <c r="R134" s="126" t="s">
        <v>24</v>
      </c>
      <c r="S134" s="126"/>
      <c r="T134" s="130" t="s">
        <v>861</v>
      </c>
      <c r="U134" s="126"/>
      <c r="V134" s="130" t="s">
        <v>120</v>
      </c>
      <c r="W134" s="126"/>
      <c r="X134" s="130" t="s">
        <v>120</v>
      </c>
      <c r="Y134" s="126" t="s">
        <v>1728</v>
      </c>
      <c r="Z134" s="162" t="s">
        <v>120</v>
      </c>
      <c r="AA134" s="154"/>
      <c r="AB134" s="154"/>
      <c r="AC134" s="167" t="s">
        <v>123</v>
      </c>
      <c r="AD134" s="126" t="s">
        <v>1729</v>
      </c>
      <c r="AE134" s="130" t="s">
        <v>861</v>
      </c>
      <c r="AF134" s="127"/>
      <c r="AG134" s="131"/>
      <c r="AH134" s="131"/>
      <c r="AI134" s="126"/>
      <c r="AJ134" s="130" t="s">
        <v>120</v>
      </c>
      <c r="AK134" s="126" t="s">
        <v>123</v>
      </c>
      <c r="AL134" s="126" t="s">
        <v>1198</v>
      </c>
      <c r="AM134" s="130"/>
      <c r="AN134" s="126"/>
      <c r="AO134" s="132"/>
      <c r="AP134" s="126"/>
      <c r="AQ134" s="126"/>
      <c r="AR134" s="130"/>
      <c r="AS134" s="126"/>
      <c r="AT134" s="127">
        <v>43452.439618286997</v>
      </c>
      <c r="AU134" s="127"/>
      <c r="AV134" s="127">
        <v>43452.644825347197</v>
      </c>
      <c r="AW134" s="127">
        <v>43452.439618286997</v>
      </c>
      <c r="AX134" s="127"/>
      <c r="AY134" s="127">
        <v>43451.727060995399</v>
      </c>
      <c r="AZ134" s="133">
        <v>43452.7045194444</v>
      </c>
      <c r="BA134" s="134">
        <f ca="1">IF(_05preva_view43[[#This Row],[Prevalidation Status]]="Under Prevalidation",NOW()-_05preva_view43[[#This Row],[Request Date]],IF(_05preva_view43[[#This Row],[Close Date]]&gt;_05preva_view43[[#This Row],[Request Date]],_05preva_view43[[#This Row],[Close Date]]-_05preva_view43[[#This Row],[Request Date]],"Not  Calculated"))</f>
        <v>1.7045194443999208</v>
      </c>
      <c r="BB134" s="135">
        <f>COUNTIFS(_05preva_view43[Site ID],_05preva_view43[[#This Row],[Site ID]],_05preva_view43[Prevalidation Status],"Under Prevalidation")</f>
        <v>0</v>
      </c>
      <c r="BC134" s="153" t="str">
        <f ca="1">HYPERLINK(CheckPath(_05preva_view43[[#This Row],[File Path]],_05preva_view43[[#This Row],[File Path]],_05preva_view43[[#This Row],[Folder Path3]]),CheckPath(_05preva_view43[[#This Row],[File Path]],"Open File","No File"))</f>
        <v>No File</v>
      </c>
      <c r="BD134" s="136" t="str">
        <f>CONCATENATE(_05preva_view43[[#This Row],[Site ID]]," (",_05preva_view43[[#This Row],[tenant id]],") Application",IF(_05preva_view43[[#This Row],[Colo Rev]]&gt;0," Rev "&amp;_05preva_view43[[#This Row],[Colo Rev]],""),".xlsx")</f>
        <v>1-01-14007-016 (SHN00079) Application Rev 2.xlsx</v>
      </c>
      <c r="BE134" s="64">
        <f t="shared" ca="1" si="3"/>
        <v>50</v>
      </c>
      <c r="BF134" s="104" t="str">
        <f ca="1">LEFT(CELL("filename",A119),_05preva_view43[[#This Row],[Find Process &amp; Database]]-1)</f>
        <v>D:\OneDrive - apollo-towers.com\Apollo Towers\00-</v>
      </c>
      <c r="BG134" s="104" t="str">
        <f ca="1">_05preva_view43[Folder Path1]&amp;"Process &amp; Database\Documentation\Colo Applications"</f>
        <v>D:\OneDrive - apollo-towers.com\Apollo Towers\00-Process &amp; Database\Documentation\Colo Applications</v>
      </c>
      <c r="BH134" s="104" t="str">
        <f ca="1">_05preva_view43[Folder Path2]&amp;"\Colo App "&amp;_05preva_view43[[#This Row],[Operator]]&amp;"\"</f>
        <v>D:\OneDrive - apollo-towers.com\Apollo Towers\00-Process &amp; Database\Documentation\Colo Applications\Colo App MPT\</v>
      </c>
      <c r="BI134" s="63" t="str">
        <f ca="1">_05preva_view43[[#This Row],[Folder Path3]]&amp;_05preva_view43[[#This Row],[File Name]]</f>
        <v>D:\OneDrive - apollo-towers.com\Apollo Towers\00-Process &amp; Database\Documentation\Colo Applications\Colo App MPT\1-01-14007-016 (SHN00079) Application Rev 2.xlsx</v>
      </c>
      <c r="BJ134" s="104"/>
      <c r="BK134" s="3"/>
      <c r="BL134" s="3"/>
      <c r="CJ134" s="5"/>
      <c r="CK134" s="5"/>
      <c r="CL134" s="3"/>
      <c r="CN134" s="5"/>
      <c r="CR134" s="3"/>
      <c r="CS134" s="3"/>
      <c r="CT134" s="5"/>
      <c r="CV134" s="3"/>
      <c r="DR134" s="5"/>
      <c r="DT134" s="3"/>
      <c r="EF134" s="7"/>
      <c r="EG134" s="7"/>
      <c r="EJ134" s="4"/>
      <c r="EK134" s="4"/>
      <c r="EU134" s="2"/>
      <c r="EV134" s="2"/>
    </row>
    <row r="135" spans="1:152">
      <c r="A135" s="125">
        <v>3498</v>
      </c>
      <c r="B135" s="126" t="s">
        <v>1549</v>
      </c>
      <c r="C135" s="126" t="s">
        <v>331</v>
      </c>
      <c r="D135" s="126" t="s">
        <v>163</v>
      </c>
      <c r="E135" s="126" t="s">
        <v>1550</v>
      </c>
      <c r="F135" s="126" t="s">
        <v>35</v>
      </c>
      <c r="G135" s="126" t="s">
        <v>1583</v>
      </c>
      <c r="H135" s="126" t="s">
        <v>1575</v>
      </c>
      <c r="I135" s="126" t="s">
        <v>1551</v>
      </c>
      <c r="J135" s="126" t="s">
        <v>957</v>
      </c>
      <c r="K135" s="127">
        <v>43447</v>
      </c>
      <c r="L135" s="128">
        <v>1.68</v>
      </c>
      <c r="M135" s="128">
        <v>2.1</v>
      </c>
      <c r="N135" s="126">
        <v>2.9449999999999998</v>
      </c>
      <c r="O135" s="126" t="s">
        <v>950</v>
      </c>
      <c r="P135" s="129" t="s">
        <v>958</v>
      </c>
      <c r="Q135" s="129" t="s">
        <v>959</v>
      </c>
      <c r="R135" s="126" t="s">
        <v>24</v>
      </c>
      <c r="S135" s="126"/>
      <c r="T135" s="130" t="s">
        <v>861</v>
      </c>
      <c r="U135" s="126"/>
      <c r="V135" s="130" t="s">
        <v>120</v>
      </c>
      <c r="W135" s="126"/>
      <c r="X135" s="130" t="s">
        <v>120</v>
      </c>
      <c r="Y135" s="126" t="s">
        <v>1587</v>
      </c>
      <c r="Z135" s="162" t="s">
        <v>120</v>
      </c>
      <c r="AA135" s="154"/>
      <c r="AB135" s="154"/>
      <c r="AC135" s="167" t="s">
        <v>123</v>
      </c>
      <c r="AD135" s="126" t="s">
        <v>1598</v>
      </c>
      <c r="AE135" s="130" t="s">
        <v>120</v>
      </c>
      <c r="AF135" s="127" t="s">
        <v>1730</v>
      </c>
      <c r="AG135" s="131"/>
      <c r="AH135" s="131"/>
      <c r="AI135" s="126" t="s">
        <v>1588</v>
      </c>
      <c r="AJ135" s="130" t="s">
        <v>120</v>
      </c>
      <c r="AK135" s="126" t="s">
        <v>123</v>
      </c>
      <c r="AL135" s="126" t="s">
        <v>1198</v>
      </c>
      <c r="AM135" s="130"/>
      <c r="AN135" s="126"/>
      <c r="AO135" s="132"/>
      <c r="AP135" s="126"/>
      <c r="AQ135" s="126"/>
      <c r="AR135" s="130"/>
      <c r="AS135" s="126"/>
      <c r="AT135" s="127">
        <v>43447.75481875</v>
      </c>
      <c r="AU135" s="127">
        <v>43451.370478472199</v>
      </c>
      <c r="AV135" s="127">
        <v>43448.476636111103</v>
      </c>
      <c r="AW135" s="127">
        <v>43447.75481875</v>
      </c>
      <c r="AX135" s="127"/>
      <c r="AY135" s="127">
        <v>43447.715323842604</v>
      </c>
      <c r="AZ135" s="133">
        <v>43451.4114646991</v>
      </c>
      <c r="BA135" s="134">
        <f ca="1">IF(_05preva_view43[[#This Row],[Prevalidation Status]]="Under Prevalidation",NOW()-_05preva_view43[[#This Row],[Request Date]],IF(_05preva_view43[[#This Row],[Close Date]]&gt;_05preva_view43[[#This Row],[Request Date]],_05preva_view43[[#This Row],[Close Date]]-_05preva_view43[[#This Row],[Request Date]],"Not  Calculated"))</f>
        <v>4.4114646991001791</v>
      </c>
      <c r="BB135" s="135">
        <f>COUNTIFS(_05preva_view43[Site ID],_05preva_view43[[#This Row],[Site ID]],_05preva_view43[Prevalidation Status],"Under Prevalidation")</f>
        <v>0</v>
      </c>
      <c r="BC135" s="153" t="str">
        <f ca="1">HYPERLINK(CheckPath(_05preva_view43[[#This Row],[File Path]],_05preva_view43[[#This Row],[File Path]],_05preva_view43[[#This Row],[Folder Path3]]),CheckPath(_05preva_view43[[#This Row],[File Path]],"Open File","No File"))</f>
        <v>No File</v>
      </c>
      <c r="BD135" s="136" t="str">
        <f>CONCATENATE(_05preva_view43[[#This Row],[Site ID]]," (",_05preva_view43[[#This Row],[tenant id]],") Application",IF(_05preva_view43[[#This Row],[Colo Rev]]&gt;0," Rev "&amp;_05preva_view43[[#This Row],[Colo Rev]],""),".xlsx")</f>
        <v>1-01-17007-005 (AWD00484) Application Rev 4.xlsx</v>
      </c>
      <c r="BE135" s="64">
        <f t="shared" ca="1" si="3"/>
        <v>50</v>
      </c>
      <c r="BF135" s="104" t="str">
        <f ca="1">LEFT(CELL("filename",A120),_05preva_view43[[#This Row],[Find Process &amp; Database]]-1)</f>
        <v>D:\OneDrive - apollo-towers.com\Apollo Towers\00-</v>
      </c>
      <c r="BG135" s="104" t="str">
        <f ca="1">_05preva_view43[Folder Path1]&amp;"Process &amp; Database\Documentation\Colo Applications"</f>
        <v>D:\OneDrive - apollo-towers.com\Apollo Towers\00-Process &amp; Database\Documentation\Colo Applications</v>
      </c>
      <c r="BH135" s="104" t="str">
        <f ca="1">_05preva_view43[Folder Path2]&amp;"\Colo App "&amp;_05preva_view43[[#This Row],[Operator]]&amp;"\"</f>
        <v>D:\OneDrive - apollo-towers.com\Apollo Towers\00-Process &amp; Database\Documentation\Colo Applications\Colo App MPT\</v>
      </c>
      <c r="BI135" s="63" t="str">
        <f ca="1">_05preva_view43[[#This Row],[Folder Path3]]&amp;_05preva_view43[[#This Row],[File Name]]</f>
        <v>D:\OneDrive - apollo-towers.com\Apollo Towers\00-Process &amp; Database\Documentation\Colo Applications\Colo App MPT\1-01-17007-005 (AWD00484) Application Rev 4.xlsx</v>
      </c>
      <c r="BJ135" s="104"/>
      <c r="BK135" s="3"/>
      <c r="BL135" s="3"/>
      <c r="CJ135" s="5"/>
      <c r="CK135" s="5"/>
      <c r="CL135" s="3"/>
      <c r="CN135" s="5"/>
      <c r="CR135" s="3"/>
      <c r="CS135" s="3"/>
      <c r="CT135" s="5"/>
      <c r="CV135" s="3"/>
      <c r="DR135" s="5"/>
      <c r="DT135" s="3"/>
      <c r="EF135" s="7"/>
      <c r="EG135" s="7"/>
      <c r="EJ135" s="4"/>
      <c r="EK135" s="4"/>
      <c r="EU135" s="2"/>
      <c r="EV135" s="2"/>
    </row>
    <row r="136" spans="1:152">
      <c r="A136" s="125">
        <v>3499</v>
      </c>
      <c r="B136" s="126" t="s">
        <v>1552</v>
      </c>
      <c r="C136" s="126" t="s">
        <v>331</v>
      </c>
      <c r="D136" s="126" t="s">
        <v>117</v>
      </c>
      <c r="E136" s="126" t="s">
        <v>1553</v>
      </c>
      <c r="F136" s="126" t="s">
        <v>35</v>
      </c>
      <c r="G136" s="126" t="s">
        <v>1583</v>
      </c>
      <c r="H136" s="126" t="s">
        <v>1575</v>
      </c>
      <c r="I136" s="126" t="s">
        <v>1551</v>
      </c>
      <c r="J136" s="126" t="s">
        <v>949</v>
      </c>
      <c r="K136" s="127">
        <v>43447</v>
      </c>
      <c r="L136" s="128">
        <v>2.16</v>
      </c>
      <c r="M136" s="128">
        <v>2.7</v>
      </c>
      <c r="N136" s="126">
        <v>4.45</v>
      </c>
      <c r="O136" s="126" t="s">
        <v>950</v>
      </c>
      <c r="P136" s="129" t="s">
        <v>958</v>
      </c>
      <c r="Q136" s="129" t="s">
        <v>959</v>
      </c>
      <c r="R136" s="126" t="s">
        <v>24</v>
      </c>
      <c r="S136" s="126"/>
      <c r="T136" s="130" t="s">
        <v>861</v>
      </c>
      <c r="U136" s="126"/>
      <c r="V136" s="130" t="s">
        <v>120</v>
      </c>
      <c r="W136" s="126"/>
      <c r="X136" s="130" t="s">
        <v>120</v>
      </c>
      <c r="Y136" s="126" t="s">
        <v>1589</v>
      </c>
      <c r="Z136" s="162" t="s">
        <v>120</v>
      </c>
      <c r="AA136" s="154"/>
      <c r="AB136" s="154"/>
      <c r="AC136" s="167" t="s">
        <v>123</v>
      </c>
      <c r="AD136" s="126" t="s">
        <v>1599</v>
      </c>
      <c r="AE136" s="130" t="s">
        <v>120</v>
      </c>
      <c r="AF136" s="127" t="s">
        <v>1731</v>
      </c>
      <c r="AG136" s="131"/>
      <c r="AH136" s="131"/>
      <c r="AI136" s="126" t="s">
        <v>1590</v>
      </c>
      <c r="AJ136" s="130" t="s">
        <v>120</v>
      </c>
      <c r="AK136" s="126" t="s">
        <v>123</v>
      </c>
      <c r="AL136" s="126" t="s">
        <v>1198</v>
      </c>
      <c r="AM136" s="130"/>
      <c r="AN136" s="126"/>
      <c r="AO136" s="132"/>
      <c r="AP136" s="126"/>
      <c r="AQ136" s="126"/>
      <c r="AR136" s="130"/>
      <c r="AS136" s="126"/>
      <c r="AT136" s="127">
        <v>43447.754820254602</v>
      </c>
      <c r="AU136" s="127">
        <v>43451.370479745397</v>
      </c>
      <c r="AV136" s="127">
        <v>43448.606992245397</v>
      </c>
      <c r="AW136" s="127">
        <v>43447.754820254602</v>
      </c>
      <c r="AX136" s="127"/>
      <c r="AY136" s="127">
        <v>43447.715324768498</v>
      </c>
      <c r="AZ136" s="133">
        <v>43451.411465393503</v>
      </c>
      <c r="BA136" s="134">
        <f ca="1">IF(_05preva_view43[[#This Row],[Prevalidation Status]]="Under Prevalidation",NOW()-_05preva_view43[[#This Row],[Request Date]],IF(_05preva_view43[[#This Row],[Close Date]]&gt;_05preva_view43[[#This Row],[Request Date]],_05preva_view43[[#This Row],[Close Date]]-_05preva_view43[[#This Row],[Request Date]],"Not  Calculated"))</f>
        <v>4.4114653935030219</v>
      </c>
      <c r="BB136" s="135">
        <f>COUNTIFS(_05preva_view43[Site ID],_05preva_view43[[#This Row],[Site ID]],_05preva_view43[Prevalidation Status],"Under Prevalidation")</f>
        <v>0</v>
      </c>
      <c r="BC136" s="153" t="str">
        <f ca="1">HYPERLINK(CheckPath(_05preva_view43[[#This Row],[File Path]],_05preva_view43[[#This Row],[File Path]],_05preva_view43[[#This Row],[Folder Path3]]),CheckPath(_05preva_view43[[#This Row],[File Path]],"Open File","No File"))</f>
        <v>No File</v>
      </c>
      <c r="BD136" s="136" t="str">
        <f>CONCATENATE(_05preva_view43[[#This Row],[Site ID]]," (",_05preva_view43[[#This Row],[tenant id]],") Application",IF(_05preva_view43[[#This Row],[Colo Rev]]&gt;0," Rev "&amp;_05preva_view43[[#This Row],[Colo Rev]],""),".xlsx")</f>
        <v>1-01-02003-003 (KYH00055) Application Rev 2.xlsx</v>
      </c>
      <c r="BE136" s="64">
        <f t="shared" ca="1" si="3"/>
        <v>50</v>
      </c>
      <c r="BF136" s="104" t="str">
        <f ca="1">LEFT(CELL("filename",A121),_05preva_view43[[#This Row],[Find Process &amp; Database]]-1)</f>
        <v>D:\OneDrive - apollo-towers.com\Apollo Towers\00-</v>
      </c>
      <c r="BG136" s="104" t="str">
        <f ca="1">_05preva_view43[Folder Path1]&amp;"Process &amp; Database\Documentation\Colo Applications"</f>
        <v>D:\OneDrive - apollo-towers.com\Apollo Towers\00-Process &amp; Database\Documentation\Colo Applications</v>
      </c>
      <c r="BH136" s="104" t="str">
        <f ca="1">_05preva_view43[Folder Path2]&amp;"\Colo App "&amp;_05preva_view43[[#This Row],[Operator]]&amp;"\"</f>
        <v>D:\OneDrive - apollo-towers.com\Apollo Towers\00-Process &amp; Database\Documentation\Colo Applications\Colo App MPT\</v>
      </c>
      <c r="BI136" s="63" t="str">
        <f ca="1">_05preva_view43[[#This Row],[Folder Path3]]&amp;_05preva_view43[[#This Row],[File Name]]</f>
        <v>D:\OneDrive - apollo-towers.com\Apollo Towers\00-Process &amp; Database\Documentation\Colo Applications\Colo App MPT\1-01-02003-003 (KYH00055) Application Rev 2.xlsx</v>
      </c>
      <c r="BJ136" s="104"/>
      <c r="BK136" s="3"/>
      <c r="BL136" s="3"/>
      <c r="CJ136" s="5"/>
      <c r="CK136" s="5"/>
      <c r="CL136" s="3"/>
      <c r="CN136" s="5"/>
      <c r="CR136" s="3"/>
      <c r="CS136" s="3"/>
      <c r="CT136" s="5"/>
      <c r="CV136" s="3"/>
      <c r="DR136" s="5"/>
      <c r="DT136" s="3"/>
      <c r="EF136" s="7"/>
      <c r="EG136" s="7"/>
      <c r="EJ136" s="4"/>
      <c r="EK136" s="4"/>
      <c r="EU136" s="2"/>
      <c r="EV136" s="2"/>
    </row>
    <row r="137" spans="1:152">
      <c r="A137" s="125">
        <v>3500</v>
      </c>
      <c r="B137" s="126" t="s">
        <v>1554</v>
      </c>
      <c r="C137" s="126" t="s">
        <v>331</v>
      </c>
      <c r="D137" s="126" t="s">
        <v>163</v>
      </c>
      <c r="E137" s="126" t="s">
        <v>1555</v>
      </c>
      <c r="F137" s="126" t="s">
        <v>35</v>
      </c>
      <c r="G137" s="126" t="s">
        <v>1583</v>
      </c>
      <c r="H137" s="126" t="s">
        <v>1575</v>
      </c>
      <c r="I137" s="126" t="s">
        <v>1048</v>
      </c>
      <c r="J137" s="126" t="s">
        <v>949</v>
      </c>
      <c r="K137" s="127">
        <v>43447</v>
      </c>
      <c r="L137" s="128">
        <v>3.36</v>
      </c>
      <c r="M137" s="128">
        <v>4.8</v>
      </c>
      <c r="N137" s="126">
        <v>4.8600000000000003</v>
      </c>
      <c r="O137" s="126" t="s">
        <v>950</v>
      </c>
      <c r="P137" s="129" t="s">
        <v>880</v>
      </c>
      <c r="Q137" s="129" t="s">
        <v>910</v>
      </c>
      <c r="R137" s="126" t="s">
        <v>24</v>
      </c>
      <c r="S137" s="126"/>
      <c r="T137" s="130" t="s">
        <v>861</v>
      </c>
      <c r="U137" s="126"/>
      <c r="V137" s="130" t="s">
        <v>120</v>
      </c>
      <c r="W137" s="126"/>
      <c r="X137" s="130" t="s">
        <v>120</v>
      </c>
      <c r="Y137" s="126" t="s">
        <v>1591</v>
      </c>
      <c r="Z137" s="162" t="s">
        <v>120</v>
      </c>
      <c r="AA137" s="154"/>
      <c r="AB137" s="154"/>
      <c r="AC137" s="167" t="s">
        <v>123</v>
      </c>
      <c r="AD137" s="126" t="s">
        <v>1600</v>
      </c>
      <c r="AE137" s="130" t="s">
        <v>120</v>
      </c>
      <c r="AF137" s="127" t="s">
        <v>1732</v>
      </c>
      <c r="AG137" s="131"/>
      <c r="AH137" s="131"/>
      <c r="AI137" s="126" t="s">
        <v>1597</v>
      </c>
      <c r="AJ137" s="130" t="s">
        <v>120</v>
      </c>
      <c r="AK137" s="126" t="s">
        <v>123</v>
      </c>
      <c r="AL137" s="126" t="s">
        <v>1198</v>
      </c>
      <c r="AM137" s="130"/>
      <c r="AN137" s="126"/>
      <c r="AO137" s="132"/>
      <c r="AP137" s="126"/>
      <c r="AQ137" s="126"/>
      <c r="AR137" s="130"/>
      <c r="AS137" s="126"/>
      <c r="AT137" s="127">
        <v>43447.754822222203</v>
      </c>
      <c r="AU137" s="127">
        <v>43451.3704804398</v>
      </c>
      <c r="AV137" s="127">
        <v>43448.687077893497</v>
      </c>
      <c r="AW137" s="127">
        <v>43447.754822222203</v>
      </c>
      <c r="AX137" s="127"/>
      <c r="AY137" s="127">
        <v>43452.557504398203</v>
      </c>
      <c r="AZ137" s="133">
        <v>43452.584172800904</v>
      </c>
      <c r="BA137" s="134">
        <f ca="1">IF(_05preva_view43[[#This Row],[Prevalidation Status]]="Under Prevalidation",NOW()-_05preva_view43[[#This Row],[Request Date]],IF(_05preva_view43[[#This Row],[Close Date]]&gt;_05preva_view43[[#This Row],[Request Date]],_05preva_view43[[#This Row],[Close Date]]-_05preva_view43[[#This Row],[Request Date]],"Not  Calculated"))</f>
        <v>5.584172800903616</v>
      </c>
      <c r="BB137" s="135">
        <f>COUNTIFS(_05preva_view43[Site ID],_05preva_view43[[#This Row],[Site ID]],_05preva_view43[Prevalidation Status],"Under Prevalidation")</f>
        <v>0</v>
      </c>
      <c r="BC137" s="153" t="str">
        <f ca="1">HYPERLINK(CheckPath(_05preva_view43[[#This Row],[File Path]],_05preva_view43[[#This Row],[File Path]],_05preva_view43[[#This Row],[Folder Path3]]),CheckPath(_05preva_view43[[#This Row],[File Path]],"Open File","No File"))</f>
        <v>No File</v>
      </c>
      <c r="BD137" s="136" t="str">
        <f>CONCATENATE(_05preva_view43[[#This Row],[Site ID]]," (",_05preva_view43[[#This Row],[tenant id]],") Application",IF(_05preva_view43[[#This Row],[Colo Rev]]&gt;0," Rev "&amp;_05preva_view43[[#This Row],[Colo Rev]],""),".xlsx")</f>
        <v>1-01-03001-001 (KYN00267) Application Rev 2.xlsx</v>
      </c>
      <c r="BE137" s="64">
        <f t="shared" ca="1" si="3"/>
        <v>50</v>
      </c>
      <c r="BF137" s="104" t="str">
        <f ca="1">LEFT(CELL("filename",A122),_05preva_view43[[#This Row],[Find Process &amp; Database]]-1)</f>
        <v>D:\OneDrive - apollo-towers.com\Apollo Towers\00-</v>
      </c>
      <c r="BG137" s="104" t="str">
        <f ca="1">_05preva_view43[Folder Path1]&amp;"Process &amp; Database\Documentation\Colo Applications"</f>
        <v>D:\OneDrive - apollo-towers.com\Apollo Towers\00-Process &amp; Database\Documentation\Colo Applications</v>
      </c>
      <c r="BH137" s="104" t="str">
        <f ca="1">_05preva_view43[Folder Path2]&amp;"\Colo App "&amp;_05preva_view43[[#This Row],[Operator]]&amp;"\"</f>
        <v>D:\OneDrive - apollo-towers.com\Apollo Towers\00-Process &amp; Database\Documentation\Colo Applications\Colo App MPT\</v>
      </c>
      <c r="BI137" s="63" t="str">
        <f ca="1">_05preva_view43[[#This Row],[Folder Path3]]&amp;_05preva_view43[[#This Row],[File Name]]</f>
        <v>D:\OneDrive - apollo-towers.com\Apollo Towers\00-Process &amp; Database\Documentation\Colo Applications\Colo App MPT\1-01-03001-001 (KYN00267) Application Rev 2.xlsx</v>
      </c>
      <c r="BJ137" s="104"/>
      <c r="BK137" s="3"/>
      <c r="BL137" s="3"/>
      <c r="CJ137" s="5"/>
      <c r="CK137" s="5"/>
      <c r="CL137" s="3"/>
      <c r="CN137" s="5"/>
      <c r="CR137" s="3"/>
      <c r="CS137" s="3"/>
      <c r="CT137" s="5"/>
      <c r="CV137" s="3"/>
      <c r="DR137" s="5"/>
      <c r="DT137" s="3"/>
      <c r="EF137" s="7"/>
      <c r="EG137" s="7"/>
      <c r="EJ137" s="4"/>
      <c r="EK137" s="4"/>
      <c r="EU137" s="2"/>
      <c r="EV137" s="2"/>
    </row>
    <row r="138" spans="1:152">
      <c r="A138" s="125">
        <v>3501</v>
      </c>
      <c r="B138" s="126" t="s">
        <v>1556</v>
      </c>
      <c r="C138" s="126" t="s">
        <v>331</v>
      </c>
      <c r="D138" s="126" t="s">
        <v>117</v>
      </c>
      <c r="E138" s="126" t="s">
        <v>1557</v>
      </c>
      <c r="F138" s="126" t="s">
        <v>35</v>
      </c>
      <c r="G138" s="126" t="s">
        <v>1583</v>
      </c>
      <c r="H138" s="126" t="s">
        <v>1575</v>
      </c>
      <c r="I138" s="126" t="s">
        <v>1263</v>
      </c>
      <c r="J138" s="126" t="s">
        <v>931</v>
      </c>
      <c r="K138" s="127">
        <v>43447</v>
      </c>
      <c r="L138" s="128">
        <v>1.054</v>
      </c>
      <c r="M138" s="128">
        <v>1.522</v>
      </c>
      <c r="N138" s="126">
        <v>4.6900000000000004</v>
      </c>
      <c r="O138" s="126" t="s">
        <v>950</v>
      </c>
      <c r="P138" s="129" t="s">
        <v>1062</v>
      </c>
      <c r="Q138" s="129" t="s">
        <v>958</v>
      </c>
      <c r="R138" s="126" t="s">
        <v>24</v>
      </c>
      <c r="S138" s="126"/>
      <c r="T138" s="130" t="s">
        <v>861</v>
      </c>
      <c r="U138" s="126"/>
      <c r="V138" s="130" t="s">
        <v>120</v>
      </c>
      <c r="W138" s="126"/>
      <c r="X138" s="130" t="s">
        <v>120</v>
      </c>
      <c r="Y138" s="126" t="s">
        <v>1592</v>
      </c>
      <c r="Z138" s="162" t="s">
        <v>120</v>
      </c>
      <c r="AA138" s="154"/>
      <c r="AB138" s="154"/>
      <c r="AC138" s="167" t="s">
        <v>123</v>
      </c>
      <c r="AD138" s="126" t="s">
        <v>1601</v>
      </c>
      <c r="AE138" s="130" t="s">
        <v>120</v>
      </c>
      <c r="AF138" s="127"/>
      <c r="AG138" s="131"/>
      <c r="AH138" s="131"/>
      <c r="AI138" s="126"/>
      <c r="AJ138" s="130" t="s">
        <v>120</v>
      </c>
      <c r="AK138" s="126" t="s">
        <v>123</v>
      </c>
      <c r="AL138" s="126" t="s">
        <v>1198</v>
      </c>
      <c r="AM138" s="130"/>
      <c r="AN138" s="126"/>
      <c r="AO138" s="132"/>
      <c r="AP138" s="126"/>
      <c r="AQ138" s="126"/>
      <c r="AR138" s="130"/>
      <c r="AS138" s="126"/>
      <c r="AT138" s="127">
        <v>43447.754823726798</v>
      </c>
      <c r="AU138" s="127">
        <v>43447.716965277803</v>
      </c>
      <c r="AV138" s="127">
        <v>43448.581684722201</v>
      </c>
      <c r="AW138" s="127">
        <v>43447.754823726798</v>
      </c>
      <c r="AX138" s="127"/>
      <c r="AY138" s="127">
        <v>43447.715326851903</v>
      </c>
      <c r="AZ138" s="133">
        <v>43448.727956481503</v>
      </c>
      <c r="BA138" s="134">
        <f ca="1">IF(_05preva_view43[[#This Row],[Prevalidation Status]]="Under Prevalidation",NOW()-_05preva_view43[[#This Row],[Request Date]],IF(_05preva_view43[[#This Row],[Close Date]]&gt;_05preva_view43[[#This Row],[Request Date]],_05preva_view43[[#This Row],[Close Date]]-_05preva_view43[[#This Row],[Request Date]],"Not  Calculated"))</f>
        <v>1.7279564815034973</v>
      </c>
      <c r="BB138" s="135">
        <f>COUNTIFS(_05preva_view43[Site ID],_05preva_view43[[#This Row],[Site ID]],_05preva_view43[Prevalidation Status],"Under Prevalidation")</f>
        <v>0</v>
      </c>
      <c r="BC138" s="153" t="str">
        <f ca="1">HYPERLINK(CheckPath(_05preva_view43[[#This Row],[File Path]],_05preva_view43[[#This Row],[File Path]],_05preva_view43[[#This Row],[Folder Path3]]),CheckPath(_05preva_view43[[#This Row],[File Path]],"Open File","No File"))</f>
        <v>No File</v>
      </c>
      <c r="BD138" s="136" t="str">
        <f>CONCATENATE(_05preva_view43[[#This Row],[Site ID]]," (",_05preva_view43[[#This Row],[tenant id]],") Application",IF(_05preva_view43[[#This Row],[Colo Rev]]&gt;0," Rev "&amp;_05preva_view43[[#This Row],[Colo Rev]],""),".xlsx")</f>
        <v>1-01-09001-003 (MGW00148) Application Rev 1.xlsx</v>
      </c>
      <c r="BE138" s="64">
        <f t="shared" ca="1" si="3"/>
        <v>50</v>
      </c>
      <c r="BF138" s="104" t="str">
        <f ca="1">LEFT(CELL("filename",A123),_05preva_view43[[#This Row],[Find Process &amp; Database]]-1)</f>
        <v>D:\OneDrive - apollo-towers.com\Apollo Towers\00-</v>
      </c>
      <c r="BG138" s="104" t="str">
        <f ca="1">_05preva_view43[Folder Path1]&amp;"Process &amp; Database\Documentation\Colo Applications"</f>
        <v>D:\OneDrive - apollo-towers.com\Apollo Towers\00-Process &amp; Database\Documentation\Colo Applications</v>
      </c>
      <c r="BH138" s="104" t="str">
        <f ca="1">_05preva_view43[Folder Path2]&amp;"\Colo App "&amp;_05preva_view43[[#This Row],[Operator]]&amp;"\"</f>
        <v>D:\OneDrive - apollo-towers.com\Apollo Towers\00-Process &amp; Database\Documentation\Colo Applications\Colo App MPT\</v>
      </c>
      <c r="BI138" s="63" t="str">
        <f ca="1">_05preva_view43[[#This Row],[Folder Path3]]&amp;_05preva_view43[[#This Row],[File Name]]</f>
        <v>D:\OneDrive - apollo-towers.com\Apollo Towers\00-Process &amp; Database\Documentation\Colo Applications\Colo App MPT\1-01-09001-003 (MGW00148) Application Rev 1.xlsx</v>
      </c>
      <c r="BJ138" s="104"/>
      <c r="BK138" s="3"/>
      <c r="BL138" s="3"/>
      <c r="CJ138" s="5"/>
      <c r="CK138" s="5"/>
      <c r="CL138" s="3"/>
      <c r="CN138" s="5"/>
      <c r="CR138" s="3"/>
      <c r="CS138" s="3"/>
      <c r="CT138" s="5"/>
      <c r="CV138" s="3"/>
      <c r="DR138" s="5"/>
      <c r="DT138" s="3"/>
      <c r="EF138" s="7"/>
      <c r="EG138" s="7"/>
      <c r="EJ138" s="4"/>
      <c r="EK138" s="4"/>
      <c r="EU138" s="2"/>
      <c r="EV138" s="2"/>
    </row>
    <row r="139" spans="1:152">
      <c r="A139" s="125">
        <v>3502</v>
      </c>
      <c r="B139" s="126" t="s">
        <v>1382</v>
      </c>
      <c r="C139" s="126" t="s">
        <v>331</v>
      </c>
      <c r="D139" s="126" t="s">
        <v>117</v>
      </c>
      <c r="E139" s="126" t="s">
        <v>1383</v>
      </c>
      <c r="F139" s="126" t="s">
        <v>35</v>
      </c>
      <c r="G139" s="126" t="s">
        <v>1583</v>
      </c>
      <c r="H139" s="126" t="s">
        <v>1575</v>
      </c>
      <c r="I139" s="126" t="s">
        <v>1053</v>
      </c>
      <c r="J139" s="126" t="s">
        <v>931</v>
      </c>
      <c r="K139" s="127">
        <v>43447</v>
      </c>
      <c r="L139" s="128">
        <v>2.3180000000000001</v>
      </c>
      <c r="M139" s="128">
        <v>4.3479999999999999</v>
      </c>
      <c r="N139" s="126">
        <v>3.56</v>
      </c>
      <c r="O139" s="126" t="s">
        <v>950</v>
      </c>
      <c r="P139" s="129" t="s">
        <v>1062</v>
      </c>
      <c r="Q139" s="129" t="s">
        <v>958</v>
      </c>
      <c r="R139" s="126" t="s">
        <v>24</v>
      </c>
      <c r="S139" s="126"/>
      <c r="T139" s="130" t="s">
        <v>861</v>
      </c>
      <c r="U139" s="126"/>
      <c r="V139" s="130" t="s">
        <v>120</v>
      </c>
      <c r="W139" s="126"/>
      <c r="X139" s="130" t="s">
        <v>120</v>
      </c>
      <c r="Y139" s="126" t="s">
        <v>1602</v>
      </c>
      <c r="Z139" s="162" t="s">
        <v>120</v>
      </c>
      <c r="AA139" s="154"/>
      <c r="AB139" s="154"/>
      <c r="AC139" s="167" t="s">
        <v>123</v>
      </c>
      <c r="AD139" s="126" t="s">
        <v>1603</v>
      </c>
      <c r="AE139" s="130" t="s">
        <v>120</v>
      </c>
      <c r="AF139" s="127" t="s">
        <v>1733</v>
      </c>
      <c r="AG139" s="131"/>
      <c r="AH139" s="131"/>
      <c r="AI139" s="126" t="s">
        <v>1597</v>
      </c>
      <c r="AJ139" s="130" t="s">
        <v>120</v>
      </c>
      <c r="AK139" s="126" t="s">
        <v>123</v>
      </c>
      <c r="AL139" s="126" t="s">
        <v>1198</v>
      </c>
      <c r="AM139" s="130"/>
      <c r="AN139" s="126"/>
      <c r="AO139" s="132"/>
      <c r="AP139" s="126"/>
      <c r="AQ139" s="126"/>
      <c r="AR139" s="130"/>
      <c r="AS139" s="126"/>
      <c r="AT139" s="127">
        <v>43447.754825231503</v>
      </c>
      <c r="AU139" s="127">
        <v>43451.370481828701</v>
      </c>
      <c r="AV139" s="127">
        <v>43448.581685416699</v>
      </c>
      <c r="AW139" s="127">
        <v>43447.754825231503</v>
      </c>
      <c r="AX139" s="127"/>
      <c r="AY139" s="127">
        <v>43447.715327777798</v>
      </c>
      <c r="AZ139" s="133">
        <v>43451.411466898098</v>
      </c>
      <c r="BA139" s="134">
        <f ca="1">IF(_05preva_view43[[#This Row],[Prevalidation Status]]="Under Prevalidation",NOW()-_05preva_view43[[#This Row],[Request Date]],IF(_05preva_view43[[#This Row],[Close Date]]&gt;_05preva_view43[[#This Row],[Request Date]],_05preva_view43[[#This Row],[Close Date]]-_05preva_view43[[#This Row],[Request Date]],"Not  Calculated"))</f>
        <v>4.411466898098297</v>
      </c>
      <c r="BB139" s="135">
        <f>COUNTIFS(_05preva_view43[Site ID],_05preva_view43[[#This Row],[Site ID]],_05preva_view43[Prevalidation Status],"Under Prevalidation")</f>
        <v>0</v>
      </c>
      <c r="BC139" s="153" t="str">
        <f ca="1">HYPERLINK(CheckPath(_05preva_view43[[#This Row],[File Path]],_05preva_view43[[#This Row],[File Path]],_05preva_view43[[#This Row],[Folder Path3]]),CheckPath(_05preva_view43[[#This Row],[File Path]],"Open File","No File"))</f>
        <v>No File</v>
      </c>
      <c r="BD139" s="136" t="str">
        <f>CONCATENATE(_05preva_view43[[#This Row],[Site ID]]," (",_05preva_view43[[#This Row],[tenant id]],") Application",IF(_05preva_view43[[#This Row],[Colo Rev]]&gt;0," Rev "&amp;_05preva_view43[[#This Row],[Colo Rev]],""),".xlsx")</f>
        <v>1-01-09017-004 (MGW00413) Application Rev 1.xlsx</v>
      </c>
      <c r="BE139" s="64">
        <f t="shared" ca="1" si="3"/>
        <v>50</v>
      </c>
      <c r="BF139" s="104" t="str">
        <f ca="1">LEFT(CELL("filename",A124),_05preva_view43[[#This Row],[Find Process &amp; Database]]-1)</f>
        <v>D:\OneDrive - apollo-towers.com\Apollo Towers\00-</v>
      </c>
      <c r="BG139" s="104" t="str">
        <f ca="1">_05preva_view43[Folder Path1]&amp;"Process &amp; Database\Documentation\Colo Applications"</f>
        <v>D:\OneDrive - apollo-towers.com\Apollo Towers\00-Process &amp; Database\Documentation\Colo Applications</v>
      </c>
      <c r="BH139" s="104" t="str">
        <f ca="1">_05preva_view43[Folder Path2]&amp;"\Colo App "&amp;_05preva_view43[[#This Row],[Operator]]&amp;"\"</f>
        <v>D:\OneDrive - apollo-towers.com\Apollo Towers\00-Process &amp; Database\Documentation\Colo Applications\Colo App MPT\</v>
      </c>
      <c r="BI139" s="63" t="str">
        <f ca="1">_05preva_view43[[#This Row],[Folder Path3]]&amp;_05preva_view43[[#This Row],[File Name]]</f>
        <v>D:\OneDrive - apollo-towers.com\Apollo Towers\00-Process &amp; Database\Documentation\Colo Applications\Colo App MPT\1-01-09017-004 (MGW00413) Application Rev 1.xlsx</v>
      </c>
      <c r="BJ139" s="104"/>
      <c r="BK139" s="3"/>
      <c r="BL139" s="3"/>
      <c r="CJ139" s="5"/>
      <c r="CK139" s="5"/>
      <c r="CL139" s="3"/>
      <c r="CN139" s="5"/>
      <c r="CR139" s="3"/>
      <c r="CS139" s="3"/>
      <c r="CT139" s="5"/>
      <c r="CV139" s="3"/>
      <c r="DR139" s="5"/>
      <c r="DT139" s="3"/>
      <c r="EF139" s="7"/>
      <c r="EG139" s="7"/>
      <c r="EJ139" s="4"/>
      <c r="EK139" s="4"/>
      <c r="EU139" s="2"/>
      <c r="EV139" s="2"/>
    </row>
    <row r="140" spans="1:152">
      <c r="A140" s="125">
        <v>3503</v>
      </c>
      <c r="B140" s="126" t="s">
        <v>1558</v>
      </c>
      <c r="C140" s="126" t="s">
        <v>331</v>
      </c>
      <c r="D140" s="126" t="s">
        <v>127</v>
      </c>
      <c r="E140" s="126" t="s">
        <v>1559</v>
      </c>
      <c r="F140" s="126" t="s">
        <v>35</v>
      </c>
      <c r="G140" s="126" t="s">
        <v>1583</v>
      </c>
      <c r="H140" s="126" t="s">
        <v>1575</v>
      </c>
      <c r="I140" s="126" t="s">
        <v>1288</v>
      </c>
      <c r="J140" s="126" t="s">
        <v>931</v>
      </c>
      <c r="K140" s="127">
        <v>43447</v>
      </c>
      <c r="L140" s="128">
        <v>1.1080000000000001</v>
      </c>
      <c r="M140" s="128">
        <v>1.52</v>
      </c>
      <c r="N140" s="126">
        <v>3.11</v>
      </c>
      <c r="O140" s="126" t="s">
        <v>950</v>
      </c>
      <c r="P140" s="129" t="s">
        <v>958</v>
      </c>
      <c r="Q140" s="129" t="s">
        <v>959</v>
      </c>
      <c r="R140" s="126" t="s">
        <v>24</v>
      </c>
      <c r="S140" s="126"/>
      <c r="T140" s="130" t="s">
        <v>861</v>
      </c>
      <c r="U140" s="126"/>
      <c r="V140" s="130" t="s">
        <v>120</v>
      </c>
      <c r="W140" s="126"/>
      <c r="X140" s="130" t="s">
        <v>120</v>
      </c>
      <c r="Y140" s="126" t="s">
        <v>1604</v>
      </c>
      <c r="Z140" s="162" t="s">
        <v>120</v>
      </c>
      <c r="AA140" s="154"/>
      <c r="AB140" s="154"/>
      <c r="AC140" s="167" t="s">
        <v>123</v>
      </c>
      <c r="AD140" s="126" t="s">
        <v>1605</v>
      </c>
      <c r="AE140" s="130" t="s">
        <v>120</v>
      </c>
      <c r="AF140" s="127" t="s">
        <v>1734</v>
      </c>
      <c r="AG140" s="131"/>
      <c r="AH140" s="131"/>
      <c r="AI140" s="126" t="s">
        <v>1597</v>
      </c>
      <c r="AJ140" s="130" t="s">
        <v>120</v>
      </c>
      <c r="AK140" s="126" t="s">
        <v>123</v>
      </c>
      <c r="AL140" s="126" t="s">
        <v>1198</v>
      </c>
      <c r="AM140" s="130"/>
      <c r="AN140" s="126"/>
      <c r="AO140" s="132"/>
      <c r="AP140" s="126"/>
      <c r="AQ140" s="126"/>
      <c r="AR140" s="130"/>
      <c r="AS140" s="126"/>
      <c r="AT140" s="127">
        <v>43447.754826620403</v>
      </c>
      <c r="AU140" s="127">
        <v>43451.370482523103</v>
      </c>
      <c r="AV140" s="127">
        <v>43448.581686458303</v>
      </c>
      <c r="AW140" s="127">
        <v>43447.754826620403</v>
      </c>
      <c r="AX140" s="127"/>
      <c r="AY140" s="127">
        <v>43447.7153300926</v>
      </c>
      <c r="AZ140" s="133">
        <v>43451.411467708298</v>
      </c>
      <c r="BA140" s="134">
        <f ca="1">IF(_05preva_view43[[#This Row],[Prevalidation Status]]="Under Prevalidation",NOW()-_05preva_view43[[#This Row],[Request Date]],IF(_05preva_view43[[#This Row],[Close Date]]&gt;_05preva_view43[[#This Row],[Request Date]],_05preva_view43[[#This Row],[Close Date]]-_05preva_view43[[#This Row],[Request Date]],"Not  Calculated"))</f>
        <v>4.4114677082980052</v>
      </c>
      <c r="BB140" s="135">
        <f>COUNTIFS(_05preva_view43[Site ID],_05preva_view43[[#This Row],[Site ID]],_05preva_view43[Prevalidation Status],"Under Prevalidation")</f>
        <v>0</v>
      </c>
      <c r="BC140" s="153" t="str">
        <f ca="1">HYPERLINK(CheckPath(_05preva_view43[[#This Row],[File Path]],_05preva_view43[[#This Row],[File Path]],_05preva_view43[[#This Row],[Folder Path3]]),CheckPath(_05preva_view43[[#This Row],[File Path]],"Open File","No File"))</f>
        <v>No File</v>
      </c>
      <c r="BD140" s="136" t="str">
        <f>CONCATENATE(_05preva_view43[[#This Row],[Site ID]]," (",_05preva_view43[[#This Row],[tenant id]],") Application",IF(_05preva_view43[[#This Row],[Colo Rev]]&gt;0," Rev "&amp;_05preva_view43[[#This Row],[Colo Rev]],""),".xlsx")</f>
        <v>1-01-05009-001 (SGG00235) Application Rev 1.xlsx</v>
      </c>
      <c r="BE140" s="64">
        <f t="shared" ca="1" si="3"/>
        <v>50</v>
      </c>
      <c r="BF140" s="104" t="str">
        <f ca="1">LEFT(CELL("filename",A125),_05preva_view43[[#This Row],[Find Process &amp; Database]]-1)</f>
        <v>D:\OneDrive - apollo-towers.com\Apollo Towers\00-</v>
      </c>
      <c r="BG140" s="104" t="str">
        <f ca="1">_05preva_view43[Folder Path1]&amp;"Process &amp; Database\Documentation\Colo Applications"</f>
        <v>D:\OneDrive - apollo-towers.com\Apollo Towers\00-Process &amp; Database\Documentation\Colo Applications</v>
      </c>
      <c r="BH140" s="104" t="str">
        <f ca="1">_05preva_view43[Folder Path2]&amp;"\Colo App "&amp;_05preva_view43[[#This Row],[Operator]]&amp;"\"</f>
        <v>D:\OneDrive - apollo-towers.com\Apollo Towers\00-Process &amp; Database\Documentation\Colo Applications\Colo App MPT\</v>
      </c>
      <c r="BI140" s="63" t="str">
        <f ca="1">_05preva_view43[[#This Row],[Folder Path3]]&amp;_05preva_view43[[#This Row],[File Name]]</f>
        <v>D:\OneDrive - apollo-towers.com\Apollo Towers\00-Process &amp; Database\Documentation\Colo Applications\Colo App MPT\1-01-05009-001 (SGG00235) Application Rev 1.xlsx</v>
      </c>
      <c r="BJ140" s="104"/>
      <c r="BK140" s="3"/>
      <c r="BL140" s="3"/>
      <c r="CJ140" s="5"/>
      <c r="CK140" s="5"/>
      <c r="CL140" s="3"/>
      <c r="CN140" s="5"/>
      <c r="CR140" s="3"/>
      <c r="CS140" s="3"/>
      <c r="CT140" s="5"/>
      <c r="CV140" s="3"/>
      <c r="DR140" s="5"/>
      <c r="DT140" s="3"/>
      <c r="EF140" s="7"/>
      <c r="EG140" s="7"/>
      <c r="EJ140" s="4"/>
      <c r="EK140" s="4"/>
      <c r="EU140" s="2"/>
      <c r="EV140" s="2"/>
    </row>
    <row r="141" spans="1:152">
      <c r="A141" s="125">
        <v>3504</v>
      </c>
      <c r="B141" s="126" t="s">
        <v>1560</v>
      </c>
      <c r="C141" s="126" t="s">
        <v>331</v>
      </c>
      <c r="D141" s="126" t="s">
        <v>127</v>
      </c>
      <c r="E141" s="126" t="s">
        <v>1561</v>
      </c>
      <c r="F141" s="126" t="s">
        <v>35</v>
      </c>
      <c r="G141" s="126" t="s">
        <v>1583</v>
      </c>
      <c r="H141" s="126" t="s">
        <v>1575</v>
      </c>
      <c r="I141" s="126" t="s">
        <v>1288</v>
      </c>
      <c r="J141" s="126" t="s">
        <v>931</v>
      </c>
      <c r="K141" s="127">
        <v>43447</v>
      </c>
      <c r="L141" s="128">
        <v>1.399</v>
      </c>
      <c r="M141" s="128">
        <v>2.1989999999999998</v>
      </c>
      <c r="N141" s="126">
        <v>2.87</v>
      </c>
      <c r="O141" s="126" t="s">
        <v>950</v>
      </c>
      <c r="P141" s="129" t="s">
        <v>704</v>
      </c>
      <c r="Q141" s="129" t="s">
        <v>705</v>
      </c>
      <c r="R141" s="126" t="s">
        <v>24</v>
      </c>
      <c r="S141" s="126"/>
      <c r="T141" s="130" t="s">
        <v>861</v>
      </c>
      <c r="U141" s="126"/>
      <c r="V141" s="130" t="s">
        <v>120</v>
      </c>
      <c r="W141" s="126"/>
      <c r="X141" s="130" t="s">
        <v>120</v>
      </c>
      <c r="Y141" s="126" t="s">
        <v>1606</v>
      </c>
      <c r="Z141" s="162" t="s">
        <v>120</v>
      </c>
      <c r="AA141" s="154"/>
      <c r="AB141" s="154"/>
      <c r="AC141" s="167" t="s">
        <v>123</v>
      </c>
      <c r="AD141" s="126" t="s">
        <v>1735</v>
      </c>
      <c r="AE141" s="130" t="s">
        <v>120</v>
      </c>
      <c r="AF141" s="127" t="s">
        <v>1736</v>
      </c>
      <c r="AG141" s="131"/>
      <c r="AH141" s="131"/>
      <c r="AI141" s="126" t="s">
        <v>1593</v>
      </c>
      <c r="AJ141" s="130" t="s">
        <v>120</v>
      </c>
      <c r="AK141" s="126" t="s">
        <v>123</v>
      </c>
      <c r="AL141" s="126" t="s">
        <v>1198</v>
      </c>
      <c r="AM141" s="130"/>
      <c r="AN141" s="126"/>
      <c r="AO141" s="132"/>
      <c r="AP141" s="126"/>
      <c r="AQ141" s="126"/>
      <c r="AR141" s="130"/>
      <c r="AS141" s="126"/>
      <c r="AT141" s="127">
        <v>43447.754828009303</v>
      </c>
      <c r="AU141" s="127">
        <v>43447.716971180598</v>
      </c>
      <c r="AV141" s="127">
        <v>43451.553795486099</v>
      </c>
      <c r="AW141" s="127">
        <v>43447.754828009303</v>
      </c>
      <c r="AX141" s="127"/>
      <c r="AY141" s="127">
        <v>43447.715331828702</v>
      </c>
      <c r="AZ141" s="133">
        <v>43451.712500463</v>
      </c>
      <c r="BA141" s="134">
        <f ca="1">IF(_05preva_view43[[#This Row],[Prevalidation Status]]="Under Prevalidation",NOW()-_05preva_view43[[#This Row],[Request Date]],IF(_05preva_view43[[#This Row],[Close Date]]&gt;_05preva_view43[[#This Row],[Request Date]],_05preva_view43[[#This Row],[Close Date]]-_05preva_view43[[#This Row],[Request Date]],"Not  Calculated"))</f>
        <v>4.712500462999742</v>
      </c>
      <c r="BB141" s="135">
        <f>COUNTIFS(_05preva_view43[Site ID],_05preva_view43[[#This Row],[Site ID]],_05preva_view43[Prevalidation Status],"Under Prevalidation")</f>
        <v>0</v>
      </c>
      <c r="BC141" s="153" t="str">
        <f ca="1">HYPERLINK(CheckPath(_05preva_view43[[#This Row],[File Path]],_05preva_view43[[#This Row],[File Path]],_05preva_view43[[#This Row],[Folder Path3]]),CheckPath(_05preva_view43[[#This Row],[File Path]],"Open File","No File"))</f>
        <v>No File</v>
      </c>
      <c r="BD141" s="136" t="str">
        <f>CONCATENATE(_05preva_view43[[#This Row],[Site ID]]," (",_05preva_view43[[#This Row],[tenant id]],") Application",IF(_05preva_view43[[#This Row],[Colo Rev]]&gt;0," Rev "&amp;_05preva_view43[[#This Row],[Colo Rev]],""),".xlsx")</f>
        <v>1-01-05015-004 (SGG00765) Application Rev 1.xlsx</v>
      </c>
      <c r="BE141" s="64">
        <f t="shared" ca="1" si="3"/>
        <v>50</v>
      </c>
      <c r="BF141" s="104" t="str">
        <f ca="1">LEFT(CELL("filename",A126),_05preva_view43[[#This Row],[Find Process &amp; Database]]-1)</f>
        <v>D:\OneDrive - apollo-towers.com\Apollo Towers\00-</v>
      </c>
      <c r="BG141" s="104" t="str">
        <f ca="1">_05preva_view43[Folder Path1]&amp;"Process &amp; Database\Documentation\Colo Applications"</f>
        <v>D:\OneDrive - apollo-towers.com\Apollo Towers\00-Process &amp; Database\Documentation\Colo Applications</v>
      </c>
      <c r="BH141" s="104" t="str">
        <f ca="1">_05preva_view43[Folder Path2]&amp;"\Colo App "&amp;_05preva_view43[[#This Row],[Operator]]&amp;"\"</f>
        <v>D:\OneDrive - apollo-towers.com\Apollo Towers\00-Process &amp; Database\Documentation\Colo Applications\Colo App MPT\</v>
      </c>
      <c r="BI141" s="63" t="str">
        <f ca="1">_05preva_view43[[#This Row],[Folder Path3]]&amp;_05preva_view43[[#This Row],[File Name]]</f>
        <v>D:\OneDrive - apollo-towers.com\Apollo Towers\00-Process &amp; Database\Documentation\Colo Applications\Colo App MPT\1-01-05015-004 (SGG00765) Application Rev 1.xlsx</v>
      </c>
      <c r="BJ141" s="104"/>
      <c r="BK141" s="3"/>
      <c r="BL141" s="3"/>
      <c r="CJ141" s="5"/>
      <c r="CK141" s="5"/>
      <c r="CL141" s="3"/>
      <c r="CN141" s="5"/>
      <c r="CR141" s="3"/>
      <c r="CS141" s="3"/>
      <c r="CT141" s="5"/>
      <c r="CV141" s="3"/>
      <c r="DR141" s="5"/>
      <c r="DT141" s="3"/>
      <c r="EF141" s="7"/>
      <c r="EG141" s="7"/>
      <c r="EJ141" s="4"/>
      <c r="EK141" s="4"/>
      <c r="EU141" s="2"/>
      <c r="EV141" s="2"/>
    </row>
    <row r="142" spans="1:152">
      <c r="A142" s="125">
        <v>3505</v>
      </c>
      <c r="B142" s="126" t="s">
        <v>954</v>
      </c>
      <c r="C142" s="126" t="s">
        <v>331</v>
      </c>
      <c r="D142" s="126" t="s">
        <v>117</v>
      </c>
      <c r="E142" s="126" t="s">
        <v>955</v>
      </c>
      <c r="F142" s="126" t="s">
        <v>35</v>
      </c>
      <c r="G142" s="126" t="s">
        <v>1583</v>
      </c>
      <c r="H142" s="126" t="s">
        <v>1575</v>
      </c>
      <c r="I142" s="126" t="s">
        <v>1551</v>
      </c>
      <c r="J142" s="126" t="s">
        <v>370</v>
      </c>
      <c r="K142" s="127">
        <v>43447</v>
      </c>
      <c r="L142" s="128">
        <v>3.44</v>
      </c>
      <c r="M142" s="128">
        <v>4.3</v>
      </c>
      <c r="N142" s="126">
        <v>4.55</v>
      </c>
      <c r="O142" s="126" t="s">
        <v>950</v>
      </c>
      <c r="P142" s="129" t="s">
        <v>958</v>
      </c>
      <c r="Q142" s="129" t="s">
        <v>959</v>
      </c>
      <c r="R142" s="126" t="s">
        <v>24</v>
      </c>
      <c r="S142" s="126"/>
      <c r="T142" s="130" t="s">
        <v>861</v>
      </c>
      <c r="U142" s="126"/>
      <c r="V142" s="130" t="s">
        <v>120</v>
      </c>
      <c r="W142" s="126"/>
      <c r="X142" s="130" t="s">
        <v>120</v>
      </c>
      <c r="Y142" s="126" t="s">
        <v>1607</v>
      </c>
      <c r="Z142" s="162" t="s">
        <v>120</v>
      </c>
      <c r="AA142" s="154"/>
      <c r="AB142" s="154"/>
      <c r="AC142" s="167" t="s">
        <v>123</v>
      </c>
      <c r="AD142" s="126" t="s">
        <v>1608</v>
      </c>
      <c r="AE142" s="130" t="s">
        <v>120</v>
      </c>
      <c r="AF142" s="127" t="s">
        <v>1734</v>
      </c>
      <c r="AG142" s="131"/>
      <c r="AH142" s="131"/>
      <c r="AI142" s="126" t="s">
        <v>1597</v>
      </c>
      <c r="AJ142" s="130" t="s">
        <v>120</v>
      </c>
      <c r="AK142" s="126" t="s">
        <v>123</v>
      </c>
      <c r="AL142" s="126" t="s">
        <v>1198</v>
      </c>
      <c r="AM142" s="130"/>
      <c r="AN142" s="126"/>
      <c r="AO142" s="132"/>
      <c r="AP142" s="126"/>
      <c r="AQ142" s="126"/>
      <c r="AR142" s="130"/>
      <c r="AS142" s="126"/>
      <c r="AT142" s="127">
        <v>43447.754829513899</v>
      </c>
      <c r="AU142" s="127">
        <v>43451.370484143503</v>
      </c>
      <c r="AV142" s="127">
        <v>43448.619258911996</v>
      </c>
      <c r="AW142" s="127">
        <v>43447.754829513899</v>
      </c>
      <c r="AX142" s="127"/>
      <c r="AY142" s="127">
        <v>43447.715332754597</v>
      </c>
      <c r="AZ142" s="133">
        <v>43451.4114694444</v>
      </c>
      <c r="BA142" s="134">
        <f ca="1">IF(_05preva_view43[[#This Row],[Prevalidation Status]]="Under Prevalidation",NOW()-_05preva_view43[[#This Row],[Request Date]],IF(_05preva_view43[[#This Row],[Close Date]]&gt;_05preva_view43[[#This Row],[Request Date]],_05preva_view43[[#This Row],[Close Date]]-_05preva_view43[[#This Row],[Request Date]],"Not  Calculated"))</f>
        <v>4.4114694443996996</v>
      </c>
      <c r="BB142" s="135">
        <f>COUNTIFS(_05preva_view43[Site ID],_05preva_view43[[#This Row],[Site ID]],_05preva_view43[Prevalidation Status],"Under Prevalidation")</f>
        <v>0</v>
      </c>
      <c r="BC142" s="153" t="str">
        <f ca="1">HYPERLINK(CheckPath(_05preva_view43[[#This Row],[File Path]],_05preva_view43[[#This Row],[File Path]],_05preva_view43[[#This Row],[Folder Path3]]),CheckPath(_05preva_view43[[#This Row],[File Path]],"Open File","No File"))</f>
        <v>No File</v>
      </c>
      <c r="BD142" s="136" t="str">
        <f>CONCATENATE(_05preva_view43[[#This Row],[Site ID]]," (",_05preva_view43[[#This Row],[tenant id]],") Application",IF(_05preva_view43[[#This Row],[Colo Rev]]&gt;0," Rev "&amp;_05preva_view43[[#This Row],[Colo Rev]],""),".xlsx")</f>
        <v>1-01-16011-001 (SHE00089) Application Rev 6.xlsx</v>
      </c>
      <c r="BE142" s="64">
        <f t="shared" ca="1" si="3"/>
        <v>50</v>
      </c>
      <c r="BF142" s="104" t="str">
        <f ca="1">LEFT(CELL("filename",A127),_05preva_view43[[#This Row],[Find Process &amp; Database]]-1)</f>
        <v>D:\OneDrive - apollo-towers.com\Apollo Towers\00-</v>
      </c>
      <c r="BG142" s="104" t="str">
        <f ca="1">_05preva_view43[Folder Path1]&amp;"Process &amp; Database\Documentation\Colo Applications"</f>
        <v>D:\OneDrive - apollo-towers.com\Apollo Towers\00-Process &amp; Database\Documentation\Colo Applications</v>
      </c>
      <c r="BH142" s="104" t="str">
        <f ca="1">_05preva_view43[Folder Path2]&amp;"\Colo App "&amp;_05preva_view43[[#This Row],[Operator]]&amp;"\"</f>
        <v>D:\OneDrive - apollo-towers.com\Apollo Towers\00-Process &amp; Database\Documentation\Colo Applications\Colo App MPT\</v>
      </c>
      <c r="BI142" s="63" t="str">
        <f ca="1">_05preva_view43[[#This Row],[Folder Path3]]&amp;_05preva_view43[[#This Row],[File Name]]</f>
        <v>D:\OneDrive - apollo-towers.com\Apollo Towers\00-Process &amp; Database\Documentation\Colo Applications\Colo App MPT\1-01-16011-001 (SHE00089) Application Rev 6.xlsx</v>
      </c>
      <c r="BJ142" s="104"/>
      <c r="BK142" s="3"/>
      <c r="BL142" s="3"/>
      <c r="CJ142" s="5"/>
      <c r="CK142" s="5"/>
      <c r="CL142" s="3"/>
      <c r="CN142" s="5"/>
      <c r="CR142" s="3"/>
      <c r="CS142" s="3"/>
      <c r="CT142" s="5"/>
      <c r="CV142" s="3"/>
      <c r="DR142" s="5"/>
      <c r="DT142" s="3"/>
      <c r="EF142" s="7"/>
      <c r="EG142" s="7"/>
      <c r="EJ142" s="4"/>
      <c r="EK142" s="4"/>
      <c r="EU142" s="2"/>
      <c r="EV142" s="2"/>
    </row>
    <row r="143" spans="1:152">
      <c r="A143" s="125">
        <v>3506</v>
      </c>
      <c r="B143" s="126" t="s">
        <v>1406</v>
      </c>
      <c r="C143" s="126" t="s">
        <v>331</v>
      </c>
      <c r="D143" s="126" t="s">
        <v>127</v>
      </c>
      <c r="E143" s="126" t="s">
        <v>1407</v>
      </c>
      <c r="F143" s="126" t="s">
        <v>35</v>
      </c>
      <c r="G143" s="126" t="s">
        <v>1583</v>
      </c>
      <c r="H143" s="126" t="s">
        <v>1575</v>
      </c>
      <c r="I143" s="126" t="s">
        <v>1053</v>
      </c>
      <c r="J143" s="126" t="s">
        <v>957</v>
      </c>
      <c r="K143" s="127">
        <v>43447</v>
      </c>
      <c r="L143" s="128">
        <v>1.1080000000000001</v>
      </c>
      <c r="M143" s="128">
        <v>1.5820000000000001</v>
      </c>
      <c r="N143" s="126">
        <v>5.87</v>
      </c>
      <c r="O143" s="126" t="s">
        <v>950</v>
      </c>
      <c r="P143" s="129" t="s">
        <v>1071</v>
      </c>
      <c r="Q143" s="129" t="s">
        <v>1072</v>
      </c>
      <c r="R143" s="126" t="s">
        <v>24</v>
      </c>
      <c r="S143" s="126"/>
      <c r="T143" s="130" t="s">
        <v>861</v>
      </c>
      <c r="U143" s="126"/>
      <c r="V143" s="130" t="s">
        <v>120</v>
      </c>
      <c r="W143" s="126"/>
      <c r="X143" s="130" t="s">
        <v>120</v>
      </c>
      <c r="Y143" s="126" t="s">
        <v>1609</v>
      </c>
      <c r="Z143" s="162" t="s">
        <v>120</v>
      </c>
      <c r="AA143" s="154"/>
      <c r="AB143" s="154"/>
      <c r="AC143" s="167" t="s">
        <v>123</v>
      </c>
      <c r="AD143" s="126" t="s">
        <v>1737</v>
      </c>
      <c r="AE143" s="130" t="s">
        <v>120</v>
      </c>
      <c r="AF143" s="127" t="s">
        <v>1738</v>
      </c>
      <c r="AG143" s="131"/>
      <c r="AH143" s="131"/>
      <c r="AI143" s="126" t="s">
        <v>1597</v>
      </c>
      <c r="AJ143" s="130" t="s">
        <v>120</v>
      </c>
      <c r="AK143" s="126" t="s">
        <v>123</v>
      </c>
      <c r="AL143" s="126" t="s">
        <v>1198</v>
      </c>
      <c r="AM143" s="130"/>
      <c r="AN143" s="126"/>
      <c r="AO143" s="132"/>
      <c r="AP143" s="126"/>
      <c r="AQ143" s="126"/>
      <c r="AR143" s="130"/>
      <c r="AS143" s="126"/>
      <c r="AT143" s="127">
        <v>43448.468701620397</v>
      </c>
      <c r="AU143" s="127">
        <v>43451.370484838</v>
      </c>
      <c r="AV143" s="127">
        <v>43451.553796180597</v>
      </c>
      <c r="AW143" s="127">
        <v>43448.468701620397</v>
      </c>
      <c r="AX143" s="127"/>
      <c r="AY143" s="127">
        <v>43447.715337499998</v>
      </c>
      <c r="AZ143" s="133">
        <v>43451.712501388902</v>
      </c>
      <c r="BA143" s="134">
        <f ca="1">IF(_05preva_view43[[#This Row],[Prevalidation Status]]="Under Prevalidation",NOW()-_05preva_view43[[#This Row],[Request Date]],IF(_05preva_view43[[#This Row],[Close Date]]&gt;_05preva_view43[[#This Row],[Request Date]],_05preva_view43[[#This Row],[Close Date]]-_05preva_view43[[#This Row],[Request Date]],"Not  Calculated"))</f>
        <v>4.7125013889017282</v>
      </c>
      <c r="BB143" s="135">
        <f>COUNTIFS(_05preva_view43[Site ID],_05preva_view43[[#This Row],[Site ID]],_05preva_view43[Prevalidation Status],"Under Prevalidation")</f>
        <v>0</v>
      </c>
      <c r="BC143" s="153" t="str">
        <f ca="1">HYPERLINK(CheckPath(_05preva_view43[[#This Row],[File Path]],_05preva_view43[[#This Row],[File Path]],_05preva_view43[[#This Row],[Folder Path3]]),CheckPath(_05preva_view43[[#This Row],[File Path]],"Open File","No File"))</f>
        <v>No File</v>
      </c>
      <c r="BD143" s="136" t="str">
        <f>CONCATENATE(_05preva_view43[[#This Row],[Site ID]]," (",_05preva_view43[[#This Row],[tenant id]],") Application",IF(_05preva_view43[[#This Row],[Colo Rev]]&gt;0," Rev "&amp;_05preva_view43[[#This Row],[Colo Rev]],""),".xlsx")</f>
        <v>1-01-15012-004 (SHN00053) Application Rev 4.xlsx</v>
      </c>
      <c r="BE143" s="64">
        <f t="shared" ca="1" si="3"/>
        <v>50</v>
      </c>
      <c r="BF143" s="104" t="str">
        <f ca="1">LEFT(CELL("filename",A128),_05preva_view43[[#This Row],[Find Process &amp; Database]]-1)</f>
        <v>D:\OneDrive - apollo-towers.com\Apollo Towers\00-</v>
      </c>
      <c r="BG143" s="104" t="str">
        <f ca="1">_05preva_view43[Folder Path1]&amp;"Process &amp; Database\Documentation\Colo Applications"</f>
        <v>D:\OneDrive - apollo-towers.com\Apollo Towers\00-Process &amp; Database\Documentation\Colo Applications</v>
      </c>
      <c r="BH143" s="104" t="str">
        <f ca="1">_05preva_view43[Folder Path2]&amp;"\Colo App "&amp;_05preva_view43[[#This Row],[Operator]]&amp;"\"</f>
        <v>D:\OneDrive - apollo-towers.com\Apollo Towers\00-Process &amp; Database\Documentation\Colo Applications\Colo App MPT\</v>
      </c>
      <c r="BI143" s="63" t="str">
        <f ca="1">_05preva_view43[[#This Row],[Folder Path3]]&amp;_05preva_view43[[#This Row],[File Name]]</f>
        <v>D:\OneDrive - apollo-towers.com\Apollo Towers\00-Process &amp; Database\Documentation\Colo Applications\Colo App MPT\1-01-15012-004 (SHN00053) Application Rev 4.xlsx</v>
      </c>
      <c r="BJ143" s="104"/>
      <c r="BK143" s="3"/>
      <c r="BL143" s="3"/>
      <c r="CJ143" s="5"/>
      <c r="CK143" s="5"/>
      <c r="CL143" s="3"/>
      <c r="CN143" s="5"/>
      <c r="CR143" s="3"/>
      <c r="CS143" s="3"/>
      <c r="CT143" s="5"/>
      <c r="CV143" s="3"/>
      <c r="DR143" s="5"/>
      <c r="DT143" s="3"/>
      <c r="EF143" s="7"/>
      <c r="EG143" s="7"/>
      <c r="EJ143" s="4"/>
      <c r="EK143" s="4"/>
      <c r="EU143" s="2"/>
      <c r="EV143" s="2"/>
    </row>
    <row r="144" spans="1:152">
      <c r="A144" s="125">
        <v>3507</v>
      </c>
      <c r="B144" s="126" t="s">
        <v>1562</v>
      </c>
      <c r="C144" s="126" t="s">
        <v>331</v>
      </c>
      <c r="D144" s="126" t="s">
        <v>127</v>
      </c>
      <c r="E144" s="126" t="s">
        <v>1563</v>
      </c>
      <c r="F144" s="126" t="s">
        <v>35</v>
      </c>
      <c r="G144" s="126" t="s">
        <v>1583</v>
      </c>
      <c r="H144" s="126" t="s">
        <v>1575</v>
      </c>
      <c r="I144" s="126" t="s">
        <v>1288</v>
      </c>
      <c r="J144" s="126" t="s">
        <v>931</v>
      </c>
      <c r="K144" s="127">
        <v>43447</v>
      </c>
      <c r="L144" s="128">
        <v>1.399</v>
      </c>
      <c r="M144" s="128">
        <v>2.2610000000000001</v>
      </c>
      <c r="N144" s="126">
        <v>5.6059999999999999</v>
      </c>
      <c r="O144" s="126" t="s">
        <v>950</v>
      </c>
      <c r="P144" s="129" t="s">
        <v>958</v>
      </c>
      <c r="Q144" s="129" t="s">
        <v>959</v>
      </c>
      <c r="R144" s="126" t="s">
        <v>24</v>
      </c>
      <c r="S144" s="126"/>
      <c r="T144" s="130" t="s">
        <v>861</v>
      </c>
      <c r="U144" s="126"/>
      <c r="V144" s="130" t="s">
        <v>120</v>
      </c>
      <c r="W144" s="126"/>
      <c r="X144" s="130" t="s">
        <v>120</v>
      </c>
      <c r="Y144" s="126" t="s">
        <v>1610</v>
      </c>
      <c r="Z144" s="162" t="s">
        <v>120</v>
      </c>
      <c r="AA144" s="154"/>
      <c r="AB144" s="154"/>
      <c r="AC144" s="167" t="s">
        <v>123</v>
      </c>
      <c r="AD144" s="126" t="s">
        <v>1739</v>
      </c>
      <c r="AE144" s="130" t="s">
        <v>120</v>
      </c>
      <c r="AF144" s="127" t="s">
        <v>1740</v>
      </c>
      <c r="AG144" s="131"/>
      <c r="AH144" s="131"/>
      <c r="AI144" s="126" t="s">
        <v>1594</v>
      </c>
      <c r="AJ144" s="130" t="s">
        <v>120</v>
      </c>
      <c r="AK144" s="126" t="s">
        <v>123</v>
      </c>
      <c r="AL144" s="126" t="s">
        <v>1198</v>
      </c>
      <c r="AM144" s="130"/>
      <c r="AN144" s="126"/>
      <c r="AO144" s="132"/>
      <c r="AP144" s="126"/>
      <c r="AQ144" s="126"/>
      <c r="AR144" s="130"/>
      <c r="AS144" s="126"/>
      <c r="AT144" s="127">
        <v>43448.468703935199</v>
      </c>
      <c r="AU144" s="127">
        <v>43451.370486458298</v>
      </c>
      <c r="AV144" s="127">
        <v>43451.639467824098</v>
      </c>
      <c r="AW144" s="127">
        <v>43448.468703935199</v>
      </c>
      <c r="AX144" s="127"/>
      <c r="AY144" s="127">
        <v>43447.715339351897</v>
      </c>
      <c r="AZ144" s="133">
        <v>43451.712502199101</v>
      </c>
      <c r="BA144" s="134">
        <f ca="1">IF(_05preva_view43[[#This Row],[Prevalidation Status]]="Under Prevalidation",NOW()-_05preva_view43[[#This Row],[Request Date]],IF(_05preva_view43[[#This Row],[Close Date]]&gt;_05preva_view43[[#This Row],[Request Date]],_05preva_view43[[#This Row],[Close Date]]-_05preva_view43[[#This Row],[Request Date]],"Not  Calculated"))</f>
        <v>4.7125021991014364</v>
      </c>
      <c r="BB144" s="135">
        <f>COUNTIFS(_05preva_view43[Site ID],_05preva_view43[[#This Row],[Site ID]],_05preva_view43[Prevalidation Status],"Under Prevalidation")</f>
        <v>0</v>
      </c>
      <c r="BC144" s="153" t="str">
        <f ca="1">HYPERLINK(CheckPath(_05preva_view43[[#This Row],[File Path]],_05preva_view43[[#This Row],[File Path]],_05preva_view43[[#This Row],[Folder Path3]]),CheckPath(_05preva_view43[[#This Row],[File Path]],"Open File","No File"))</f>
        <v>No File</v>
      </c>
      <c r="BD144" s="136" t="str">
        <f>CONCATENATE(_05preva_view43[[#This Row],[Site ID]]," (",_05preva_view43[[#This Row],[tenant id]],") Application",IF(_05preva_view43[[#This Row],[Colo Rev]]&gt;0," Rev "&amp;_05preva_view43[[#This Row],[Colo Rev]],""),".xlsx")</f>
        <v>1-01-15013-008 (SHN00087) Application Rev 1.xlsx</v>
      </c>
      <c r="BE144" s="64">
        <f t="shared" ref="BE144:BE207" ca="1" si="4">FIND("Process &amp; Database\",CELL("filename",$A$1))</f>
        <v>50</v>
      </c>
      <c r="BF144" s="104" t="str">
        <f ca="1">LEFT(CELL("filename",A129),_05preva_view43[[#This Row],[Find Process &amp; Database]]-1)</f>
        <v>D:\OneDrive - apollo-towers.com\Apollo Towers\00-</v>
      </c>
      <c r="BG144" s="104" t="str">
        <f ca="1">_05preva_view43[Folder Path1]&amp;"Process &amp; Database\Documentation\Colo Applications"</f>
        <v>D:\OneDrive - apollo-towers.com\Apollo Towers\00-Process &amp; Database\Documentation\Colo Applications</v>
      </c>
      <c r="BH144" s="104" t="str">
        <f ca="1">_05preva_view43[Folder Path2]&amp;"\Colo App "&amp;_05preva_view43[[#This Row],[Operator]]&amp;"\"</f>
        <v>D:\OneDrive - apollo-towers.com\Apollo Towers\00-Process &amp; Database\Documentation\Colo Applications\Colo App MPT\</v>
      </c>
      <c r="BI144" s="63" t="str">
        <f ca="1">_05preva_view43[[#This Row],[Folder Path3]]&amp;_05preva_view43[[#This Row],[File Name]]</f>
        <v>D:\OneDrive - apollo-towers.com\Apollo Towers\00-Process &amp; Database\Documentation\Colo Applications\Colo App MPT\1-01-15013-008 (SHN00087) Application Rev 1.xlsx</v>
      </c>
      <c r="BJ144" s="104"/>
      <c r="BK144" s="3"/>
      <c r="BL144" s="3"/>
      <c r="CJ144" s="5"/>
      <c r="CK144" s="5"/>
      <c r="CL144" s="3"/>
      <c r="CN144" s="5"/>
      <c r="CR144" s="3"/>
      <c r="CS144" s="3"/>
      <c r="CT144" s="5"/>
      <c r="CV144" s="3"/>
      <c r="DR144" s="5"/>
      <c r="DT144" s="3"/>
      <c r="EF144" s="7"/>
      <c r="EG144" s="7"/>
      <c r="EJ144" s="4"/>
      <c r="EK144" s="4"/>
      <c r="EU144" s="2"/>
      <c r="EV144" s="2"/>
    </row>
    <row r="145" spans="1:152">
      <c r="A145" s="125">
        <v>3508</v>
      </c>
      <c r="B145" s="126" t="s">
        <v>1564</v>
      </c>
      <c r="C145" s="126" t="s">
        <v>331</v>
      </c>
      <c r="D145" s="126" t="s">
        <v>163</v>
      </c>
      <c r="E145" s="126" t="s">
        <v>1565</v>
      </c>
      <c r="F145" s="126" t="s">
        <v>35</v>
      </c>
      <c r="G145" s="126" t="s">
        <v>1583</v>
      </c>
      <c r="H145" s="126" t="s">
        <v>1575</v>
      </c>
      <c r="I145" s="126" t="s">
        <v>1053</v>
      </c>
      <c r="J145" s="126" t="s">
        <v>949</v>
      </c>
      <c r="K145" s="127">
        <v>43447</v>
      </c>
      <c r="L145" s="128">
        <v>2.48</v>
      </c>
      <c r="M145" s="128">
        <v>3.1</v>
      </c>
      <c r="N145" s="126">
        <v>3.86</v>
      </c>
      <c r="O145" s="126" t="s">
        <v>950</v>
      </c>
      <c r="P145" s="129" t="s">
        <v>958</v>
      </c>
      <c r="Q145" s="129" t="s">
        <v>959</v>
      </c>
      <c r="R145" s="126" t="s">
        <v>24</v>
      </c>
      <c r="S145" s="126"/>
      <c r="T145" s="130" t="s">
        <v>861</v>
      </c>
      <c r="U145" s="126"/>
      <c r="V145" s="130" t="s">
        <v>120</v>
      </c>
      <c r="W145" s="126"/>
      <c r="X145" s="130" t="s">
        <v>120</v>
      </c>
      <c r="Y145" s="126" t="s">
        <v>1611</v>
      </c>
      <c r="Z145" s="162" t="s">
        <v>120</v>
      </c>
      <c r="AA145" s="154"/>
      <c r="AB145" s="154"/>
      <c r="AC145" s="167" t="s">
        <v>123</v>
      </c>
      <c r="AD145" s="126" t="s">
        <v>1741</v>
      </c>
      <c r="AE145" s="130" t="s">
        <v>120</v>
      </c>
      <c r="AF145" s="127" t="s">
        <v>1742</v>
      </c>
      <c r="AG145" s="131"/>
      <c r="AH145" s="131"/>
      <c r="AI145" s="126" t="s">
        <v>1597</v>
      </c>
      <c r="AJ145" s="130" t="s">
        <v>120</v>
      </c>
      <c r="AK145" s="126" t="s">
        <v>123</v>
      </c>
      <c r="AL145" s="126" t="s">
        <v>1198</v>
      </c>
      <c r="AM145" s="130"/>
      <c r="AN145" s="126"/>
      <c r="AO145" s="132"/>
      <c r="AP145" s="126"/>
      <c r="AQ145" s="126"/>
      <c r="AR145" s="130"/>
      <c r="AS145" s="126"/>
      <c r="AT145" s="127">
        <v>43448.468706250002</v>
      </c>
      <c r="AU145" s="127">
        <v>43451.370487268498</v>
      </c>
      <c r="AV145" s="127">
        <v>43451.655901157399</v>
      </c>
      <c r="AW145" s="127">
        <v>43448.468706250002</v>
      </c>
      <c r="AX145" s="127"/>
      <c r="AY145" s="127">
        <v>43447.715341203701</v>
      </c>
      <c r="AZ145" s="133">
        <v>43451.712503009301</v>
      </c>
      <c r="BA145" s="134">
        <f ca="1">IF(_05preva_view43[[#This Row],[Prevalidation Status]]="Under Prevalidation",NOW()-_05preva_view43[[#This Row],[Request Date]],IF(_05preva_view43[[#This Row],[Close Date]]&gt;_05preva_view43[[#This Row],[Request Date]],_05preva_view43[[#This Row],[Close Date]]-_05preva_view43[[#This Row],[Request Date]],"Not  Calculated"))</f>
        <v>4.7125030093011446</v>
      </c>
      <c r="BB145" s="135">
        <f>COUNTIFS(_05preva_view43[Site ID],_05preva_view43[[#This Row],[Site ID]],_05preva_view43[Prevalidation Status],"Under Prevalidation")</f>
        <v>0</v>
      </c>
      <c r="BC145" s="153" t="str">
        <f ca="1">HYPERLINK(CheckPath(_05preva_view43[[#This Row],[File Path]],_05preva_view43[[#This Row],[File Path]],_05preva_view43[[#This Row],[Folder Path3]]),CheckPath(_05preva_view43[[#This Row],[File Path]],"Open File","No File"))</f>
        <v>No File</v>
      </c>
      <c r="BD145" s="136" t="str">
        <f>CONCATENATE(_05preva_view43[[#This Row],[Site ID]]," (",_05preva_view43[[#This Row],[tenant id]],") Application",IF(_05preva_view43[[#This Row],[Colo Rev]]&gt;0," Rev "&amp;_05preva_view43[[#This Row],[Colo Rev]],""),".xlsx")</f>
        <v>1-01-17016-011 (AWD00293) Application Rev 2.xlsx</v>
      </c>
      <c r="BE145" s="64">
        <f t="shared" ca="1" si="4"/>
        <v>50</v>
      </c>
      <c r="BF145" s="104" t="str">
        <f ca="1">LEFT(CELL("filename",A130),_05preva_view43[[#This Row],[Find Process &amp; Database]]-1)</f>
        <v>D:\OneDrive - apollo-towers.com\Apollo Towers\00-</v>
      </c>
      <c r="BG145" s="104" t="str">
        <f ca="1">_05preva_view43[Folder Path1]&amp;"Process &amp; Database\Documentation\Colo Applications"</f>
        <v>D:\OneDrive - apollo-towers.com\Apollo Towers\00-Process &amp; Database\Documentation\Colo Applications</v>
      </c>
      <c r="BH145" s="104" t="str">
        <f ca="1">_05preva_view43[Folder Path2]&amp;"\Colo App "&amp;_05preva_view43[[#This Row],[Operator]]&amp;"\"</f>
        <v>D:\OneDrive - apollo-towers.com\Apollo Towers\00-Process &amp; Database\Documentation\Colo Applications\Colo App MPT\</v>
      </c>
      <c r="BI145" s="63" t="str">
        <f ca="1">_05preva_view43[[#This Row],[Folder Path3]]&amp;_05preva_view43[[#This Row],[File Name]]</f>
        <v>D:\OneDrive - apollo-towers.com\Apollo Towers\00-Process &amp; Database\Documentation\Colo Applications\Colo App MPT\1-01-17016-011 (AWD00293) Application Rev 2.xlsx</v>
      </c>
      <c r="BJ145" s="104"/>
      <c r="BK145" s="3"/>
      <c r="BL145" s="3"/>
      <c r="CJ145" s="5"/>
      <c r="CK145" s="5"/>
      <c r="CL145" s="3"/>
      <c r="CN145" s="5"/>
      <c r="CR145" s="3"/>
      <c r="CS145" s="3"/>
      <c r="CT145" s="5"/>
      <c r="CV145" s="3"/>
      <c r="DR145" s="5"/>
      <c r="DT145" s="3"/>
      <c r="EF145" s="7"/>
      <c r="EG145" s="7"/>
      <c r="EJ145" s="4"/>
      <c r="EK145" s="4"/>
      <c r="EU145" s="2"/>
      <c r="EV145" s="2"/>
    </row>
    <row r="146" spans="1:152">
      <c r="A146" s="125">
        <v>3509</v>
      </c>
      <c r="B146" s="126" t="s">
        <v>1566</v>
      </c>
      <c r="C146" s="126" t="s">
        <v>331</v>
      </c>
      <c r="D146" s="126" t="s">
        <v>163</v>
      </c>
      <c r="E146" s="126" t="s">
        <v>1567</v>
      </c>
      <c r="F146" s="126" t="s">
        <v>35</v>
      </c>
      <c r="G146" s="126" t="s">
        <v>1583</v>
      </c>
      <c r="H146" s="126" t="s">
        <v>1575</v>
      </c>
      <c r="I146" s="126" t="s">
        <v>1048</v>
      </c>
      <c r="J146" s="126" t="s">
        <v>931</v>
      </c>
      <c r="K146" s="127">
        <v>43447</v>
      </c>
      <c r="L146" s="128">
        <v>2.64</v>
      </c>
      <c r="M146" s="128">
        <v>3.3</v>
      </c>
      <c r="N146" s="126">
        <v>4.0949999999999998</v>
      </c>
      <c r="O146" s="126" t="s">
        <v>950</v>
      </c>
      <c r="P146" s="129" t="s">
        <v>1028</v>
      </c>
      <c r="Q146" s="129" t="s">
        <v>1029</v>
      </c>
      <c r="R146" s="126" t="s">
        <v>24</v>
      </c>
      <c r="S146" s="126"/>
      <c r="T146" s="130" t="s">
        <v>861</v>
      </c>
      <c r="U146" s="126"/>
      <c r="V146" s="130" t="s">
        <v>120</v>
      </c>
      <c r="W146" s="126"/>
      <c r="X146" s="130" t="s">
        <v>120</v>
      </c>
      <c r="Y146" s="126" t="s">
        <v>1612</v>
      </c>
      <c r="Z146" s="162" t="s">
        <v>120</v>
      </c>
      <c r="AA146" s="154"/>
      <c r="AB146" s="154"/>
      <c r="AC146" s="167" t="s">
        <v>123</v>
      </c>
      <c r="AD146" s="126" t="s">
        <v>1613</v>
      </c>
      <c r="AE146" s="130" t="s">
        <v>120</v>
      </c>
      <c r="AF146" s="127" t="s">
        <v>1743</v>
      </c>
      <c r="AG146" s="131"/>
      <c r="AH146" s="131"/>
      <c r="AI146" s="126" t="s">
        <v>1597</v>
      </c>
      <c r="AJ146" s="130" t="s">
        <v>120</v>
      </c>
      <c r="AK146" s="126" t="s">
        <v>123</v>
      </c>
      <c r="AL146" s="126" t="s">
        <v>1198</v>
      </c>
      <c r="AM146" s="130"/>
      <c r="AN146" s="126"/>
      <c r="AO146" s="132"/>
      <c r="AP146" s="126"/>
      <c r="AQ146" s="126"/>
      <c r="AR146" s="130"/>
      <c r="AS146" s="126"/>
      <c r="AT146" s="127">
        <v>43448.468708564797</v>
      </c>
      <c r="AU146" s="127">
        <v>43451.370488425899</v>
      </c>
      <c r="AV146" s="127">
        <v>43451.397135879597</v>
      </c>
      <c r="AW146" s="127">
        <v>43448.468708564797</v>
      </c>
      <c r="AX146" s="127"/>
      <c r="AY146" s="127">
        <v>43447.715346874997</v>
      </c>
      <c r="AZ146" s="133">
        <v>43451.411472685199</v>
      </c>
      <c r="BA146" s="134">
        <f ca="1">IF(_05preva_view43[[#This Row],[Prevalidation Status]]="Under Prevalidation",NOW()-_05preva_view43[[#This Row],[Request Date]],IF(_05preva_view43[[#This Row],[Close Date]]&gt;_05preva_view43[[#This Row],[Request Date]],_05preva_view43[[#This Row],[Close Date]]-_05preva_view43[[#This Row],[Request Date]],"Not  Calculated"))</f>
        <v>4.4114726851985324</v>
      </c>
      <c r="BB146" s="135">
        <f>COUNTIFS(_05preva_view43[Site ID],_05preva_view43[[#This Row],[Site ID]],_05preva_view43[Prevalidation Status],"Under Prevalidation")</f>
        <v>0</v>
      </c>
      <c r="BC146" s="153" t="str">
        <f ca="1">HYPERLINK(CheckPath(_05preva_view43[[#This Row],[File Path]],_05preva_view43[[#This Row],[File Path]],_05preva_view43[[#This Row],[Folder Path3]]),CheckPath(_05preva_view43[[#This Row],[File Path]],"Open File","No File"))</f>
        <v>No File</v>
      </c>
      <c r="BD146" s="136" t="str">
        <f>CONCATENATE(_05preva_view43[[#This Row],[Site ID]]," (",_05preva_view43[[#This Row],[tenant id]],") Application",IF(_05preva_view43[[#This Row],[Colo Rev]]&gt;0," Rev "&amp;_05preva_view43[[#This Row],[Colo Rev]],""),".xlsx")</f>
        <v>1-01-17017-001 (AWD00871) Application Rev 1.xlsx</v>
      </c>
      <c r="BE146" s="64">
        <f t="shared" ca="1" si="4"/>
        <v>50</v>
      </c>
      <c r="BF146" s="104" t="str">
        <f ca="1">LEFT(CELL("filename",A131),_05preva_view43[[#This Row],[Find Process &amp; Database]]-1)</f>
        <v>D:\OneDrive - apollo-towers.com\Apollo Towers\00-</v>
      </c>
      <c r="BG146" s="104" t="str">
        <f ca="1">_05preva_view43[Folder Path1]&amp;"Process &amp; Database\Documentation\Colo Applications"</f>
        <v>D:\OneDrive - apollo-towers.com\Apollo Towers\00-Process &amp; Database\Documentation\Colo Applications</v>
      </c>
      <c r="BH146" s="104" t="str">
        <f ca="1">_05preva_view43[Folder Path2]&amp;"\Colo App "&amp;_05preva_view43[[#This Row],[Operator]]&amp;"\"</f>
        <v>D:\OneDrive - apollo-towers.com\Apollo Towers\00-Process &amp; Database\Documentation\Colo Applications\Colo App MPT\</v>
      </c>
      <c r="BI146" s="63" t="str">
        <f ca="1">_05preva_view43[[#This Row],[Folder Path3]]&amp;_05preva_view43[[#This Row],[File Name]]</f>
        <v>D:\OneDrive - apollo-towers.com\Apollo Towers\00-Process &amp; Database\Documentation\Colo Applications\Colo App MPT\1-01-17017-001 (AWD00871) Application Rev 1.xlsx</v>
      </c>
      <c r="BJ146" s="104"/>
      <c r="BK146" s="3"/>
      <c r="BL146" s="3"/>
      <c r="CJ146" s="5"/>
      <c r="CK146" s="5"/>
      <c r="CL146" s="3"/>
      <c r="CN146" s="5"/>
      <c r="CR146" s="3"/>
      <c r="CS146" s="3"/>
      <c r="CT146" s="5"/>
      <c r="CV146" s="3"/>
      <c r="DR146" s="5"/>
      <c r="DT146" s="3"/>
      <c r="EF146" s="7"/>
      <c r="EG146" s="7"/>
      <c r="EJ146" s="4"/>
      <c r="EK146" s="4"/>
      <c r="EU146" s="2"/>
      <c r="EV146" s="2"/>
    </row>
    <row r="147" spans="1:152">
      <c r="A147" s="125">
        <v>3510</v>
      </c>
      <c r="B147" s="126" t="s">
        <v>1568</v>
      </c>
      <c r="C147" s="126" t="s">
        <v>331</v>
      </c>
      <c r="D147" s="126" t="s">
        <v>127</v>
      </c>
      <c r="E147" s="126" t="s">
        <v>1569</v>
      </c>
      <c r="F147" s="126" t="s">
        <v>35</v>
      </c>
      <c r="G147" s="126" t="s">
        <v>1583</v>
      </c>
      <c r="H147" s="126" t="s">
        <v>1575</v>
      </c>
      <c r="I147" s="126" t="s">
        <v>1138</v>
      </c>
      <c r="J147" s="126" t="s">
        <v>957</v>
      </c>
      <c r="K147" s="127">
        <v>43447</v>
      </c>
      <c r="L147" s="128">
        <v>1.1080000000000001</v>
      </c>
      <c r="M147" s="128">
        <v>1.52</v>
      </c>
      <c r="N147" s="126">
        <v>3.1070000000000002</v>
      </c>
      <c r="O147" s="126" t="s">
        <v>950</v>
      </c>
      <c r="P147" s="129" t="s">
        <v>958</v>
      </c>
      <c r="Q147" s="129" t="s">
        <v>959</v>
      </c>
      <c r="R147" s="126" t="s">
        <v>24</v>
      </c>
      <c r="S147" s="126"/>
      <c r="T147" s="130" t="s">
        <v>861</v>
      </c>
      <c r="U147" s="126"/>
      <c r="V147" s="130" t="s">
        <v>120</v>
      </c>
      <c r="W147" s="126"/>
      <c r="X147" s="130" t="s">
        <v>120</v>
      </c>
      <c r="Y147" s="126" t="s">
        <v>1614</v>
      </c>
      <c r="Z147" s="162" t="s">
        <v>120</v>
      </c>
      <c r="AA147" s="154"/>
      <c r="AB147" s="154"/>
      <c r="AC147" s="167" t="s">
        <v>123</v>
      </c>
      <c r="AD147" s="126" t="s">
        <v>1744</v>
      </c>
      <c r="AE147" s="130" t="s">
        <v>861</v>
      </c>
      <c r="AF147" s="127" t="s">
        <v>1259</v>
      </c>
      <c r="AG147" s="131"/>
      <c r="AH147" s="131"/>
      <c r="AI147" s="126"/>
      <c r="AJ147" s="130" t="s">
        <v>120</v>
      </c>
      <c r="AK147" s="126" t="s">
        <v>123</v>
      </c>
      <c r="AL147" s="126" t="s">
        <v>1198</v>
      </c>
      <c r="AM147" s="130"/>
      <c r="AN147" s="126"/>
      <c r="AO147" s="132"/>
      <c r="AP147" s="126"/>
      <c r="AQ147" s="126"/>
      <c r="AR147" s="130"/>
      <c r="AS147" s="126"/>
      <c r="AT147" s="127">
        <v>43448.468711111098</v>
      </c>
      <c r="AU147" s="127"/>
      <c r="AV147" s="127">
        <v>43451.560683680596</v>
      </c>
      <c r="AW147" s="127">
        <v>43448.468711111098</v>
      </c>
      <c r="AX147" s="127"/>
      <c r="AY147" s="127">
        <v>43447.715380092603</v>
      </c>
      <c r="AZ147" s="133">
        <v>43451.712503703697</v>
      </c>
      <c r="BA147" s="134">
        <f ca="1">IF(_05preva_view43[[#This Row],[Prevalidation Status]]="Under Prevalidation",NOW()-_05preva_view43[[#This Row],[Request Date]],IF(_05preva_view43[[#This Row],[Close Date]]&gt;_05preva_view43[[#This Row],[Request Date]],_05preva_view43[[#This Row],[Close Date]]-_05preva_view43[[#This Row],[Request Date]],"Not  Calculated"))</f>
        <v>4.7125037036967115</v>
      </c>
      <c r="BB147" s="135">
        <f>COUNTIFS(_05preva_view43[Site ID],_05preva_view43[[#This Row],[Site ID]],_05preva_view43[Prevalidation Status],"Under Prevalidation")</f>
        <v>0</v>
      </c>
      <c r="BC147" s="153" t="str">
        <f ca="1">HYPERLINK(CheckPath(_05preva_view43[[#This Row],[File Path]],_05preva_view43[[#This Row],[File Path]],_05preva_view43[[#This Row],[Folder Path3]]),CheckPath(_05preva_view43[[#This Row],[File Path]],"Open File","No File"))</f>
        <v>No File</v>
      </c>
      <c r="BD147" s="136" t="str">
        <f>CONCATENATE(_05preva_view43[[#This Row],[Site ID]]," (",_05preva_view43[[#This Row],[tenant id]],") Application",IF(_05preva_view43[[#This Row],[Colo Rev]]&gt;0," Rev "&amp;_05preva_view43[[#This Row],[Colo Rev]],""),".xlsx")</f>
        <v>1-01-01014-005 (KCN00119) Application Rev 4.xlsx</v>
      </c>
      <c r="BE147" s="64">
        <f t="shared" ca="1" si="4"/>
        <v>50</v>
      </c>
      <c r="BF147" s="104" t="str">
        <f ca="1">LEFT(CELL("filename",A132),_05preva_view43[[#This Row],[Find Process &amp; Database]]-1)</f>
        <v>D:\OneDrive - apollo-towers.com\Apollo Towers\00-</v>
      </c>
      <c r="BG147" s="104" t="str">
        <f ca="1">_05preva_view43[Folder Path1]&amp;"Process &amp; Database\Documentation\Colo Applications"</f>
        <v>D:\OneDrive - apollo-towers.com\Apollo Towers\00-Process &amp; Database\Documentation\Colo Applications</v>
      </c>
      <c r="BH147" s="104" t="str">
        <f ca="1">_05preva_view43[Folder Path2]&amp;"\Colo App "&amp;_05preva_view43[[#This Row],[Operator]]&amp;"\"</f>
        <v>D:\OneDrive - apollo-towers.com\Apollo Towers\00-Process &amp; Database\Documentation\Colo Applications\Colo App MPT\</v>
      </c>
      <c r="BI147" s="63" t="str">
        <f ca="1">_05preva_view43[[#This Row],[Folder Path3]]&amp;_05preva_view43[[#This Row],[File Name]]</f>
        <v>D:\OneDrive - apollo-towers.com\Apollo Towers\00-Process &amp; Database\Documentation\Colo Applications\Colo App MPT\1-01-01014-005 (KCN00119) Application Rev 4.xlsx</v>
      </c>
      <c r="BJ147" s="104"/>
      <c r="BK147" s="3"/>
      <c r="BL147" s="3"/>
      <c r="CJ147" s="5"/>
      <c r="CK147" s="5"/>
      <c r="CL147" s="3"/>
      <c r="CN147" s="5"/>
      <c r="CR147" s="3"/>
      <c r="CS147" s="3"/>
      <c r="CT147" s="5"/>
      <c r="CV147" s="3"/>
      <c r="DR147" s="5"/>
      <c r="DT147" s="3"/>
      <c r="EF147" s="7"/>
      <c r="EG147" s="7"/>
      <c r="EJ147" s="4"/>
      <c r="EK147" s="4"/>
      <c r="EU147" s="2"/>
      <c r="EV147" s="2"/>
    </row>
    <row r="148" spans="1:152">
      <c r="A148" s="125">
        <v>3511</v>
      </c>
      <c r="B148" s="126" t="s">
        <v>1568</v>
      </c>
      <c r="C148" s="126" t="s">
        <v>331</v>
      </c>
      <c r="D148" s="126" t="s">
        <v>127</v>
      </c>
      <c r="E148" s="126" t="s">
        <v>1569</v>
      </c>
      <c r="F148" s="126" t="s">
        <v>35</v>
      </c>
      <c r="G148" s="126" t="s">
        <v>1583</v>
      </c>
      <c r="H148" s="126" t="s">
        <v>1575</v>
      </c>
      <c r="I148" s="126" t="s">
        <v>1570</v>
      </c>
      <c r="J148" s="126" t="s">
        <v>1304</v>
      </c>
      <c r="K148" s="127">
        <v>43447</v>
      </c>
      <c r="L148" s="128">
        <v>1.399</v>
      </c>
      <c r="M148" s="128">
        <v>2.1989999999999998</v>
      </c>
      <c r="N148" s="126">
        <v>3.2650000000000001</v>
      </c>
      <c r="O148" s="126" t="s">
        <v>950</v>
      </c>
      <c r="P148" s="129" t="s">
        <v>958</v>
      </c>
      <c r="Q148" s="129" t="s">
        <v>959</v>
      </c>
      <c r="R148" s="126" t="s">
        <v>24</v>
      </c>
      <c r="S148" s="126"/>
      <c r="T148" s="130" t="s">
        <v>861</v>
      </c>
      <c r="U148" s="126"/>
      <c r="V148" s="130" t="s">
        <v>120</v>
      </c>
      <c r="W148" s="126"/>
      <c r="X148" s="130" t="s">
        <v>120</v>
      </c>
      <c r="Y148" s="126" t="s">
        <v>1615</v>
      </c>
      <c r="Z148" s="162" t="s">
        <v>120</v>
      </c>
      <c r="AA148" s="154"/>
      <c r="AB148" s="154"/>
      <c r="AC148" s="167" t="s">
        <v>123</v>
      </c>
      <c r="AD148" s="126" t="s">
        <v>1745</v>
      </c>
      <c r="AE148" s="130" t="s">
        <v>861</v>
      </c>
      <c r="AF148" s="127" t="s">
        <v>1259</v>
      </c>
      <c r="AG148" s="131"/>
      <c r="AH148" s="131"/>
      <c r="AI148" s="126"/>
      <c r="AJ148" s="130" t="s">
        <v>120</v>
      </c>
      <c r="AK148" s="126" t="s">
        <v>123</v>
      </c>
      <c r="AL148" s="126" t="s">
        <v>1198</v>
      </c>
      <c r="AM148" s="130"/>
      <c r="AN148" s="126"/>
      <c r="AO148" s="132"/>
      <c r="AP148" s="126"/>
      <c r="AQ148" s="126"/>
      <c r="AR148" s="130"/>
      <c r="AS148" s="126"/>
      <c r="AT148" s="127">
        <v>43448.468713657399</v>
      </c>
      <c r="AU148" s="127"/>
      <c r="AV148" s="127">
        <v>43451.560684259297</v>
      </c>
      <c r="AW148" s="127">
        <v>43448.468713657399</v>
      </c>
      <c r="AX148" s="127"/>
      <c r="AY148" s="127">
        <v>43447.715381597198</v>
      </c>
      <c r="AZ148" s="133">
        <v>43451.712504398201</v>
      </c>
      <c r="BA148" s="134">
        <f ca="1">IF(_05preva_view43[[#This Row],[Prevalidation Status]]="Under Prevalidation",NOW()-_05preva_view43[[#This Row],[Request Date]],IF(_05preva_view43[[#This Row],[Close Date]]&gt;_05preva_view43[[#This Row],[Request Date]],_05preva_view43[[#This Row],[Close Date]]-_05preva_view43[[#This Row],[Request Date]],"Not  Calculated"))</f>
        <v>4.7125043982014176</v>
      </c>
      <c r="BB148" s="135">
        <f>COUNTIFS(_05preva_view43[Site ID],_05preva_view43[[#This Row],[Site ID]],_05preva_view43[Prevalidation Status],"Under Prevalidation")</f>
        <v>0</v>
      </c>
      <c r="BC148" s="153" t="str">
        <f ca="1">HYPERLINK(CheckPath(_05preva_view43[[#This Row],[File Path]],_05preva_view43[[#This Row],[File Path]],_05preva_view43[[#This Row],[Folder Path3]]),CheckPath(_05preva_view43[[#This Row],[File Path]],"Open File","No File"))</f>
        <v>No File</v>
      </c>
      <c r="BD148" s="136" t="str">
        <f>CONCATENATE(_05preva_view43[[#This Row],[Site ID]]," (",_05preva_view43[[#This Row],[tenant id]],") Application",IF(_05preva_view43[[#This Row],[Colo Rev]]&gt;0," Rev "&amp;_05preva_view43[[#This Row],[Colo Rev]],""),".xlsx")</f>
        <v>1-01-01014-005 (KCN00119) Application Rev 5.xlsx</v>
      </c>
      <c r="BE148" s="64">
        <f t="shared" ca="1" si="4"/>
        <v>50</v>
      </c>
      <c r="BF148" s="104" t="str">
        <f ca="1">LEFT(CELL("filename",A133),_05preva_view43[[#This Row],[Find Process &amp; Database]]-1)</f>
        <v>D:\OneDrive - apollo-towers.com\Apollo Towers\00-</v>
      </c>
      <c r="BG148" s="104" t="str">
        <f ca="1">_05preva_view43[Folder Path1]&amp;"Process &amp; Database\Documentation\Colo Applications"</f>
        <v>D:\OneDrive - apollo-towers.com\Apollo Towers\00-Process &amp; Database\Documentation\Colo Applications</v>
      </c>
      <c r="BH148" s="104" t="str">
        <f ca="1">_05preva_view43[Folder Path2]&amp;"\Colo App "&amp;_05preva_view43[[#This Row],[Operator]]&amp;"\"</f>
        <v>D:\OneDrive - apollo-towers.com\Apollo Towers\00-Process &amp; Database\Documentation\Colo Applications\Colo App MPT\</v>
      </c>
      <c r="BI148" s="63" t="str">
        <f ca="1">_05preva_view43[[#This Row],[Folder Path3]]&amp;_05preva_view43[[#This Row],[File Name]]</f>
        <v>D:\OneDrive - apollo-towers.com\Apollo Towers\00-Process &amp; Database\Documentation\Colo Applications\Colo App MPT\1-01-01014-005 (KCN00119) Application Rev 5.xlsx</v>
      </c>
      <c r="BJ148" s="104"/>
      <c r="BK148" s="3"/>
      <c r="BL148" s="3"/>
      <c r="CJ148" s="5"/>
      <c r="CK148" s="5"/>
      <c r="CL148" s="3"/>
      <c r="CN148" s="5"/>
      <c r="CR148" s="3"/>
      <c r="CS148" s="3"/>
      <c r="CT148" s="5"/>
      <c r="CV148" s="3"/>
      <c r="DR148" s="5"/>
      <c r="DT148" s="3"/>
      <c r="EF148" s="7"/>
      <c r="EG148" s="7"/>
      <c r="EJ148" s="4"/>
      <c r="EK148" s="4"/>
      <c r="EU148" s="2"/>
      <c r="EV148" s="2"/>
    </row>
    <row r="149" spans="1:152">
      <c r="A149" s="125">
        <v>3496</v>
      </c>
      <c r="B149" s="126" t="s">
        <v>928</v>
      </c>
      <c r="C149" s="126" t="s">
        <v>116</v>
      </c>
      <c r="D149" s="126" t="s">
        <v>127</v>
      </c>
      <c r="E149" s="126" t="s">
        <v>929</v>
      </c>
      <c r="F149" s="126" t="s">
        <v>35</v>
      </c>
      <c r="G149" s="126" t="s">
        <v>1577</v>
      </c>
      <c r="H149" s="126" t="s">
        <v>1575</v>
      </c>
      <c r="I149" s="126" t="s">
        <v>1263</v>
      </c>
      <c r="J149" s="126" t="s">
        <v>940</v>
      </c>
      <c r="K149" s="127">
        <v>43446</v>
      </c>
      <c r="L149" s="128">
        <v>1</v>
      </c>
      <c r="M149" s="128">
        <v>1.4</v>
      </c>
      <c r="N149" s="126">
        <v>6.52</v>
      </c>
      <c r="O149" s="126" t="s">
        <v>119</v>
      </c>
      <c r="P149" s="129" t="s">
        <v>916</v>
      </c>
      <c r="Q149" s="129" t="s">
        <v>932</v>
      </c>
      <c r="R149" s="126" t="s">
        <v>24</v>
      </c>
      <c r="S149" s="126"/>
      <c r="T149" s="130" t="s">
        <v>861</v>
      </c>
      <c r="U149" s="126"/>
      <c r="V149" s="130" t="s">
        <v>120</v>
      </c>
      <c r="W149" s="126"/>
      <c r="X149" s="130" t="s">
        <v>120</v>
      </c>
      <c r="Y149" s="126" t="s">
        <v>1544</v>
      </c>
      <c r="Z149" s="162" t="s">
        <v>120</v>
      </c>
      <c r="AA149" s="154"/>
      <c r="AB149" s="154"/>
      <c r="AC149" s="167" t="s">
        <v>123</v>
      </c>
      <c r="AD149" s="126" t="s">
        <v>1571</v>
      </c>
      <c r="AE149" s="130" t="s">
        <v>120</v>
      </c>
      <c r="AF149" s="127"/>
      <c r="AG149" s="131"/>
      <c r="AH149" s="131"/>
      <c r="AI149" s="126"/>
      <c r="AJ149" s="130" t="s">
        <v>120</v>
      </c>
      <c r="AK149" s="126" t="s">
        <v>123</v>
      </c>
      <c r="AL149" s="126" t="s">
        <v>1198</v>
      </c>
      <c r="AM149" s="130"/>
      <c r="AN149" s="126"/>
      <c r="AO149" s="132"/>
      <c r="AP149" s="126"/>
      <c r="AQ149" s="126"/>
      <c r="AR149" s="130"/>
      <c r="AS149" s="126"/>
      <c r="AT149" s="127">
        <v>43446.578254513901</v>
      </c>
      <c r="AU149" s="127">
        <v>43447.716954166703</v>
      </c>
      <c r="AV149" s="127">
        <v>43447.423204976898</v>
      </c>
      <c r="AW149" s="127">
        <v>43446.578254513901</v>
      </c>
      <c r="AX149" s="127"/>
      <c r="AY149" s="127">
        <v>43446.542578125001</v>
      </c>
      <c r="AZ149" s="133">
        <v>43448.7279530093</v>
      </c>
      <c r="BA149" s="134">
        <f ca="1">IF(_05preva_view43[[#This Row],[Prevalidation Status]]="Under Prevalidation",NOW()-_05preva_view43[[#This Row],[Request Date]],IF(_05preva_view43[[#This Row],[Close Date]]&gt;_05preva_view43[[#This Row],[Request Date]],_05preva_view43[[#This Row],[Close Date]]-_05preva_view43[[#This Row],[Request Date]],"Not  Calculated"))</f>
        <v>2.7279530093001085</v>
      </c>
      <c r="BB149" s="135">
        <f>COUNTIFS(_05preva_view43[Site ID],_05preva_view43[[#This Row],[Site ID]],_05preva_view43[Prevalidation Status],"Under Prevalidation")</f>
        <v>0</v>
      </c>
      <c r="BC149" s="153" t="str">
        <f ca="1">HYPERLINK(CheckPath(_05preva_view43[[#This Row],[File Path]],_05preva_view43[[#This Row],[File Path]],_05preva_view43[[#This Row],[Folder Path3]]),CheckPath(_05preva_view43[[#This Row],[File Path]],"Open File","No File"))</f>
        <v>No File</v>
      </c>
      <c r="BD149" s="136" t="str">
        <f>CONCATENATE(_05preva_view43[[#This Row],[Site ID]]," (",_05preva_view43[[#This Row],[tenant id]],") Application",IF(_05preva_view43[[#This Row],[Colo Rev]]&gt;0," Rev "&amp;_05preva_view43[[#This Row],[Colo Rev]],""),".xlsx")</f>
        <v>ANSG_0483 (SGG00406) Application Rev 0.xlsx</v>
      </c>
      <c r="BE149" s="64">
        <f t="shared" ca="1" si="4"/>
        <v>50</v>
      </c>
      <c r="BF149" s="104" t="str">
        <f ca="1">LEFT(CELL("filename",A134),_05preva_view43[[#This Row],[Find Process &amp; Database]]-1)</f>
        <v>D:\OneDrive - apollo-towers.com\Apollo Towers\00-</v>
      </c>
      <c r="BG149" s="104" t="str">
        <f ca="1">_05preva_view43[Folder Path1]&amp;"Process &amp; Database\Documentation\Colo Applications"</f>
        <v>D:\OneDrive - apollo-towers.com\Apollo Towers\00-Process &amp; Database\Documentation\Colo Applications</v>
      </c>
      <c r="BH149" s="104" t="str">
        <f ca="1">_05preva_view43[Folder Path2]&amp;"\Colo App "&amp;_05preva_view43[[#This Row],[Operator]]&amp;"\"</f>
        <v>D:\OneDrive - apollo-towers.com\Apollo Towers\00-Process &amp; Database\Documentation\Colo Applications\Colo App MPT\</v>
      </c>
      <c r="BI149" s="63" t="str">
        <f ca="1">_05preva_view43[[#This Row],[Folder Path3]]&amp;_05preva_view43[[#This Row],[File Name]]</f>
        <v>D:\OneDrive - apollo-towers.com\Apollo Towers\00-Process &amp; Database\Documentation\Colo Applications\Colo App MPT\ANSG_0483 (SGG00406) Application Rev 0.xlsx</v>
      </c>
      <c r="BJ149" s="104"/>
      <c r="BK149" s="3"/>
      <c r="BL149" s="3"/>
      <c r="CJ149" s="5"/>
      <c r="CK149" s="5"/>
      <c r="CL149" s="3"/>
      <c r="CN149" s="5"/>
      <c r="CR149" s="3"/>
      <c r="CS149" s="3"/>
      <c r="CT149" s="5"/>
      <c r="CV149" s="3"/>
      <c r="DR149" s="5"/>
      <c r="DT149" s="3"/>
      <c r="EF149" s="7"/>
      <c r="EG149" s="7"/>
      <c r="EJ149" s="4"/>
      <c r="EK149" s="4"/>
      <c r="EU149" s="2"/>
      <c r="EV149" s="2"/>
    </row>
    <row r="150" spans="1:152">
      <c r="A150" s="125">
        <v>3497</v>
      </c>
      <c r="B150" s="126" t="s">
        <v>1545</v>
      </c>
      <c r="C150" s="126" t="s">
        <v>116</v>
      </c>
      <c r="D150" s="126" t="s">
        <v>163</v>
      </c>
      <c r="E150" s="126" t="s">
        <v>1546</v>
      </c>
      <c r="F150" s="126" t="s">
        <v>35</v>
      </c>
      <c r="G150" s="126" t="s">
        <v>1577</v>
      </c>
      <c r="H150" s="126" t="s">
        <v>1575</v>
      </c>
      <c r="I150" s="126" t="s">
        <v>1151</v>
      </c>
      <c r="J150" s="126" t="s">
        <v>940</v>
      </c>
      <c r="K150" s="127">
        <v>43446</v>
      </c>
      <c r="L150" s="128">
        <v>2.16</v>
      </c>
      <c r="M150" s="128">
        <v>2.7</v>
      </c>
      <c r="N150" s="126">
        <v>5.41</v>
      </c>
      <c r="O150" s="126" t="s">
        <v>119</v>
      </c>
      <c r="P150" s="129" t="s">
        <v>338</v>
      </c>
      <c r="Q150" s="129" t="s">
        <v>339</v>
      </c>
      <c r="R150" s="126" t="s">
        <v>24</v>
      </c>
      <c r="S150" s="126"/>
      <c r="T150" s="130" t="s">
        <v>861</v>
      </c>
      <c r="U150" s="126"/>
      <c r="V150" s="130" t="s">
        <v>120</v>
      </c>
      <c r="W150" s="126"/>
      <c r="X150" s="130" t="s">
        <v>120</v>
      </c>
      <c r="Y150" s="126" t="s">
        <v>1547</v>
      </c>
      <c r="Z150" s="162" t="s">
        <v>120</v>
      </c>
      <c r="AA150" s="154"/>
      <c r="AB150" s="154"/>
      <c r="AC150" s="167" t="s">
        <v>123</v>
      </c>
      <c r="AD150" s="126" t="s">
        <v>1572</v>
      </c>
      <c r="AE150" s="130" t="s">
        <v>120</v>
      </c>
      <c r="AF150" s="127"/>
      <c r="AG150" s="131"/>
      <c r="AH150" s="131"/>
      <c r="AI150" s="126"/>
      <c r="AJ150" s="130" t="s">
        <v>120</v>
      </c>
      <c r="AK150" s="126" t="s">
        <v>123</v>
      </c>
      <c r="AL150" s="126" t="s">
        <v>1198</v>
      </c>
      <c r="AM150" s="130"/>
      <c r="AN150" s="126"/>
      <c r="AO150" s="132"/>
      <c r="AP150" s="126"/>
      <c r="AQ150" s="126"/>
      <c r="AR150" s="130"/>
      <c r="AS150" s="126"/>
      <c r="AT150" s="127">
        <v>43446.578255902801</v>
      </c>
      <c r="AU150" s="127">
        <v>43447.716957523102</v>
      </c>
      <c r="AV150" s="127">
        <v>43447.629941088002</v>
      </c>
      <c r="AW150" s="127">
        <v>43446.578255902801</v>
      </c>
      <c r="AX150" s="127"/>
      <c r="AY150" s="127">
        <v>43447.641160763902</v>
      </c>
      <c r="AZ150" s="133">
        <v>43448.727954050897</v>
      </c>
      <c r="BA150" s="134">
        <f ca="1">IF(_05preva_view43[[#This Row],[Prevalidation Status]]="Under Prevalidation",NOW()-_05preva_view43[[#This Row],[Request Date]],IF(_05preva_view43[[#This Row],[Close Date]]&gt;_05preva_view43[[#This Row],[Request Date]],_05preva_view43[[#This Row],[Close Date]]-_05preva_view43[[#This Row],[Request Date]],"Not  Calculated"))</f>
        <v>2.7279540508970967</v>
      </c>
      <c r="BB150" s="135">
        <f>COUNTIFS(_05preva_view43[Site ID],_05preva_view43[[#This Row],[Site ID]],_05preva_view43[Prevalidation Status],"Under Prevalidation")</f>
        <v>0</v>
      </c>
      <c r="BC150" s="153" t="str">
        <f ca="1">HYPERLINK(CheckPath(_05preva_view43[[#This Row],[File Path]],_05preva_view43[[#This Row],[File Path]],_05preva_view43[[#This Row],[Folder Path3]]),CheckPath(_05preva_view43[[#This Row],[File Path]],"Open File","No File"))</f>
        <v>No File</v>
      </c>
      <c r="BD150" s="136" t="str">
        <f>CONCATENATE(_05preva_view43[[#This Row],[Site ID]]," (",_05preva_view43[[#This Row],[tenant id]],") Application",IF(_05preva_view43[[#This Row],[Colo Rev]]&gt;0," Rev "&amp;_05preva_view43[[#This Row],[Colo Rev]],""),".xlsx")</f>
        <v>AYYN_0300 (YGN00953) Application Rev 0.xlsx</v>
      </c>
      <c r="BE150" s="64">
        <f t="shared" ca="1" si="4"/>
        <v>50</v>
      </c>
      <c r="BF150" s="104" t="str">
        <f ca="1">LEFT(CELL("filename",A135),_05preva_view43[[#This Row],[Find Process &amp; Database]]-1)</f>
        <v>D:\OneDrive - apollo-towers.com\Apollo Towers\00-</v>
      </c>
      <c r="BG150" s="104" t="str">
        <f ca="1">_05preva_view43[Folder Path1]&amp;"Process &amp; Database\Documentation\Colo Applications"</f>
        <v>D:\OneDrive - apollo-towers.com\Apollo Towers\00-Process &amp; Database\Documentation\Colo Applications</v>
      </c>
      <c r="BH150" s="104" t="str">
        <f ca="1">_05preva_view43[Folder Path2]&amp;"\Colo App "&amp;_05preva_view43[[#This Row],[Operator]]&amp;"\"</f>
        <v>D:\OneDrive - apollo-towers.com\Apollo Towers\00-Process &amp; Database\Documentation\Colo Applications\Colo App MPT\</v>
      </c>
      <c r="BI150" s="63" t="str">
        <f ca="1">_05preva_view43[[#This Row],[Folder Path3]]&amp;_05preva_view43[[#This Row],[File Name]]</f>
        <v>D:\OneDrive - apollo-towers.com\Apollo Towers\00-Process &amp; Database\Documentation\Colo Applications\Colo App MPT\AYYN_0300 (YGN00953) Application Rev 0.xlsx</v>
      </c>
      <c r="BJ150" s="104"/>
      <c r="BK150" s="3"/>
      <c r="BL150" s="3"/>
      <c r="CJ150" s="5"/>
      <c r="CK150" s="5"/>
      <c r="CL150" s="3"/>
      <c r="CN150" s="5"/>
      <c r="CR150" s="3"/>
      <c r="CS150" s="3"/>
      <c r="CT150" s="5"/>
      <c r="CV150" s="3"/>
      <c r="DR150" s="5"/>
      <c r="DT150" s="3"/>
      <c r="EF150" s="7"/>
      <c r="EG150" s="7"/>
      <c r="EJ150" s="4"/>
      <c r="EK150" s="4"/>
      <c r="EU150" s="2"/>
      <c r="EV150" s="2"/>
    </row>
    <row r="151" spans="1:152">
      <c r="A151" s="125">
        <v>3493</v>
      </c>
      <c r="B151" s="126" t="s">
        <v>1536</v>
      </c>
      <c r="C151" s="126" t="s">
        <v>116</v>
      </c>
      <c r="D151" s="126" t="s">
        <v>127</v>
      </c>
      <c r="E151" s="126" t="s">
        <v>1537</v>
      </c>
      <c r="F151" s="126" t="s">
        <v>35</v>
      </c>
      <c r="G151" s="126" t="s">
        <v>1577</v>
      </c>
      <c r="H151" s="126" t="s">
        <v>1575</v>
      </c>
      <c r="I151" s="126" t="s">
        <v>1532</v>
      </c>
      <c r="J151" s="126" t="s">
        <v>940</v>
      </c>
      <c r="K151" s="127">
        <v>43445</v>
      </c>
      <c r="L151" s="128">
        <v>1.399</v>
      </c>
      <c r="M151" s="128">
        <v>2.1989999999999998</v>
      </c>
      <c r="N151" s="126">
        <v>4.13</v>
      </c>
      <c r="O151" s="126" t="s">
        <v>119</v>
      </c>
      <c r="P151" s="129" t="s">
        <v>1447</v>
      </c>
      <c r="Q151" s="129" t="s">
        <v>747</v>
      </c>
      <c r="R151" s="126" t="s">
        <v>24</v>
      </c>
      <c r="S151" s="126"/>
      <c r="T151" s="130" t="s">
        <v>861</v>
      </c>
      <c r="U151" s="126"/>
      <c r="V151" s="130" t="s">
        <v>120</v>
      </c>
      <c r="W151" s="126"/>
      <c r="X151" s="130" t="s">
        <v>120</v>
      </c>
      <c r="Y151" s="126" t="s">
        <v>1538</v>
      </c>
      <c r="Z151" s="162" t="s">
        <v>120</v>
      </c>
      <c r="AA151" s="154"/>
      <c r="AB151" s="154"/>
      <c r="AC151" s="167" t="s">
        <v>123</v>
      </c>
      <c r="AD151" s="126" t="s">
        <v>1539</v>
      </c>
      <c r="AE151" s="130" t="s">
        <v>120</v>
      </c>
      <c r="AF151" s="127"/>
      <c r="AG151" s="131"/>
      <c r="AH151" s="131"/>
      <c r="AI151" s="126"/>
      <c r="AJ151" s="130" t="s">
        <v>120</v>
      </c>
      <c r="AK151" s="126" t="s">
        <v>123</v>
      </c>
      <c r="AL151" s="126" t="s">
        <v>1198</v>
      </c>
      <c r="AM151" s="130"/>
      <c r="AN151" s="126"/>
      <c r="AO151" s="132"/>
      <c r="AP151" s="126"/>
      <c r="AQ151" s="126"/>
      <c r="AR151" s="130"/>
      <c r="AS151" s="126"/>
      <c r="AT151" s="127">
        <v>43446.4726368056</v>
      </c>
      <c r="AU151" s="127">
        <v>43445.639607523102</v>
      </c>
      <c r="AV151" s="127">
        <v>43446.611587847197</v>
      </c>
      <c r="AW151" s="127">
        <v>43446.4726368056</v>
      </c>
      <c r="AX151" s="127"/>
      <c r="AY151" s="127">
        <v>43445.434493402798</v>
      </c>
      <c r="AZ151" s="133">
        <v>43447.425436689802</v>
      </c>
      <c r="BA151" s="134">
        <f ca="1">IF(_05preva_view43[[#This Row],[Prevalidation Status]]="Under Prevalidation",NOW()-_05preva_view43[[#This Row],[Request Date]],IF(_05preva_view43[[#This Row],[Close Date]]&gt;_05preva_view43[[#This Row],[Request Date]],_05preva_view43[[#This Row],[Close Date]]-_05preva_view43[[#This Row],[Request Date]],"Not  Calculated"))</f>
        <v>2.4254366898021544</v>
      </c>
      <c r="BB151" s="135">
        <f>COUNTIFS(_05preva_view43[Site ID],_05preva_view43[[#This Row],[Site ID]],_05preva_view43[Prevalidation Status],"Under Prevalidation")</f>
        <v>0</v>
      </c>
      <c r="BC151" s="153" t="str">
        <f ca="1">HYPERLINK(CheckPath(_05preva_view43[[#This Row],[File Path]],_05preva_view43[[#This Row],[File Path]],_05preva_view43[[#This Row],[Folder Path3]]),CheckPath(_05preva_view43[[#This Row],[File Path]],"Open File","No File"))</f>
        <v>No File</v>
      </c>
      <c r="BD151" s="136" t="str">
        <f>CONCATENATE(_05preva_view43[[#This Row],[Site ID]]," (",_05preva_view43[[#This Row],[tenant id]],") Application",IF(_05preva_view43[[#This Row],[Colo Rev]]&gt;0," Rev "&amp;_05preva_view43[[#This Row],[Colo Rev]],""),".xlsx")</f>
        <v>ANMD_0022 (MDY00913) Application Rev 0.xlsx</v>
      </c>
      <c r="BE151" s="64">
        <f t="shared" ca="1" si="4"/>
        <v>50</v>
      </c>
      <c r="BF151" s="104" t="str">
        <f ca="1">LEFT(CELL("filename",A136),_05preva_view43[[#This Row],[Find Process &amp; Database]]-1)</f>
        <v>D:\OneDrive - apollo-towers.com\Apollo Towers\00-</v>
      </c>
      <c r="BG151" s="104" t="str">
        <f ca="1">_05preva_view43[Folder Path1]&amp;"Process &amp; Database\Documentation\Colo Applications"</f>
        <v>D:\OneDrive - apollo-towers.com\Apollo Towers\00-Process &amp; Database\Documentation\Colo Applications</v>
      </c>
      <c r="BH151" s="104" t="str">
        <f ca="1">_05preva_view43[Folder Path2]&amp;"\Colo App "&amp;_05preva_view43[[#This Row],[Operator]]&amp;"\"</f>
        <v>D:\OneDrive - apollo-towers.com\Apollo Towers\00-Process &amp; Database\Documentation\Colo Applications\Colo App MPT\</v>
      </c>
      <c r="BI151" s="63" t="str">
        <f ca="1">_05preva_view43[[#This Row],[Folder Path3]]&amp;_05preva_view43[[#This Row],[File Name]]</f>
        <v>D:\OneDrive - apollo-towers.com\Apollo Towers\00-Process &amp; Database\Documentation\Colo Applications\Colo App MPT\ANMD_0022 (MDY00913) Application Rev 0.xlsx</v>
      </c>
      <c r="BJ151" s="104"/>
      <c r="BK151" s="3"/>
      <c r="BL151" s="3"/>
      <c r="CJ151" s="5"/>
      <c r="CK151" s="5"/>
      <c r="CL151" s="3"/>
      <c r="CN151" s="5"/>
      <c r="CR151" s="3"/>
      <c r="CS151" s="3"/>
      <c r="CT151" s="5"/>
      <c r="CV151" s="3"/>
      <c r="DR151" s="5"/>
      <c r="DT151" s="3"/>
      <c r="EF151" s="7"/>
      <c r="EG151" s="7"/>
      <c r="EJ151" s="4"/>
      <c r="EK151" s="4"/>
      <c r="EU151" s="2"/>
      <c r="EV151" s="2"/>
    </row>
    <row r="152" spans="1:152">
      <c r="A152" s="125">
        <v>3494</v>
      </c>
      <c r="B152" s="126" t="s">
        <v>1089</v>
      </c>
      <c r="C152" s="126" t="s">
        <v>116</v>
      </c>
      <c r="D152" s="126" t="s">
        <v>127</v>
      </c>
      <c r="E152" s="126" t="s">
        <v>1090</v>
      </c>
      <c r="F152" s="126" t="s">
        <v>35</v>
      </c>
      <c r="G152" s="126" t="s">
        <v>1577</v>
      </c>
      <c r="H152" s="126" t="s">
        <v>1575</v>
      </c>
      <c r="I152" s="126" t="s">
        <v>1263</v>
      </c>
      <c r="J152" s="126" t="s">
        <v>949</v>
      </c>
      <c r="K152" s="127">
        <v>43445</v>
      </c>
      <c r="L152" s="128">
        <v>1</v>
      </c>
      <c r="M152" s="128">
        <v>1.4</v>
      </c>
      <c r="N152" s="126">
        <v>4.51</v>
      </c>
      <c r="O152" s="126" t="s">
        <v>119</v>
      </c>
      <c r="P152" s="129" t="s">
        <v>916</v>
      </c>
      <c r="Q152" s="129" t="s">
        <v>932</v>
      </c>
      <c r="R152" s="126" t="s">
        <v>24</v>
      </c>
      <c r="S152" s="126"/>
      <c r="T152" s="130" t="s">
        <v>861</v>
      </c>
      <c r="U152" s="126"/>
      <c r="V152" s="130" t="s">
        <v>120</v>
      </c>
      <c r="W152" s="126"/>
      <c r="X152" s="130" t="s">
        <v>120</v>
      </c>
      <c r="Y152" s="126" t="s">
        <v>1540</v>
      </c>
      <c r="Z152" s="162" t="s">
        <v>120</v>
      </c>
      <c r="AA152" s="154"/>
      <c r="AB152" s="154"/>
      <c r="AC152" s="167" t="s">
        <v>123</v>
      </c>
      <c r="AD152" s="126" t="s">
        <v>1541</v>
      </c>
      <c r="AE152" s="130" t="s">
        <v>120</v>
      </c>
      <c r="AF152" s="127"/>
      <c r="AG152" s="131"/>
      <c r="AH152" s="131"/>
      <c r="AI152" s="126"/>
      <c r="AJ152" s="130" t="s">
        <v>120</v>
      </c>
      <c r="AK152" s="126" t="s">
        <v>123</v>
      </c>
      <c r="AL152" s="126" t="s">
        <v>1198</v>
      </c>
      <c r="AM152" s="130"/>
      <c r="AN152" s="126"/>
      <c r="AO152" s="132"/>
      <c r="AP152" s="126"/>
      <c r="AQ152" s="126"/>
      <c r="AR152" s="130"/>
      <c r="AS152" s="126"/>
      <c r="AT152" s="127">
        <v>43446.472638541702</v>
      </c>
      <c r="AU152" s="127">
        <v>43445.639608680598</v>
      </c>
      <c r="AV152" s="127">
        <v>43446.590792361101</v>
      </c>
      <c r="AW152" s="127">
        <v>43446.472638541702</v>
      </c>
      <c r="AX152" s="127"/>
      <c r="AY152" s="127">
        <v>43452.513665972197</v>
      </c>
      <c r="AZ152" s="133">
        <v>43452.584169560199</v>
      </c>
      <c r="BA152" s="134">
        <f ca="1">IF(_05preva_view43[[#This Row],[Prevalidation Status]]="Under Prevalidation",NOW()-_05preva_view43[[#This Row],[Request Date]],IF(_05preva_view43[[#This Row],[Close Date]]&gt;_05preva_view43[[#This Row],[Request Date]],_05preva_view43[[#This Row],[Close Date]]-_05preva_view43[[#This Row],[Request Date]],"Not  Calculated"))</f>
        <v>7.5841695601993706</v>
      </c>
      <c r="BB152" s="135">
        <f>COUNTIFS(_05preva_view43[Site ID],_05preva_view43[[#This Row],[Site ID]],_05preva_view43[Prevalidation Status],"Under Prevalidation")</f>
        <v>0</v>
      </c>
      <c r="BC152" s="153" t="str">
        <f ca="1">HYPERLINK(CheckPath(_05preva_view43[[#This Row],[File Path]],_05preva_view43[[#This Row],[File Path]],_05preva_view43[[#This Row],[Folder Path3]]),CheckPath(_05preva_view43[[#This Row],[File Path]],"Open File","No File"))</f>
        <v>No File</v>
      </c>
      <c r="BD152" s="136" t="str">
        <f>CONCATENATE(_05preva_view43[[#This Row],[Site ID]]," (",_05preva_view43[[#This Row],[tenant id]],") Application",IF(_05preva_view43[[#This Row],[Colo Rev]]&gt;0," Rev "&amp;_05preva_view43[[#This Row],[Colo Rev]],""),".xlsx")</f>
        <v>ANSG_0454 (SGG00785) Application Rev 2.xlsx</v>
      </c>
      <c r="BE152" s="64">
        <f t="shared" ca="1" si="4"/>
        <v>50</v>
      </c>
      <c r="BF152" s="104" t="str">
        <f ca="1">LEFT(CELL("filename",A137),_05preva_view43[[#This Row],[Find Process &amp; Database]]-1)</f>
        <v>D:\OneDrive - apollo-towers.com\Apollo Towers\00-</v>
      </c>
      <c r="BG152" s="104" t="str">
        <f ca="1">_05preva_view43[Folder Path1]&amp;"Process &amp; Database\Documentation\Colo Applications"</f>
        <v>D:\OneDrive - apollo-towers.com\Apollo Towers\00-Process &amp; Database\Documentation\Colo Applications</v>
      </c>
      <c r="BH152" s="104" t="str">
        <f ca="1">_05preva_view43[Folder Path2]&amp;"\Colo App "&amp;_05preva_view43[[#This Row],[Operator]]&amp;"\"</f>
        <v>D:\OneDrive - apollo-towers.com\Apollo Towers\00-Process &amp; Database\Documentation\Colo Applications\Colo App MPT\</v>
      </c>
      <c r="BI152" s="63" t="str">
        <f ca="1">_05preva_view43[[#This Row],[Folder Path3]]&amp;_05preva_view43[[#This Row],[File Name]]</f>
        <v>D:\OneDrive - apollo-towers.com\Apollo Towers\00-Process &amp; Database\Documentation\Colo Applications\Colo App MPT\ANSG_0454 (SGG00785) Application Rev 2.xlsx</v>
      </c>
      <c r="BJ152" s="104"/>
      <c r="BK152" s="3"/>
      <c r="BL152" s="3"/>
      <c r="CJ152" s="5"/>
      <c r="CK152" s="5"/>
      <c r="CL152" s="3"/>
      <c r="CN152" s="5"/>
      <c r="CR152" s="3"/>
      <c r="CS152" s="3"/>
      <c r="CT152" s="5"/>
      <c r="CV152" s="3"/>
      <c r="DR152" s="5"/>
      <c r="DT152" s="3"/>
      <c r="EF152" s="7"/>
      <c r="EG152" s="7"/>
      <c r="EJ152" s="4"/>
      <c r="EK152" s="4"/>
      <c r="EU152" s="2"/>
      <c r="EV152" s="2"/>
    </row>
    <row r="153" spans="1:152">
      <c r="A153" s="125">
        <v>3495</v>
      </c>
      <c r="B153" s="126" t="s">
        <v>1542</v>
      </c>
      <c r="C153" s="126" t="s">
        <v>331</v>
      </c>
      <c r="D153" s="126" t="s">
        <v>117</v>
      </c>
      <c r="E153" s="126" t="s">
        <v>1543</v>
      </c>
      <c r="F153" s="126" t="s">
        <v>35</v>
      </c>
      <c r="G153" s="126" t="s">
        <v>1583</v>
      </c>
      <c r="H153" s="126" t="s">
        <v>1580</v>
      </c>
      <c r="I153" s="126" t="s">
        <v>1252</v>
      </c>
      <c r="J153" s="126" t="s">
        <v>940</v>
      </c>
      <c r="K153" s="127">
        <v>43445</v>
      </c>
      <c r="L153" s="128">
        <v>1</v>
      </c>
      <c r="M153" s="128">
        <v>1.462</v>
      </c>
      <c r="N153" s="126"/>
      <c r="O153" s="126" t="s">
        <v>950</v>
      </c>
      <c r="P153" s="129" t="s">
        <v>958</v>
      </c>
      <c r="Q153" s="129" t="s">
        <v>959</v>
      </c>
      <c r="R153" s="126" t="s">
        <v>24</v>
      </c>
      <c r="S153" s="126"/>
      <c r="T153" s="130" t="s">
        <v>861</v>
      </c>
      <c r="U153" s="126"/>
      <c r="V153" s="130" t="s">
        <v>861</v>
      </c>
      <c r="W153" s="126"/>
      <c r="X153" s="130" t="s">
        <v>861</v>
      </c>
      <c r="Y153" s="126"/>
      <c r="Z153" s="162" t="s">
        <v>861</v>
      </c>
      <c r="AA153" s="154"/>
      <c r="AB153" s="154"/>
      <c r="AC153" s="167"/>
      <c r="AD153" s="126"/>
      <c r="AE153" s="130" t="s">
        <v>120</v>
      </c>
      <c r="AF153" s="127"/>
      <c r="AG153" s="131"/>
      <c r="AH153" s="131"/>
      <c r="AI153" s="126"/>
      <c r="AJ153" s="130" t="s">
        <v>861</v>
      </c>
      <c r="AK153" s="126"/>
      <c r="AL153" s="126"/>
      <c r="AM153" s="130"/>
      <c r="AN153" s="126"/>
      <c r="AO153" s="132"/>
      <c r="AP153" s="126"/>
      <c r="AQ153" s="126"/>
      <c r="AR153" s="130"/>
      <c r="AS153" s="126"/>
      <c r="AT153" s="127"/>
      <c r="AU153" s="127">
        <v>43445.639611342602</v>
      </c>
      <c r="AV153" s="127"/>
      <c r="AW153" s="127"/>
      <c r="AX153" s="127"/>
      <c r="AY153" s="127"/>
      <c r="AZ153" s="133">
        <v>43445.714635879602</v>
      </c>
      <c r="BA153" s="134">
        <f ca="1">IF(_05preva_view43[[#This Row],[Prevalidation Status]]="Under Prevalidation",NOW()-_05preva_view43[[#This Row],[Request Date]],IF(_05preva_view43[[#This Row],[Close Date]]&gt;_05preva_view43[[#This Row],[Request Date]],_05preva_view43[[#This Row],[Close Date]]-_05preva_view43[[#This Row],[Request Date]],"Not  Calculated"))</f>
        <v>0.71463587960170116</v>
      </c>
      <c r="BB153" s="135">
        <f>COUNTIFS(_05preva_view43[Site ID],_05preva_view43[[#This Row],[Site ID]],_05preva_view43[Prevalidation Status],"Under Prevalidation")</f>
        <v>0</v>
      </c>
      <c r="BC153" s="153" t="str">
        <f ca="1">HYPERLINK(CheckPath(_05preva_view43[[#This Row],[File Path]],_05preva_view43[[#This Row],[File Path]],_05preva_view43[[#This Row],[Folder Path3]]),CheckPath(_05preva_view43[[#This Row],[File Path]],"Open File","No File"))</f>
        <v>No File</v>
      </c>
      <c r="BD153" s="136" t="str">
        <f>CONCATENATE(_05preva_view43[[#This Row],[Site ID]]," (",_05preva_view43[[#This Row],[tenant id]],") Application",IF(_05preva_view43[[#This Row],[Colo Rev]]&gt;0," Rev "&amp;_05preva_view43[[#This Row],[Colo Rev]],""),".xlsx")</f>
        <v>1-01-09022-005 (MGW00780) Application Rev 0.xlsx</v>
      </c>
      <c r="BE153" s="64">
        <f t="shared" ca="1" si="4"/>
        <v>50</v>
      </c>
      <c r="BF153" s="104" t="str">
        <f ca="1">LEFT(CELL("filename",A138),_05preva_view43[[#This Row],[Find Process &amp; Database]]-1)</f>
        <v>D:\OneDrive - apollo-towers.com\Apollo Towers\00-</v>
      </c>
      <c r="BG153" s="104" t="str">
        <f ca="1">_05preva_view43[Folder Path1]&amp;"Process &amp; Database\Documentation\Colo Applications"</f>
        <v>D:\OneDrive - apollo-towers.com\Apollo Towers\00-Process &amp; Database\Documentation\Colo Applications</v>
      </c>
      <c r="BH153" s="104" t="str">
        <f ca="1">_05preva_view43[Folder Path2]&amp;"\Colo App "&amp;_05preva_view43[[#This Row],[Operator]]&amp;"\"</f>
        <v>D:\OneDrive - apollo-towers.com\Apollo Towers\00-Process &amp; Database\Documentation\Colo Applications\Colo App MPT\</v>
      </c>
      <c r="BI153" s="63" t="str">
        <f ca="1">_05preva_view43[[#This Row],[Folder Path3]]&amp;_05preva_view43[[#This Row],[File Name]]</f>
        <v>D:\OneDrive - apollo-towers.com\Apollo Towers\00-Process &amp; Database\Documentation\Colo Applications\Colo App MPT\1-01-09022-005 (MGW00780) Application Rev 0.xlsx</v>
      </c>
      <c r="BJ153" s="104"/>
      <c r="BK153" s="3"/>
      <c r="BL153" s="3"/>
      <c r="CJ153" s="5"/>
      <c r="CK153" s="5"/>
      <c r="CL153" s="3"/>
      <c r="CN153" s="5"/>
      <c r="CR153" s="3"/>
      <c r="CS153" s="3"/>
      <c r="CT153" s="5"/>
      <c r="CV153" s="3"/>
      <c r="DR153" s="5"/>
      <c r="DT153" s="3"/>
      <c r="EF153" s="7"/>
      <c r="EG153" s="7"/>
      <c r="EJ153" s="4"/>
      <c r="EK153" s="4"/>
      <c r="EU153" s="2"/>
      <c r="EV153" s="2"/>
    </row>
    <row r="154" spans="1:152">
      <c r="A154" s="125">
        <v>3487</v>
      </c>
      <c r="B154" s="126" t="s">
        <v>1512</v>
      </c>
      <c r="C154" s="126" t="s">
        <v>331</v>
      </c>
      <c r="D154" s="126" t="s">
        <v>127</v>
      </c>
      <c r="E154" s="126" t="s">
        <v>1513</v>
      </c>
      <c r="F154" s="126" t="s">
        <v>35</v>
      </c>
      <c r="G154" s="126" t="s">
        <v>1583</v>
      </c>
      <c r="H154" s="126" t="s">
        <v>1580</v>
      </c>
      <c r="I154" s="126" t="s">
        <v>1077</v>
      </c>
      <c r="J154" s="126" t="s">
        <v>931</v>
      </c>
      <c r="K154" s="127">
        <v>43444</v>
      </c>
      <c r="L154" s="128">
        <v>1</v>
      </c>
      <c r="M154" s="128">
        <v>1.462</v>
      </c>
      <c r="N154" s="126"/>
      <c r="O154" s="126" t="s">
        <v>950</v>
      </c>
      <c r="P154" s="129" t="s">
        <v>736</v>
      </c>
      <c r="Q154" s="129" t="s">
        <v>880</v>
      </c>
      <c r="R154" s="126" t="s">
        <v>24</v>
      </c>
      <c r="S154" s="126"/>
      <c r="T154" s="130" t="s">
        <v>861</v>
      </c>
      <c r="U154" s="126"/>
      <c r="V154" s="130" t="s">
        <v>861</v>
      </c>
      <c r="W154" s="126"/>
      <c r="X154" s="130" t="s">
        <v>861</v>
      </c>
      <c r="Y154" s="126"/>
      <c r="Z154" s="162" t="s">
        <v>861</v>
      </c>
      <c r="AA154" s="154"/>
      <c r="AB154" s="154"/>
      <c r="AC154" s="167"/>
      <c r="AD154" s="126"/>
      <c r="AE154" s="130" t="s">
        <v>120</v>
      </c>
      <c r="AF154" s="127" t="s">
        <v>1167</v>
      </c>
      <c r="AG154" s="131"/>
      <c r="AH154" s="131"/>
      <c r="AI154" s="126" t="s">
        <v>1514</v>
      </c>
      <c r="AJ154" s="130" t="s">
        <v>861</v>
      </c>
      <c r="AK154" s="126"/>
      <c r="AL154" s="126"/>
      <c r="AM154" s="130"/>
      <c r="AN154" s="126"/>
      <c r="AO154" s="132"/>
      <c r="AP154" s="126"/>
      <c r="AQ154" s="126"/>
      <c r="AR154" s="130"/>
      <c r="AS154" s="126"/>
      <c r="AT154" s="127"/>
      <c r="AU154" s="127">
        <v>43444.680435995397</v>
      </c>
      <c r="AV154" s="127"/>
      <c r="AW154" s="127"/>
      <c r="AX154" s="127"/>
      <c r="AY154" s="127"/>
      <c r="AZ154" s="133">
        <v>43445.483934837997</v>
      </c>
      <c r="BA154" s="134">
        <f ca="1">IF(_05preva_view43[[#This Row],[Prevalidation Status]]="Under Prevalidation",NOW()-_05preva_view43[[#This Row],[Request Date]],IF(_05preva_view43[[#This Row],[Close Date]]&gt;_05preva_view43[[#This Row],[Request Date]],_05preva_view43[[#This Row],[Close Date]]-_05preva_view43[[#This Row],[Request Date]],"Not  Calculated"))</f>
        <v>1.4839348379973671</v>
      </c>
      <c r="BB154" s="135">
        <f>COUNTIFS(_05preva_view43[Site ID],_05preva_view43[[#This Row],[Site ID]],_05preva_view43[Prevalidation Status],"Under Prevalidation")</f>
        <v>0</v>
      </c>
      <c r="BC154" s="153" t="str">
        <f ca="1">HYPERLINK(CheckPath(_05preva_view43[[#This Row],[File Path]],_05preva_view43[[#This Row],[File Path]],_05preva_view43[[#This Row],[Folder Path3]]),CheckPath(_05preva_view43[[#This Row],[File Path]],"Open File","No File"))</f>
        <v>No File</v>
      </c>
      <c r="BD154" s="136" t="str">
        <f>CONCATENATE(_05preva_view43[[#This Row],[Site ID]]," (",_05preva_view43[[#This Row],[tenant id]],") Application",IF(_05preva_view43[[#This Row],[Colo Rev]]&gt;0," Rev "&amp;_05preva_view43[[#This Row],[Colo Rev]],""),".xlsx")</f>
        <v>1-01-01010-012 (KCN00455) Application Rev 1.xlsx</v>
      </c>
      <c r="BE154" s="64">
        <f t="shared" ca="1" si="4"/>
        <v>50</v>
      </c>
      <c r="BF154" s="104" t="str">
        <f ca="1">LEFT(CELL("filename",A139),_05preva_view43[[#This Row],[Find Process &amp; Database]]-1)</f>
        <v>D:\OneDrive - apollo-towers.com\Apollo Towers\00-</v>
      </c>
      <c r="BG154" s="104" t="str">
        <f ca="1">_05preva_view43[Folder Path1]&amp;"Process &amp; Database\Documentation\Colo Applications"</f>
        <v>D:\OneDrive - apollo-towers.com\Apollo Towers\00-Process &amp; Database\Documentation\Colo Applications</v>
      </c>
      <c r="BH154" s="104" t="str">
        <f ca="1">_05preva_view43[Folder Path2]&amp;"\Colo App "&amp;_05preva_view43[[#This Row],[Operator]]&amp;"\"</f>
        <v>D:\OneDrive - apollo-towers.com\Apollo Towers\00-Process &amp; Database\Documentation\Colo Applications\Colo App MPT\</v>
      </c>
      <c r="BI154" s="63" t="str">
        <f ca="1">_05preva_view43[[#This Row],[Folder Path3]]&amp;_05preva_view43[[#This Row],[File Name]]</f>
        <v>D:\OneDrive - apollo-towers.com\Apollo Towers\00-Process &amp; Database\Documentation\Colo Applications\Colo App MPT\1-01-01010-012 (KCN00455) Application Rev 1.xlsx</v>
      </c>
      <c r="BJ154" s="104"/>
      <c r="BK154" s="3"/>
      <c r="BL154" s="3"/>
      <c r="CJ154" s="5"/>
      <c r="CK154" s="5"/>
      <c r="CL154" s="3"/>
      <c r="CN154" s="5"/>
      <c r="CR154" s="3"/>
      <c r="CS154" s="3"/>
      <c r="CT154" s="5"/>
      <c r="CV154" s="3"/>
      <c r="DR154" s="5"/>
      <c r="DT154" s="3"/>
      <c r="EF154" s="7"/>
      <c r="EG154" s="7"/>
      <c r="EJ154" s="4"/>
      <c r="EK154" s="4"/>
      <c r="EU154" s="2"/>
      <c r="EV154" s="2"/>
    </row>
    <row r="155" spans="1:152">
      <c r="A155" s="125">
        <v>3488</v>
      </c>
      <c r="B155" s="126" t="s">
        <v>1515</v>
      </c>
      <c r="C155" s="126" t="s">
        <v>331</v>
      </c>
      <c r="D155" s="126" t="s">
        <v>163</v>
      </c>
      <c r="E155" s="126" t="s">
        <v>1516</v>
      </c>
      <c r="F155" s="126" t="s">
        <v>38</v>
      </c>
      <c r="G155" s="126" t="s">
        <v>1586</v>
      </c>
      <c r="H155" s="126" t="s">
        <v>1575</v>
      </c>
      <c r="I155" s="126" t="s">
        <v>1517</v>
      </c>
      <c r="J155" s="126" t="s">
        <v>931</v>
      </c>
      <c r="K155" s="127">
        <v>43444</v>
      </c>
      <c r="L155" s="128"/>
      <c r="M155" s="128"/>
      <c r="N155" s="126">
        <v>4.6100000000000003</v>
      </c>
      <c r="O155" s="126" t="s">
        <v>950</v>
      </c>
      <c r="P155" s="129" t="s">
        <v>1275</v>
      </c>
      <c r="Q155" s="129" t="s">
        <v>1276</v>
      </c>
      <c r="R155" s="126" t="s">
        <v>24</v>
      </c>
      <c r="S155" s="126"/>
      <c r="T155" s="130" t="s">
        <v>861</v>
      </c>
      <c r="U155" s="126"/>
      <c r="V155" s="130" t="s">
        <v>861</v>
      </c>
      <c r="W155" s="126"/>
      <c r="X155" s="130" t="s">
        <v>120</v>
      </c>
      <c r="Y155" s="126" t="s">
        <v>1518</v>
      </c>
      <c r="Z155" s="162" t="s">
        <v>120</v>
      </c>
      <c r="AA155" s="154"/>
      <c r="AB155" s="154"/>
      <c r="AC155" s="167" t="s">
        <v>123</v>
      </c>
      <c r="AD155" s="126" t="s">
        <v>1519</v>
      </c>
      <c r="AE155" s="130" t="s">
        <v>861</v>
      </c>
      <c r="AF155" s="127"/>
      <c r="AG155" s="131"/>
      <c r="AH155" s="131"/>
      <c r="AI155" s="126"/>
      <c r="AJ155" s="130" t="s">
        <v>120</v>
      </c>
      <c r="AK155" s="126" t="s">
        <v>123</v>
      </c>
      <c r="AL155" s="126" t="s">
        <v>1198</v>
      </c>
      <c r="AM155" s="130"/>
      <c r="AN155" s="126"/>
      <c r="AO155" s="132"/>
      <c r="AP155" s="126"/>
      <c r="AQ155" s="126"/>
      <c r="AR155" s="130"/>
      <c r="AS155" s="126"/>
      <c r="AT155" s="127">
        <v>43444.601477430602</v>
      </c>
      <c r="AU155" s="127"/>
      <c r="AV155" s="127">
        <v>43444.701096990699</v>
      </c>
      <c r="AW155" s="127">
        <v>43444.601477430602</v>
      </c>
      <c r="AX155" s="127"/>
      <c r="AY155" s="127"/>
      <c r="AZ155" s="133">
        <v>43445.588910763901</v>
      </c>
      <c r="BA155" s="134">
        <f ca="1">IF(_05preva_view43[[#This Row],[Prevalidation Status]]="Under Prevalidation",NOW()-_05preva_view43[[#This Row],[Request Date]],IF(_05preva_view43[[#This Row],[Close Date]]&gt;_05preva_view43[[#This Row],[Request Date]],_05preva_view43[[#This Row],[Close Date]]-_05preva_view43[[#This Row],[Request Date]],"Not  Calculated"))</f>
        <v>1.5889107639013673</v>
      </c>
      <c r="BB155" s="135">
        <f>COUNTIFS(_05preva_view43[Site ID],_05preva_view43[[#This Row],[Site ID]],_05preva_view43[Prevalidation Status],"Under Prevalidation")</f>
        <v>0</v>
      </c>
      <c r="BC155" s="153" t="str">
        <f ca="1">HYPERLINK(CheckPath(_05preva_view43[[#This Row],[File Path]],_05preva_view43[[#This Row],[File Path]],_05preva_view43[[#This Row],[Folder Path3]]),CheckPath(_05preva_view43[[#This Row],[File Path]],"Open File","No File"))</f>
        <v>No File</v>
      </c>
      <c r="BD155" s="136" t="str">
        <f>CONCATENATE(_05preva_view43[[#This Row],[Site ID]]," (",_05preva_view43[[#This Row],[tenant id]],") Application",IF(_05preva_view43[[#This Row],[Colo Rev]]&gt;0," Rev "&amp;_05preva_view43[[#This Row],[Colo Rev]],""),".xlsx")</f>
        <v>1-01-17003-008 (AY0830) Application Rev 1.xlsx</v>
      </c>
      <c r="BE155" s="64">
        <f t="shared" ca="1" si="4"/>
        <v>50</v>
      </c>
      <c r="BF155" s="104" t="str">
        <f ca="1">LEFT(CELL("filename",A140),_05preva_view43[[#This Row],[Find Process &amp; Database]]-1)</f>
        <v>D:\OneDrive - apollo-towers.com\Apollo Towers\00-</v>
      </c>
      <c r="BG155" s="104" t="str">
        <f ca="1">_05preva_view43[Folder Path1]&amp;"Process &amp; Database\Documentation\Colo Applications"</f>
        <v>D:\OneDrive - apollo-towers.com\Apollo Towers\00-Process &amp; Database\Documentation\Colo Applications</v>
      </c>
      <c r="BH155" s="104" t="str">
        <f ca="1">_05preva_view43[Folder Path2]&amp;"\Colo App "&amp;_05preva_view43[[#This Row],[Operator]]&amp;"\"</f>
        <v>D:\OneDrive - apollo-towers.com\Apollo Towers\00-Process &amp; Database\Documentation\Colo Applications\Colo App Telenor\</v>
      </c>
      <c r="BI155" s="63" t="str">
        <f ca="1">_05preva_view43[[#This Row],[Folder Path3]]&amp;_05preva_view43[[#This Row],[File Name]]</f>
        <v>D:\OneDrive - apollo-towers.com\Apollo Towers\00-Process &amp; Database\Documentation\Colo Applications\Colo App Telenor\1-01-17003-008 (AY0830) Application Rev 1.xlsx</v>
      </c>
      <c r="BJ155" s="104"/>
      <c r="BK155" s="3"/>
      <c r="BL155" s="3"/>
      <c r="CJ155" s="5"/>
      <c r="CK155" s="5"/>
      <c r="CL155" s="3"/>
      <c r="CN155" s="5"/>
      <c r="CR155" s="3"/>
      <c r="CS155" s="3"/>
      <c r="CT155" s="5"/>
      <c r="CV155" s="3"/>
      <c r="DR155" s="5"/>
      <c r="DT155" s="3"/>
      <c r="EF155" s="7"/>
      <c r="EG155" s="7"/>
      <c r="EJ155" s="4"/>
      <c r="EK155" s="4"/>
      <c r="EU155" s="2"/>
      <c r="EV155" s="2"/>
    </row>
    <row r="156" spans="1:152">
      <c r="A156" s="125">
        <v>3489</v>
      </c>
      <c r="B156" s="126" t="s">
        <v>1520</v>
      </c>
      <c r="C156" s="126" t="s">
        <v>331</v>
      </c>
      <c r="D156" s="126" t="s">
        <v>127</v>
      </c>
      <c r="E156" s="126" t="s">
        <v>1521</v>
      </c>
      <c r="F156" s="126" t="s">
        <v>35</v>
      </c>
      <c r="G156" s="126" t="s">
        <v>1583</v>
      </c>
      <c r="H156" s="126" t="s">
        <v>1580</v>
      </c>
      <c r="I156" s="126" t="s">
        <v>1252</v>
      </c>
      <c r="J156" s="126" t="s">
        <v>940</v>
      </c>
      <c r="K156" s="127">
        <v>43444</v>
      </c>
      <c r="L156" s="128">
        <v>1</v>
      </c>
      <c r="M156" s="128">
        <v>1.462</v>
      </c>
      <c r="N156" s="126"/>
      <c r="O156" s="126" t="s">
        <v>950</v>
      </c>
      <c r="P156" s="129" t="s">
        <v>334</v>
      </c>
      <c r="Q156" s="129" t="s">
        <v>736</v>
      </c>
      <c r="R156" s="126" t="s">
        <v>24</v>
      </c>
      <c r="S156" s="126"/>
      <c r="T156" s="130" t="s">
        <v>861</v>
      </c>
      <c r="U156" s="126"/>
      <c r="V156" s="130" t="s">
        <v>861</v>
      </c>
      <c r="W156" s="126"/>
      <c r="X156" s="130" t="s">
        <v>861</v>
      </c>
      <c r="Y156" s="126"/>
      <c r="Z156" s="162" t="s">
        <v>861</v>
      </c>
      <c r="AA156" s="154"/>
      <c r="AB156" s="154"/>
      <c r="AC156" s="167"/>
      <c r="AD156" s="126"/>
      <c r="AE156" s="130" t="s">
        <v>120</v>
      </c>
      <c r="AF156" s="127" t="s">
        <v>1167</v>
      </c>
      <c r="AG156" s="131"/>
      <c r="AH156" s="131"/>
      <c r="AI156" s="126" t="s">
        <v>1522</v>
      </c>
      <c r="AJ156" s="130" t="s">
        <v>861</v>
      </c>
      <c r="AK156" s="126"/>
      <c r="AL156" s="126"/>
      <c r="AM156" s="130"/>
      <c r="AN156" s="126"/>
      <c r="AO156" s="132"/>
      <c r="AP156" s="126"/>
      <c r="AQ156" s="126"/>
      <c r="AR156" s="130"/>
      <c r="AS156" s="126"/>
      <c r="AT156" s="127"/>
      <c r="AU156" s="127">
        <v>43444.680442013901</v>
      </c>
      <c r="AV156" s="127"/>
      <c r="AW156" s="127"/>
      <c r="AX156" s="127"/>
      <c r="AY156" s="127"/>
      <c r="AZ156" s="133">
        <v>43445.483935648102</v>
      </c>
      <c r="BA156" s="134">
        <f ca="1">IF(_05preva_view43[[#This Row],[Prevalidation Status]]="Under Prevalidation",NOW()-_05preva_view43[[#This Row],[Request Date]],IF(_05preva_view43[[#This Row],[Close Date]]&gt;_05preva_view43[[#This Row],[Request Date]],_05preva_view43[[#This Row],[Close Date]]-_05preva_view43[[#This Row],[Request Date]],"Not  Calculated"))</f>
        <v>1.4839356481024879</v>
      </c>
      <c r="BB156" s="135">
        <f>COUNTIFS(_05preva_view43[Site ID],_05preva_view43[[#This Row],[Site ID]],_05preva_view43[Prevalidation Status],"Under Prevalidation")</f>
        <v>0</v>
      </c>
      <c r="BC156" s="153" t="str">
        <f ca="1">HYPERLINK(CheckPath(_05preva_view43[[#This Row],[File Path]],_05preva_view43[[#This Row],[File Path]],_05preva_view43[[#This Row],[Folder Path3]]),CheckPath(_05preva_view43[[#This Row],[File Path]],"Open File","No File"))</f>
        <v>No File</v>
      </c>
      <c r="BD156" s="136" t="str">
        <f>CONCATENATE(_05preva_view43[[#This Row],[Site ID]]," (",_05preva_view43[[#This Row],[tenant id]],") Application",IF(_05preva_view43[[#This Row],[Colo Rev]]&gt;0," Rev "&amp;_05preva_view43[[#This Row],[Colo Rev]],""),".xlsx")</f>
        <v>1-01-01010-013 (KCN00442) Application Rev 0.xlsx</v>
      </c>
      <c r="BE156" s="64">
        <f t="shared" ca="1" si="4"/>
        <v>50</v>
      </c>
      <c r="BF156" s="104" t="str">
        <f ca="1">LEFT(CELL("filename",A141),_05preva_view43[[#This Row],[Find Process &amp; Database]]-1)</f>
        <v>D:\OneDrive - apollo-towers.com\Apollo Towers\00-</v>
      </c>
      <c r="BG156" s="104" t="str">
        <f ca="1">_05preva_view43[Folder Path1]&amp;"Process &amp; Database\Documentation\Colo Applications"</f>
        <v>D:\OneDrive - apollo-towers.com\Apollo Towers\00-Process &amp; Database\Documentation\Colo Applications</v>
      </c>
      <c r="BH156" s="104" t="str">
        <f ca="1">_05preva_view43[Folder Path2]&amp;"\Colo App "&amp;_05preva_view43[[#This Row],[Operator]]&amp;"\"</f>
        <v>D:\OneDrive - apollo-towers.com\Apollo Towers\00-Process &amp; Database\Documentation\Colo Applications\Colo App MPT\</v>
      </c>
      <c r="BI156" s="63" t="str">
        <f ca="1">_05preva_view43[[#This Row],[Folder Path3]]&amp;_05preva_view43[[#This Row],[File Name]]</f>
        <v>D:\OneDrive - apollo-towers.com\Apollo Towers\00-Process &amp; Database\Documentation\Colo Applications\Colo App MPT\1-01-01010-013 (KCN00442) Application Rev 0.xlsx</v>
      </c>
      <c r="BJ156" s="104"/>
      <c r="BK156" s="3"/>
      <c r="BL156" s="3"/>
      <c r="CJ156" s="5"/>
      <c r="CK156" s="5"/>
      <c r="CL156" s="3"/>
      <c r="CN156" s="5"/>
      <c r="CR156" s="3"/>
      <c r="CS156" s="3"/>
      <c r="CT156" s="5"/>
      <c r="CV156" s="3"/>
      <c r="DR156" s="5"/>
      <c r="DT156" s="3"/>
      <c r="EF156" s="7"/>
      <c r="EG156" s="7"/>
      <c r="EJ156" s="4"/>
      <c r="EK156" s="4"/>
      <c r="EU156" s="2"/>
      <c r="EV156" s="2"/>
    </row>
    <row r="157" spans="1:152">
      <c r="A157" s="125">
        <v>3490</v>
      </c>
      <c r="B157" s="126" t="s">
        <v>1523</v>
      </c>
      <c r="C157" s="126" t="s">
        <v>116</v>
      </c>
      <c r="D157" s="126" t="s">
        <v>127</v>
      </c>
      <c r="E157" s="126" t="s">
        <v>1524</v>
      </c>
      <c r="F157" s="126" t="s">
        <v>41</v>
      </c>
      <c r="G157" s="126" t="s">
        <v>1412</v>
      </c>
      <c r="H157" s="126" t="s">
        <v>1319</v>
      </c>
      <c r="I157" s="126" t="s">
        <v>1143</v>
      </c>
      <c r="J157" s="126" t="s">
        <v>940</v>
      </c>
      <c r="K157" s="127">
        <v>43444</v>
      </c>
      <c r="L157" s="128"/>
      <c r="M157" s="128">
        <v>2</v>
      </c>
      <c r="N157" s="126">
        <v>3</v>
      </c>
      <c r="O157" s="126" t="s">
        <v>119</v>
      </c>
      <c r="P157" s="129" t="s">
        <v>1304</v>
      </c>
      <c r="Q157" s="129" t="s">
        <v>1245</v>
      </c>
      <c r="R157" s="126" t="s">
        <v>24</v>
      </c>
      <c r="S157" s="126"/>
      <c r="T157" s="130" t="s">
        <v>120</v>
      </c>
      <c r="U157" s="126" t="s">
        <v>1746</v>
      </c>
      <c r="V157" s="130" t="s">
        <v>120</v>
      </c>
      <c r="W157" s="126"/>
      <c r="X157" s="130" t="s">
        <v>120</v>
      </c>
      <c r="Y157" s="126" t="s">
        <v>1525</v>
      </c>
      <c r="Z157" s="162" t="s">
        <v>120</v>
      </c>
      <c r="AA157" s="154"/>
      <c r="AB157" s="154"/>
      <c r="AC157" s="167" t="s">
        <v>123</v>
      </c>
      <c r="AD157" s="126" t="s">
        <v>1526</v>
      </c>
      <c r="AE157" s="130" t="s">
        <v>120</v>
      </c>
      <c r="AF157" s="127" t="s">
        <v>895</v>
      </c>
      <c r="AG157" s="131"/>
      <c r="AH157" s="131"/>
      <c r="AI157" s="126" t="s">
        <v>1417</v>
      </c>
      <c r="AJ157" s="130" t="s">
        <v>120</v>
      </c>
      <c r="AK157" s="126" t="s">
        <v>240</v>
      </c>
      <c r="AL157" s="126" t="s">
        <v>1527</v>
      </c>
      <c r="AM157" s="130"/>
      <c r="AN157" s="126"/>
      <c r="AO157" s="132"/>
      <c r="AP157" s="126"/>
      <c r="AQ157" s="126"/>
      <c r="AR157" s="130"/>
      <c r="AS157" s="126"/>
      <c r="AT157" s="127">
        <v>43444.601481134298</v>
      </c>
      <c r="AU157" s="127">
        <v>43444.680445601902</v>
      </c>
      <c r="AV157" s="127">
        <v>43445.6883550926</v>
      </c>
      <c r="AW157" s="127">
        <v>43444.601481134298</v>
      </c>
      <c r="AX157" s="127">
        <v>43460.604111226901</v>
      </c>
      <c r="AY157" s="127">
        <v>43444.668289236099</v>
      </c>
      <c r="AZ157" s="133">
        <v>43476.382870833302</v>
      </c>
      <c r="BA157" s="134">
        <f ca="1">IF(_05preva_view43[[#This Row],[Prevalidation Status]]="Under Prevalidation",NOW()-_05preva_view43[[#This Row],[Request Date]],IF(_05preva_view43[[#This Row],[Close Date]]&gt;_05preva_view43[[#This Row],[Request Date]],_05preva_view43[[#This Row],[Close Date]]-_05preva_view43[[#This Row],[Request Date]],"Not  Calculated"))</f>
        <v>32.38287083330215</v>
      </c>
      <c r="BB157" s="135">
        <f>COUNTIFS(_05preva_view43[Site ID],_05preva_view43[[#This Row],[Site ID]],_05preva_view43[Prevalidation Status],"Under Prevalidation")</f>
        <v>0</v>
      </c>
      <c r="BC157" s="153" t="str">
        <f ca="1">HYPERLINK(CheckPath(_05preva_view43[[#This Row],[File Path]],_05preva_view43[[#This Row],[File Path]],_05preva_view43[[#This Row],[Folder Path3]]),CheckPath(_05preva_view43[[#This Row],[File Path]],"Open File","No File"))</f>
        <v>No File</v>
      </c>
      <c r="BD157" s="136" t="str">
        <f>CONCATENATE(_05preva_view43[[#This Row],[Site ID]]," (",_05preva_view43[[#This Row],[tenant id]],") Application",IF(_05preva_view43[[#This Row],[Colo Rev]]&gt;0," Rev "&amp;_05preva_view43[[#This Row],[Colo Rev]],""),".xlsx")</f>
        <v>ANMD_0169 (MDYPGTG007ML) Application Rev 0.xlsx</v>
      </c>
      <c r="BE157" s="64">
        <f t="shared" ca="1" si="4"/>
        <v>50</v>
      </c>
      <c r="BF157" s="104" t="str">
        <f ca="1">LEFT(CELL("filename",A142),_05preva_view43[[#This Row],[Find Process &amp; Database]]-1)</f>
        <v>D:\OneDrive - apollo-towers.com\Apollo Towers\00-</v>
      </c>
      <c r="BG157" s="104" t="str">
        <f ca="1">_05preva_view43[Folder Path1]&amp;"Process &amp; Database\Documentation\Colo Applications"</f>
        <v>D:\OneDrive - apollo-towers.com\Apollo Towers\00-Process &amp; Database\Documentation\Colo Applications</v>
      </c>
      <c r="BH157" s="104" t="str">
        <f ca="1">_05preva_view43[Folder Path2]&amp;"\Colo App "&amp;_05preva_view43[[#This Row],[Operator]]&amp;"\"</f>
        <v>D:\OneDrive - apollo-towers.com\Apollo Towers\00-Process &amp; Database\Documentation\Colo Applications\Colo App Amara\</v>
      </c>
      <c r="BI157" s="63" t="str">
        <f ca="1">_05preva_view43[[#This Row],[Folder Path3]]&amp;_05preva_view43[[#This Row],[File Name]]</f>
        <v>D:\OneDrive - apollo-towers.com\Apollo Towers\00-Process &amp; Database\Documentation\Colo Applications\Colo App Amara\ANMD_0169 (MDYPGTG007ML) Application Rev 0.xlsx</v>
      </c>
      <c r="BJ157" s="104"/>
      <c r="BK157" s="3"/>
      <c r="BL157" s="3"/>
      <c r="CJ157" s="5"/>
      <c r="CK157" s="5"/>
      <c r="CL157" s="3"/>
      <c r="CN157" s="5"/>
      <c r="CR157" s="3"/>
      <c r="CS157" s="3"/>
      <c r="CT157" s="5"/>
      <c r="CV157" s="3"/>
      <c r="DR157" s="5"/>
      <c r="DT157" s="3"/>
      <c r="EF157" s="7"/>
      <c r="EG157" s="7"/>
      <c r="EJ157" s="4"/>
      <c r="EK157" s="4"/>
      <c r="EU157" s="2"/>
      <c r="EV157" s="2"/>
    </row>
    <row r="158" spans="1:152">
      <c r="A158" s="125">
        <v>3491</v>
      </c>
      <c r="B158" s="126" t="s">
        <v>1528</v>
      </c>
      <c r="C158" s="126" t="s">
        <v>331</v>
      </c>
      <c r="D158" s="126" t="s">
        <v>127</v>
      </c>
      <c r="E158" s="126" t="s">
        <v>1529</v>
      </c>
      <c r="F158" s="126" t="s">
        <v>35</v>
      </c>
      <c r="G158" s="126" t="s">
        <v>1583</v>
      </c>
      <c r="H158" s="126" t="s">
        <v>1575</v>
      </c>
      <c r="I158" s="126" t="s">
        <v>1252</v>
      </c>
      <c r="J158" s="126" t="s">
        <v>931</v>
      </c>
      <c r="K158" s="127">
        <v>43444</v>
      </c>
      <c r="L158" s="128">
        <v>1.39</v>
      </c>
      <c r="M158" s="128">
        <v>1.7949999999999999</v>
      </c>
      <c r="N158" s="126"/>
      <c r="O158" s="126" t="s">
        <v>950</v>
      </c>
      <c r="P158" s="129" t="s">
        <v>276</v>
      </c>
      <c r="Q158" s="129" t="s">
        <v>277</v>
      </c>
      <c r="R158" s="126" t="s">
        <v>24</v>
      </c>
      <c r="S158" s="126"/>
      <c r="T158" s="130" t="s">
        <v>861</v>
      </c>
      <c r="U158" s="126"/>
      <c r="V158" s="130" t="s">
        <v>861</v>
      </c>
      <c r="W158" s="126"/>
      <c r="X158" s="130" t="s">
        <v>861</v>
      </c>
      <c r="Y158" s="126"/>
      <c r="Z158" s="162" t="s">
        <v>861</v>
      </c>
      <c r="AA158" s="154"/>
      <c r="AB158" s="154"/>
      <c r="AC158" s="167"/>
      <c r="AD158" s="126"/>
      <c r="AE158" s="130" t="s">
        <v>120</v>
      </c>
      <c r="AF158" s="127" t="s">
        <v>1167</v>
      </c>
      <c r="AG158" s="131"/>
      <c r="AH158" s="131"/>
      <c r="AI158" s="126" t="s">
        <v>1522</v>
      </c>
      <c r="AJ158" s="130" t="s">
        <v>861</v>
      </c>
      <c r="AK158" s="126"/>
      <c r="AL158" s="126"/>
      <c r="AM158" s="130"/>
      <c r="AN158" s="126"/>
      <c r="AO158" s="132"/>
      <c r="AP158" s="126"/>
      <c r="AQ158" s="126"/>
      <c r="AR158" s="130"/>
      <c r="AS158" s="126"/>
      <c r="AT158" s="127"/>
      <c r="AU158" s="127">
        <v>43444.680447685198</v>
      </c>
      <c r="AV158" s="127"/>
      <c r="AW158" s="127"/>
      <c r="AX158" s="127"/>
      <c r="AY158" s="127"/>
      <c r="AZ158" s="133">
        <v>43445.483937037003</v>
      </c>
      <c r="BA158" s="134">
        <f ca="1">IF(_05preva_view43[[#This Row],[Prevalidation Status]]="Under Prevalidation",NOW()-_05preva_view43[[#This Row],[Request Date]],IF(_05preva_view43[[#This Row],[Close Date]]&gt;_05preva_view43[[#This Row],[Request Date]],_05preva_view43[[#This Row],[Close Date]]-_05preva_view43[[#This Row],[Request Date]],"Not  Calculated"))</f>
        <v>1.4839370370027609</v>
      </c>
      <c r="BB158" s="135">
        <f>COUNTIFS(_05preva_view43[Site ID],_05preva_view43[[#This Row],[Site ID]],_05preva_view43[Prevalidation Status],"Under Prevalidation")</f>
        <v>0</v>
      </c>
      <c r="BC158" s="153" t="str">
        <f ca="1">HYPERLINK(CheckPath(_05preva_view43[[#This Row],[File Path]],_05preva_view43[[#This Row],[File Path]],_05preva_view43[[#This Row],[Folder Path3]]),CheckPath(_05preva_view43[[#This Row],[File Path]],"Open File","No File"))</f>
        <v>No File</v>
      </c>
      <c r="BD158" s="136" t="str">
        <f>CONCATENATE(_05preva_view43[[#This Row],[Site ID]]," (",_05preva_view43[[#This Row],[tenant id]],") Application",IF(_05preva_view43[[#This Row],[Colo Rev]]&gt;0," Rev "&amp;_05preva_view43[[#This Row],[Colo Rev]],""),".xlsx")</f>
        <v>1-01-01009-002 (KCN00139) Application Rev 1.xlsx</v>
      </c>
      <c r="BE158" s="64">
        <f t="shared" ca="1" si="4"/>
        <v>50</v>
      </c>
      <c r="BF158" s="104" t="str">
        <f ca="1">LEFT(CELL("filename",A143),_05preva_view43[[#This Row],[Find Process &amp; Database]]-1)</f>
        <v>D:\OneDrive - apollo-towers.com\Apollo Towers\00-</v>
      </c>
      <c r="BG158" s="104" t="str">
        <f ca="1">_05preva_view43[Folder Path1]&amp;"Process &amp; Database\Documentation\Colo Applications"</f>
        <v>D:\OneDrive - apollo-towers.com\Apollo Towers\00-Process &amp; Database\Documentation\Colo Applications</v>
      </c>
      <c r="BH158" s="104" t="str">
        <f ca="1">_05preva_view43[Folder Path2]&amp;"\Colo App "&amp;_05preva_view43[[#This Row],[Operator]]&amp;"\"</f>
        <v>D:\OneDrive - apollo-towers.com\Apollo Towers\00-Process &amp; Database\Documentation\Colo Applications\Colo App MPT\</v>
      </c>
      <c r="BI158" s="63" t="str">
        <f ca="1">_05preva_view43[[#This Row],[Folder Path3]]&amp;_05preva_view43[[#This Row],[File Name]]</f>
        <v>D:\OneDrive - apollo-towers.com\Apollo Towers\00-Process &amp; Database\Documentation\Colo Applications\Colo App MPT\1-01-01009-002 (KCN00139) Application Rev 1.xlsx</v>
      </c>
      <c r="BJ158" s="104"/>
      <c r="BK158" s="3"/>
      <c r="BL158" s="3"/>
      <c r="CJ158" s="5"/>
      <c r="CK158" s="5"/>
      <c r="CL158" s="3"/>
      <c r="CN158" s="5"/>
      <c r="CR158" s="3"/>
      <c r="CS158" s="3"/>
      <c r="CT158" s="5"/>
      <c r="CV158" s="3"/>
      <c r="DR158" s="5"/>
      <c r="DT158" s="3"/>
      <c r="EF158" s="7"/>
      <c r="EG158" s="7"/>
      <c r="EJ158" s="4"/>
      <c r="EK158" s="4"/>
      <c r="EU158" s="2"/>
      <c r="EV158" s="2"/>
    </row>
    <row r="159" spans="1:152">
      <c r="A159" s="125">
        <v>3492</v>
      </c>
      <c r="B159" s="126" t="s">
        <v>1530</v>
      </c>
      <c r="C159" s="126" t="s">
        <v>116</v>
      </c>
      <c r="D159" s="126" t="s">
        <v>127</v>
      </c>
      <c r="E159" s="126" t="s">
        <v>1531</v>
      </c>
      <c r="F159" s="126" t="s">
        <v>35</v>
      </c>
      <c r="G159" s="126" t="s">
        <v>1577</v>
      </c>
      <c r="H159" s="126" t="s">
        <v>1575</v>
      </c>
      <c r="I159" s="126" t="s">
        <v>1532</v>
      </c>
      <c r="J159" s="126" t="s">
        <v>940</v>
      </c>
      <c r="K159" s="127">
        <v>43444</v>
      </c>
      <c r="L159" s="128">
        <v>1.399</v>
      </c>
      <c r="M159" s="128">
        <v>2.1989999999999998</v>
      </c>
      <c r="N159" s="126">
        <v>4.13</v>
      </c>
      <c r="O159" s="126" t="s">
        <v>119</v>
      </c>
      <c r="P159" s="129" t="s">
        <v>276</v>
      </c>
      <c r="Q159" s="129" t="s">
        <v>277</v>
      </c>
      <c r="R159" s="126" t="s">
        <v>24</v>
      </c>
      <c r="S159" s="126"/>
      <c r="T159" s="130" t="s">
        <v>861</v>
      </c>
      <c r="U159" s="126"/>
      <c r="V159" s="130" t="s">
        <v>120</v>
      </c>
      <c r="W159" s="126"/>
      <c r="X159" s="130" t="s">
        <v>120</v>
      </c>
      <c r="Y159" s="126" t="s">
        <v>1533</v>
      </c>
      <c r="Z159" s="162" t="s">
        <v>120</v>
      </c>
      <c r="AA159" s="154"/>
      <c r="AB159" s="154"/>
      <c r="AC159" s="167" t="s">
        <v>123</v>
      </c>
      <c r="AD159" s="126" t="s">
        <v>1534</v>
      </c>
      <c r="AE159" s="130" t="s">
        <v>120</v>
      </c>
      <c r="AF159" s="127"/>
      <c r="AG159" s="131"/>
      <c r="AH159" s="131"/>
      <c r="AI159" s="126" t="s">
        <v>1535</v>
      </c>
      <c r="AJ159" s="130" t="s">
        <v>120</v>
      </c>
      <c r="AK159" s="126" t="s">
        <v>123</v>
      </c>
      <c r="AL159" s="126" t="s">
        <v>1198</v>
      </c>
      <c r="AM159" s="130"/>
      <c r="AN159" s="126"/>
      <c r="AO159" s="132"/>
      <c r="AP159" s="126"/>
      <c r="AQ159" s="126"/>
      <c r="AR159" s="130"/>
      <c r="AS159" s="126"/>
      <c r="AT159" s="127">
        <v>43446.472635879603</v>
      </c>
      <c r="AU159" s="127">
        <v>43445.639606365701</v>
      </c>
      <c r="AV159" s="127">
        <v>43446.542096411999</v>
      </c>
      <c r="AW159" s="127">
        <v>43446.472635879603</v>
      </c>
      <c r="AX159" s="127"/>
      <c r="AY159" s="127">
        <v>43445.434492824097</v>
      </c>
      <c r="AZ159" s="133">
        <v>43447.425435300902</v>
      </c>
      <c r="BA159" s="134">
        <f ca="1">IF(_05preva_view43[[#This Row],[Prevalidation Status]]="Under Prevalidation",NOW()-_05preva_view43[[#This Row],[Request Date]],IF(_05preva_view43[[#This Row],[Close Date]]&gt;_05preva_view43[[#This Row],[Request Date]],_05preva_view43[[#This Row],[Close Date]]-_05preva_view43[[#This Row],[Request Date]],"Not  Calculated"))</f>
        <v>3.4254353009018814</v>
      </c>
      <c r="BB159" s="135">
        <f>COUNTIFS(_05preva_view43[Site ID],_05preva_view43[[#This Row],[Site ID]],_05preva_view43[Prevalidation Status],"Under Prevalidation")</f>
        <v>0</v>
      </c>
      <c r="BC159" s="153" t="str">
        <f ca="1">HYPERLINK(CheckPath(_05preva_view43[[#This Row],[File Path]],_05preva_view43[[#This Row],[File Path]],_05preva_view43[[#This Row],[Folder Path3]]),CheckPath(_05preva_view43[[#This Row],[File Path]],"Open File","No File"))</f>
        <v>No File</v>
      </c>
      <c r="BD159" s="136" t="str">
        <f>CONCATENATE(_05preva_view43[[#This Row],[Site ID]]," (",_05preva_view43[[#This Row],[tenant id]],") Application",IF(_05preva_view43[[#This Row],[Colo Rev]]&gt;0," Rev "&amp;_05preva_view43[[#This Row],[Colo Rev]],""),".xlsx")</f>
        <v>ANMD_0195 (MDY00607) Application Rev 0.xlsx</v>
      </c>
      <c r="BE159" s="64">
        <f t="shared" ca="1" si="4"/>
        <v>50</v>
      </c>
      <c r="BF159" s="104" t="str">
        <f ca="1">LEFT(CELL("filename",A144),_05preva_view43[[#This Row],[Find Process &amp; Database]]-1)</f>
        <v>D:\OneDrive - apollo-towers.com\Apollo Towers\00-</v>
      </c>
      <c r="BG159" s="104" t="str">
        <f ca="1">_05preva_view43[Folder Path1]&amp;"Process &amp; Database\Documentation\Colo Applications"</f>
        <v>D:\OneDrive - apollo-towers.com\Apollo Towers\00-Process &amp; Database\Documentation\Colo Applications</v>
      </c>
      <c r="BH159" s="104" t="str">
        <f ca="1">_05preva_view43[Folder Path2]&amp;"\Colo App "&amp;_05preva_view43[[#This Row],[Operator]]&amp;"\"</f>
        <v>D:\OneDrive - apollo-towers.com\Apollo Towers\00-Process &amp; Database\Documentation\Colo Applications\Colo App MPT\</v>
      </c>
      <c r="BI159" s="63" t="str">
        <f ca="1">_05preva_view43[[#This Row],[Folder Path3]]&amp;_05preva_view43[[#This Row],[File Name]]</f>
        <v>D:\OneDrive - apollo-towers.com\Apollo Towers\00-Process &amp; Database\Documentation\Colo Applications\Colo App MPT\ANMD_0195 (MDY00607) Application Rev 0.xlsx</v>
      </c>
      <c r="BJ159" s="104"/>
      <c r="BK159" s="3"/>
      <c r="BL159" s="3"/>
      <c r="CJ159" s="5"/>
      <c r="CK159" s="5"/>
      <c r="CL159" s="3"/>
      <c r="CN159" s="5"/>
      <c r="CR159" s="3"/>
      <c r="CS159" s="3"/>
      <c r="CT159" s="5"/>
      <c r="CV159" s="3"/>
      <c r="DR159" s="5"/>
      <c r="DT159" s="3"/>
      <c r="EF159" s="7"/>
      <c r="EG159" s="7"/>
      <c r="EJ159" s="4"/>
      <c r="EK159" s="4"/>
      <c r="EU159" s="2"/>
      <c r="EV159" s="2"/>
    </row>
    <row r="160" spans="1:152">
      <c r="A160" s="125">
        <v>3483</v>
      </c>
      <c r="B160" s="126" t="s">
        <v>1498</v>
      </c>
      <c r="C160" s="126" t="s">
        <v>116</v>
      </c>
      <c r="D160" s="126" t="s">
        <v>163</v>
      </c>
      <c r="E160" s="126" t="s">
        <v>1499</v>
      </c>
      <c r="F160" s="126" t="s">
        <v>35</v>
      </c>
      <c r="G160" s="126" t="s">
        <v>1577</v>
      </c>
      <c r="H160" s="126" t="s">
        <v>1575</v>
      </c>
      <c r="I160" s="126" t="s">
        <v>1373</v>
      </c>
      <c r="J160" s="126" t="s">
        <v>931</v>
      </c>
      <c r="K160" s="127">
        <v>43441</v>
      </c>
      <c r="L160" s="128">
        <v>3.28</v>
      </c>
      <c r="M160" s="128">
        <v>4.0999999999999996</v>
      </c>
      <c r="N160" s="126">
        <v>5</v>
      </c>
      <c r="O160" s="126" t="s">
        <v>119</v>
      </c>
      <c r="P160" s="129" t="s">
        <v>1442</v>
      </c>
      <c r="Q160" s="129" t="s">
        <v>1500</v>
      </c>
      <c r="R160" s="126" t="s">
        <v>24</v>
      </c>
      <c r="S160" s="126"/>
      <c r="T160" s="130" t="s">
        <v>861</v>
      </c>
      <c r="U160" s="126"/>
      <c r="V160" s="130" t="s">
        <v>861</v>
      </c>
      <c r="W160" s="126"/>
      <c r="X160" s="130" t="s">
        <v>120</v>
      </c>
      <c r="Y160" s="126" t="s">
        <v>1501</v>
      </c>
      <c r="Z160" s="162" t="s">
        <v>120</v>
      </c>
      <c r="AA160" s="154"/>
      <c r="AB160" s="154"/>
      <c r="AC160" s="167" t="s">
        <v>123</v>
      </c>
      <c r="AD160" s="126" t="s">
        <v>1502</v>
      </c>
      <c r="AE160" s="130" t="s">
        <v>120</v>
      </c>
      <c r="AF160" s="127"/>
      <c r="AG160" s="131"/>
      <c r="AH160" s="131"/>
      <c r="AI160" s="126" t="s">
        <v>1503</v>
      </c>
      <c r="AJ160" s="130" t="s">
        <v>120</v>
      </c>
      <c r="AK160" s="126" t="s">
        <v>123</v>
      </c>
      <c r="AL160" s="126" t="s">
        <v>1198</v>
      </c>
      <c r="AM160" s="130"/>
      <c r="AN160" s="126"/>
      <c r="AO160" s="132"/>
      <c r="AP160" s="126"/>
      <c r="AQ160" s="126"/>
      <c r="AR160" s="130"/>
      <c r="AS160" s="126"/>
      <c r="AT160" s="127">
        <v>43443.930115393501</v>
      </c>
      <c r="AU160" s="127">
        <v>43444.680423611098</v>
      </c>
      <c r="AV160" s="127">
        <v>43445.5993190972</v>
      </c>
      <c r="AW160" s="127">
        <v>43443.930115393501</v>
      </c>
      <c r="AX160" s="127"/>
      <c r="AY160" s="127"/>
      <c r="AZ160" s="133">
        <v>43445.682352546297</v>
      </c>
      <c r="BA160" s="134">
        <f ca="1">IF(_05preva_view43[[#This Row],[Prevalidation Status]]="Under Prevalidation",NOW()-_05preva_view43[[#This Row],[Request Date]],IF(_05preva_view43[[#This Row],[Close Date]]&gt;_05preva_view43[[#This Row],[Request Date]],_05preva_view43[[#This Row],[Close Date]]-_05preva_view43[[#This Row],[Request Date]],"Not  Calculated"))</f>
        <v>4.6823525462968973</v>
      </c>
      <c r="BB160" s="135">
        <f>COUNTIFS(_05preva_view43[Site ID],_05preva_view43[[#This Row],[Site ID]],_05preva_view43[Prevalidation Status],"Under Prevalidation")</f>
        <v>0</v>
      </c>
      <c r="BC160" s="153" t="str">
        <f ca="1">HYPERLINK(CheckPath(_05preva_view43[[#This Row],[File Path]],_05preva_view43[[#This Row],[File Path]],_05preva_view43[[#This Row],[Folder Path3]]),CheckPath(_05preva_view43[[#This Row],[File Path]],"Open File","No File"))</f>
        <v>No File</v>
      </c>
      <c r="BD160" s="136" t="str">
        <f>CONCATENATE(_05preva_view43[[#This Row],[Site ID]]," (",_05preva_view43[[#This Row],[tenant id]],") Application",IF(_05preva_view43[[#This Row],[Colo Rev]]&gt;0," Rev "&amp;_05preva_view43[[#This Row],[Colo Rev]],""),".xlsx")</f>
        <v>AYYN_0225 (YGN00526) Application Rev 1.xlsx</v>
      </c>
      <c r="BE160" s="64">
        <f t="shared" ca="1" si="4"/>
        <v>50</v>
      </c>
      <c r="BF160" s="104" t="str">
        <f ca="1">LEFT(CELL("filename",A145),_05preva_view43[[#This Row],[Find Process &amp; Database]]-1)</f>
        <v>D:\OneDrive - apollo-towers.com\Apollo Towers\00-</v>
      </c>
      <c r="BG160" s="104" t="str">
        <f ca="1">_05preva_view43[Folder Path1]&amp;"Process &amp; Database\Documentation\Colo Applications"</f>
        <v>D:\OneDrive - apollo-towers.com\Apollo Towers\00-Process &amp; Database\Documentation\Colo Applications</v>
      </c>
      <c r="BH160" s="104" t="str">
        <f ca="1">_05preva_view43[Folder Path2]&amp;"\Colo App "&amp;_05preva_view43[[#This Row],[Operator]]&amp;"\"</f>
        <v>D:\OneDrive - apollo-towers.com\Apollo Towers\00-Process &amp; Database\Documentation\Colo Applications\Colo App MPT\</v>
      </c>
      <c r="BI160" s="63" t="str">
        <f ca="1">_05preva_view43[[#This Row],[Folder Path3]]&amp;_05preva_view43[[#This Row],[File Name]]</f>
        <v>D:\OneDrive - apollo-towers.com\Apollo Towers\00-Process &amp; Database\Documentation\Colo Applications\Colo App MPT\AYYN_0225 (YGN00526) Application Rev 1.xlsx</v>
      </c>
      <c r="BJ160" s="104"/>
      <c r="BK160" s="3"/>
      <c r="BL160" s="3"/>
      <c r="CJ160" s="5"/>
      <c r="CK160" s="5"/>
      <c r="CL160" s="3"/>
      <c r="CN160" s="5"/>
      <c r="CR160" s="3"/>
      <c r="CS160" s="3"/>
      <c r="CT160" s="5"/>
      <c r="CV160" s="3"/>
      <c r="DR160" s="5"/>
      <c r="DT160" s="3"/>
      <c r="EF160" s="7"/>
      <c r="EG160" s="7"/>
      <c r="EJ160" s="4"/>
      <c r="EK160" s="4"/>
      <c r="EU160" s="2"/>
      <c r="EV160" s="2"/>
    </row>
    <row r="161" spans="1:152">
      <c r="A161" s="125">
        <v>3484</v>
      </c>
      <c r="B161" s="126" t="s">
        <v>1504</v>
      </c>
      <c r="C161" s="126" t="s">
        <v>331</v>
      </c>
      <c r="D161" s="126" t="s">
        <v>163</v>
      </c>
      <c r="E161" s="126" t="s">
        <v>1505</v>
      </c>
      <c r="F161" s="126" t="s">
        <v>35</v>
      </c>
      <c r="G161" s="126" t="s">
        <v>1583</v>
      </c>
      <c r="H161" s="126" t="s">
        <v>1575</v>
      </c>
      <c r="I161" s="126" t="s">
        <v>1053</v>
      </c>
      <c r="J161" s="126" t="s">
        <v>949</v>
      </c>
      <c r="K161" s="127">
        <v>43441</v>
      </c>
      <c r="L161" s="128">
        <v>2.96</v>
      </c>
      <c r="M161" s="128">
        <v>3.7</v>
      </c>
      <c r="N161" s="126"/>
      <c r="O161" s="126" t="s">
        <v>950</v>
      </c>
      <c r="P161" s="129" t="s">
        <v>704</v>
      </c>
      <c r="Q161" s="129" t="s">
        <v>705</v>
      </c>
      <c r="R161" s="126" t="s">
        <v>24</v>
      </c>
      <c r="S161" s="126"/>
      <c r="T161" s="130" t="s">
        <v>861</v>
      </c>
      <c r="U161" s="126"/>
      <c r="V161" s="130" t="s">
        <v>861</v>
      </c>
      <c r="W161" s="126"/>
      <c r="X161" s="130" t="s">
        <v>861</v>
      </c>
      <c r="Y161" s="126"/>
      <c r="Z161" s="162" t="s">
        <v>861</v>
      </c>
      <c r="AA161" s="154"/>
      <c r="AB161" s="154"/>
      <c r="AC161" s="167"/>
      <c r="AD161" s="126"/>
      <c r="AE161" s="130" t="s">
        <v>120</v>
      </c>
      <c r="AF161" s="127" t="s">
        <v>1167</v>
      </c>
      <c r="AG161" s="131"/>
      <c r="AH161" s="131"/>
      <c r="AI161" s="126" t="s">
        <v>1506</v>
      </c>
      <c r="AJ161" s="130" t="s">
        <v>861</v>
      </c>
      <c r="AK161" s="126"/>
      <c r="AL161" s="126"/>
      <c r="AM161" s="130"/>
      <c r="AN161" s="126"/>
      <c r="AO161" s="132"/>
      <c r="AP161" s="126"/>
      <c r="AQ161" s="126"/>
      <c r="AR161" s="130"/>
      <c r="AS161" s="126"/>
      <c r="AT161" s="127"/>
      <c r="AU161" s="127">
        <v>43444.680427777799</v>
      </c>
      <c r="AV161" s="127"/>
      <c r="AW161" s="127"/>
      <c r="AX161" s="127"/>
      <c r="AY161" s="127"/>
      <c r="AZ161" s="133">
        <v>43445.483932407398</v>
      </c>
      <c r="BA161" s="134">
        <f ca="1">IF(_05preva_view43[[#This Row],[Prevalidation Status]]="Under Prevalidation",NOW()-_05preva_view43[[#This Row],[Request Date]],IF(_05preva_view43[[#This Row],[Close Date]]&gt;_05preva_view43[[#This Row],[Request Date]],_05preva_view43[[#This Row],[Close Date]]-_05preva_view43[[#This Row],[Request Date]],"Not  Calculated"))</f>
        <v>4.4839324073982425</v>
      </c>
      <c r="BB161" s="135">
        <f>COUNTIFS(_05preva_view43[Site ID],_05preva_view43[[#This Row],[Site ID]],_05preva_view43[Prevalidation Status],"Under Prevalidation")</f>
        <v>0</v>
      </c>
      <c r="BC161" s="153" t="str">
        <f ca="1">HYPERLINK(CheckPath(_05preva_view43[[#This Row],[File Path]],_05preva_view43[[#This Row],[File Path]],_05preva_view43[[#This Row],[Folder Path3]]),CheckPath(_05preva_view43[[#This Row],[File Path]],"Open File","No File"))</f>
        <v>No File</v>
      </c>
      <c r="BD161" s="136" t="str">
        <f>CONCATENATE(_05preva_view43[[#This Row],[Site ID]]," (",_05preva_view43[[#This Row],[tenant id]],") Application",IF(_05preva_view43[[#This Row],[Colo Rev]]&gt;0," Rev "&amp;_05preva_view43[[#This Row],[Colo Rev]],""),".xlsx")</f>
        <v>1-01-17019-002 (AWD00413) Application Rev 2.xlsx</v>
      </c>
      <c r="BE161" s="64">
        <f t="shared" ca="1" si="4"/>
        <v>50</v>
      </c>
      <c r="BF161" s="104" t="str">
        <f ca="1">LEFT(CELL("filename",A146),_05preva_view43[[#This Row],[Find Process &amp; Database]]-1)</f>
        <v>D:\OneDrive - apollo-towers.com\Apollo Towers\00-</v>
      </c>
      <c r="BG161" s="104" t="str">
        <f ca="1">_05preva_view43[Folder Path1]&amp;"Process &amp; Database\Documentation\Colo Applications"</f>
        <v>D:\OneDrive - apollo-towers.com\Apollo Towers\00-Process &amp; Database\Documentation\Colo Applications</v>
      </c>
      <c r="BH161" s="104" t="str">
        <f ca="1">_05preva_view43[Folder Path2]&amp;"\Colo App "&amp;_05preva_view43[[#This Row],[Operator]]&amp;"\"</f>
        <v>D:\OneDrive - apollo-towers.com\Apollo Towers\00-Process &amp; Database\Documentation\Colo Applications\Colo App MPT\</v>
      </c>
      <c r="BI161" s="63" t="str">
        <f ca="1">_05preva_view43[[#This Row],[Folder Path3]]&amp;_05preva_view43[[#This Row],[File Name]]</f>
        <v>D:\OneDrive - apollo-towers.com\Apollo Towers\00-Process &amp; Database\Documentation\Colo Applications\Colo App MPT\1-01-17019-002 (AWD00413) Application Rev 2.xlsx</v>
      </c>
      <c r="BJ161" s="104"/>
      <c r="BK161" s="3"/>
      <c r="BL161" s="3"/>
      <c r="CJ161" s="5"/>
      <c r="CK161" s="5"/>
      <c r="CL161" s="3"/>
      <c r="CN161" s="5"/>
      <c r="CR161" s="3"/>
      <c r="CS161" s="3"/>
      <c r="CT161" s="5"/>
      <c r="CV161" s="3"/>
      <c r="DR161" s="5"/>
      <c r="DT161" s="3"/>
      <c r="EF161" s="7"/>
      <c r="EG161" s="7"/>
      <c r="EJ161" s="4"/>
      <c r="EK161" s="4"/>
      <c r="EU161" s="2"/>
      <c r="EV161" s="2"/>
    </row>
    <row r="162" spans="1:152">
      <c r="A162" s="125">
        <v>3485</v>
      </c>
      <c r="B162" s="126" t="s">
        <v>1507</v>
      </c>
      <c r="C162" s="126" t="s">
        <v>331</v>
      </c>
      <c r="D162" s="126" t="s">
        <v>163</v>
      </c>
      <c r="E162" s="126" t="s">
        <v>1508</v>
      </c>
      <c r="F162" s="126" t="s">
        <v>35</v>
      </c>
      <c r="G162" s="126" t="s">
        <v>1583</v>
      </c>
      <c r="H162" s="126" t="s">
        <v>1575</v>
      </c>
      <c r="I162" s="126" t="s">
        <v>1053</v>
      </c>
      <c r="J162" s="126" t="s">
        <v>990</v>
      </c>
      <c r="K162" s="127">
        <v>43441</v>
      </c>
      <c r="L162" s="128">
        <v>2.96</v>
      </c>
      <c r="M162" s="128">
        <v>3.7</v>
      </c>
      <c r="N162" s="126"/>
      <c r="O162" s="126" t="s">
        <v>950</v>
      </c>
      <c r="P162" s="129" t="s">
        <v>958</v>
      </c>
      <c r="Q162" s="129" t="s">
        <v>959</v>
      </c>
      <c r="R162" s="126" t="s">
        <v>24</v>
      </c>
      <c r="S162" s="126"/>
      <c r="T162" s="130" t="s">
        <v>861</v>
      </c>
      <c r="U162" s="126"/>
      <c r="V162" s="130" t="s">
        <v>861</v>
      </c>
      <c r="W162" s="126"/>
      <c r="X162" s="130" t="s">
        <v>861</v>
      </c>
      <c r="Y162" s="126"/>
      <c r="Z162" s="162" t="s">
        <v>861</v>
      </c>
      <c r="AA162" s="154"/>
      <c r="AB162" s="154"/>
      <c r="AC162" s="167"/>
      <c r="AD162" s="126"/>
      <c r="AE162" s="130" t="s">
        <v>120</v>
      </c>
      <c r="AF162" s="127" t="s">
        <v>1167</v>
      </c>
      <c r="AG162" s="131"/>
      <c r="AH162" s="131"/>
      <c r="AI162" s="126" t="s">
        <v>1506</v>
      </c>
      <c r="AJ162" s="130" t="s">
        <v>861</v>
      </c>
      <c r="AK162" s="126"/>
      <c r="AL162" s="126"/>
      <c r="AM162" s="130"/>
      <c r="AN162" s="126"/>
      <c r="AO162" s="132"/>
      <c r="AP162" s="126"/>
      <c r="AQ162" s="126"/>
      <c r="AR162" s="130"/>
      <c r="AS162" s="126"/>
      <c r="AT162" s="127"/>
      <c r="AU162" s="127">
        <v>43444.680430208296</v>
      </c>
      <c r="AV162" s="127"/>
      <c r="AW162" s="127"/>
      <c r="AX162" s="127"/>
      <c r="AY162" s="127"/>
      <c r="AZ162" s="133">
        <v>43445.483933449097</v>
      </c>
      <c r="BA162" s="134">
        <f ca="1">IF(_05preva_view43[[#This Row],[Prevalidation Status]]="Under Prevalidation",NOW()-_05preva_view43[[#This Row],[Request Date]],IF(_05preva_view43[[#This Row],[Close Date]]&gt;_05preva_view43[[#This Row],[Request Date]],_05preva_view43[[#This Row],[Close Date]]-_05preva_view43[[#This Row],[Request Date]],"Not  Calculated"))</f>
        <v>4.4839334490970941</v>
      </c>
      <c r="BB162" s="135">
        <f>COUNTIFS(_05preva_view43[Site ID],_05preva_view43[[#This Row],[Site ID]],_05preva_view43[Prevalidation Status],"Under Prevalidation")</f>
        <v>0</v>
      </c>
      <c r="BC162" s="153" t="str">
        <f ca="1">HYPERLINK(CheckPath(_05preva_view43[[#This Row],[File Path]],_05preva_view43[[#This Row],[File Path]],_05preva_view43[[#This Row],[Folder Path3]]),CheckPath(_05preva_view43[[#This Row],[File Path]],"Open File","No File"))</f>
        <v>No File</v>
      </c>
      <c r="BD162" s="136" t="str">
        <f>CONCATENATE(_05preva_view43[[#This Row],[Site ID]]," (",_05preva_view43[[#This Row],[tenant id]],") Application",IF(_05preva_view43[[#This Row],[Colo Rev]]&gt;0," Rev "&amp;_05preva_view43[[#This Row],[Colo Rev]],""),".xlsx")</f>
        <v>1-01-17011-006 (AWD00287) Application Rev 3.xlsx</v>
      </c>
      <c r="BE162" s="64">
        <f t="shared" ca="1" si="4"/>
        <v>50</v>
      </c>
      <c r="BF162" s="104" t="str">
        <f ca="1">LEFT(CELL("filename",A147),_05preva_view43[[#This Row],[Find Process &amp; Database]]-1)</f>
        <v>D:\OneDrive - apollo-towers.com\Apollo Towers\00-</v>
      </c>
      <c r="BG162" s="104" t="str">
        <f ca="1">_05preva_view43[Folder Path1]&amp;"Process &amp; Database\Documentation\Colo Applications"</f>
        <v>D:\OneDrive - apollo-towers.com\Apollo Towers\00-Process &amp; Database\Documentation\Colo Applications</v>
      </c>
      <c r="BH162" s="104" t="str">
        <f ca="1">_05preva_view43[Folder Path2]&amp;"\Colo App "&amp;_05preva_view43[[#This Row],[Operator]]&amp;"\"</f>
        <v>D:\OneDrive - apollo-towers.com\Apollo Towers\00-Process &amp; Database\Documentation\Colo Applications\Colo App MPT\</v>
      </c>
      <c r="BI162" s="63" t="str">
        <f ca="1">_05preva_view43[[#This Row],[Folder Path3]]&amp;_05preva_view43[[#This Row],[File Name]]</f>
        <v>D:\OneDrive - apollo-towers.com\Apollo Towers\00-Process &amp; Database\Documentation\Colo Applications\Colo App MPT\1-01-17011-006 (AWD00287) Application Rev 3.xlsx</v>
      </c>
      <c r="BJ162" s="104"/>
      <c r="BK162" s="3"/>
      <c r="BL162" s="3"/>
      <c r="CJ162" s="5"/>
      <c r="CK162" s="5"/>
      <c r="CL162" s="3"/>
      <c r="CN162" s="5"/>
      <c r="CR162" s="3"/>
      <c r="CS162" s="3"/>
      <c r="CT162" s="5"/>
      <c r="CV162" s="3"/>
      <c r="DR162" s="5"/>
      <c r="DT162" s="3"/>
      <c r="EF162" s="7"/>
      <c r="EG162" s="7"/>
      <c r="EJ162" s="4"/>
      <c r="EK162" s="4"/>
      <c r="EU162" s="2"/>
      <c r="EV162" s="2"/>
    </row>
    <row r="163" spans="1:152">
      <c r="A163" s="125">
        <v>3486</v>
      </c>
      <c r="B163" s="126" t="s">
        <v>1509</v>
      </c>
      <c r="C163" s="126" t="s">
        <v>331</v>
      </c>
      <c r="D163" s="126" t="s">
        <v>163</v>
      </c>
      <c r="E163" s="126" t="s">
        <v>1510</v>
      </c>
      <c r="F163" s="126" t="s">
        <v>35</v>
      </c>
      <c r="G163" s="126" t="s">
        <v>1583</v>
      </c>
      <c r="H163" s="126" t="s">
        <v>1580</v>
      </c>
      <c r="I163" s="126" t="s">
        <v>1252</v>
      </c>
      <c r="J163" s="126" t="s">
        <v>1091</v>
      </c>
      <c r="K163" s="127">
        <v>43441</v>
      </c>
      <c r="L163" s="128">
        <v>1.5</v>
      </c>
      <c r="M163" s="128"/>
      <c r="N163" s="126"/>
      <c r="O163" s="126" t="s">
        <v>950</v>
      </c>
      <c r="P163" s="129" t="s">
        <v>350</v>
      </c>
      <c r="Q163" s="129" t="s">
        <v>276</v>
      </c>
      <c r="R163" s="126" t="s">
        <v>24</v>
      </c>
      <c r="S163" s="126"/>
      <c r="T163" s="130" t="s">
        <v>861</v>
      </c>
      <c r="U163" s="126"/>
      <c r="V163" s="130" t="s">
        <v>861</v>
      </c>
      <c r="W163" s="126"/>
      <c r="X163" s="130" t="s">
        <v>861</v>
      </c>
      <c r="Y163" s="126"/>
      <c r="Z163" s="162" t="s">
        <v>861</v>
      </c>
      <c r="AA163" s="154"/>
      <c r="AB163" s="154"/>
      <c r="AC163" s="167"/>
      <c r="AD163" s="126"/>
      <c r="AE163" s="130" t="s">
        <v>120</v>
      </c>
      <c r="AF163" s="127" t="s">
        <v>1747</v>
      </c>
      <c r="AG163" s="131"/>
      <c r="AH163" s="131"/>
      <c r="AI163" s="126" t="s">
        <v>1511</v>
      </c>
      <c r="AJ163" s="130" t="s">
        <v>861</v>
      </c>
      <c r="AK163" s="126"/>
      <c r="AL163" s="126"/>
      <c r="AM163" s="130"/>
      <c r="AN163" s="126"/>
      <c r="AO163" s="132"/>
      <c r="AP163" s="126"/>
      <c r="AQ163" s="126"/>
      <c r="AR163" s="130"/>
      <c r="AS163" s="126"/>
      <c r="AT163" s="127"/>
      <c r="AU163" s="127">
        <v>43451.370477546297</v>
      </c>
      <c r="AV163" s="127"/>
      <c r="AW163" s="127"/>
      <c r="AX163" s="127"/>
      <c r="AY163" s="127"/>
      <c r="AZ163" s="133">
        <v>43451.4114625</v>
      </c>
      <c r="BA163" s="134">
        <f ca="1">IF(_05preva_view43[[#This Row],[Prevalidation Status]]="Under Prevalidation",NOW()-_05preva_view43[[#This Row],[Request Date]],IF(_05preva_view43[[#This Row],[Close Date]]&gt;_05preva_view43[[#This Row],[Request Date]],_05preva_view43[[#This Row],[Close Date]]-_05preva_view43[[#This Row],[Request Date]],"Not  Calculated"))</f>
        <v>10.411462500000198</v>
      </c>
      <c r="BB163" s="135">
        <f>COUNTIFS(_05preva_view43[Site ID],_05preva_view43[[#This Row],[Site ID]],_05preva_view43[Prevalidation Status],"Under Prevalidation")</f>
        <v>0</v>
      </c>
      <c r="BC163" s="153" t="str">
        <f ca="1">HYPERLINK(CheckPath(_05preva_view43[[#This Row],[File Path]],_05preva_view43[[#This Row],[File Path]],_05preva_view43[[#This Row],[Folder Path3]]),CheckPath(_05preva_view43[[#This Row],[File Path]],"Open File","No File"))</f>
        <v>No File</v>
      </c>
      <c r="BD163" s="136" t="str">
        <f>CONCATENATE(_05preva_view43[[#This Row],[Site ID]]," (",_05preva_view43[[#This Row],[tenant id]],") Application",IF(_05preva_view43[[#This Row],[Colo Rev]]&gt;0," Rev "&amp;_05preva_view43[[#This Row],[Colo Rev]],""),".xlsx")</f>
        <v>1-03-06008-014 (TNY00361) Application Rev .xlsx</v>
      </c>
      <c r="BE163" s="64">
        <f t="shared" ca="1" si="4"/>
        <v>50</v>
      </c>
      <c r="BF163" s="104" t="str">
        <f ca="1">LEFT(CELL("filename",A148),_05preva_view43[[#This Row],[Find Process &amp; Database]]-1)</f>
        <v>D:\OneDrive - apollo-towers.com\Apollo Towers\00-</v>
      </c>
      <c r="BG163" s="104" t="str">
        <f ca="1">_05preva_view43[Folder Path1]&amp;"Process &amp; Database\Documentation\Colo Applications"</f>
        <v>D:\OneDrive - apollo-towers.com\Apollo Towers\00-Process &amp; Database\Documentation\Colo Applications</v>
      </c>
      <c r="BH163" s="104" t="str">
        <f ca="1">_05preva_view43[Folder Path2]&amp;"\Colo App "&amp;_05preva_view43[[#This Row],[Operator]]&amp;"\"</f>
        <v>D:\OneDrive - apollo-towers.com\Apollo Towers\00-Process &amp; Database\Documentation\Colo Applications\Colo App MPT\</v>
      </c>
      <c r="BI163" s="63" t="str">
        <f ca="1">_05preva_view43[[#This Row],[Folder Path3]]&amp;_05preva_view43[[#This Row],[File Name]]</f>
        <v>D:\OneDrive - apollo-towers.com\Apollo Towers\00-Process &amp; Database\Documentation\Colo Applications\Colo App MPT\1-03-06008-014 (TNY00361) Application Rev .xlsx</v>
      </c>
      <c r="BJ163" s="104"/>
      <c r="BK163" s="3"/>
      <c r="BL163" s="3"/>
      <c r="CJ163" s="5"/>
      <c r="CK163" s="5"/>
      <c r="CL163" s="3"/>
      <c r="CN163" s="5"/>
      <c r="CR163" s="3"/>
      <c r="CS163" s="3"/>
      <c r="CT163" s="5"/>
      <c r="CV163" s="3"/>
      <c r="DR163" s="5"/>
      <c r="DT163" s="3"/>
      <c r="EF163" s="7"/>
      <c r="EG163" s="7"/>
      <c r="EJ163" s="4"/>
      <c r="EK163" s="4"/>
      <c r="EU163" s="2"/>
      <c r="EV163" s="2"/>
    </row>
    <row r="164" spans="1:152">
      <c r="A164" s="125">
        <v>3477</v>
      </c>
      <c r="B164" s="126" t="s">
        <v>356</v>
      </c>
      <c r="C164" s="126" t="s">
        <v>116</v>
      </c>
      <c r="D164" s="126" t="s">
        <v>127</v>
      </c>
      <c r="E164" s="126" t="s">
        <v>1476</v>
      </c>
      <c r="F164" s="126" t="s">
        <v>41</v>
      </c>
      <c r="G164" s="126" t="s">
        <v>1412</v>
      </c>
      <c r="H164" s="126" t="s">
        <v>1319</v>
      </c>
      <c r="I164" s="126" t="s">
        <v>1143</v>
      </c>
      <c r="J164" s="126" t="s">
        <v>940</v>
      </c>
      <c r="K164" s="127">
        <v>43440</v>
      </c>
      <c r="L164" s="128"/>
      <c r="M164" s="128">
        <v>2</v>
      </c>
      <c r="N164" s="126">
        <v>3</v>
      </c>
      <c r="O164" s="126" t="s">
        <v>119</v>
      </c>
      <c r="P164" s="129" t="s">
        <v>339</v>
      </c>
      <c r="Q164" s="129" t="s">
        <v>256</v>
      </c>
      <c r="R164" s="126" t="s">
        <v>24</v>
      </c>
      <c r="S164" s="126"/>
      <c r="T164" s="130" t="s">
        <v>861</v>
      </c>
      <c r="U164" s="126" t="s">
        <v>1748</v>
      </c>
      <c r="V164" s="130" t="s">
        <v>120</v>
      </c>
      <c r="W164" s="126"/>
      <c r="X164" s="130" t="s">
        <v>120</v>
      </c>
      <c r="Y164" s="126" t="s">
        <v>1477</v>
      </c>
      <c r="Z164" s="162" t="s">
        <v>120</v>
      </c>
      <c r="AA164" s="154"/>
      <c r="AB164" s="154"/>
      <c r="AC164" s="167" t="s">
        <v>123</v>
      </c>
      <c r="AD164" s="126" t="s">
        <v>1478</v>
      </c>
      <c r="AE164" s="130" t="s">
        <v>120</v>
      </c>
      <c r="AF164" s="127" t="s">
        <v>1167</v>
      </c>
      <c r="AG164" s="131"/>
      <c r="AH164" s="131"/>
      <c r="AI164" s="126" t="s">
        <v>1417</v>
      </c>
      <c r="AJ164" s="130" t="s">
        <v>120</v>
      </c>
      <c r="AK164" s="126" t="s">
        <v>123</v>
      </c>
      <c r="AL164" s="126" t="s">
        <v>1418</v>
      </c>
      <c r="AM164" s="130"/>
      <c r="AN164" s="126"/>
      <c r="AO164" s="132"/>
      <c r="AP164" s="126"/>
      <c r="AQ164" s="126"/>
      <c r="AR164" s="130"/>
      <c r="AS164" s="126"/>
      <c r="AT164" s="127">
        <v>43440.497927893499</v>
      </c>
      <c r="AU164" s="127">
        <v>43444.680405555599</v>
      </c>
      <c r="AV164" s="127">
        <v>43441.421344907401</v>
      </c>
      <c r="AW164" s="127">
        <v>43440.497927893499</v>
      </c>
      <c r="AX164" s="127"/>
      <c r="AY164" s="127">
        <v>43444.668278240701</v>
      </c>
      <c r="AZ164" s="133">
        <v>43482.756292245402</v>
      </c>
      <c r="BA164" s="134">
        <f ca="1">IF(_05preva_view43[[#This Row],[Prevalidation Status]]="Under Prevalidation",NOW()-_05preva_view43[[#This Row],[Request Date]],IF(_05preva_view43[[#This Row],[Close Date]]&gt;_05preva_view43[[#This Row],[Request Date]],_05preva_view43[[#This Row],[Close Date]]-_05preva_view43[[#This Row],[Request Date]],"Not  Calculated"))</f>
        <v>42.75629224540171</v>
      </c>
      <c r="BB164" s="135">
        <f>COUNTIFS(_05preva_view43[Site ID],_05preva_view43[[#This Row],[Site ID]],_05preva_view43[Prevalidation Status],"Under Prevalidation")</f>
        <v>1</v>
      </c>
      <c r="BC164" s="153" t="str">
        <f ca="1">HYPERLINK(CheckPath(_05preva_view43[[#This Row],[File Path]],_05preva_view43[[#This Row],[File Path]],_05preva_view43[[#This Row],[Folder Path3]]),CheckPath(_05preva_view43[[#This Row],[File Path]],"Open File","No File"))</f>
        <v>No File</v>
      </c>
      <c r="BD164" s="136" t="str">
        <f>CONCATENATE(_05preva_view43[[#This Row],[Site ID]]," (",_05preva_view43[[#This Row],[tenant id]],") Application",IF(_05preva_view43[[#This Row],[Colo Rev]]&gt;0," Rev "&amp;_05preva_view43[[#This Row],[Colo Rev]],""),".xlsx")</f>
        <v>ANMD_0004 (MDYAMTZ010) Application Rev 0.xlsx</v>
      </c>
      <c r="BE164" s="64">
        <f t="shared" ca="1" si="4"/>
        <v>50</v>
      </c>
      <c r="BF164" s="104" t="str">
        <f ca="1">LEFT(CELL("filename",A149),_05preva_view43[[#This Row],[Find Process &amp; Database]]-1)</f>
        <v>D:\OneDrive - apollo-towers.com\Apollo Towers\00-</v>
      </c>
      <c r="BG164" s="104" t="str">
        <f ca="1">_05preva_view43[Folder Path1]&amp;"Process &amp; Database\Documentation\Colo Applications"</f>
        <v>D:\OneDrive - apollo-towers.com\Apollo Towers\00-Process &amp; Database\Documentation\Colo Applications</v>
      </c>
      <c r="BH164" s="104" t="str">
        <f ca="1">_05preva_view43[Folder Path2]&amp;"\Colo App "&amp;_05preva_view43[[#This Row],[Operator]]&amp;"\"</f>
        <v>D:\OneDrive - apollo-towers.com\Apollo Towers\00-Process &amp; Database\Documentation\Colo Applications\Colo App Amara\</v>
      </c>
      <c r="BI164" s="63" t="str">
        <f ca="1">_05preva_view43[[#This Row],[Folder Path3]]&amp;_05preva_view43[[#This Row],[File Name]]</f>
        <v>D:\OneDrive - apollo-towers.com\Apollo Towers\00-Process &amp; Database\Documentation\Colo Applications\Colo App Amara\ANMD_0004 (MDYAMTZ010) Application Rev 0.xlsx</v>
      </c>
      <c r="BJ164" s="104"/>
      <c r="BK164" s="3"/>
      <c r="BL164" s="3"/>
      <c r="CJ164" s="5"/>
      <c r="CK164" s="5"/>
      <c r="CL164" s="3"/>
      <c r="CN164" s="5"/>
      <c r="CR164" s="3"/>
      <c r="CS164" s="3"/>
      <c r="CT164" s="5"/>
      <c r="CV164" s="3"/>
      <c r="DR164" s="5"/>
      <c r="DT164" s="3"/>
      <c r="EF164" s="7"/>
      <c r="EG164" s="7"/>
      <c r="EJ164" s="4"/>
      <c r="EK164" s="4"/>
      <c r="EU164" s="2"/>
      <c r="EV164" s="2"/>
    </row>
    <row r="165" spans="1:152">
      <c r="A165" s="125">
        <v>3478</v>
      </c>
      <c r="B165" s="126" t="s">
        <v>1479</v>
      </c>
      <c r="C165" s="126" t="s">
        <v>116</v>
      </c>
      <c r="D165" s="126" t="s">
        <v>127</v>
      </c>
      <c r="E165" s="126" t="s">
        <v>1480</v>
      </c>
      <c r="F165" s="126" t="s">
        <v>41</v>
      </c>
      <c r="G165" s="126" t="s">
        <v>1412</v>
      </c>
      <c r="H165" s="126" t="s">
        <v>1319</v>
      </c>
      <c r="I165" s="126" t="s">
        <v>1143</v>
      </c>
      <c r="J165" s="126" t="s">
        <v>940</v>
      </c>
      <c r="K165" s="127">
        <v>43440</v>
      </c>
      <c r="L165" s="128"/>
      <c r="M165" s="128">
        <v>2</v>
      </c>
      <c r="N165" s="126">
        <v>3</v>
      </c>
      <c r="O165" s="126" t="s">
        <v>119</v>
      </c>
      <c r="P165" s="129" t="s">
        <v>338</v>
      </c>
      <c r="Q165" s="129" t="s">
        <v>339</v>
      </c>
      <c r="R165" s="126" t="s">
        <v>24</v>
      </c>
      <c r="S165" s="126"/>
      <c r="T165" s="130" t="s">
        <v>120</v>
      </c>
      <c r="U165" s="126" t="s">
        <v>1746</v>
      </c>
      <c r="V165" s="130" t="s">
        <v>120</v>
      </c>
      <c r="W165" s="126"/>
      <c r="X165" s="130" t="s">
        <v>120</v>
      </c>
      <c r="Y165" s="126" t="s">
        <v>1481</v>
      </c>
      <c r="Z165" s="162" t="s">
        <v>120</v>
      </c>
      <c r="AA165" s="154"/>
      <c r="AB165" s="154"/>
      <c r="AC165" s="167" t="s">
        <v>123</v>
      </c>
      <c r="AD165" s="126" t="s">
        <v>1482</v>
      </c>
      <c r="AE165" s="130" t="s">
        <v>120</v>
      </c>
      <c r="AF165" s="127" t="s">
        <v>1167</v>
      </c>
      <c r="AG165" s="131"/>
      <c r="AH165" s="131"/>
      <c r="AI165" s="126" t="s">
        <v>1417</v>
      </c>
      <c r="AJ165" s="130" t="s">
        <v>120</v>
      </c>
      <c r="AK165" s="126" t="s">
        <v>123</v>
      </c>
      <c r="AL165" s="126" t="s">
        <v>1418</v>
      </c>
      <c r="AM165" s="130"/>
      <c r="AN165" s="126"/>
      <c r="AO165" s="132"/>
      <c r="AP165" s="126"/>
      <c r="AQ165" s="126"/>
      <c r="AR165" s="130"/>
      <c r="AS165" s="126"/>
      <c r="AT165" s="127">
        <v>43440.4979290509</v>
      </c>
      <c r="AU165" s="127">
        <v>43444.680409375003</v>
      </c>
      <c r="AV165" s="127">
        <v>43441.421349768498</v>
      </c>
      <c r="AW165" s="127">
        <v>43440.4979290509</v>
      </c>
      <c r="AX165" s="127">
        <v>43460.604108217602</v>
      </c>
      <c r="AY165" s="127">
        <v>43444.668279166697</v>
      </c>
      <c r="AZ165" s="133">
        <v>43475.681592013898</v>
      </c>
      <c r="BA165" s="134">
        <f ca="1">IF(_05preva_view43[[#This Row],[Prevalidation Status]]="Under Prevalidation",NOW()-_05preva_view43[[#This Row],[Request Date]],IF(_05preva_view43[[#This Row],[Close Date]]&gt;_05preva_view43[[#This Row],[Request Date]],_05preva_view43[[#This Row],[Close Date]]-_05preva_view43[[#This Row],[Request Date]],"Not  Calculated"))</f>
        <v>35.681592013897898</v>
      </c>
      <c r="BB165" s="135">
        <f>COUNTIFS(_05preva_view43[Site ID],_05preva_view43[[#This Row],[Site ID]],_05preva_view43[Prevalidation Status],"Under Prevalidation")</f>
        <v>0</v>
      </c>
      <c r="BC165" s="153" t="str">
        <f ca="1">HYPERLINK(CheckPath(_05preva_view43[[#This Row],[File Path]],_05preva_view43[[#This Row],[File Path]],_05preva_view43[[#This Row],[Folder Path3]]),CheckPath(_05preva_view43[[#This Row],[File Path]],"Open File","No File"))</f>
        <v>No File</v>
      </c>
      <c r="BD165" s="136" t="str">
        <f>CONCATENATE(_05preva_view43[[#This Row],[Site ID]]," (",_05preva_view43[[#This Row],[tenant id]],") Application",IF(_05preva_view43[[#This Row],[Colo Rev]]&gt;0," Rev "&amp;_05preva_view43[[#This Row],[Colo Rev]],""),".xlsx")</f>
        <v>ANMD_0173 (MDYPGTG007) Application Rev 0.xlsx</v>
      </c>
      <c r="BE165" s="64">
        <f t="shared" ca="1" si="4"/>
        <v>50</v>
      </c>
      <c r="BF165" s="104" t="str">
        <f ca="1">LEFT(CELL("filename",A150),_05preva_view43[[#This Row],[Find Process &amp; Database]]-1)</f>
        <v>D:\OneDrive - apollo-towers.com\Apollo Towers\00-</v>
      </c>
      <c r="BG165" s="104" t="str">
        <f ca="1">_05preva_view43[Folder Path1]&amp;"Process &amp; Database\Documentation\Colo Applications"</f>
        <v>D:\OneDrive - apollo-towers.com\Apollo Towers\00-Process &amp; Database\Documentation\Colo Applications</v>
      </c>
      <c r="BH165" s="104" t="str">
        <f ca="1">_05preva_view43[Folder Path2]&amp;"\Colo App "&amp;_05preva_view43[[#This Row],[Operator]]&amp;"\"</f>
        <v>D:\OneDrive - apollo-towers.com\Apollo Towers\00-Process &amp; Database\Documentation\Colo Applications\Colo App Amara\</v>
      </c>
      <c r="BI165" s="63" t="str">
        <f ca="1">_05preva_view43[[#This Row],[Folder Path3]]&amp;_05preva_view43[[#This Row],[File Name]]</f>
        <v>D:\OneDrive - apollo-towers.com\Apollo Towers\00-Process &amp; Database\Documentation\Colo Applications\Colo App Amara\ANMD_0173 (MDYPGTG007) Application Rev 0.xlsx</v>
      </c>
      <c r="BJ165" s="104"/>
      <c r="BK165" s="3"/>
      <c r="BL165" s="3"/>
      <c r="CJ165" s="5"/>
      <c r="CK165" s="5"/>
      <c r="CL165" s="3"/>
      <c r="CN165" s="5"/>
      <c r="CR165" s="3"/>
      <c r="CS165" s="3"/>
      <c r="CT165" s="5"/>
      <c r="CV165" s="3"/>
      <c r="DR165" s="5"/>
      <c r="DT165" s="3"/>
      <c r="EF165" s="7"/>
      <c r="EG165" s="7"/>
      <c r="EJ165" s="4"/>
      <c r="EK165" s="4"/>
      <c r="EU165" s="2"/>
      <c r="EV165" s="2"/>
    </row>
    <row r="166" spans="1:152">
      <c r="A166" s="125">
        <v>3479</v>
      </c>
      <c r="B166" s="126" t="s">
        <v>653</v>
      </c>
      <c r="C166" s="126" t="s">
        <v>116</v>
      </c>
      <c r="D166" s="126" t="s">
        <v>127</v>
      </c>
      <c r="E166" s="126" t="s">
        <v>1483</v>
      </c>
      <c r="F166" s="126" t="s">
        <v>41</v>
      </c>
      <c r="G166" s="126" t="s">
        <v>1412</v>
      </c>
      <c r="H166" s="126" t="s">
        <v>1319</v>
      </c>
      <c r="I166" s="126" t="s">
        <v>1143</v>
      </c>
      <c r="J166" s="126" t="s">
        <v>940</v>
      </c>
      <c r="K166" s="127">
        <v>43440</v>
      </c>
      <c r="L166" s="128"/>
      <c r="M166" s="128">
        <v>2</v>
      </c>
      <c r="N166" s="126">
        <v>3</v>
      </c>
      <c r="O166" s="126" t="s">
        <v>119</v>
      </c>
      <c r="P166" s="129" t="s">
        <v>270</v>
      </c>
      <c r="Q166" s="129" t="s">
        <v>285</v>
      </c>
      <c r="R166" s="126" t="s">
        <v>24</v>
      </c>
      <c r="S166" s="126"/>
      <c r="T166" s="130" t="s">
        <v>120</v>
      </c>
      <c r="U166" s="126" t="s">
        <v>1707</v>
      </c>
      <c r="V166" s="130" t="s">
        <v>120</v>
      </c>
      <c r="W166" s="126"/>
      <c r="X166" s="130" t="s">
        <v>120</v>
      </c>
      <c r="Y166" s="126" t="s">
        <v>1484</v>
      </c>
      <c r="Z166" s="162" t="s">
        <v>120</v>
      </c>
      <c r="AA166" s="154"/>
      <c r="AB166" s="154"/>
      <c r="AC166" s="167" t="s">
        <v>123</v>
      </c>
      <c r="AD166" s="126" t="s">
        <v>1485</v>
      </c>
      <c r="AE166" s="130" t="s">
        <v>120</v>
      </c>
      <c r="AF166" s="127" t="s">
        <v>1167</v>
      </c>
      <c r="AG166" s="131"/>
      <c r="AH166" s="131"/>
      <c r="AI166" s="126" t="s">
        <v>1417</v>
      </c>
      <c r="AJ166" s="130" t="s">
        <v>120</v>
      </c>
      <c r="AK166" s="126" t="s">
        <v>123</v>
      </c>
      <c r="AL166" s="126" t="s">
        <v>1418</v>
      </c>
      <c r="AM166" s="130"/>
      <c r="AN166" s="126"/>
      <c r="AO166" s="132"/>
      <c r="AP166" s="126"/>
      <c r="AQ166" s="126"/>
      <c r="AR166" s="130"/>
      <c r="AS166" s="126"/>
      <c r="AT166" s="127">
        <v>43440.497929976897</v>
      </c>
      <c r="AU166" s="127">
        <v>43444.680411574103</v>
      </c>
      <c r="AV166" s="127">
        <v>43441.421354861101</v>
      </c>
      <c r="AW166" s="127">
        <v>43440.497929976897</v>
      </c>
      <c r="AX166" s="127">
        <v>43460.604110185202</v>
      </c>
      <c r="AY166" s="127">
        <v>43444.668283796302</v>
      </c>
      <c r="AZ166" s="133">
        <v>43475.681592708301</v>
      </c>
      <c r="BA166" s="134">
        <f ca="1">IF(_05preva_view43[[#This Row],[Prevalidation Status]]="Under Prevalidation",NOW()-_05preva_view43[[#This Row],[Request Date]],IF(_05preva_view43[[#This Row],[Close Date]]&gt;_05preva_view43[[#This Row],[Request Date]],_05preva_view43[[#This Row],[Close Date]]-_05preva_view43[[#This Row],[Request Date]],"Not  Calculated"))</f>
        <v>35.681592708300741</v>
      </c>
      <c r="BB166" s="135">
        <f>COUNTIFS(_05preva_view43[Site ID],_05preva_view43[[#This Row],[Site ID]],_05preva_view43[Prevalidation Status],"Under Prevalidation")</f>
        <v>0</v>
      </c>
      <c r="BC166" s="153" t="str">
        <f ca="1">HYPERLINK(CheckPath(_05preva_view43[[#This Row],[File Path]],_05preva_view43[[#This Row],[File Path]],_05preva_view43[[#This Row],[Folder Path3]]),CheckPath(_05preva_view43[[#This Row],[File Path]],"Open File","No File"))</f>
        <v>No File</v>
      </c>
      <c r="BD166" s="136" t="str">
        <f>CONCATENATE(_05preva_view43[[#This Row],[Site ID]]," (",_05preva_view43[[#This Row],[tenant id]],") Application",IF(_05preva_view43[[#This Row],[Colo Rev]]&gt;0," Rev "&amp;_05preva_view43[[#This Row],[Colo Rev]],""),".xlsx")</f>
        <v>ANMD_0164 (MDYPGTG010) Application Rev 0.xlsx</v>
      </c>
      <c r="BE166" s="64">
        <f t="shared" ca="1" si="4"/>
        <v>50</v>
      </c>
      <c r="BF166" s="104" t="str">
        <f ca="1">LEFT(CELL("filename",A151),_05preva_view43[[#This Row],[Find Process &amp; Database]]-1)</f>
        <v>D:\OneDrive - apollo-towers.com\Apollo Towers\00-</v>
      </c>
      <c r="BG166" s="104" t="str">
        <f ca="1">_05preva_view43[Folder Path1]&amp;"Process &amp; Database\Documentation\Colo Applications"</f>
        <v>D:\OneDrive - apollo-towers.com\Apollo Towers\00-Process &amp; Database\Documentation\Colo Applications</v>
      </c>
      <c r="BH166" s="104" t="str">
        <f ca="1">_05preva_view43[Folder Path2]&amp;"\Colo App "&amp;_05preva_view43[[#This Row],[Operator]]&amp;"\"</f>
        <v>D:\OneDrive - apollo-towers.com\Apollo Towers\00-Process &amp; Database\Documentation\Colo Applications\Colo App Amara\</v>
      </c>
      <c r="BI166" s="63" t="str">
        <f ca="1">_05preva_view43[[#This Row],[Folder Path3]]&amp;_05preva_view43[[#This Row],[File Name]]</f>
        <v>D:\OneDrive - apollo-towers.com\Apollo Towers\00-Process &amp; Database\Documentation\Colo Applications\Colo App Amara\ANMD_0164 (MDYPGTG010) Application Rev 0.xlsx</v>
      </c>
      <c r="BJ166" s="104"/>
      <c r="BK166" s="3"/>
      <c r="BL166" s="3"/>
      <c r="CJ166" s="5"/>
      <c r="CK166" s="5"/>
      <c r="CL166" s="3"/>
      <c r="CN166" s="5"/>
      <c r="CR166" s="3"/>
      <c r="CS166" s="3"/>
      <c r="CT166" s="5"/>
      <c r="CV166" s="3"/>
      <c r="DR166" s="5"/>
      <c r="DT166" s="3"/>
      <c r="EF166" s="7"/>
      <c r="EG166" s="7"/>
      <c r="EJ166" s="4"/>
      <c r="EK166" s="4"/>
      <c r="EU166" s="2"/>
      <c r="EV166" s="2"/>
    </row>
    <row r="167" spans="1:152">
      <c r="A167" s="125">
        <v>3480</v>
      </c>
      <c r="B167" s="126" t="s">
        <v>1486</v>
      </c>
      <c r="C167" s="126" t="s">
        <v>116</v>
      </c>
      <c r="D167" s="126" t="s">
        <v>127</v>
      </c>
      <c r="E167" s="126" t="s">
        <v>1487</v>
      </c>
      <c r="F167" s="126" t="s">
        <v>41</v>
      </c>
      <c r="G167" s="126" t="s">
        <v>1412</v>
      </c>
      <c r="H167" s="126" t="s">
        <v>1319</v>
      </c>
      <c r="I167" s="126" t="s">
        <v>1143</v>
      </c>
      <c r="J167" s="126" t="s">
        <v>940</v>
      </c>
      <c r="K167" s="127">
        <v>43440</v>
      </c>
      <c r="L167" s="128"/>
      <c r="M167" s="128">
        <v>2</v>
      </c>
      <c r="N167" s="126">
        <v>3</v>
      </c>
      <c r="O167" s="126" t="s">
        <v>119</v>
      </c>
      <c r="P167" s="129" t="s">
        <v>858</v>
      </c>
      <c r="Q167" s="129" t="s">
        <v>338</v>
      </c>
      <c r="R167" s="126" t="s">
        <v>27</v>
      </c>
      <c r="S167" s="126"/>
      <c r="T167" s="130" t="s">
        <v>125</v>
      </c>
      <c r="U167" s="126" t="s">
        <v>1749</v>
      </c>
      <c r="V167" s="130" t="s">
        <v>120</v>
      </c>
      <c r="W167" s="126"/>
      <c r="X167" s="130" t="s">
        <v>120</v>
      </c>
      <c r="Y167" s="126" t="s">
        <v>1443</v>
      </c>
      <c r="Z167" s="162"/>
      <c r="AA167" s="154"/>
      <c r="AB167" s="154"/>
      <c r="AC167" s="167"/>
      <c r="AD167" s="126" t="s">
        <v>1488</v>
      </c>
      <c r="AE167" s="130" t="s">
        <v>120</v>
      </c>
      <c r="AF167" s="127" t="s">
        <v>1167</v>
      </c>
      <c r="AG167" s="131"/>
      <c r="AH167" s="131"/>
      <c r="AI167" s="126" t="s">
        <v>1417</v>
      </c>
      <c r="AJ167" s="130" t="s">
        <v>120</v>
      </c>
      <c r="AK167" s="126" t="s">
        <v>123</v>
      </c>
      <c r="AL167" s="126" t="s">
        <v>1418</v>
      </c>
      <c r="AM167" s="130"/>
      <c r="AN167" s="126"/>
      <c r="AO167" s="132"/>
      <c r="AP167" s="126"/>
      <c r="AQ167" s="126"/>
      <c r="AR167" s="130"/>
      <c r="AS167" s="126"/>
      <c r="AT167" s="127">
        <v>43440.49793125</v>
      </c>
      <c r="AU167" s="127">
        <v>43444.680415277799</v>
      </c>
      <c r="AV167" s="127"/>
      <c r="AW167" s="127">
        <v>43440.49793125</v>
      </c>
      <c r="AX167" s="127"/>
      <c r="AY167" s="127">
        <v>43462.484726504597</v>
      </c>
      <c r="AZ167" s="133">
        <v>43475.703753472197</v>
      </c>
      <c r="BA167" s="134">
        <f ca="1">IF(_05preva_view43[[#This Row],[Prevalidation Status]]="Under Prevalidation",NOW()-_05preva_view43[[#This Row],[Request Date]],IF(_05preva_view43[[#This Row],[Close Date]]&gt;_05preva_view43[[#This Row],[Request Date]],_05preva_view43[[#This Row],[Close Date]]-_05preva_view43[[#This Row],[Request Date]],"Not  Calculated"))</f>
        <v>35.703753472196695</v>
      </c>
      <c r="BB167" s="135">
        <f>COUNTIFS(_05preva_view43[Site ID],_05preva_view43[[#This Row],[Site ID]],_05preva_view43[Prevalidation Status],"Under Prevalidation")</f>
        <v>0</v>
      </c>
      <c r="BC167" s="153" t="str">
        <f ca="1">HYPERLINK(CheckPath(_05preva_view43[[#This Row],[File Path]],_05preva_view43[[#This Row],[File Path]],_05preva_view43[[#This Row],[Folder Path3]]),CheckPath(_05preva_view43[[#This Row],[File Path]],"Open File","No File"))</f>
        <v>No File</v>
      </c>
      <c r="BD167" s="136" t="str">
        <f>CONCATENATE(_05preva_view43[[#This Row],[Site ID]]," (",_05preva_view43[[#This Row],[tenant id]],") Application",IF(_05preva_view43[[#This Row],[Colo Rev]]&gt;0," Rev "&amp;_05preva_view43[[#This Row],[Colo Rev]],""),".xlsx")</f>
        <v>ANMD_0010 (MDYMHAM065) Application Rev 0.xlsx</v>
      </c>
      <c r="BE167" s="64">
        <f t="shared" ca="1" si="4"/>
        <v>50</v>
      </c>
      <c r="BF167" s="104" t="str">
        <f ca="1">LEFT(CELL("filename",A152),_05preva_view43[[#This Row],[Find Process &amp; Database]]-1)</f>
        <v>D:\OneDrive - apollo-towers.com\Apollo Towers\00-</v>
      </c>
      <c r="BG167" s="104" t="str">
        <f ca="1">_05preva_view43[Folder Path1]&amp;"Process &amp; Database\Documentation\Colo Applications"</f>
        <v>D:\OneDrive - apollo-towers.com\Apollo Towers\00-Process &amp; Database\Documentation\Colo Applications</v>
      </c>
      <c r="BH167" s="104" t="str">
        <f ca="1">_05preva_view43[Folder Path2]&amp;"\Colo App "&amp;_05preva_view43[[#This Row],[Operator]]&amp;"\"</f>
        <v>D:\OneDrive - apollo-towers.com\Apollo Towers\00-Process &amp; Database\Documentation\Colo Applications\Colo App Amara\</v>
      </c>
      <c r="BI167" s="63" t="str">
        <f ca="1">_05preva_view43[[#This Row],[Folder Path3]]&amp;_05preva_view43[[#This Row],[File Name]]</f>
        <v>D:\OneDrive - apollo-towers.com\Apollo Towers\00-Process &amp; Database\Documentation\Colo Applications\Colo App Amara\ANMD_0010 (MDYMHAM065) Application Rev 0.xlsx</v>
      </c>
      <c r="BJ167" s="104"/>
      <c r="BK167" s="3"/>
      <c r="BL167" s="3"/>
      <c r="CJ167" s="5"/>
      <c r="CK167" s="5"/>
      <c r="CL167" s="3"/>
      <c r="CN167" s="5"/>
      <c r="CR167" s="3"/>
      <c r="CS167" s="3"/>
      <c r="CT167" s="5"/>
      <c r="CV167" s="3"/>
      <c r="DR167" s="5"/>
      <c r="DT167" s="3"/>
      <c r="EF167" s="7"/>
      <c r="EG167" s="7"/>
      <c r="EJ167" s="4"/>
      <c r="EK167" s="4"/>
      <c r="EU167" s="2"/>
      <c r="EV167" s="2"/>
    </row>
    <row r="168" spans="1:152">
      <c r="A168" s="125">
        <v>3481</v>
      </c>
      <c r="B168" s="126" t="s">
        <v>1489</v>
      </c>
      <c r="C168" s="126" t="s">
        <v>331</v>
      </c>
      <c r="D168" s="126" t="s">
        <v>127</v>
      </c>
      <c r="E168" s="126" t="s">
        <v>1490</v>
      </c>
      <c r="F168" s="126" t="s">
        <v>41</v>
      </c>
      <c r="G168" s="126" t="s">
        <v>1412</v>
      </c>
      <c r="H168" s="126" t="s">
        <v>1319</v>
      </c>
      <c r="I168" s="126" t="s">
        <v>1143</v>
      </c>
      <c r="J168" s="126" t="s">
        <v>940</v>
      </c>
      <c r="K168" s="127">
        <v>43440</v>
      </c>
      <c r="L168" s="128"/>
      <c r="M168" s="128">
        <v>2</v>
      </c>
      <c r="N168" s="126">
        <v>3</v>
      </c>
      <c r="O168" s="126" t="s">
        <v>119</v>
      </c>
      <c r="P168" s="129" t="s">
        <v>285</v>
      </c>
      <c r="Q168" s="129" t="s">
        <v>263</v>
      </c>
      <c r="R168" s="126" t="s">
        <v>24</v>
      </c>
      <c r="S168" s="126"/>
      <c r="T168" s="130" t="s">
        <v>120</v>
      </c>
      <c r="U168" s="126"/>
      <c r="V168" s="130" t="s">
        <v>120</v>
      </c>
      <c r="W168" s="126"/>
      <c r="X168" s="130" t="s">
        <v>120</v>
      </c>
      <c r="Y168" s="126" t="s">
        <v>1491</v>
      </c>
      <c r="Z168" s="162" t="s">
        <v>120</v>
      </c>
      <c r="AA168" s="154"/>
      <c r="AB168" s="154"/>
      <c r="AC168" s="167" t="s">
        <v>123</v>
      </c>
      <c r="AD168" s="126" t="s">
        <v>1492</v>
      </c>
      <c r="AE168" s="130" t="s">
        <v>120</v>
      </c>
      <c r="AF168" s="127" t="s">
        <v>1167</v>
      </c>
      <c r="AG168" s="131"/>
      <c r="AH168" s="131"/>
      <c r="AI168" s="126" t="s">
        <v>1417</v>
      </c>
      <c r="AJ168" s="130" t="s">
        <v>120</v>
      </c>
      <c r="AK168" s="126" t="s">
        <v>240</v>
      </c>
      <c r="AL168" s="126" t="s">
        <v>1493</v>
      </c>
      <c r="AM168" s="130"/>
      <c r="AN168" s="126"/>
      <c r="AO168" s="132"/>
      <c r="AP168" s="126"/>
      <c r="AQ168" s="126"/>
      <c r="AR168" s="130"/>
      <c r="AS168" s="126"/>
      <c r="AT168" s="127">
        <v>43441.359249421301</v>
      </c>
      <c r="AU168" s="127">
        <v>43444.680417592601</v>
      </c>
      <c r="AV168" s="127">
        <v>43444.452038194402</v>
      </c>
      <c r="AW168" s="127">
        <v>43441.359249421301</v>
      </c>
      <c r="AX168" s="127">
        <v>43472.656799536999</v>
      </c>
      <c r="AY168" s="127">
        <v>43479.4084925926</v>
      </c>
      <c r="AZ168" s="133">
        <v>43479.610190277803</v>
      </c>
      <c r="BA168" s="134">
        <f ca="1">IF(_05preva_view43[[#This Row],[Prevalidation Status]]="Under Prevalidation",NOW()-_05preva_view43[[#This Row],[Request Date]],IF(_05preva_view43[[#This Row],[Close Date]]&gt;_05preva_view43[[#This Row],[Request Date]],_05preva_view43[[#This Row],[Close Date]]-_05preva_view43[[#This Row],[Request Date]],"Not  Calculated"))</f>
        <v>39.610190277802758</v>
      </c>
      <c r="BB168" s="135">
        <f>COUNTIFS(_05preva_view43[Site ID],_05preva_view43[[#This Row],[Site ID]],_05preva_view43[Prevalidation Status],"Under Prevalidation")</f>
        <v>0</v>
      </c>
      <c r="BC168" s="153" t="str">
        <f ca="1">HYPERLINK(CheckPath(_05preva_view43[[#This Row],[File Path]],_05preva_view43[[#This Row],[File Path]],_05preva_view43[[#This Row],[Folder Path3]]),CheckPath(_05preva_view43[[#This Row],[File Path]],"Open File","No File"))</f>
        <v>No File</v>
      </c>
      <c r="BD168" s="136" t="str">
        <f>CONCATENATE(_05preva_view43[[#This Row],[Site ID]]," (",_05preva_view43[[#This Row],[tenant id]],") Application",IF(_05preva_view43[[#This Row],[Colo Rev]]&gt;0," Rev "&amp;_05preva_view43[[#This Row],[Colo Rev]],""),".xlsx")</f>
        <v>1-01-10006-004 (MDYAMPR005) Application Rev 0.xlsx</v>
      </c>
      <c r="BE168" s="64">
        <f t="shared" ca="1" si="4"/>
        <v>50</v>
      </c>
      <c r="BF168" s="104" t="str">
        <f ca="1">LEFT(CELL("filename",A153),_05preva_view43[[#This Row],[Find Process &amp; Database]]-1)</f>
        <v>D:\OneDrive - apollo-towers.com\Apollo Towers\00-</v>
      </c>
      <c r="BG168" s="104" t="str">
        <f ca="1">_05preva_view43[Folder Path1]&amp;"Process &amp; Database\Documentation\Colo Applications"</f>
        <v>D:\OneDrive - apollo-towers.com\Apollo Towers\00-Process &amp; Database\Documentation\Colo Applications</v>
      </c>
      <c r="BH168" s="104" t="str">
        <f ca="1">_05preva_view43[Folder Path2]&amp;"\Colo App "&amp;_05preva_view43[[#This Row],[Operator]]&amp;"\"</f>
        <v>D:\OneDrive - apollo-towers.com\Apollo Towers\00-Process &amp; Database\Documentation\Colo Applications\Colo App Amara\</v>
      </c>
      <c r="BI168" s="63" t="str">
        <f ca="1">_05preva_view43[[#This Row],[Folder Path3]]&amp;_05preva_view43[[#This Row],[File Name]]</f>
        <v>D:\OneDrive - apollo-towers.com\Apollo Towers\00-Process &amp; Database\Documentation\Colo Applications\Colo App Amara\1-01-10006-004 (MDYAMPR005) Application Rev 0.xlsx</v>
      </c>
      <c r="BJ168" s="104"/>
      <c r="BK168" s="3"/>
      <c r="BL168" s="3"/>
      <c r="CJ168" s="5"/>
      <c r="CK168" s="5"/>
      <c r="CL168" s="3"/>
      <c r="CN168" s="5"/>
      <c r="CR168" s="3"/>
      <c r="CS168" s="3"/>
      <c r="CT168" s="5"/>
      <c r="CV168" s="3"/>
      <c r="DR168" s="5"/>
      <c r="DT168" s="3"/>
      <c r="EF168" s="7"/>
      <c r="EG168" s="7"/>
      <c r="EJ168" s="4"/>
      <c r="EK168" s="4"/>
      <c r="EU168" s="2"/>
      <c r="EV168" s="2"/>
    </row>
    <row r="169" spans="1:152">
      <c r="A169" s="125">
        <v>3482</v>
      </c>
      <c r="B169" s="126" t="s">
        <v>1494</v>
      </c>
      <c r="C169" s="126" t="s">
        <v>331</v>
      </c>
      <c r="D169" s="126" t="s">
        <v>127</v>
      </c>
      <c r="E169" s="126" t="s">
        <v>1495</v>
      </c>
      <c r="F169" s="126" t="s">
        <v>41</v>
      </c>
      <c r="G169" s="126" t="s">
        <v>1496</v>
      </c>
      <c r="H169" s="126" t="s">
        <v>1319</v>
      </c>
      <c r="I169" s="126" t="s">
        <v>1143</v>
      </c>
      <c r="J169" s="126" t="s">
        <v>940</v>
      </c>
      <c r="K169" s="127">
        <v>43440</v>
      </c>
      <c r="L169" s="128"/>
      <c r="M169" s="128">
        <v>2</v>
      </c>
      <c r="N169" s="126">
        <v>3</v>
      </c>
      <c r="O169" s="126" t="s">
        <v>119</v>
      </c>
      <c r="P169" s="129" t="s">
        <v>285</v>
      </c>
      <c r="Q169" s="129" t="s">
        <v>263</v>
      </c>
      <c r="R169" s="126" t="s">
        <v>25</v>
      </c>
      <c r="S169" s="126"/>
      <c r="T169" s="130" t="s">
        <v>120</v>
      </c>
      <c r="U169" s="126"/>
      <c r="V169" s="130" t="s">
        <v>120</v>
      </c>
      <c r="W169" s="126"/>
      <c r="X169" s="130" t="s">
        <v>144</v>
      </c>
      <c r="Y169" s="126" t="s">
        <v>1497</v>
      </c>
      <c r="Z169" s="162"/>
      <c r="AA169" s="154"/>
      <c r="AB169" s="154"/>
      <c r="AC169" s="167"/>
      <c r="AD169" s="126"/>
      <c r="AE169" s="130" t="s">
        <v>120</v>
      </c>
      <c r="AF169" s="127" t="s">
        <v>2073</v>
      </c>
      <c r="AG169" s="131"/>
      <c r="AH169" s="131"/>
      <c r="AI169" s="126" t="s">
        <v>1417</v>
      </c>
      <c r="AJ169" s="130" t="s">
        <v>120</v>
      </c>
      <c r="AK169" s="126" t="s">
        <v>240</v>
      </c>
      <c r="AL169" s="126" t="s">
        <v>1493</v>
      </c>
      <c r="AM169" s="130"/>
      <c r="AN169" s="126"/>
      <c r="AO169" s="132"/>
      <c r="AP169" s="126"/>
      <c r="AQ169" s="126"/>
      <c r="AR169" s="130"/>
      <c r="AS169" s="126"/>
      <c r="AT169" s="127"/>
      <c r="AU169" s="127">
        <v>43444.680421527803</v>
      </c>
      <c r="AV169" s="127"/>
      <c r="AW169" s="127">
        <v>43440.731959027798</v>
      </c>
      <c r="AX169" s="127">
        <v>43472.656800810197</v>
      </c>
      <c r="AY169" s="127">
        <v>43479.408493171301</v>
      </c>
      <c r="AZ169" s="133"/>
      <c r="BA169" s="134">
        <f ca="1">IF(_05preva_view43[[#This Row],[Prevalidation Status]]="Under Prevalidation",NOW()-_05preva_view43[[#This Row],[Request Date]],IF(_05preva_view43[[#This Row],[Close Date]]&gt;_05preva_view43[[#This Row],[Request Date]],_05preva_view43[[#This Row],[Close Date]]-_05preva_view43[[#This Row],[Request Date]],"Not  Calculated"))</f>
        <v>47.506734143520589</v>
      </c>
      <c r="BB169" s="135">
        <f>COUNTIFS(_05preva_view43[Site ID],_05preva_view43[[#This Row],[Site ID]],_05preva_view43[Prevalidation Status],"Under Prevalidation")</f>
        <v>1</v>
      </c>
      <c r="BC169" s="153" t="str">
        <f ca="1">HYPERLINK(CheckPath(_05preva_view43[[#This Row],[File Path]],_05preva_view43[[#This Row],[File Path]],_05preva_view43[[#This Row],[Folder Path3]]),CheckPath(_05preva_view43[[#This Row],[File Path]],"Open File","No File"))</f>
        <v>No File</v>
      </c>
      <c r="BD169" s="136" t="str">
        <f>CONCATENATE(_05preva_view43[[#This Row],[Site ID]]," (",_05preva_view43[[#This Row],[tenant id]],") Application",IF(_05preva_view43[[#This Row],[Colo Rev]]&gt;0," Rev "&amp;_05preva_view43[[#This Row],[Colo Rev]],""),".xlsx")</f>
        <v>1-01-10006-001 (MDYAMPR007) Application Rev 0.xlsx</v>
      </c>
      <c r="BE169" s="64">
        <f t="shared" ca="1" si="4"/>
        <v>50</v>
      </c>
      <c r="BF169" s="104" t="str">
        <f ca="1">LEFT(CELL("filename",A154),_05preva_view43[[#This Row],[Find Process &amp; Database]]-1)</f>
        <v>D:\OneDrive - apollo-towers.com\Apollo Towers\00-</v>
      </c>
      <c r="BG169" s="104" t="str">
        <f ca="1">_05preva_view43[Folder Path1]&amp;"Process &amp; Database\Documentation\Colo Applications"</f>
        <v>D:\OneDrive - apollo-towers.com\Apollo Towers\00-Process &amp; Database\Documentation\Colo Applications</v>
      </c>
      <c r="BH169" s="104" t="str">
        <f ca="1">_05preva_view43[Folder Path2]&amp;"\Colo App "&amp;_05preva_view43[[#This Row],[Operator]]&amp;"\"</f>
        <v>D:\OneDrive - apollo-towers.com\Apollo Towers\00-Process &amp; Database\Documentation\Colo Applications\Colo App Amara\</v>
      </c>
      <c r="BI169" s="63" t="str">
        <f ca="1">_05preva_view43[[#This Row],[Folder Path3]]&amp;_05preva_view43[[#This Row],[File Name]]</f>
        <v>D:\OneDrive - apollo-towers.com\Apollo Towers\00-Process &amp; Database\Documentation\Colo Applications\Colo App Amara\1-01-10006-001 (MDYAMPR007) Application Rev 0.xlsx</v>
      </c>
      <c r="BJ169" s="104"/>
      <c r="BK169" s="3"/>
      <c r="BL169" s="3"/>
      <c r="CJ169" s="5"/>
      <c r="CK169" s="5"/>
      <c r="CL169" s="3"/>
      <c r="CN169" s="5"/>
      <c r="CR169" s="3"/>
      <c r="CS169" s="3"/>
      <c r="CT169" s="5"/>
      <c r="CV169" s="3"/>
      <c r="DR169" s="5"/>
      <c r="DT169" s="3"/>
      <c r="EF169" s="7"/>
      <c r="EG169" s="7"/>
      <c r="EJ169" s="4"/>
      <c r="EK169" s="4"/>
      <c r="EU169" s="2"/>
      <c r="EV169" s="2"/>
    </row>
    <row r="170" spans="1:152">
      <c r="A170" s="125">
        <v>3462</v>
      </c>
      <c r="B170" s="126" t="s">
        <v>1410</v>
      </c>
      <c r="C170" s="126" t="s">
        <v>116</v>
      </c>
      <c r="D170" s="126" t="s">
        <v>127</v>
      </c>
      <c r="E170" s="126" t="s">
        <v>1411</v>
      </c>
      <c r="F170" s="126" t="s">
        <v>41</v>
      </c>
      <c r="G170" s="126" t="s">
        <v>1412</v>
      </c>
      <c r="H170" s="126" t="s">
        <v>1319</v>
      </c>
      <c r="I170" s="126" t="s">
        <v>1143</v>
      </c>
      <c r="J170" s="126" t="s">
        <v>940</v>
      </c>
      <c r="K170" s="127">
        <v>43437</v>
      </c>
      <c r="L170" s="128"/>
      <c r="M170" s="128">
        <v>2</v>
      </c>
      <c r="N170" s="126">
        <v>3</v>
      </c>
      <c r="O170" s="126" t="s">
        <v>119</v>
      </c>
      <c r="P170" s="129" t="s">
        <v>264</v>
      </c>
      <c r="Q170" s="129" t="s">
        <v>350</v>
      </c>
      <c r="R170" s="126" t="s">
        <v>24</v>
      </c>
      <c r="S170" s="126"/>
      <c r="T170" s="130" t="s">
        <v>120</v>
      </c>
      <c r="U170" s="126" t="s">
        <v>1413</v>
      </c>
      <c r="V170" s="130" t="s">
        <v>120</v>
      </c>
      <c r="W170" s="126"/>
      <c r="X170" s="130" t="s">
        <v>120</v>
      </c>
      <c r="Y170" s="126" t="s">
        <v>1414</v>
      </c>
      <c r="Z170" s="162" t="s">
        <v>120</v>
      </c>
      <c r="AA170" s="154"/>
      <c r="AB170" s="154"/>
      <c r="AC170" s="167" t="s">
        <v>123</v>
      </c>
      <c r="AD170" s="126" t="s">
        <v>1415</v>
      </c>
      <c r="AE170" s="130" t="s">
        <v>120</v>
      </c>
      <c r="AF170" s="127" t="s">
        <v>1416</v>
      </c>
      <c r="AG170" s="131"/>
      <c r="AH170" s="131"/>
      <c r="AI170" s="126" t="s">
        <v>1417</v>
      </c>
      <c r="AJ170" s="130" t="s">
        <v>120</v>
      </c>
      <c r="AK170" s="126" t="s">
        <v>123</v>
      </c>
      <c r="AL170" s="126" t="s">
        <v>1418</v>
      </c>
      <c r="AM170" s="130"/>
      <c r="AN170" s="126"/>
      <c r="AO170" s="132"/>
      <c r="AP170" s="126"/>
      <c r="AQ170" s="126"/>
      <c r="AR170" s="130"/>
      <c r="AS170" s="126"/>
      <c r="AT170" s="127">
        <v>43437.721829861097</v>
      </c>
      <c r="AU170" s="127">
        <v>43439.507182986097</v>
      </c>
      <c r="AV170" s="127">
        <v>43438.692452314797</v>
      </c>
      <c r="AW170" s="127">
        <v>43438.482049189799</v>
      </c>
      <c r="AX170" s="127">
        <v>43438.738735648098</v>
      </c>
      <c r="AY170" s="127">
        <v>43437.702622222198</v>
      </c>
      <c r="AZ170" s="133">
        <v>43441.389728009301</v>
      </c>
      <c r="BA170" s="134">
        <f ca="1">IF(_05preva_view43[[#This Row],[Prevalidation Status]]="Under Prevalidation",NOW()-_05preva_view43[[#This Row],[Request Date]],IF(_05preva_view43[[#This Row],[Close Date]]&gt;_05preva_view43[[#This Row],[Request Date]],_05preva_view43[[#This Row],[Close Date]]-_05preva_view43[[#This Row],[Request Date]],"Not  Calculated"))</f>
        <v>4.3897280093005975</v>
      </c>
      <c r="BB170" s="135">
        <f>COUNTIFS(_05preva_view43[Site ID],_05preva_view43[[#This Row],[Site ID]],_05preva_view43[Prevalidation Status],"Under Prevalidation")</f>
        <v>0</v>
      </c>
      <c r="BC170" s="153" t="str">
        <f ca="1">HYPERLINK(CheckPath(_05preva_view43[[#This Row],[File Path]],_05preva_view43[[#This Row],[File Path]],_05preva_view43[[#This Row],[Folder Path3]]),CheckPath(_05preva_view43[[#This Row],[File Path]],"Open File","No File"))</f>
        <v>No File</v>
      </c>
      <c r="BD170" s="136" t="str">
        <f>CONCATENATE(_05preva_view43[[#This Row],[Site ID]]," (",_05preva_view43[[#This Row],[tenant id]],") Application",IF(_05preva_view43[[#This Row],[Colo Rev]]&gt;0," Rev "&amp;_05preva_view43[[#This Row],[Colo Rev]],""),".xlsx")</f>
        <v>ANMD_0069 (MDYAMPR004) Application Rev 0.xlsx</v>
      </c>
      <c r="BE170" s="64">
        <f t="shared" ca="1" si="4"/>
        <v>50</v>
      </c>
      <c r="BF170" s="104" t="str">
        <f ca="1">LEFT(CELL("filename",A155),_05preva_view43[[#This Row],[Find Process &amp; Database]]-1)</f>
        <v>D:\OneDrive - apollo-towers.com\Apollo Towers\00-</v>
      </c>
      <c r="BG170" s="104" t="str">
        <f ca="1">_05preva_view43[Folder Path1]&amp;"Process &amp; Database\Documentation\Colo Applications"</f>
        <v>D:\OneDrive - apollo-towers.com\Apollo Towers\00-Process &amp; Database\Documentation\Colo Applications</v>
      </c>
      <c r="BH170" s="104" t="str">
        <f ca="1">_05preva_view43[Folder Path2]&amp;"\Colo App "&amp;_05preva_view43[[#This Row],[Operator]]&amp;"\"</f>
        <v>D:\OneDrive - apollo-towers.com\Apollo Towers\00-Process &amp; Database\Documentation\Colo Applications\Colo App Amara\</v>
      </c>
      <c r="BI170" s="63" t="str">
        <f ca="1">_05preva_view43[[#This Row],[Folder Path3]]&amp;_05preva_view43[[#This Row],[File Name]]</f>
        <v>D:\OneDrive - apollo-towers.com\Apollo Towers\00-Process &amp; Database\Documentation\Colo Applications\Colo App Amara\ANMD_0069 (MDYAMPR004) Application Rev 0.xlsx</v>
      </c>
      <c r="BJ170" s="104"/>
      <c r="BK170" s="3"/>
      <c r="BL170" s="3"/>
      <c r="CJ170" s="5"/>
      <c r="CK170" s="5"/>
      <c r="CL170" s="3"/>
      <c r="CN170" s="5"/>
      <c r="CR170" s="3"/>
      <c r="CS170" s="3"/>
      <c r="CT170" s="5"/>
      <c r="CV170" s="3"/>
      <c r="DR170" s="5"/>
      <c r="DT170" s="3"/>
      <c r="EF170" s="7"/>
      <c r="EG170" s="7"/>
      <c r="EJ170" s="4"/>
      <c r="EK170" s="4"/>
      <c r="EU170" s="2"/>
      <c r="EV170" s="2"/>
    </row>
    <row r="171" spans="1:152">
      <c r="A171" s="125">
        <v>3463</v>
      </c>
      <c r="B171" s="126" t="s">
        <v>1419</v>
      </c>
      <c r="C171" s="126" t="s">
        <v>116</v>
      </c>
      <c r="D171" s="126" t="s">
        <v>127</v>
      </c>
      <c r="E171" s="126" t="s">
        <v>1420</v>
      </c>
      <c r="F171" s="126" t="s">
        <v>41</v>
      </c>
      <c r="G171" s="126" t="s">
        <v>1412</v>
      </c>
      <c r="H171" s="126" t="s">
        <v>1319</v>
      </c>
      <c r="I171" s="126" t="s">
        <v>1143</v>
      </c>
      <c r="J171" s="126" t="s">
        <v>940</v>
      </c>
      <c r="K171" s="127">
        <v>43437</v>
      </c>
      <c r="L171" s="128"/>
      <c r="M171" s="128">
        <v>1.9</v>
      </c>
      <c r="N171" s="126">
        <v>3</v>
      </c>
      <c r="O171" s="126" t="s">
        <v>119</v>
      </c>
      <c r="P171" s="129" t="s">
        <v>284</v>
      </c>
      <c r="Q171" s="129" t="s">
        <v>285</v>
      </c>
      <c r="R171" s="126" t="s">
        <v>24</v>
      </c>
      <c r="S171" s="126"/>
      <c r="T171" s="130" t="s">
        <v>120</v>
      </c>
      <c r="U171" s="126" t="s">
        <v>1413</v>
      </c>
      <c r="V171" s="130" t="s">
        <v>120</v>
      </c>
      <c r="W171" s="126"/>
      <c r="X171" s="130" t="s">
        <v>120</v>
      </c>
      <c r="Y171" s="126" t="s">
        <v>1421</v>
      </c>
      <c r="Z171" s="162" t="s">
        <v>120</v>
      </c>
      <c r="AA171" s="154"/>
      <c r="AB171" s="154"/>
      <c r="AC171" s="167" t="s">
        <v>123</v>
      </c>
      <c r="AD171" s="126" t="s">
        <v>1422</v>
      </c>
      <c r="AE171" s="130" t="s">
        <v>120</v>
      </c>
      <c r="AF171" s="127" t="s">
        <v>1416</v>
      </c>
      <c r="AG171" s="131"/>
      <c r="AH171" s="131"/>
      <c r="AI171" s="126" t="s">
        <v>1417</v>
      </c>
      <c r="AJ171" s="130" t="s">
        <v>120</v>
      </c>
      <c r="AK171" s="126" t="s">
        <v>123</v>
      </c>
      <c r="AL171" s="126" t="s">
        <v>1418</v>
      </c>
      <c r="AM171" s="130"/>
      <c r="AN171" s="126"/>
      <c r="AO171" s="132"/>
      <c r="AP171" s="126"/>
      <c r="AQ171" s="126"/>
      <c r="AR171" s="130"/>
      <c r="AS171" s="126"/>
      <c r="AT171" s="127">
        <v>43437.721831481504</v>
      </c>
      <c r="AU171" s="127">
        <v>43439.507184027803</v>
      </c>
      <c r="AV171" s="127">
        <v>43438.692453124997</v>
      </c>
      <c r="AW171" s="127">
        <v>43438.482050694402</v>
      </c>
      <c r="AX171" s="127">
        <v>43438.738740046298</v>
      </c>
      <c r="AY171" s="127">
        <v>43437.702622569399</v>
      </c>
      <c r="AZ171" s="133">
        <v>43441.389728472197</v>
      </c>
      <c r="BA171" s="134">
        <f ca="1">IF(_05preva_view43[[#This Row],[Prevalidation Status]]="Under Prevalidation",NOW()-_05preva_view43[[#This Row],[Request Date]],IF(_05preva_view43[[#This Row],[Close Date]]&gt;_05preva_view43[[#This Row],[Request Date]],_05preva_view43[[#This Row],[Close Date]]-_05preva_view43[[#This Row],[Request Date]],"Not  Calculated"))</f>
        <v>4.3897284721970209</v>
      </c>
      <c r="BB171" s="135">
        <f>COUNTIFS(_05preva_view43[Site ID],_05preva_view43[[#This Row],[Site ID]],_05preva_view43[Prevalidation Status],"Under Prevalidation")</f>
        <v>0</v>
      </c>
      <c r="BC171" s="153" t="str">
        <f ca="1">HYPERLINK(CheckPath(_05preva_view43[[#This Row],[File Path]],_05preva_view43[[#This Row],[File Path]],_05preva_view43[[#This Row],[Folder Path3]]),CheckPath(_05preva_view43[[#This Row],[File Path]],"Open File","No File"))</f>
        <v>No File</v>
      </c>
      <c r="BD171" s="136" t="str">
        <f>CONCATENATE(_05preva_view43[[#This Row],[Site ID]]," (",_05preva_view43[[#This Row],[tenant id]],") Application",IF(_05preva_view43[[#This Row],[Colo Rev]]&gt;0," Rev "&amp;_05preva_view43[[#This Row],[Colo Rev]],""),".xlsx")</f>
        <v>ANMD_0066 (MDYAMPR011) Application Rev 0.xlsx</v>
      </c>
      <c r="BE171" s="64">
        <f t="shared" ca="1" si="4"/>
        <v>50</v>
      </c>
      <c r="BF171" s="104" t="str">
        <f ca="1">LEFT(CELL("filename",A156),_05preva_view43[[#This Row],[Find Process &amp; Database]]-1)</f>
        <v>D:\OneDrive - apollo-towers.com\Apollo Towers\00-</v>
      </c>
      <c r="BG171" s="104" t="str">
        <f ca="1">_05preva_view43[Folder Path1]&amp;"Process &amp; Database\Documentation\Colo Applications"</f>
        <v>D:\OneDrive - apollo-towers.com\Apollo Towers\00-Process &amp; Database\Documentation\Colo Applications</v>
      </c>
      <c r="BH171" s="104" t="str">
        <f ca="1">_05preva_view43[Folder Path2]&amp;"\Colo App "&amp;_05preva_view43[[#This Row],[Operator]]&amp;"\"</f>
        <v>D:\OneDrive - apollo-towers.com\Apollo Towers\00-Process &amp; Database\Documentation\Colo Applications\Colo App Amara\</v>
      </c>
      <c r="BI171" s="63" t="str">
        <f ca="1">_05preva_view43[[#This Row],[Folder Path3]]&amp;_05preva_view43[[#This Row],[File Name]]</f>
        <v>D:\OneDrive - apollo-towers.com\Apollo Towers\00-Process &amp; Database\Documentation\Colo Applications\Colo App Amara\ANMD_0066 (MDYAMPR011) Application Rev 0.xlsx</v>
      </c>
      <c r="BJ171" s="104"/>
      <c r="BK171" s="3"/>
      <c r="BL171" s="3"/>
      <c r="CJ171" s="5"/>
      <c r="CK171" s="5"/>
      <c r="CL171" s="3"/>
      <c r="CN171" s="5"/>
      <c r="CR171" s="3"/>
      <c r="CS171" s="3"/>
      <c r="CT171" s="5"/>
      <c r="CV171" s="3"/>
      <c r="DR171" s="5"/>
      <c r="DT171" s="3"/>
      <c r="EF171" s="7"/>
      <c r="EG171" s="7"/>
      <c r="EJ171" s="4"/>
      <c r="EK171" s="4"/>
      <c r="EU171" s="2"/>
      <c r="EV171" s="2"/>
    </row>
    <row r="172" spans="1:152">
      <c r="A172" s="125">
        <v>3464</v>
      </c>
      <c r="B172" s="126" t="s">
        <v>1423</v>
      </c>
      <c r="C172" s="126" t="s">
        <v>116</v>
      </c>
      <c r="D172" s="126" t="s">
        <v>127</v>
      </c>
      <c r="E172" s="126" t="s">
        <v>1424</v>
      </c>
      <c r="F172" s="126" t="s">
        <v>41</v>
      </c>
      <c r="G172" s="126" t="s">
        <v>1412</v>
      </c>
      <c r="H172" s="126" t="s">
        <v>1319</v>
      </c>
      <c r="I172" s="126" t="s">
        <v>1143</v>
      </c>
      <c r="J172" s="126" t="s">
        <v>940</v>
      </c>
      <c r="K172" s="127">
        <v>43437</v>
      </c>
      <c r="L172" s="128"/>
      <c r="M172" s="128">
        <v>2.5</v>
      </c>
      <c r="N172" s="126">
        <v>3</v>
      </c>
      <c r="O172" s="126" t="s">
        <v>119</v>
      </c>
      <c r="P172" s="129" t="s">
        <v>284</v>
      </c>
      <c r="Q172" s="129" t="s">
        <v>285</v>
      </c>
      <c r="R172" s="126" t="s">
        <v>24</v>
      </c>
      <c r="S172" s="126"/>
      <c r="T172" s="130" t="s">
        <v>120</v>
      </c>
      <c r="U172" s="126" t="s">
        <v>1413</v>
      </c>
      <c r="V172" s="130" t="s">
        <v>120</v>
      </c>
      <c r="W172" s="126"/>
      <c r="X172" s="130" t="s">
        <v>120</v>
      </c>
      <c r="Y172" s="126" t="s">
        <v>1425</v>
      </c>
      <c r="Z172" s="162" t="s">
        <v>120</v>
      </c>
      <c r="AA172" s="154"/>
      <c r="AB172" s="154"/>
      <c r="AC172" s="167" t="s">
        <v>123</v>
      </c>
      <c r="AD172" s="126" t="s">
        <v>1426</v>
      </c>
      <c r="AE172" s="130" t="s">
        <v>120</v>
      </c>
      <c r="AF172" s="127" t="s">
        <v>1416</v>
      </c>
      <c r="AG172" s="131"/>
      <c r="AH172" s="131"/>
      <c r="AI172" s="126" t="s">
        <v>1427</v>
      </c>
      <c r="AJ172" s="130" t="s">
        <v>120</v>
      </c>
      <c r="AK172" s="126" t="s">
        <v>123</v>
      </c>
      <c r="AL172" s="126" t="s">
        <v>1418</v>
      </c>
      <c r="AM172" s="130"/>
      <c r="AN172" s="126"/>
      <c r="AO172" s="132"/>
      <c r="AP172" s="126"/>
      <c r="AQ172" s="126"/>
      <c r="AR172" s="130"/>
      <c r="AS172" s="126"/>
      <c r="AT172" s="127">
        <v>43437.721833217598</v>
      </c>
      <c r="AU172" s="127">
        <v>43439.507185532399</v>
      </c>
      <c r="AV172" s="127">
        <v>43438.692454861099</v>
      </c>
      <c r="AW172" s="127">
        <v>43438.482052314801</v>
      </c>
      <c r="AX172" s="127">
        <v>43438.738743634298</v>
      </c>
      <c r="AY172" s="127">
        <v>43437.702624189798</v>
      </c>
      <c r="AZ172" s="133">
        <v>43441.389729976901</v>
      </c>
      <c r="BA172" s="134">
        <f ca="1">IF(_05preva_view43[[#This Row],[Prevalidation Status]]="Under Prevalidation",NOW()-_05preva_view43[[#This Row],[Request Date]],IF(_05preva_view43[[#This Row],[Close Date]]&gt;_05preva_view43[[#This Row],[Request Date]],_05preva_view43[[#This Row],[Close Date]]-_05preva_view43[[#This Row],[Request Date]],"Not  Calculated"))</f>
        <v>4.3897299769014353</v>
      </c>
      <c r="BB172" s="135">
        <f>COUNTIFS(_05preva_view43[Site ID],_05preva_view43[[#This Row],[Site ID]],_05preva_view43[Prevalidation Status],"Under Prevalidation")</f>
        <v>0</v>
      </c>
      <c r="BC172" s="153" t="str">
        <f ca="1">HYPERLINK(CheckPath(_05preva_view43[[#This Row],[File Path]],_05preva_view43[[#This Row],[File Path]],_05preva_view43[[#This Row],[Folder Path3]]),CheckPath(_05preva_view43[[#This Row],[File Path]],"Open File","No File"))</f>
        <v>No File</v>
      </c>
      <c r="BD172" s="136" t="str">
        <f>CONCATENATE(_05preva_view43[[#This Row],[Site ID]]," (",_05preva_view43[[#This Row],[tenant id]],") Application",IF(_05preva_view43[[#This Row],[Colo Rev]]&gt;0," Rev "&amp;_05preva_view43[[#This Row],[Colo Rev]],""),".xlsx")</f>
        <v>ANMD_0067 (MDYAMPR012) Application Rev 0.xlsx</v>
      </c>
      <c r="BE172" s="64">
        <f t="shared" ca="1" si="4"/>
        <v>50</v>
      </c>
      <c r="BF172" s="104" t="str">
        <f ca="1">LEFT(CELL("filename",A157),_05preva_view43[[#This Row],[Find Process &amp; Database]]-1)</f>
        <v>D:\OneDrive - apollo-towers.com\Apollo Towers\00-</v>
      </c>
      <c r="BG172" s="104" t="str">
        <f ca="1">_05preva_view43[Folder Path1]&amp;"Process &amp; Database\Documentation\Colo Applications"</f>
        <v>D:\OneDrive - apollo-towers.com\Apollo Towers\00-Process &amp; Database\Documentation\Colo Applications</v>
      </c>
      <c r="BH172" s="104" t="str">
        <f ca="1">_05preva_view43[Folder Path2]&amp;"\Colo App "&amp;_05preva_view43[[#This Row],[Operator]]&amp;"\"</f>
        <v>D:\OneDrive - apollo-towers.com\Apollo Towers\00-Process &amp; Database\Documentation\Colo Applications\Colo App Amara\</v>
      </c>
      <c r="BI172" s="63" t="str">
        <f ca="1">_05preva_view43[[#This Row],[Folder Path3]]&amp;_05preva_view43[[#This Row],[File Name]]</f>
        <v>D:\OneDrive - apollo-towers.com\Apollo Towers\00-Process &amp; Database\Documentation\Colo Applications\Colo App Amara\ANMD_0067 (MDYAMPR012) Application Rev 0.xlsx</v>
      </c>
      <c r="BJ172" s="104"/>
      <c r="BK172" s="3"/>
      <c r="BL172" s="3"/>
      <c r="CJ172" s="5"/>
      <c r="CK172" s="5"/>
      <c r="CL172" s="3"/>
      <c r="CN172" s="5"/>
      <c r="CR172" s="3"/>
      <c r="CS172" s="3"/>
      <c r="CT172" s="5"/>
      <c r="CV172" s="3"/>
      <c r="DR172" s="5"/>
      <c r="DT172" s="3"/>
      <c r="EF172" s="7"/>
      <c r="EG172" s="7"/>
      <c r="EJ172" s="4"/>
      <c r="EK172" s="4"/>
      <c r="EU172" s="2"/>
      <c r="EV172" s="2"/>
    </row>
    <row r="173" spans="1:152">
      <c r="A173" s="125">
        <v>3465</v>
      </c>
      <c r="B173" s="126" t="s">
        <v>1428</v>
      </c>
      <c r="C173" s="126" t="s">
        <v>116</v>
      </c>
      <c r="D173" s="126" t="s">
        <v>127</v>
      </c>
      <c r="E173" s="126" t="s">
        <v>1429</v>
      </c>
      <c r="F173" s="126" t="s">
        <v>41</v>
      </c>
      <c r="G173" s="126" t="s">
        <v>1412</v>
      </c>
      <c r="H173" s="126" t="s">
        <v>1319</v>
      </c>
      <c r="I173" s="126" t="s">
        <v>1143</v>
      </c>
      <c r="J173" s="126" t="s">
        <v>940</v>
      </c>
      <c r="K173" s="127">
        <v>43437</v>
      </c>
      <c r="L173" s="128"/>
      <c r="M173" s="128">
        <v>2.5</v>
      </c>
      <c r="N173" s="126">
        <v>3</v>
      </c>
      <c r="O173" s="126" t="s">
        <v>119</v>
      </c>
      <c r="P173" s="129" t="s">
        <v>285</v>
      </c>
      <c r="Q173" s="129" t="s">
        <v>263</v>
      </c>
      <c r="R173" s="126" t="s">
        <v>24</v>
      </c>
      <c r="S173" s="126"/>
      <c r="T173" s="130" t="s">
        <v>120</v>
      </c>
      <c r="U173" s="126" t="s">
        <v>1430</v>
      </c>
      <c r="V173" s="130" t="s">
        <v>120</v>
      </c>
      <c r="W173" s="126"/>
      <c r="X173" s="130" t="s">
        <v>120</v>
      </c>
      <c r="Y173" s="126" t="s">
        <v>1431</v>
      </c>
      <c r="Z173" s="162" t="s">
        <v>120</v>
      </c>
      <c r="AA173" s="154"/>
      <c r="AB173" s="154"/>
      <c r="AC173" s="167" t="s">
        <v>123</v>
      </c>
      <c r="AD173" s="126" t="s">
        <v>1432</v>
      </c>
      <c r="AE173" s="130" t="s">
        <v>120</v>
      </c>
      <c r="AF173" s="127" t="s">
        <v>1416</v>
      </c>
      <c r="AG173" s="131"/>
      <c r="AH173" s="131"/>
      <c r="AI173" s="126" t="s">
        <v>1417</v>
      </c>
      <c r="AJ173" s="130" t="s">
        <v>120</v>
      </c>
      <c r="AK173" s="126" t="s">
        <v>123</v>
      </c>
      <c r="AL173" s="126" t="s">
        <v>1418</v>
      </c>
      <c r="AM173" s="130"/>
      <c r="AN173" s="126"/>
      <c r="AO173" s="132"/>
      <c r="AP173" s="126"/>
      <c r="AQ173" s="126"/>
      <c r="AR173" s="130"/>
      <c r="AS173" s="126"/>
      <c r="AT173" s="127">
        <v>43438.4820539352</v>
      </c>
      <c r="AU173" s="127">
        <v>43439.507186574097</v>
      </c>
      <c r="AV173" s="127">
        <v>43438.692456481498</v>
      </c>
      <c r="AW173" s="127">
        <v>43438.4820539352</v>
      </c>
      <c r="AX173" s="127">
        <v>43438.738747685202</v>
      </c>
      <c r="AY173" s="127">
        <v>43437.702625694401</v>
      </c>
      <c r="AZ173" s="133">
        <v>43441.389730902803</v>
      </c>
      <c r="BA173" s="134">
        <f ca="1">IF(_05preva_view43[[#This Row],[Prevalidation Status]]="Under Prevalidation",NOW()-_05preva_view43[[#This Row],[Request Date]],IF(_05preva_view43[[#This Row],[Close Date]]&gt;_05preva_view43[[#This Row],[Request Date]],_05preva_view43[[#This Row],[Close Date]]-_05preva_view43[[#This Row],[Request Date]],"Not  Calculated"))</f>
        <v>4.3897309028034215</v>
      </c>
      <c r="BB173" s="135">
        <f>COUNTIFS(_05preva_view43[Site ID],_05preva_view43[[#This Row],[Site ID]],_05preva_view43[Prevalidation Status],"Under Prevalidation")</f>
        <v>0</v>
      </c>
      <c r="BC173" s="153" t="str">
        <f ca="1">HYPERLINK(CheckPath(_05preva_view43[[#This Row],[File Path]],_05preva_view43[[#This Row],[File Path]],_05preva_view43[[#This Row],[Folder Path3]]),CheckPath(_05preva_view43[[#This Row],[File Path]],"Open File","No File"))</f>
        <v>No File</v>
      </c>
      <c r="BD173" s="136" t="str">
        <f>CONCATENATE(_05preva_view43[[#This Row],[Site ID]]," (",_05preva_view43[[#This Row],[tenant id]],") Application",IF(_05preva_view43[[#This Row],[Colo Rev]]&gt;0," Rev "&amp;_05preva_view43[[#This Row],[Colo Rev]],""),".xlsx")</f>
        <v>ANMD_0070 (MDYAMPR013) Application Rev 0.xlsx</v>
      </c>
      <c r="BE173" s="64">
        <f t="shared" ca="1" si="4"/>
        <v>50</v>
      </c>
      <c r="BF173" s="104" t="str">
        <f ca="1">LEFT(CELL("filename",A158),_05preva_view43[[#This Row],[Find Process &amp; Database]]-1)</f>
        <v>D:\OneDrive - apollo-towers.com\Apollo Towers\00-</v>
      </c>
      <c r="BG173" s="104" t="str">
        <f ca="1">_05preva_view43[Folder Path1]&amp;"Process &amp; Database\Documentation\Colo Applications"</f>
        <v>D:\OneDrive - apollo-towers.com\Apollo Towers\00-Process &amp; Database\Documentation\Colo Applications</v>
      </c>
      <c r="BH173" s="104" t="str">
        <f ca="1">_05preva_view43[Folder Path2]&amp;"\Colo App "&amp;_05preva_view43[[#This Row],[Operator]]&amp;"\"</f>
        <v>D:\OneDrive - apollo-towers.com\Apollo Towers\00-Process &amp; Database\Documentation\Colo Applications\Colo App Amara\</v>
      </c>
      <c r="BI173" s="63" t="str">
        <f ca="1">_05preva_view43[[#This Row],[Folder Path3]]&amp;_05preva_view43[[#This Row],[File Name]]</f>
        <v>D:\OneDrive - apollo-towers.com\Apollo Towers\00-Process &amp; Database\Documentation\Colo Applications\Colo App Amara\ANMD_0070 (MDYAMPR013) Application Rev 0.xlsx</v>
      </c>
      <c r="BJ173" s="104"/>
      <c r="BK173" s="3"/>
      <c r="BL173" s="3"/>
      <c r="CJ173" s="5"/>
      <c r="CK173" s="5"/>
      <c r="CL173" s="3"/>
      <c r="CN173" s="5"/>
      <c r="CR173" s="3"/>
      <c r="CS173" s="3"/>
      <c r="CT173" s="5"/>
      <c r="CV173" s="3"/>
      <c r="DR173" s="5"/>
      <c r="DT173" s="3"/>
      <c r="EF173" s="7"/>
      <c r="EG173" s="7"/>
      <c r="EJ173" s="4"/>
      <c r="EK173" s="4"/>
      <c r="EU173" s="2"/>
      <c r="EV173" s="2"/>
    </row>
    <row r="174" spans="1:152">
      <c r="A174" s="125">
        <v>3466</v>
      </c>
      <c r="B174" s="126" t="s">
        <v>1433</v>
      </c>
      <c r="C174" s="126" t="s">
        <v>116</v>
      </c>
      <c r="D174" s="126" t="s">
        <v>127</v>
      </c>
      <c r="E174" s="126" t="s">
        <v>1434</v>
      </c>
      <c r="F174" s="126" t="s">
        <v>41</v>
      </c>
      <c r="G174" s="126" t="s">
        <v>1412</v>
      </c>
      <c r="H174" s="126" t="s">
        <v>1319</v>
      </c>
      <c r="I174" s="126" t="s">
        <v>1143</v>
      </c>
      <c r="J174" s="126" t="s">
        <v>940</v>
      </c>
      <c r="K174" s="127">
        <v>43437</v>
      </c>
      <c r="L174" s="128"/>
      <c r="M174" s="128">
        <v>2</v>
      </c>
      <c r="N174" s="126">
        <v>3</v>
      </c>
      <c r="O174" s="126" t="s">
        <v>119</v>
      </c>
      <c r="P174" s="129" t="s">
        <v>263</v>
      </c>
      <c r="Q174" s="129" t="s">
        <v>264</v>
      </c>
      <c r="R174" s="126" t="s">
        <v>24</v>
      </c>
      <c r="S174" s="126"/>
      <c r="T174" s="130" t="s">
        <v>120</v>
      </c>
      <c r="U174" s="126" t="s">
        <v>1430</v>
      </c>
      <c r="V174" s="130" t="s">
        <v>120</v>
      </c>
      <c r="W174" s="126"/>
      <c r="X174" s="130" t="s">
        <v>120</v>
      </c>
      <c r="Y174" s="126" t="s">
        <v>1435</v>
      </c>
      <c r="Z174" s="162" t="s">
        <v>120</v>
      </c>
      <c r="AA174" s="154"/>
      <c r="AB174" s="154"/>
      <c r="AC174" s="167" t="s">
        <v>123</v>
      </c>
      <c r="AD174" s="126" t="s">
        <v>1436</v>
      </c>
      <c r="AE174" s="130" t="s">
        <v>120</v>
      </c>
      <c r="AF174" s="127" t="s">
        <v>1416</v>
      </c>
      <c r="AG174" s="131"/>
      <c r="AH174" s="131"/>
      <c r="AI174" s="126" t="s">
        <v>1427</v>
      </c>
      <c r="AJ174" s="130" t="s">
        <v>120</v>
      </c>
      <c r="AK174" s="126" t="s">
        <v>123</v>
      </c>
      <c r="AL174" s="126" t="s">
        <v>1418</v>
      </c>
      <c r="AM174" s="130"/>
      <c r="AN174" s="126"/>
      <c r="AO174" s="132"/>
      <c r="AP174" s="126"/>
      <c r="AQ174" s="126"/>
      <c r="AR174" s="130"/>
      <c r="AS174" s="126"/>
      <c r="AT174" s="127">
        <v>43438.482055208297</v>
      </c>
      <c r="AU174" s="127">
        <v>43439.507187962998</v>
      </c>
      <c r="AV174" s="127">
        <v>43438.692457060199</v>
      </c>
      <c r="AW174" s="127">
        <v>43438.482055208297</v>
      </c>
      <c r="AX174" s="127">
        <v>43438.738751504599</v>
      </c>
      <c r="AY174" s="127">
        <v>43437.702626157399</v>
      </c>
      <c r="AZ174" s="133">
        <v>43441.389732523101</v>
      </c>
      <c r="BA174" s="134">
        <f ca="1">IF(_05preva_view43[[#This Row],[Prevalidation Status]]="Under Prevalidation",NOW()-_05preva_view43[[#This Row],[Request Date]],IF(_05preva_view43[[#This Row],[Close Date]]&gt;_05preva_view43[[#This Row],[Request Date]],_05preva_view43[[#This Row],[Close Date]]-_05preva_view43[[#This Row],[Request Date]],"Not  Calculated"))</f>
        <v>4.3897325231009745</v>
      </c>
      <c r="BB174" s="135">
        <f>COUNTIFS(_05preva_view43[Site ID],_05preva_view43[[#This Row],[Site ID]],_05preva_view43[Prevalidation Status],"Under Prevalidation")</f>
        <v>0</v>
      </c>
      <c r="BC174" s="153" t="str">
        <f ca="1">HYPERLINK(CheckPath(_05preva_view43[[#This Row],[File Path]],_05preva_view43[[#This Row],[File Path]],_05preva_view43[[#This Row],[Folder Path3]]),CheckPath(_05preva_view43[[#This Row],[File Path]],"Open File","No File"))</f>
        <v>No File</v>
      </c>
      <c r="BD174" s="136" t="str">
        <f>CONCATENATE(_05preva_view43[[#This Row],[Site ID]]," (",_05preva_view43[[#This Row],[tenant id]],") Application",IF(_05preva_view43[[#This Row],[Colo Rev]]&gt;0," Rev "&amp;_05preva_view43[[#This Row],[Colo Rev]],""),".xlsx")</f>
        <v>ANMD_0071 (MDYAMPR014) Application Rev 0.xlsx</v>
      </c>
      <c r="BE174" s="64">
        <f t="shared" ca="1" si="4"/>
        <v>50</v>
      </c>
      <c r="BF174" s="104" t="str">
        <f ca="1">LEFT(CELL("filename",A159),_05preva_view43[[#This Row],[Find Process &amp; Database]]-1)</f>
        <v>D:\OneDrive - apollo-towers.com\Apollo Towers\00-</v>
      </c>
      <c r="BG174" s="104" t="str">
        <f ca="1">_05preva_view43[Folder Path1]&amp;"Process &amp; Database\Documentation\Colo Applications"</f>
        <v>D:\OneDrive - apollo-towers.com\Apollo Towers\00-Process &amp; Database\Documentation\Colo Applications</v>
      </c>
      <c r="BH174" s="104" t="str">
        <f ca="1">_05preva_view43[Folder Path2]&amp;"\Colo App "&amp;_05preva_view43[[#This Row],[Operator]]&amp;"\"</f>
        <v>D:\OneDrive - apollo-towers.com\Apollo Towers\00-Process &amp; Database\Documentation\Colo Applications\Colo App Amara\</v>
      </c>
      <c r="BI174" s="63" t="str">
        <f ca="1">_05preva_view43[[#This Row],[Folder Path3]]&amp;_05preva_view43[[#This Row],[File Name]]</f>
        <v>D:\OneDrive - apollo-towers.com\Apollo Towers\00-Process &amp; Database\Documentation\Colo Applications\Colo App Amara\ANMD_0071 (MDYAMPR014) Application Rev 0.xlsx</v>
      </c>
      <c r="BJ174" s="104"/>
      <c r="BK174" s="3"/>
      <c r="BL174" s="3"/>
      <c r="CJ174" s="5"/>
      <c r="CK174" s="5"/>
      <c r="CL174" s="3"/>
      <c r="CN174" s="5"/>
      <c r="CR174" s="3"/>
      <c r="CS174" s="3"/>
      <c r="CT174" s="5"/>
      <c r="CV174" s="3"/>
      <c r="DR174" s="5"/>
      <c r="DT174" s="3"/>
      <c r="EF174" s="7"/>
      <c r="EG174" s="7"/>
      <c r="EJ174" s="4"/>
      <c r="EK174" s="4"/>
      <c r="EU174" s="2"/>
      <c r="EV174" s="2"/>
    </row>
    <row r="175" spans="1:152">
      <c r="A175" s="125">
        <v>3467</v>
      </c>
      <c r="B175" s="126" t="s">
        <v>1437</v>
      </c>
      <c r="C175" s="126" t="s">
        <v>116</v>
      </c>
      <c r="D175" s="126" t="s">
        <v>127</v>
      </c>
      <c r="E175" s="126" t="s">
        <v>1438</v>
      </c>
      <c r="F175" s="126" t="s">
        <v>41</v>
      </c>
      <c r="G175" s="126" t="s">
        <v>1412</v>
      </c>
      <c r="H175" s="126" t="s">
        <v>1319</v>
      </c>
      <c r="I175" s="126" t="s">
        <v>1143</v>
      </c>
      <c r="J175" s="126" t="s">
        <v>940</v>
      </c>
      <c r="K175" s="127">
        <v>43437</v>
      </c>
      <c r="L175" s="128"/>
      <c r="M175" s="128">
        <v>2.5</v>
      </c>
      <c r="N175" s="126">
        <v>3</v>
      </c>
      <c r="O175" s="126" t="s">
        <v>119</v>
      </c>
      <c r="P175" s="129" t="s">
        <v>1043</v>
      </c>
      <c r="Q175" s="129" t="s">
        <v>257</v>
      </c>
      <c r="R175" s="126" t="s">
        <v>24</v>
      </c>
      <c r="S175" s="126"/>
      <c r="T175" s="130" t="s">
        <v>120</v>
      </c>
      <c r="U175" s="126" t="s">
        <v>1430</v>
      </c>
      <c r="V175" s="130" t="s">
        <v>120</v>
      </c>
      <c r="W175" s="126"/>
      <c r="X175" s="130" t="s">
        <v>120</v>
      </c>
      <c r="Y175" s="126" t="s">
        <v>1439</v>
      </c>
      <c r="Z175" s="162" t="s">
        <v>120</v>
      </c>
      <c r="AA175" s="154"/>
      <c r="AB175" s="154"/>
      <c r="AC175" s="167" t="s">
        <v>123</v>
      </c>
      <c r="AD175" s="126" t="s">
        <v>1440</v>
      </c>
      <c r="AE175" s="130" t="s">
        <v>120</v>
      </c>
      <c r="AF175" s="127" t="s">
        <v>1416</v>
      </c>
      <c r="AG175" s="131"/>
      <c r="AH175" s="131"/>
      <c r="AI175" s="126" t="s">
        <v>1417</v>
      </c>
      <c r="AJ175" s="130" t="s">
        <v>120</v>
      </c>
      <c r="AK175" s="126" t="s">
        <v>123</v>
      </c>
      <c r="AL175" s="126" t="s">
        <v>1418</v>
      </c>
      <c r="AM175" s="130"/>
      <c r="AN175" s="126"/>
      <c r="AO175" s="132"/>
      <c r="AP175" s="126"/>
      <c r="AQ175" s="126"/>
      <c r="AR175" s="130"/>
      <c r="AS175" s="126"/>
      <c r="AT175" s="127">
        <v>43438.482056713001</v>
      </c>
      <c r="AU175" s="127">
        <v>43439.507189120399</v>
      </c>
      <c r="AV175" s="127">
        <v>43438.692457986101</v>
      </c>
      <c r="AW175" s="127">
        <v>43438.482056713001</v>
      </c>
      <c r="AX175" s="127">
        <v>43438.738754629601</v>
      </c>
      <c r="AY175" s="127">
        <v>43437.702628009298</v>
      </c>
      <c r="AZ175" s="133">
        <v>43441.389733217598</v>
      </c>
      <c r="BA175" s="134">
        <f ca="1">IF(_05preva_view43[[#This Row],[Prevalidation Status]]="Under Prevalidation",NOW()-_05preva_view43[[#This Row],[Request Date]],IF(_05preva_view43[[#This Row],[Close Date]]&gt;_05preva_view43[[#This Row],[Request Date]],_05preva_view43[[#This Row],[Close Date]]-_05preva_view43[[#This Row],[Request Date]],"Not  Calculated"))</f>
        <v>4.3897332175984047</v>
      </c>
      <c r="BB175" s="135">
        <f>COUNTIFS(_05preva_view43[Site ID],_05preva_view43[[#This Row],[Site ID]],_05preva_view43[Prevalidation Status],"Under Prevalidation")</f>
        <v>0</v>
      </c>
      <c r="BC175" s="153" t="str">
        <f ca="1">HYPERLINK(CheckPath(_05preva_view43[[#This Row],[File Path]],_05preva_view43[[#This Row],[File Path]],_05preva_view43[[#This Row],[Folder Path3]]),CheckPath(_05preva_view43[[#This Row],[File Path]],"Open File","No File"))</f>
        <v>No File</v>
      </c>
      <c r="BD175" s="136" t="str">
        <f>CONCATENATE(_05preva_view43[[#This Row],[Site ID]]," (",_05preva_view43[[#This Row],[tenant id]],") Application",IF(_05preva_view43[[#This Row],[Colo Rev]]&gt;0," Rev "&amp;_05preva_view43[[#This Row],[Colo Rev]],""),".xlsx")</f>
        <v>ANMD_0077 (MDYAMPR015) Application Rev 0.xlsx</v>
      </c>
      <c r="BE175" s="64">
        <f t="shared" ca="1" si="4"/>
        <v>50</v>
      </c>
      <c r="BF175" s="104" t="str">
        <f ca="1">LEFT(CELL("filename",A160),_05preva_view43[[#This Row],[Find Process &amp; Database]]-1)</f>
        <v>D:\OneDrive - apollo-towers.com\Apollo Towers\00-</v>
      </c>
      <c r="BG175" s="104" t="str">
        <f ca="1">_05preva_view43[Folder Path1]&amp;"Process &amp; Database\Documentation\Colo Applications"</f>
        <v>D:\OneDrive - apollo-towers.com\Apollo Towers\00-Process &amp; Database\Documentation\Colo Applications</v>
      </c>
      <c r="BH175" s="104" t="str">
        <f ca="1">_05preva_view43[Folder Path2]&amp;"\Colo App "&amp;_05preva_view43[[#This Row],[Operator]]&amp;"\"</f>
        <v>D:\OneDrive - apollo-towers.com\Apollo Towers\00-Process &amp; Database\Documentation\Colo Applications\Colo App Amara\</v>
      </c>
      <c r="BI175" s="63" t="str">
        <f ca="1">_05preva_view43[[#This Row],[Folder Path3]]&amp;_05preva_view43[[#This Row],[File Name]]</f>
        <v>D:\OneDrive - apollo-towers.com\Apollo Towers\00-Process &amp; Database\Documentation\Colo Applications\Colo App Amara\ANMD_0077 (MDYAMPR015) Application Rev 0.xlsx</v>
      </c>
      <c r="BJ175" s="104"/>
      <c r="BK175" s="3"/>
      <c r="BL175" s="3"/>
      <c r="CJ175" s="5"/>
      <c r="CK175" s="5"/>
      <c r="CL175" s="3"/>
      <c r="CN175" s="5"/>
      <c r="CR175" s="3"/>
      <c r="CS175" s="3"/>
      <c r="CT175" s="5"/>
      <c r="CV175" s="3"/>
      <c r="DR175" s="5"/>
      <c r="DT175" s="3"/>
      <c r="EF175" s="7"/>
      <c r="EG175" s="7"/>
      <c r="EJ175" s="4"/>
      <c r="EK175" s="4"/>
      <c r="EU175" s="2"/>
      <c r="EV175" s="2"/>
    </row>
    <row r="176" spans="1:152">
      <c r="A176" s="125">
        <v>3468</v>
      </c>
      <c r="B176" s="126" t="s">
        <v>622</v>
      </c>
      <c r="C176" s="126" t="s">
        <v>116</v>
      </c>
      <c r="D176" s="126" t="s">
        <v>127</v>
      </c>
      <c r="E176" s="126" t="s">
        <v>1441</v>
      </c>
      <c r="F176" s="126" t="s">
        <v>41</v>
      </c>
      <c r="G176" s="126" t="s">
        <v>1412</v>
      </c>
      <c r="H176" s="126" t="s">
        <v>1319</v>
      </c>
      <c r="I176" s="126" t="s">
        <v>1143</v>
      </c>
      <c r="J176" s="126" t="s">
        <v>940</v>
      </c>
      <c r="K176" s="127">
        <v>43437</v>
      </c>
      <c r="L176" s="128"/>
      <c r="M176" s="128">
        <v>2</v>
      </c>
      <c r="N176" s="126">
        <v>3</v>
      </c>
      <c r="O176" s="126" t="s">
        <v>119</v>
      </c>
      <c r="P176" s="129" t="s">
        <v>1043</v>
      </c>
      <c r="Q176" s="129" t="s">
        <v>1442</v>
      </c>
      <c r="R176" s="126" t="s">
        <v>24</v>
      </c>
      <c r="S176" s="126"/>
      <c r="T176" s="130" t="s">
        <v>120</v>
      </c>
      <c r="U176" s="126" t="s">
        <v>1413</v>
      </c>
      <c r="V176" s="130" t="s">
        <v>120</v>
      </c>
      <c r="W176" s="126"/>
      <c r="X176" s="130" t="s">
        <v>120</v>
      </c>
      <c r="Y176" s="126" t="s">
        <v>1443</v>
      </c>
      <c r="Z176" s="162" t="s">
        <v>120</v>
      </c>
      <c r="AA176" s="154"/>
      <c r="AB176" s="154"/>
      <c r="AC176" s="167" t="s">
        <v>123</v>
      </c>
      <c r="AD176" s="126" t="s">
        <v>1444</v>
      </c>
      <c r="AE176" s="130" t="s">
        <v>120</v>
      </c>
      <c r="AF176" s="127" t="s">
        <v>1416</v>
      </c>
      <c r="AG176" s="131"/>
      <c r="AH176" s="131"/>
      <c r="AI176" s="126" t="s">
        <v>1427</v>
      </c>
      <c r="AJ176" s="130" t="s">
        <v>120</v>
      </c>
      <c r="AK176" s="126" t="s">
        <v>123</v>
      </c>
      <c r="AL176" s="126" t="s">
        <v>1418</v>
      </c>
      <c r="AM176" s="130"/>
      <c r="AN176" s="126"/>
      <c r="AO176" s="132"/>
      <c r="AP176" s="126"/>
      <c r="AQ176" s="126"/>
      <c r="AR176" s="130"/>
      <c r="AS176" s="126"/>
      <c r="AT176" s="127">
        <v>43438.482057986097</v>
      </c>
      <c r="AU176" s="127">
        <v>43439.507190625001</v>
      </c>
      <c r="AV176" s="127">
        <v>43438.692459953701</v>
      </c>
      <c r="AW176" s="127">
        <v>43438.482057986097</v>
      </c>
      <c r="AX176" s="127">
        <v>43438.738757407402</v>
      </c>
      <c r="AY176" s="127">
        <v>43437.702629976899</v>
      </c>
      <c r="AZ176" s="133">
        <v>43441.389734722201</v>
      </c>
      <c r="BA176" s="134">
        <f ca="1">IF(_05preva_view43[[#This Row],[Prevalidation Status]]="Under Prevalidation",NOW()-_05preva_view43[[#This Row],[Request Date]],IF(_05preva_view43[[#This Row],[Close Date]]&gt;_05preva_view43[[#This Row],[Request Date]],_05preva_view43[[#This Row],[Close Date]]-_05preva_view43[[#This Row],[Request Date]],"Not  Calculated"))</f>
        <v>4.3897347222009557</v>
      </c>
      <c r="BB176" s="135">
        <f>COUNTIFS(_05preva_view43[Site ID],_05preva_view43[[#This Row],[Site ID]],_05preva_view43[Prevalidation Status],"Under Prevalidation")</f>
        <v>0</v>
      </c>
      <c r="BC176" s="153" t="str">
        <f ca="1">HYPERLINK(CheckPath(_05preva_view43[[#This Row],[File Path]],_05preva_view43[[#This Row],[File Path]],_05preva_view43[[#This Row],[Folder Path3]]),CheckPath(_05preva_view43[[#This Row],[File Path]],"Open File","No File"))</f>
        <v>No File</v>
      </c>
      <c r="BD176" s="136" t="str">
        <f>CONCATENATE(_05preva_view43[[#This Row],[Site ID]]," (",_05preva_view43[[#This Row],[tenant id]],") Application",IF(_05preva_view43[[#This Row],[Colo Rev]]&gt;0," Rev "&amp;_05preva_view43[[#This Row],[Colo Rev]],""),".xlsx")</f>
        <v>ANMD_0266 (MDYPGTG020) Application Rev 0.xlsx</v>
      </c>
      <c r="BE176" s="64">
        <f t="shared" ca="1" si="4"/>
        <v>50</v>
      </c>
      <c r="BF176" s="104" t="str">
        <f ca="1">LEFT(CELL("filename",A161),_05preva_view43[[#This Row],[Find Process &amp; Database]]-1)</f>
        <v>D:\OneDrive - apollo-towers.com\Apollo Towers\00-</v>
      </c>
      <c r="BG176" s="104" t="str">
        <f ca="1">_05preva_view43[Folder Path1]&amp;"Process &amp; Database\Documentation\Colo Applications"</f>
        <v>D:\OneDrive - apollo-towers.com\Apollo Towers\00-Process &amp; Database\Documentation\Colo Applications</v>
      </c>
      <c r="BH176" s="104" t="str">
        <f ca="1">_05preva_view43[Folder Path2]&amp;"\Colo App "&amp;_05preva_view43[[#This Row],[Operator]]&amp;"\"</f>
        <v>D:\OneDrive - apollo-towers.com\Apollo Towers\00-Process &amp; Database\Documentation\Colo Applications\Colo App Amara\</v>
      </c>
      <c r="BI176" s="63" t="str">
        <f ca="1">_05preva_view43[[#This Row],[Folder Path3]]&amp;_05preva_view43[[#This Row],[File Name]]</f>
        <v>D:\OneDrive - apollo-towers.com\Apollo Towers\00-Process &amp; Database\Documentation\Colo Applications\Colo App Amara\ANMD_0266 (MDYPGTG020) Application Rev 0.xlsx</v>
      </c>
      <c r="BJ176" s="104"/>
      <c r="BK176" s="3"/>
      <c r="BL176" s="3"/>
      <c r="CJ176" s="5"/>
      <c r="CK176" s="5"/>
      <c r="CL176" s="3"/>
      <c r="CN176" s="5"/>
      <c r="CR176" s="3"/>
      <c r="CS176" s="3"/>
      <c r="CT176" s="5"/>
      <c r="CV176" s="3"/>
      <c r="DR176" s="5"/>
      <c r="DT176" s="3"/>
      <c r="EF176" s="7"/>
      <c r="EG176" s="7"/>
      <c r="EJ176" s="4"/>
      <c r="EK176" s="4"/>
      <c r="EU176" s="2"/>
      <c r="EV176" s="2"/>
    </row>
    <row r="177" spans="1:152">
      <c r="A177" s="125">
        <v>3469</v>
      </c>
      <c r="B177" s="126" t="s">
        <v>1445</v>
      </c>
      <c r="C177" s="126" t="s">
        <v>116</v>
      </c>
      <c r="D177" s="126" t="s">
        <v>127</v>
      </c>
      <c r="E177" s="126" t="s">
        <v>1446</v>
      </c>
      <c r="F177" s="126" t="s">
        <v>41</v>
      </c>
      <c r="G177" s="126" t="s">
        <v>1412</v>
      </c>
      <c r="H177" s="126" t="s">
        <v>1319</v>
      </c>
      <c r="I177" s="126" t="s">
        <v>1143</v>
      </c>
      <c r="J177" s="126" t="s">
        <v>940</v>
      </c>
      <c r="K177" s="127">
        <v>43437</v>
      </c>
      <c r="L177" s="128"/>
      <c r="M177" s="128">
        <v>2</v>
      </c>
      <c r="N177" s="126">
        <v>3</v>
      </c>
      <c r="O177" s="126" t="s">
        <v>119</v>
      </c>
      <c r="P177" s="129" t="s">
        <v>1447</v>
      </c>
      <c r="Q177" s="129" t="s">
        <v>747</v>
      </c>
      <c r="R177" s="126" t="s">
        <v>24</v>
      </c>
      <c r="S177" s="126"/>
      <c r="T177" s="130" t="s">
        <v>120</v>
      </c>
      <c r="U177" s="126" t="s">
        <v>1413</v>
      </c>
      <c r="V177" s="130" t="s">
        <v>120</v>
      </c>
      <c r="W177" s="126"/>
      <c r="X177" s="130" t="s">
        <v>120</v>
      </c>
      <c r="Y177" s="126" t="s">
        <v>1448</v>
      </c>
      <c r="Z177" s="162" t="s">
        <v>120</v>
      </c>
      <c r="AA177" s="154"/>
      <c r="AB177" s="154"/>
      <c r="AC177" s="167" t="s">
        <v>123</v>
      </c>
      <c r="AD177" s="126" t="s">
        <v>1449</v>
      </c>
      <c r="AE177" s="130" t="s">
        <v>120</v>
      </c>
      <c r="AF177" s="127" t="s">
        <v>1416</v>
      </c>
      <c r="AG177" s="131"/>
      <c r="AH177" s="131"/>
      <c r="AI177" s="126" t="s">
        <v>1427</v>
      </c>
      <c r="AJ177" s="130" t="s">
        <v>120</v>
      </c>
      <c r="AK177" s="126" t="s">
        <v>123</v>
      </c>
      <c r="AL177" s="126" t="s">
        <v>1418</v>
      </c>
      <c r="AM177" s="130"/>
      <c r="AN177" s="126"/>
      <c r="AO177" s="132"/>
      <c r="AP177" s="126"/>
      <c r="AQ177" s="126"/>
      <c r="AR177" s="130"/>
      <c r="AS177" s="126"/>
      <c r="AT177" s="127">
        <v>43438.482059259302</v>
      </c>
      <c r="AU177" s="127">
        <v>43439.507191782403</v>
      </c>
      <c r="AV177" s="127">
        <v>43438.692460763901</v>
      </c>
      <c r="AW177" s="127">
        <v>43438.482059259302</v>
      </c>
      <c r="AX177" s="127">
        <v>43438.738761342604</v>
      </c>
      <c r="AY177" s="127">
        <v>43437.702630439802</v>
      </c>
      <c r="AZ177" s="133">
        <v>43441.3897363426</v>
      </c>
      <c r="BA177" s="134">
        <f ca="1">IF(_05preva_view43[[#This Row],[Prevalidation Status]]="Under Prevalidation",NOW()-_05preva_view43[[#This Row],[Request Date]],IF(_05preva_view43[[#This Row],[Close Date]]&gt;_05preva_view43[[#This Row],[Request Date]],_05preva_view43[[#This Row],[Close Date]]-_05preva_view43[[#This Row],[Request Date]],"Not  Calculated"))</f>
        <v>4.3897363426003722</v>
      </c>
      <c r="BB177" s="135">
        <f>COUNTIFS(_05preva_view43[Site ID],_05preva_view43[[#This Row],[Site ID]],_05preva_view43[Prevalidation Status],"Under Prevalidation")</f>
        <v>0</v>
      </c>
      <c r="BC177" s="153" t="str">
        <f ca="1">HYPERLINK(CheckPath(_05preva_view43[[#This Row],[File Path]],_05preva_view43[[#This Row],[File Path]],_05preva_view43[[#This Row],[Folder Path3]]),CheckPath(_05preva_view43[[#This Row],[File Path]],"Open File","No File"))</f>
        <v>No File</v>
      </c>
      <c r="BD177" s="136" t="str">
        <f>CONCATENATE(_05preva_view43[[#This Row],[Site ID]]," (",_05preva_view43[[#This Row],[tenant id]],") Application",IF(_05preva_view43[[#This Row],[Colo Rev]]&gt;0," Rev "&amp;_05preva_view43[[#This Row],[Colo Rev]],""),".xlsx")</f>
        <v>ANMD_0165 (MDYPGTG033) Application Rev 0.xlsx</v>
      </c>
      <c r="BE177" s="64">
        <f t="shared" ca="1" si="4"/>
        <v>50</v>
      </c>
      <c r="BF177" s="104" t="str">
        <f ca="1">LEFT(CELL("filename",A162),_05preva_view43[[#This Row],[Find Process &amp; Database]]-1)</f>
        <v>D:\OneDrive - apollo-towers.com\Apollo Towers\00-</v>
      </c>
      <c r="BG177" s="104" t="str">
        <f ca="1">_05preva_view43[Folder Path1]&amp;"Process &amp; Database\Documentation\Colo Applications"</f>
        <v>D:\OneDrive - apollo-towers.com\Apollo Towers\00-Process &amp; Database\Documentation\Colo Applications</v>
      </c>
      <c r="BH177" s="104" t="str">
        <f ca="1">_05preva_view43[Folder Path2]&amp;"\Colo App "&amp;_05preva_view43[[#This Row],[Operator]]&amp;"\"</f>
        <v>D:\OneDrive - apollo-towers.com\Apollo Towers\00-Process &amp; Database\Documentation\Colo Applications\Colo App Amara\</v>
      </c>
      <c r="BI177" s="63" t="str">
        <f ca="1">_05preva_view43[[#This Row],[Folder Path3]]&amp;_05preva_view43[[#This Row],[File Name]]</f>
        <v>D:\OneDrive - apollo-towers.com\Apollo Towers\00-Process &amp; Database\Documentation\Colo Applications\Colo App Amara\ANMD_0165 (MDYPGTG033) Application Rev 0.xlsx</v>
      </c>
      <c r="BJ177" s="104"/>
      <c r="BK177" s="3"/>
      <c r="BL177" s="3"/>
      <c r="CJ177" s="5"/>
      <c r="CK177" s="5"/>
      <c r="CL177" s="3"/>
      <c r="CN177" s="5"/>
      <c r="CR177" s="3"/>
      <c r="CS177" s="3"/>
      <c r="CT177" s="5"/>
      <c r="CV177" s="3"/>
      <c r="DR177" s="5"/>
      <c r="DT177" s="3"/>
      <c r="EF177" s="7"/>
      <c r="EG177" s="7"/>
      <c r="EJ177" s="4"/>
      <c r="EK177" s="4"/>
      <c r="EU177" s="2"/>
      <c r="EV177" s="2"/>
    </row>
    <row r="178" spans="1:152">
      <c r="A178" s="125">
        <v>3470</v>
      </c>
      <c r="B178" s="126" t="s">
        <v>624</v>
      </c>
      <c r="C178" s="126" t="s">
        <v>116</v>
      </c>
      <c r="D178" s="126" t="s">
        <v>127</v>
      </c>
      <c r="E178" s="126" t="s">
        <v>1450</v>
      </c>
      <c r="F178" s="126" t="s">
        <v>41</v>
      </c>
      <c r="G178" s="126" t="s">
        <v>1412</v>
      </c>
      <c r="H178" s="126" t="s">
        <v>1319</v>
      </c>
      <c r="I178" s="126" t="s">
        <v>1143</v>
      </c>
      <c r="J178" s="126" t="s">
        <v>940</v>
      </c>
      <c r="K178" s="127">
        <v>43437</v>
      </c>
      <c r="L178" s="128"/>
      <c r="M178" s="128">
        <v>2</v>
      </c>
      <c r="N178" s="126">
        <v>3</v>
      </c>
      <c r="O178" s="126" t="s">
        <v>119</v>
      </c>
      <c r="P178" s="129" t="s">
        <v>1447</v>
      </c>
      <c r="Q178" s="129" t="s">
        <v>747</v>
      </c>
      <c r="R178" s="126" t="s">
        <v>24</v>
      </c>
      <c r="S178" s="126"/>
      <c r="T178" s="130" t="s">
        <v>120</v>
      </c>
      <c r="U178" s="126" t="s">
        <v>1413</v>
      </c>
      <c r="V178" s="130" t="s">
        <v>120</v>
      </c>
      <c r="W178" s="126"/>
      <c r="X178" s="130" t="s">
        <v>120</v>
      </c>
      <c r="Y178" s="126" t="s">
        <v>1451</v>
      </c>
      <c r="Z178" s="162" t="s">
        <v>120</v>
      </c>
      <c r="AA178" s="154"/>
      <c r="AB178" s="154"/>
      <c r="AC178" s="167" t="s">
        <v>123</v>
      </c>
      <c r="AD178" s="126" t="s">
        <v>1452</v>
      </c>
      <c r="AE178" s="130" t="s">
        <v>120</v>
      </c>
      <c r="AF178" s="127" t="s">
        <v>1416</v>
      </c>
      <c r="AG178" s="131"/>
      <c r="AH178" s="131"/>
      <c r="AI178" s="126" t="s">
        <v>1427</v>
      </c>
      <c r="AJ178" s="130" t="s">
        <v>120</v>
      </c>
      <c r="AK178" s="126" t="s">
        <v>123</v>
      </c>
      <c r="AL178" s="126" t="s">
        <v>1418</v>
      </c>
      <c r="AM178" s="130"/>
      <c r="AN178" s="126"/>
      <c r="AO178" s="132"/>
      <c r="AP178" s="126"/>
      <c r="AQ178" s="126"/>
      <c r="AR178" s="130"/>
      <c r="AS178" s="126"/>
      <c r="AT178" s="127">
        <v>43438.482060416703</v>
      </c>
      <c r="AU178" s="127">
        <v>43439.507193402802</v>
      </c>
      <c r="AV178" s="127">
        <v>43438.692462384301</v>
      </c>
      <c r="AW178" s="127">
        <v>43438.482060416703</v>
      </c>
      <c r="AX178" s="127">
        <v>43438.7387640046</v>
      </c>
      <c r="AY178" s="127">
        <v>43437.702632060202</v>
      </c>
      <c r="AZ178" s="133">
        <v>43441.389737037003</v>
      </c>
      <c r="BA178" s="134">
        <f ca="1">IF(_05preva_view43[[#This Row],[Prevalidation Status]]="Under Prevalidation",NOW()-_05preva_view43[[#This Row],[Request Date]],IF(_05preva_view43[[#This Row],[Close Date]]&gt;_05preva_view43[[#This Row],[Request Date]],_05preva_view43[[#This Row],[Close Date]]-_05preva_view43[[#This Row],[Request Date]],"Not  Calculated"))</f>
        <v>4.3897370370032149</v>
      </c>
      <c r="BB178" s="135">
        <f>COUNTIFS(_05preva_view43[Site ID],_05preva_view43[[#This Row],[Site ID]],_05preva_view43[Prevalidation Status],"Under Prevalidation")</f>
        <v>0</v>
      </c>
      <c r="BC178" s="153" t="str">
        <f ca="1">HYPERLINK(CheckPath(_05preva_view43[[#This Row],[File Path]],_05preva_view43[[#This Row],[File Path]],_05preva_view43[[#This Row],[Folder Path3]]),CheckPath(_05preva_view43[[#This Row],[File Path]],"Open File","No File"))</f>
        <v>No File</v>
      </c>
      <c r="BD178" s="136" t="str">
        <f>CONCATENATE(_05preva_view43[[#This Row],[Site ID]]," (",_05preva_view43[[#This Row],[tenant id]],") Application",IF(_05preva_view43[[#This Row],[Colo Rev]]&gt;0," Rev "&amp;_05preva_view43[[#This Row],[Colo Rev]],""),".xlsx")</f>
        <v>ANMD_0167 (MDYPGTG036) Application Rev 0.xlsx</v>
      </c>
      <c r="BE178" s="64">
        <f t="shared" ca="1" si="4"/>
        <v>50</v>
      </c>
      <c r="BF178" s="104" t="str">
        <f ca="1">LEFT(CELL("filename",A163),_05preva_view43[[#This Row],[Find Process &amp; Database]]-1)</f>
        <v>D:\OneDrive - apollo-towers.com\Apollo Towers\00-</v>
      </c>
      <c r="BG178" s="104" t="str">
        <f ca="1">_05preva_view43[Folder Path1]&amp;"Process &amp; Database\Documentation\Colo Applications"</f>
        <v>D:\OneDrive - apollo-towers.com\Apollo Towers\00-Process &amp; Database\Documentation\Colo Applications</v>
      </c>
      <c r="BH178" s="104" t="str">
        <f ca="1">_05preva_view43[Folder Path2]&amp;"\Colo App "&amp;_05preva_view43[[#This Row],[Operator]]&amp;"\"</f>
        <v>D:\OneDrive - apollo-towers.com\Apollo Towers\00-Process &amp; Database\Documentation\Colo Applications\Colo App Amara\</v>
      </c>
      <c r="BI178" s="63" t="str">
        <f ca="1">_05preva_view43[[#This Row],[Folder Path3]]&amp;_05preva_view43[[#This Row],[File Name]]</f>
        <v>D:\OneDrive - apollo-towers.com\Apollo Towers\00-Process &amp; Database\Documentation\Colo Applications\Colo App Amara\ANMD_0167 (MDYPGTG036) Application Rev 0.xlsx</v>
      </c>
      <c r="BJ178" s="104"/>
      <c r="BK178" s="3"/>
      <c r="BL178" s="3"/>
      <c r="CJ178" s="5"/>
      <c r="CK178" s="5"/>
      <c r="CL178" s="3"/>
      <c r="CN178" s="5"/>
      <c r="CR178" s="3"/>
      <c r="CS178" s="3"/>
      <c r="CT178" s="5"/>
      <c r="CV178" s="3"/>
      <c r="DR178" s="5"/>
      <c r="DT178" s="3"/>
      <c r="EF178" s="7"/>
      <c r="EG178" s="7"/>
      <c r="EJ178" s="4"/>
      <c r="EK178" s="4"/>
      <c r="EU178" s="2"/>
      <c r="EV178" s="2"/>
    </row>
    <row r="179" spans="1:152">
      <c r="A179" s="125">
        <v>3471</v>
      </c>
      <c r="B179" s="126" t="s">
        <v>1453</v>
      </c>
      <c r="C179" s="126" t="s">
        <v>116</v>
      </c>
      <c r="D179" s="126" t="s">
        <v>127</v>
      </c>
      <c r="E179" s="126" t="s">
        <v>1454</v>
      </c>
      <c r="F179" s="126" t="s">
        <v>41</v>
      </c>
      <c r="G179" s="126" t="s">
        <v>1412</v>
      </c>
      <c r="H179" s="126" t="s">
        <v>1319</v>
      </c>
      <c r="I179" s="126" t="s">
        <v>1143</v>
      </c>
      <c r="J179" s="126" t="s">
        <v>940</v>
      </c>
      <c r="K179" s="127">
        <v>43437</v>
      </c>
      <c r="L179" s="128"/>
      <c r="M179" s="128">
        <v>2.5</v>
      </c>
      <c r="N179" s="126">
        <v>5</v>
      </c>
      <c r="O179" s="126" t="s">
        <v>119</v>
      </c>
      <c r="P179" s="129" t="s">
        <v>1455</v>
      </c>
      <c r="Q179" s="129" t="s">
        <v>363</v>
      </c>
      <c r="R179" s="126" t="s">
        <v>24</v>
      </c>
      <c r="S179" s="126"/>
      <c r="T179" s="130" t="s">
        <v>120</v>
      </c>
      <c r="U179" s="126" t="s">
        <v>1413</v>
      </c>
      <c r="V179" s="130" t="s">
        <v>120</v>
      </c>
      <c r="W179" s="126"/>
      <c r="X179" s="130" t="s">
        <v>120</v>
      </c>
      <c r="Y179" s="126" t="s">
        <v>1456</v>
      </c>
      <c r="Z179" s="162" t="s">
        <v>120</v>
      </c>
      <c r="AA179" s="154"/>
      <c r="AB179" s="154"/>
      <c r="AC179" s="167" t="s">
        <v>123</v>
      </c>
      <c r="AD179" s="126" t="s">
        <v>1457</v>
      </c>
      <c r="AE179" s="130" t="s">
        <v>120</v>
      </c>
      <c r="AF179" s="127" t="s">
        <v>1416</v>
      </c>
      <c r="AG179" s="131"/>
      <c r="AH179" s="131"/>
      <c r="AI179" s="126" t="s">
        <v>1427</v>
      </c>
      <c r="AJ179" s="130" t="s">
        <v>120</v>
      </c>
      <c r="AK179" s="126" t="s">
        <v>123</v>
      </c>
      <c r="AL179" s="126" t="s">
        <v>1418</v>
      </c>
      <c r="AM179" s="130"/>
      <c r="AN179" s="126"/>
      <c r="AO179" s="132"/>
      <c r="AP179" s="126"/>
      <c r="AQ179" s="126"/>
      <c r="AR179" s="130"/>
      <c r="AS179" s="126"/>
      <c r="AT179" s="127">
        <v>43438.482061921299</v>
      </c>
      <c r="AU179" s="127">
        <v>43439.507194560203</v>
      </c>
      <c r="AV179" s="127">
        <v>43438.692463310203</v>
      </c>
      <c r="AW179" s="127">
        <v>43438.482061921299</v>
      </c>
      <c r="AX179" s="127">
        <v>43438.738765856499</v>
      </c>
      <c r="AY179" s="127">
        <v>43437.702632407403</v>
      </c>
      <c r="AZ179" s="133">
        <v>43441.389737731501</v>
      </c>
      <c r="BA179" s="134">
        <f ca="1">IF(_05preva_view43[[#This Row],[Prevalidation Status]]="Under Prevalidation",NOW()-_05preva_view43[[#This Row],[Request Date]],IF(_05preva_view43[[#This Row],[Close Date]]&gt;_05preva_view43[[#This Row],[Request Date]],_05preva_view43[[#This Row],[Close Date]]-_05preva_view43[[#This Row],[Request Date]],"Not  Calculated"))</f>
        <v>4.3897377315006452</v>
      </c>
      <c r="BB179" s="135">
        <f>COUNTIFS(_05preva_view43[Site ID],_05preva_view43[[#This Row],[Site ID]],_05preva_view43[Prevalidation Status],"Under Prevalidation")</f>
        <v>0</v>
      </c>
      <c r="BC179" s="153" t="str">
        <f ca="1">HYPERLINK(CheckPath(_05preva_view43[[#This Row],[File Path]],_05preva_view43[[#This Row],[File Path]],_05preva_view43[[#This Row],[Folder Path3]]),CheckPath(_05preva_view43[[#This Row],[File Path]],"Open File","No File"))</f>
        <v>No File</v>
      </c>
      <c r="BD179" s="136" t="str">
        <f>CONCATENATE(_05preva_view43[[#This Row],[Site ID]]," (",_05preva_view43[[#This Row],[tenant id]],") Application",IF(_05preva_view43[[#This Row],[Colo Rev]]&gt;0," Rev "&amp;_05preva_view43[[#This Row],[Colo Rev]],""),".xlsx")</f>
        <v>ANMD_0172 (MDYPGTG039) Application Rev 0.xlsx</v>
      </c>
      <c r="BE179" s="64">
        <f t="shared" ca="1" si="4"/>
        <v>50</v>
      </c>
      <c r="BF179" s="104" t="str">
        <f ca="1">LEFT(CELL("filename",A164),_05preva_view43[[#This Row],[Find Process &amp; Database]]-1)</f>
        <v>D:\OneDrive - apollo-towers.com\Apollo Towers\00-</v>
      </c>
      <c r="BG179" s="104" t="str">
        <f ca="1">_05preva_view43[Folder Path1]&amp;"Process &amp; Database\Documentation\Colo Applications"</f>
        <v>D:\OneDrive - apollo-towers.com\Apollo Towers\00-Process &amp; Database\Documentation\Colo Applications</v>
      </c>
      <c r="BH179" s="104" t="str">
        <f ca="1">_05preva_view43[Folder Path2]&amp;"\Colo App "&amp;_05preva_view43[[#This Row],[Operator]]&amp;"\"</f>
        <v>D:\OneDrive - apollo-towers.com\Apollo Towers\00-Process &amp; Database\Documentation\Colo Applications\Colo App Amara\</v>
      </c>
      <c r="BI179" s="63" t="str">
        <f ca="1">_05preva_view43[[#This Row],[Folder Path3]]&amp;_05preva_view43[[#This Row],[File Name]]</f>
        <v>D:\OneDrive - apollo-towers.com\Apollo Towers\00-Process &amp; Database\Documentation\Colo Applications\Colo App Amara\ANMD_0172 (MDYPGTG039) Application Rev 0.xlsx</v>
      </c>
      <c r="BJ179" s="104"/>
      <c r="BK179" s="3"/>
      <c r="BL179" s="3"/>
      <c r="CJ179" s="5"/>
      <c r="CK179" s="5"/>
      <c r="CL179" s="3"/>
      <c r="CN179" s="5"/>
      <c r="CR179" s="3"/>
      <c r="CS179" s="3"/>
      <c r="CT179" s="5"/>
      <c r="CV179" s="3"/>
      <c r="DR179" s="5"/>
      <c r="DT179" s="3"/>
      <c r="EF179" s="7"/>
      <c r="EG179" s="7"/>
      <c r="EJ179" s="4"/>
      <c r="EK179" s="4"/>
      <c r="EU179" s="2"/>
      <c r="EV179" s="2"/>
    </row>
    <row r="180" spans="1:152">
      <c r="A180" s="125">
        <v>3472</v>
      </c>
      <c r="B180" s="126" t="s">
        <v>1458</v>
      </c>
      <c r="C180" s="126" t="s">
        <v>116</v>
      </c>
      <c r="D180" s="126" t="s">
        <v>163</v>
      </c>
      <c r="E180" s="126" t="s">
        <v>1459</v>
      </c>
      <c r="F180" s="126" t="s">
        <v>35</v>
      </c>
      <c r="G180" s="126" t="s">
        <v>1577</v>
      </c>
      <c r="H180" s="126" t="s">
        <v>1575</v>
      </c>
      <c r="I180" s="126" t="s">
        <v>1191</v>
      </c>
      <c r="J180" s="126" t="s">
        <v>949</v>
      </c>
      <c r="K180" s="127">
        <v>43437</v>
      </c>
      <c r="L180" s="128">
        <v>1.44</v>
      </c>
      <c r="M180" s="128">
        <v>1.8</v>
      </c>
      <c r="N180" s="126"/>
      <c r="O180" s="126" t="s">
        <v>119</v>
      </c>
      <c r="P180" s="129" t="s">
        <v>263</v>
      </c>
      <c r="Q180" s="129" t="s">
        <v>264</v>
      </c>
      <c r="R180" s="126" t="s">
        <v>24</v>
      </c>
      <c r="S180" s="126"/>
      <c r="T180" s="130" t="s">
        <v>120</v>
      </c>
      <c r="U180" s="126" t="s">
        <v>1460</v>
      </c>
      <c r="V180" s="130" t="s">
        <v>120</v>
      </c>
      <c r="W180" s="126"/>
      <c r="X180" s="130" t="s">
        <v>120</v>
      </c>
      <c r="Y180" s="126" t="s">
        <v>1461</v>
      </c>
      <c r="Z180" s="162" t="s">
        <v>120</v>
      </c>
      <c r="AA180" s="154"/>
      <c r="AB180" s="154"/>
      <c r="AC180" s="167" t="s">
        <v>123</v>
      </c>
      <c r="AD180" s="126" t="s">
        <v>1750</v>
      </c>
      <c r="AE180" s="130" t="s">
        <v>120</v>
      </c>
      <c r="AF180" s="127" t="s">
        <v>1416</v>
      </c>
      <c r="AG180" s="131"/>
      <c r="AH180" s="131"/>
      <c r="AI180" s="126" t="s">
        <v>1417</v>
      </c>
      <c r="AJ180" s="130" t="s">
        <v>120</v>
      </c>
      <c r="AK180" s="126" t="s">
        <v>123</v>
      </c>
      <c r="AL180" s="126" t="s">
        <v>1198</v>
      </c>
      <c r="AM180" s="130"/>
      <c r="AN180" s="126"/>
      <c r="AO180" s="132"/>
      <c r="AP180" s="126"/>
      <c r="AQ180" s="126"/>
      <c r="AR180" s="130"/>
      <c r="AS180" s="126"/>
      <c r="AT180" s="127">
        <v>43438.482062962998</v>
      </c>
      <c r="AU180" s="127">
        <v>43440.687472800899</v>
      </c>
      <c r="AV180" s="127">
        <v>43451.650541319403</v>
      </c>
      <c r="AW180" s="127">
        <v>43438.482062962998</v>
      </c>
      <c r="AX180" s="127">
        <v>43444.484554976902</v>
      </c>
      <c r="AY180" s="127">
        <v>43437.702634027803</v>
      </c>
      <c r="AZ180" s="133">
        <v>43451.712499189802</v>
      </c>
      <c r="BA180" s="134">
        <f ca="1">IF(_05preva_view43[[#This Row],[Prevalidation Status]]="Under Prevalidation",NOW()-_05preva_view43[[#This Row],[Request Date]],IF(_05preva_view43[[#This Row],[Close Date]]&gt;_05preva_view43[[#This Row],[Request Date]],_05preva_view43[[#This Row],[Close Date]]-_05preva_view43[[#This Row],[Request Date]],"Not  Calculated"))</f>
        <v>14.712499189801747</v>
      </c>
      <c r="BB180" s="135">
        <f>COUNTIFS(_05preva_view43[Site ID],_05preva_view43[[#This Row],[Site ID]],_05preva_view43[Prevalidation Status],"Under Prevalidation")</f>
        <v>0</v>
      </c>
      <c r="BC180" s="153" t="str">
        <f ca="1">HYPERLINK(CheckPath(_05preva_view43[[#This Row],[File Path]],_05preva_view43[[#This Row],[File Path]],_05preva_view43[[#This Row],[Folder Path3]]),CheckPath(_05preva_view43[[#This Row],[File Path]],"Open File","No File"))</f>
        <v>No File</v>
      </c>
      <c r="BD180" s="136" t="str">
        <f>CONCATENATE(_05preva_view43[[#This Row],[Site ID]]," (",_05preva_view43[[#This Row],[tenant id]],") Application",IF(_05preva_view43[[#This Row],[Colo Rev]]&gt;0," Rev "&amp;_05preva_view43[[#This Row],[Colo Rev]],""),".xlsx")</f>
        <v>ACAY_0122 (AWD00530) Application Rev 2.xlsx</v>
      </c>
      <c r="BE180" s="64">
        <f t="shared" ca="1" si="4"/>
        <v>50</v>
      </c>
      <c r="BF180" s="104" t="str">
        <f ca="1">LEFT(CELL("filename",A165),_05preva_view43[[#This Row],[Find Process &amp; Database]]-1)</f>
        <v>D:\OneDrive - apollo-towers.com\Apollo Towers\00-</v>
      </c>
      <c r="BG180" s="104" t="str">
        <f ca="1">_05preva_view43[Folder Path1]&amp;"Process &amp; Database\Documentation\Colo Applications"</f>
        <v>D:\OneDrive - apollo-towers.com\Apollo Towers\00-Process &amp; Database\Documentation\Colo Applications</v>
      </c>
      <c r="BH180" s="104" t="str">
        <f ca="1">_05preva_view43[Folder Path2]&amp;"\Colo App "&amp;_05preva_view43[[#This Row],[Operator]]&amp;"\"</f>
        <v>D:\OneDrive - apollo-towers.com\Apollo Towers\00-Process &amp; Database\Documentation\Colo Applications\Colo App MPT\</v>
      </c>
      <c r="BI180" s="63" t="str">
        <f ca="1">_05preva_view43[[#This Row],[Folder Path3]]&amp;_05preva_view43[[#This Row],[File Name]]</f>
        <v>D:\OneDrive - apollo-towers.com\Apollo Towers\00-Process &amp; Database\Documentation\Colo Applications\Colo App MPT\ACAY_0122 (AWD00530) Application Rev 2.xlsx</v>
      </c>
      <c r="BJ180" s="104"/>
      <c r="BK180" s="3"/>
      <c r="BL180" s="3"/>
      <c r="CJ180" s="5"/>
      <c r="CK180" s="5"/>
      <c r="CL180" s="3"/>
      <c r="CN180" s="5"/>
      <c r="CR180" s="3"/>
      <c r="CS180" s="3"/>
      <c r="CT180" s="5"/>
      <c r="CV180" s="3"/>
      <c r="DR180" s="5"/>
      <c r="DT180" s="3"/>
      <c r="EF180" s="7"/>
      <c r="EG180" s="7"/>
      <c r="EJ180" s="4"/>
      <c r="EK180" s="4"/>
      <c r="EU180" s="2"/>
      <c r="EV180" s="2"/>
    </row>
    <row r="181" spans="1:152">
      <c r="A181" s="125">
        <v>3473</v>
      </c>
      <c r="B181" s="126" t="s">
        <v>1462</v>
      </c>
      <c r="C181" s="126" t="s">
        <v>116</v>
      </c>
      <c r="D181" s="126" t="s">
        <v>127</v>
      </c>
      <c r="E181" s="126" t="s">
        <v>1463</v>
      </c>
      <c r="F181" s="126" t="s">
        <v>41</v>
      </c>
      <c r="G181" s="126" t="s">
        <v>1412</v>
      </c>
      <c r="H181" s="126" t="s">
        <v>1319</v>
      </c>
      <c r="I181" s="126" t="s">
        <v>1143</v>
      </c>
      <c r="J181" s="126" t="s">
        <v>940</v>
      </c>
      <c r="K181" s="127">
        <v>43437</v>
      </c>
      <c r="L181" s="128"/>
      <c r="M181" s="128">
        <v>2.5</v>
      </c>
      <c r="N181" s="126">
        <v>3</v>
      </c>
      <c r="O181" s="126" t="s">
        <v>119</v>
      </c>
      <c r="P181" s="129" t="s">
        <v>858</v>
      </c>
      <c r="Q181" s="129" t="s">
        <v>284</v>
      </c>
      <c r="R181" s="126" t="s">
        <v>24</v>
      </c>
      <c r="S181" s="126"/>
      <c r="T181" s="130" t="s">
        <v>861</v>
      </c>
      <c r="U181" s="126" t="s">
        <v>1464</v>
      </c>
      <c r="V181" s="130" t="s">
        <v>120</v>
      </c>
      <c r="W181" s="126"/>
      <c r="X181" s="130" t="s">
        <v>120</v>
      </c>
      <c r="Y181" s="126" t="s">
        <v>1465</v>
      </c>
      <c r="Z181" s="162" t="s">
        <v>120</v>
      </c>
      <c r="AA181" s="154"/>
      <c r="AB181" s="154"/>
      <c r="AC181" s="167" t="s">
        <v>123</v>
      </c>
      <c r="AD181" s="126" t="s">
        <v>1466</v>
      </c>
      <c r="AE181" s="130" t="s">
        <v>120</v>
      </c>
      <c r="AF181" s="127" t="s">
        <v>1416</v>
      </c>
      <c r="AG181" s="131"/>
      <c r="AH181" s="131"/>
      <c r="AI181" s="126" t="s">
        <v>1417</v>
      </c>
      <c r="AJ181" s="130" t="s">
        <v>120</v>
      </c>
      <c r="AK181" s="126" t="s">
        <v>123</v>
      </c>
      <c r="AL181" s="126" t="s">
        <v>1418</v>
      </c>
      <c r="AM181" s="130"/>
      <c r="AN181" s="126"/>
      <c r="AO181" s="132"/>
      <c r="AP181" s="126"/>
      <c r="AQ181" s="126"/>
      <c r="AR181" s="130"/>
      <c r="AS181" s="126"/>
      <c r="AT181" s="127">
        <v>43438.482064120399</v>
      </c>
      <c r="AU181" s="127">
        <v>43440.687473611099</v>
      </c>
      <c r="AV181" s="127">
        <v>43438.692468055597</v>
      </c>
      <c r="AW181" s="127">
        <v>43438.482064120399</v>
      </c>
      <c r="AX181" s="127"/>
      <c r="AY181" s="127">
        <v>43437.702634490699</v>
      </c>
      <c r="AZ181" s="133">
        <v>43482.756289814803</v>
      </c>
      <c r="BA181" s="134">
        <f ca="1">IF(_05preva_view43[[#This Row],[Prevalidation Status]]="Under Prevalidation",NOW()-_05preva_view43[[#This Row],[Request Date]],IF(_05preva_view43[[#This Row],[Close Date]]&gt;_05preva_view43[[#This Row],[Request Date]],_05preva_view43[[#This Row],[Close Date]]-_05preva_view43[[#This Row],[Request Date]],"Not  Calculated"))</f>
        <v>45.756289814802585</v>
      </c>
      <c r="BB181" s="135">
        <f>COUNTIFS(_05preva_view43[Site ID],_05preva_view43[[#This Row],[Site ID]],_05preva_view43[Prevalidation Status],"Under Prevalidation")</f>
        <v>0</v>
      </c>
      <c r="BC181" s="153" t="str">
        <f ca="1">HYPERLINK(CheckPath(_05preva_view43[[#This Row],[File Path]],_05preva_view43[[#This Row],[File Path]],_05preva_view43[[#This Row],[Folder Path3]]),CheckPath(_05preva_view43[[#This Row],[File Path]],"Open File","No File"))</f>
        <v>No File</v>
      </c>
      <c r="BD181" s="136" t="str">
        <f>CONCATENATE(_05preva_view43[[#This Row],[Site ID]]," (",_05preva_view43[[#This Row],[tenant id]],") Application",IF(_05preva_view43[[#This Row],[Colo Rev]]&gt;0," Rev "&amp;_05preva_view43[[#This Row],[Colo Rev]],""),".xlsx")</f>
        <v>ANMD_0153 (MDYPTGI008) Application Rev 0.xlsx</v>
      </c>
      <c r="BE181" s="64">
        <f t="shared" ca="1" si="4"/>
        <v>50</v>
      </c>
      <c r="BF181" s="104" t="str">
        <f ca="1">LEFT(CELL("filename",A166),_05preva_view43[[#This Row],[Find Process &amp; Database]]-1)</f>
        <v>D:\OneDrive - apollo-towers.com\Apollo Towers\00-</v>
      </c>
      <c r="BG181" s="104" t="str">
        <f ca="1">_05preva_view43[Folder Path1]&amp;"Process &amp; Database\Documentation\Colo Applications"</f>
        <v>D:\OneDrive - apollo-towers.com\Apollo Towers\00-Process &amp; Database\Documentation\Colo Applications</v>
      </c>
      <c r="BH181" s="104" t="str">
        <f ca="1">_05preva_view43[Folder Path2]&amp;"\Colo App "&amp;_05preva_view43[[#This Row],[Operator]]&amp;"\"</f>
        <v>D:\OneDrive - apollo-towers.com\Apollo Towers\00-Process &amp; Database\Documentation\Colo Applications\Colo App Amara\</v>
      </c>
      <c r="BI181" s="63" t="str">
        <f ca="1">_05preva_view43[[#This Row],[Folder Path3]]&amp;_05preva_view43[[#This Row],[File Name]]</f>
        <v>D:\OneDrive - apollo-towers.com\Apollo Towers\00-Process &amp; Database\Documentation\Colo Applications\Colo App Amara\ANMD_0153 (MDYPTGI008) Application Rev 0.xlsx</v>
      </c>
      <c r="BJ181" s="104"/>
      <c r="BK181" s="3"/>
      <c r="BL181" s="3"/>
      <c r="CJ181" s="5"/>
      <c r="CK181" s="5"/>
      <c r="CL181" s="3"/>
      <c r="CN181" s="5"/>
      <c r="CR181" s="3"/>
      <c r="CS181" s="3"/>
      <c r="CT181" s="5"/>
      <c r="CV181" s="3"/>
      <c r="DR181" s="5"/>
      <c r="DT181" s="3"/>
      <c r="EF181" s="7"/>
      <c r="EG181" s="7"/>
      <c r="EJ181" s="4"/>
      <c r="EK181" s="4"/>
      <c r="EU181" s="2"/>
      <c r="EV181" s="2"/>
    </row>
    <row r="182" spans="1:152">
      <c r="A182" s="125">
        <v>3474</v>
      </c>
      <c r="B182" s="126" t="s">
        <v>1467</v>
      </c>
      <c r="C182" s="126" t="s">
        <v>331</v>
      </c>
      <c r="D182" s="126" t="s">
        <v>127</v>
      </c>
      <c r="E182" s="126" t="s">
        <v>1468</v>
      </c>
      <c r="F182" s="126" t="s">
        <v>35</v>
      </c>
      <c r="G182" s="126" t="s">
        <v>1583</v>
      </c>
      <c r="H182" s="126" t="s">
        <v>1575</v>
      </c>
      <c r="I182" s="126" t="s">
        <v>1288</v>
      </c>
      <c r="J182" s="126" t="s">
        <v>990</v>
      </c>
      <c r="K182" s="127">
        <v>43437</v>
      </c>
      <c r="L182" s="128">
        <v>1.329</v>
      </c>
      <c r="M182" s="128">
        <v>2.1989999999999998</v>
      </c>
      <c r="N182" s="126"/>
      <c r="O182" s="126" t="s">
        <v>950</v>
      </c>
      <c r="P182" s="129" t="s">
        <v>1469</v>
      </c>
      <c r="Q182" s="129" t="s">
        <v>1470</v>
      </c>
      <c r="R182" s="126" t="s">
        <v>24</v>
      </c>
      <c r="S182" s="126"/>
      <c r="T182" s="130" t="s">
        <v>120</v>
      </c>
      <c r="U182" s="126" t="s">
        <v>1264</v>
      </c>
      <c r="V182" s="130" t="s">
        <v>120</v>
      </c>
      <c r="W182" s="126"/>
      <c r="X182" s="130" t="s">
        <v>120</v>
      </c>
      <c r="Y182" s="126" t="s">
        <v>1471</v>
      </c>
      <c r="Z182" s="162" t="s">
        <v>120</v>
      </c>
      <c r="AA182" s="154"/>
      <c r="AB182" s="154"/>
      <c r="AC182" s="167" t="s">
        <v>123</v>
      </c>
      <c r="AD182" s="126" t="s">
        <v>1472</v>
      </c>
      <c r="AE182" s="130" t="s">
        <v>120</v>
      </c>
      <c r="AF182" s="127" t="s">
        <v>1751</v>
      </c>
      <c r="AG182" s="131"/>
      <c r="AH182" s="131"/>
      <c r="AI182" s="126" t="s">
        <v>1405</v>
      </c>
      <c r="AJ182" s="130" t="s">
        <v>120</v>
      </c>
      <c r="AK182" s="126" t="s">
        <v>123</v>
      </c>
      <c r="AL182" s="126" t="s">
        <v>1198</v>
      </c>
      <c r="AM182" s="130"/>
      <c r="AN182" s="126"/>
      <c r="AO182" s="132"/>
      <c r="AP182" s="126"/>
      <c r="AQ182" s="126"/>
      <c r="AR182" s="130"/>
      <c r="AS182" s="126"/>
      <c r="AT182" s="127">
        <v>43438.482065046301</v>
      </c>
      <c r="AU182" s="127">
        <v>43451.370473379597</v>
      </c>
      <c r="AV182" s="127">
        <v>43441.577858912002</v>
      </c>
      <c r="AW182" s="127">
        <v>43438.482065046301</v>
      </c>
      <c r="AX182" s="127">
        <v>43438.644208564801</v>
      </c>
      <c r="AY182" s="127">
        <v>43437.694959027802</v>
      </c>
      <c r="AZ182" s="133">
        <v>43451.411460879601</v>
      </c>
      <c r="BA182" s="134">
        <f ca="1">IF(_05preva_view43[[#This Row],[Prevalidation Status]]="Under Prevalidation",NOW()-_05preva_view43[[#This Row],[Request Date]],IF(_05preva_view43[[#This Row],[Close Date]]&gt;_05preva_view43[[#This Row],[Request Date]],_05preva_view43[[#This Row],[Close Date]]-_05preva_view43[[#This Row],[Request Date]],"Not  Calculated"))</f>
        <v>14.411460879600781</v>
      </c>
      <c r="BB182" s="135">
        <f>COUNTIFS(_05preva_view43[Site ID],_05preva_view43[[#This Row],[Site ID]],_05preva_view43[Prevalidation Status],"Under Prevalidation")</f>
        <v>0</v>
      </c>
      <c r="BC182" s="153" t="str">
        <f ca="1">HYPERLINK(CheckPath(_05preva_view43[[#This Row],[File Path]],_05preva_view43[[#This Row],[File Path]],_05preva_view43[[#This Row],[Folder Path3]]),CheckPath(_05preva_view43[[#This Row],[File Path]],"Open File","No File"))</f>
        <v>No File</v>
      </c>
      <c r="BD182" s="136" t="str">
        <f>CONCATENATE(_05preva_view43[[#This Row],[Site ID]]," (",_05preva_view43[[#This Row],[tenant id]],") Application",IF(_05preva_view43[[#This Row],[Colo Rev]]&gt;0," Rev "&amp;_05preva_view43[[#This Row],[Colo Rev]],""),".xlsx")</f>
        <v>1-01-05012-001 (SGG00200) Application Rev 3.xlsx</v>
      </c>
      <c r="BE182" s="64">
        <f t="shared" ca="1" si="4"/>
        <v>50</v>
      </c>
      <c r="BF182" s="104" t="str">
        <f ca="1">LEFT(CELL("filename",A167),_05preva_view43[[#This Row],[Find Process &amp; Database]]-1)</f>
        <v>D:\OneDrive - apollo-towers.com\Apollo Towers\00-</v>
      </c>
      <c r="BG182" s="104" t="str">
        <f ca="1">_05preva_view43[Folder Path1]&amp;"Process &amp; Database\Documentation\Colo Applications"</f>
        <v>D:\OneDrive - apollo-towers.com\Apollo Towers\00-Process &amp; Database\Documentation\Colo Applications</v>
      </c>
      <c r="BH182" s="104" t="str">
        <f ca="1">_05preva_view43[Folder Path2]&amp;"\Colo App "&amp;_05preva_view43[[#This Row],[Operator]]&amp;"\"</f>
        <v>D:\OneDrive - apollo-towers.com\Apollo Towers\00-Process &amp; Database\Documentation\Colo Applications\Colo App MPT\</v>
      </c>
      <c r="BI182" s="63" t="str">
        <f ca="1">_05preva_view43[[#This Row],[Folder Path3]]&amp;_05preva_view43[[#This Row],[File Name]]</f>
        <v>D:\OneDrive - apollo-towers.com\Apollo Towers\00-Process &amp; Database\Documentation\Colo Applications\Colo App MPT\1-01-05012-001 (SGG00200) Application Rev 3.xlsx</v>
      </c>
      <c r="BJ182" s="104"/>
      <c r="BK182" s="3"/>
      <c r="BL182" s="3"/>
      <c r="CJ182" s="5"/>
      <c r="CK182" s="5"/>
      <c r="CL182" s="3"/>
      <c r="CN182" s="5"/>
      <c r="CR182" s="3"/>
      <c r="CS182" s="3"/>
      <c r="CT182" s="5"/>
      <c r="CV182" s="3"/>
      <c r="DR182" s="5"/>
      <c r="DT182" s="3"/>
      <c r="EF182" s="7"/>
      <c r="EG182" s="7"/>
      <c r="EJ182" s="4"/>
      <c r="EK182" s="4"/>
      <c r="EU182" s="2"/>
      <c r="EV182" s="2"/>
    </row>
    <row r="183" spans="1:152">
      <c r="A183" s="125">
        <v>3475</v>
      </c>
      <c r="B183" s="126" t="s">
        <v>1273</v>
      </c>
      <c r="C183" s="126" t="s">
        <v>331</v>
      </c>
      <c r="D183" s="126" t="s">
        <v>127</v>
      </c>
      <c r="E183" s="126" t="s">
        <v>1274</v>
      </c>
      <c r="F183" s="126" t="s">
        <v>35</v>
      </c>
      <c r="G183" s="126" t="s">
        <v>1583</v>
      </c>
      <c r="H183" s="126" t="s">
        <v>1575</v>
      </c>
      <c r="I183" s="126" t="s">
        <v>1053</v>
      </c>
      <c r="J183" s="126" t="s">
        <v>990</v>
      </c>
      <c r="K183" s="127">
        <v>43437</v>
      </c>
      <c r="L183" s="128">
        <v>2.673</v>
      </c>
      <c r="M183" s="128">
        <v>4.556</v>
      </c>
      <c r="N183" s="126"/>
      <c r="O183" s="126" t="s">
        <v>950</v>
      </c>
      <c r="P183" s="129" t="s">
        <v>1275</v>
      </c>
      <c r="Q183" s="129" t="s">
        <v>1276</v>
      </c>
      <c r="R183" s="126" t="s">
        <v>24</v>
      </c>
      <c r="S183" s="126"/>
      <c r="T183" s="130" t="s">
        <v>120</v>
      </c>
      <c r="U183" s="126" t="s">
        <v>1264</v>
      </c>
      <c r="V183" s="130" t="s">
        <v>120</v>
      </c>
      <c r="W183" s="126"/>
      <c r="X183" s="130" t="s">
        <v>120</v>
      </c>
      <c r="Y183" s="126" t="s">
        <v>1473</v>
      </c>
      <c r="Z183" s="162" t="s">
        <v>120</v>
      </c>
      <c r="AA183" s="154"/>
      <c r="AB183" s="154"/>
      <c r="AC183" s="167" t="s">
        <v>123</v>
      </c>
      <c r="AD183" s="126" t="s">
        <v>1474</v>
      </c>
      <c r="AE183" s="130" t="s">
        <v>120</v>
      </c>
      <c r="AF183" s="127" t="s">
        <v>1752</v>
      </c>
      <c r="AG183" s="131"/>
      <c r="AH183" s="131"/>
      <c r="AI183" s="126" t="s">
        <v>1475</v>
      </c>
      <c r="AJ183" s="130" t="s">
        <v>120</v>
      </c>
      <c r="AK183" s="126" t="s">
        <v>123</v>
      </c>
      <c r="AL183" s="126" t="s">
        <v>1198</v>
      </c>
      <c r="AM183" s="130"/>
      <c r="AN183" s="126"/>
      <c r="AO183" s="132"/>
      <c r="AP183" s="126"/>
      <c r="AQ183" s="126"/>
      <c r="AR183" s="130"/>
      <c r="AS183" s="126"/>
      <c r="AT183" s="127">
        <v>43438.482066550903</v>
      </c>
      <c r="AU183" s="127">
        <v>43451.370473958297</v>
      </c>
      <c r="AV183" s="127">
        <v>43441.577859837998</v>
      </c>
      <c r="AW183" s="127">
        <v>43438.482066550903</v>
      </c>
      <c r="AX183" s="127">
        <v>43438.6442104167</v>
      </c>
      <c r="AY183" s="127">
        <v>43437.694959606502</v>
      </c>
      <c r="AZ183" s="133">
        <v>43451.4114616898</v>
      </c>
      <c r="BA183" s="134">
        <f ca="1">IF(_05preva_view43[[#This Row],[Prevalidation Status]]="Under Prevalidation",NOW()-_05preva_view43[[#This Row],[Request Date]],IF(_05preva_view43[[#This Row],[Close Date]]&gt;_05preva_view43[[#This Row],[Request Date]],_05preva_view43[[#This Row],[Close Date]]-_05preva_view43[[#This Row],[Request Date]],"Not  Calculated"))</f>
        <v>14.41146168980049</v>
      </c>
      <c r="BB183" s="135">
        <f>COUNTIFS(_05preva_view43[Site ID],_05preva_view43[[#This Row],[Site ID]],_05preva_view43[Prevalidation Status],"Under Prevalidation")</f>
        <v>0</v>
      </c>
      <c r="BC183" s="153" t="str">
        <f ca="1">HYPERLINK(CheckPath(_05preva_view43[[#This Row],[File Path]],_05preva_view43[[#This Row],[File Path]],_05preva_view43[[#This Row],[Folder Path3]]),CheckPath(_05preva_view43[[#This Row],[File Path]],"Open File","No File"))</f>
        <v>No File</v>
      </c>
      <c r="BD183" s="136" t="str">
        <f>CONCATENATE(_05preva_view43[[#This Row],[Site ID]]," (",_05preva_view43[[#This Row],[tenant id]],") Application",IF(_05preva_view43[[#This Row],[Colo Rev]]&gt;0," Rev "&amp;_05preva_view43[[#This Row],[Colo Rev]],""),".xlsx")</f>
        <v>1-01-05009-003 (SGG00236) Application Rev 3.xlsx</v>
      </c>
      <c r="BE183" s="64">
        <f t="shared" ca="1" si="4"/>
        <v>50</v>
      </c>
      <c r="BF183" s="104" t="str">
        <f ca="1">LEFT(CELL("filename",A168),_05preva_view43[[#This Row],[Find Process &amp; Database]]-1)</f>
        <v>D:\OneDrive - apollo-towers.com\Apollo Towers\00-</v>
      </c>
      <c r="BG183" s="104" t="str">
        <f ca="1">_05preva_view43[Folder Path1]&amp;"Process &amp; Database\Documentation\Colo Applications"</f>
        <v>D:\OneDrive - apollo-towers.com\Apollo Towers\00-Process &amp; Database\Documentation\Colo Applications</v>
      </c>
      <c r="BH183" s="104" t="str">
        <f ca="1">_05preva_view43[Folder Path2]&amp;"\Colo App "&amp;_05preva_view43[[#This Row],[Operator]]&amp;"\"</f>
        <v>D:\OneDrive - apollo-towers.com\Apollo Towers\00-Process &amp; Database\Documentation\Colo Applications\Colo App MPT\</v>
      </c>
      <c r="BI183" s="63" t="str">
        <f ca="1">_05preva_view43[[#This Row],[Folder Path3]]&amp;_05preva_view43[[#This Row],[File Name]]</f>
        <v>D:\OneDrive - apollo-towers.com\Apollo Towers\00-Process &amp; Database\Documentation\Colo Applications\Colo App MPT\1-01-05009-003 (SGG00236) Application Rev 3.xlsx</v>
      </c>
      <c r="BJ183" s="104"/>
      <c r="BK183" s="3"/>
      <c r="BL183" s="3"/>
      <c r="CJ183" s="5"/>
      <c r="CK183" s="5"/>
      <c r="CL183" s="3"/>
      <c r="CN183" s="5"/>
      <c r="CR183" s="3"/>
      <c r="CS183" s="3"/>
      <c r="CT183" s="5"/>
      <c r="CV183" s="3"/>
      <c r="DR183" s="5"/>
      <c r="DT183" s="3"/>
      <c r="EF183" s="7"/>
      <c r="EG183" s="7"/>
      <c r="EJ183" s="4"/>
      <c r="EK183" s="4"/>
      <c r="EU183" s="2"/>
      <c r="EV183" s="2"/>
    </row>
    <row r="184" spans="1:152">
      <c r="A184" s="125">
        <v>3453</v>
      </c>
      <c r="B184" s="126" t="s">
        <v>1371</v>
      </c>
      <c r="C184" s="126" t="s">
        <v>331</v>
      </c>
      <c r="D184" s="126" t="s">
        <v>117</v>
      </c>
      <c r="E184" s="126" t="s">
        <v>1372</v>
      </c>
      <c r="F184" s="126" t="s">
        <v>35</v>
      </c>
      <c r="G184" s="126" t="s">
        <v>1583</v>
      </c>
      <c r="H184" s="126" t="s">
        <v>1575</v>
      </c>
      <c r="I184" s="126" t="s">
        <v>1373</v>
      </c>
      <c r="J184" s="126" t="s">
        <v>931</v>
      </c>
      <c r="K184" s="127">
        <v>43434</v>
      </c>
      <c r="L184" s="128">
        <v>1</v>
      </c>
      <c r="M184" s="128">
        <v>1.44</v>
      </c>
      <c r="N184" s="126">
        <v>2.82</v>
      </c>
      <c r="O184" s="126" t="s">
        <v>950</v>
      </c>
      <c r="P184" s="129" t="s">
        <v>958</v>
      </c>
      <c r="Q184" s="129" t="s">
        <v>959</v>
      </c>
      <c r="R184" s="126" t="s">
        <v>24</v>
      </c>
      <c r="S184" s="126"/>
      <c r="T184" s="130" t="s">
        <v>120</v>
      </c>
      <c r="U184" s="126" t="s">
        <v>1264</v>
      </c>
      <c r="V184" s="130" t="s">
        <v>120</v>
      </c>
      <c r="W184" s="126"/>
      <c r="X184" s="130" t="s">
        <v>120</v>
      </c>
      <c r="Y184" s="126" t="s">
        <v>1374</v>
      </c>
      <c r="Z184" s="162" t="s">
        <v>120</v>
      </c>
      <c r="AA184" s="154"/>
      <c r="AB184" s="154"/>
      <c r="AC184" s="167" t="s">
        <v>123</v>
      </c>
      <c r="AD184" s="126" t="s">
        <v>1375</v>
      </c>
      <c r="AE184" s="130" t="s">
        <v>120</v>
      </c>
      <c r="AF184" s="127"/>
      <c r="AG184" s="131"/>
      <c r="AH184" s="131"/>
      <c r="AI184" s="126"/>
      <c r="AJ184" s="130" t="s">
        <v>120</v>
      </c>
      <c r="AK184" s="126" t="s">
        <v>123</v>
      </c>
      <c r="AL184" s="126" t="s">
        <v>1198</v>
      </c>
      <c r="AM184" s="130"/>
      <c r="AN184" s="126"/>
      <c r="AO184" s="132"/>
      <c r="AP184" s="126"/>
      <c r="AQ184" s="126"/>
      <c r="AR184" s="130"/>
      <c r="AS184" s="126"/>
      <c r="AT184" s="127">
        <v>43437.615585879597</v>
      </c>
      <c r="AU184" s="127">
        <v>43439.638374421302</v>
      </c>
      <c r="AV184" s="127">
        <v>43440.7054907407</v>
      </c>
      <c r="AW184" s="127">
        <v>43437.615585879597</v>
      </c>
      <c r="AX184" s="127">
        <v>43438.644190161998</v>
      </c>
      <c r="AY184" s="127">
        <v>43434.674923611099</v>
      </c>
      <c r="AZ184" s="133">
        <v>43441.4197810185</v>
      </c>
      <c r="BA184" s="134">
        <f ca="1">IF(_05preva_view43[[#This Row],[Prevalidation Status]]="Under Prevalidation",NOW()-_05preva_view43[[#This Row],[Request Date]],IF(_05preva_view43[[#This Row],[Close Date]]&gt;_05preva_view43[[#This Row],[Request Date]],_05preva_view43[[#This Row],[Close Date]]-_05preva_view43[[#This Row],[Request Date]],"Not  Calculated"))</f>
        <v>7.4197810184996342</v>
      </c>
      <c r="BB184" s="135">
        <f>COUNTIFS(_05preva_view43[Site ID],_05preva_view43[[#This Row],[Site ID]],_05preva_view43[Prevalidation Status],"Under Prevalidation")</f>
        <v>0</v>
      </c>
      <c r="BC184" s="153" t="str">
        <f ca="1">HYPERLINK(CheckPath(_05preva_view43[[#This Row],[File Path]],_05preva_view43[[#This Row],[File Path]],_05preva_view43[[#This Row],[Folder Path3]]),CheckPath(_05preva_view43[[#This Row],[File Path]],"Open File","No File"))</f>
        <v>No File</v>
      </c>
      <c r="BD184" s="136" t="str">
        <f>CONCATENATE(_05preva_view43[[#This Row],[Site ID]]," (",_05preva_view43[[#This Row],[tenant id]],") Application",IF(_05preva_view43[[#This Row],[Colo Rev]]&gt;0," Rev "&amp;_05preva_view43[[#This Row],[Colo Rev]],""),".xlsx")</f>
        <v>1-01-04002-004 (CHN00147) Application Rev 1.xlsx</v>
      </c>
      <c r="BE184" s="64">
        <f t="shared" ca="1" si="4"/>
        <v>50</v>
      </c>
      <c r="BF184" s="104" t="str">
        <f ca="1">LEFT(CELL("filename",A169),_05preva_view43[[#This Row],[Find Process &amp; Database]]-1)</f>
        <v>D:\OneDrive - apollo-towers.com\Apollo Towers\00-</v>
      </c>
      <c r="BG184" s="104" t="str">
        <f ca="1">_05preva_view43[Folder Path1]&amp;"Process &amp; Database\Documentation\Colo Applications"</f>
        <v>D:\OneDrive - apollo-towers.com\Apollo Towers\00-Process &amp; Database\Documentation\Colo Applications</v>
      </c>
      <c r="BH184" s="104" t="str">
        <f ca="1">_05preva_view43[Folder Path2]&amp;"\Colo App "&amp;_05preva_view43[[#This Row],[Operator]]&amp;"\"</f>
        <v>D:\OneDrive - apollo-towers.com\Apollo Towers\00-Process &amp; Database\Documentation\Colo Applications\Colo App MPT\</v>
      </c>
      <c r="BI184" s="63" t="str">
        <f ca="1">_05preva_view43[[#This Row],[Folder Path3]]&amp;_05preva_view43[[#This Row],[File Name]]</f>
        <v>D:\OneDrive - apollo-towers.com\Apollo Towers\00-Process &amp; Database\Documentation\Colo Applications\Colo App MPT\1-01-04002-004 (CHN00147) Application Rev 1.xlsx</v>
      </c>
      <c r="BJ184" s="104"/>
      <c r="BK184" s="3"/>
      <c r="BL184" s="3"/>
      <c r="CJ184" s="5"/>
      <c r="CK184" s="5"/>
      <c r="CL184" s="3"/>
      <c r="CN184" s="5"/>
      <c r="CR184" s="3"/>
      <c r="CS184" s="3"/>
      <c r="CT184" s="5"/>
      <c r="CV184" s="3"/>
      <c r="DR184" s="5"/>
      <c r="DT184" s="3"/>
      <c r="EF184" s="7"/>
      <c r="EG184" s="7"/>
      <c r="EJ184" s="4"/>
      <c r="EK184" s="4"/>
      <c r="EU184" s="2"/>
      <c r="EV184" s="2"/>
    </row>
    <row r="185" spans="1:152">
      <c r="A185" s="125">
        <v>3454</v>
      </c>
      <c r="B185" s="126" t="s">
        <v>1376</v>
      </c>
      <c r="C185" s="126" t="s">
        <v>331</v>
      </c>
      <c r="D185" s="126" t="s">
        <v>117</v>
      </c>
      <c r="E185" s="126" t="s">
        <v>1377</v>
      </c>
      <c r="F185" s="126" t="s">
        <v>35</v>
      </c>
      <c r="G185" s="126" t="s">
        <v>1583</v>
      </c>
      <c r="H185" s="126" t="s">
        <v>1575</v>
      </c>
      <c r="I185" s="126" t="s">
        <v>1263</v>
      </c>
      <c r="J185" s="126" t="s">
        <v>949</v>
      </c>
      <c r="K185" s="127">
        <v>43434</v>
      </c>
      <c r="L185" s="128">
        <v>1</v>
      </c>
      <c r="M185" s="128">
        <v>1.4</v>
      </c>
      <c r="N185" s="126">
        <v>3.59</v>
      </c>
      <c r="O185" s="126" t="s">
        <v>950</v>
      </c>
      <c r="P185" s="129" t="s">
        <v>1378</v>
      </c>
      <c r="Q185" s="129" t="s">
        <v>1121</v>
      </c>
      <c r="R185" s="126" t="s">
        <v>24</v>
      </c>
      <c r="S185" s="126"/>
      <c r="T185" s="130" t="s">
        <v>120</v>
      </c>
      <c r="U185" s="126" t="s">
        <v>1264</v>
      </c>
      <c r="V185" s="130" t="s">
        <v>120</v>
      </c>
      <c r="W185" s="126"/>
      <c r="X185" s="130" t="s">
        <v>120</v>
      </c>
      <c r="Y185" s="126" t="s">
        <v>1379</v>
      </c>
      <c r="Z185" s="162" t="s">
        <v>120</v>
      </c>
      <c r="AA185" s="154"/>
      <c r="AB185" s="154"/>
      <c r="AC185" s="167" t="s">
        <v>123</v>
      </c>
      <c r="AD185" s="126" t="s">
        <v>1380</v>
      </c>
      <c r="AE185" s="130" t="s">
        <v>120</v>
      </c>
      <c r="AF185" s="127" t="s">
        <v>1753</v>
      </c>
      <c r="AG185" s="131"/>
      <c r="AH185" s="131"/>
      <c r="AI185" s="126" t="s">
        <v>1381</v>
      </c>
      <c r="AJ185" s="130" t="s">
        <v>120</v>
      </c>
      <c r="AK185" s="126" t="s">
        <v>123</v>
      </c>
      <c r="AL185" s="126" t="s">
        <v>1198</v>
      </c>
      <c r="AM185" s="130"/>
      <c r="AN185" s="126"/>
      <c r="AO185" s="132"/>
      <c r="AP185" s="126"/>
      <c r="AQ185" s="126"/>
      <c r="AR185" s="130"/>
      <c r="AS185" s="126"/>
      <c r="AT185" s="127">
        <v>43437.615589120403</v>
      </c>
      <c r="AU185" s="127">
        <v>43451.370469444402</v>
      </c>
      <c r="AV185" s="127">
        <v>43440.494380439799</v>
      </c>
      <c r="AW185" s="127">
        <v>43437.615589120403</v>
      </c>
      <c r="AX185" s="127">
        <v>43438.644191782398</v>
      </c>
      <c r="AY185" s="127">
        <v>43434.674924305597</v>
      </c>
      <c r="AZ185" s="133">
        <v>43451.411458449104</v>
      </c>
      <c r="BA185" s="134">
        <f ca="1">IF(_05preva_view43[[#This Row],[Prevalidation Status]]="Under Prevalidation",NOW()-_05preva_view43[[#This Row],[Request Date]],IF(_05preva_view43[[#This Row],[Close Date]]&gt;_05preva_view43[[#This Row],[Request Date]],_05preva_view43[[#This Row],[Close Date]]-_05preva_view43[[#This Row],[Request Date]],"Not  Calculated"))</f>
        <v>17.41145844910352</v>
      </c>
      <c r="BB185" s="135">
        <f>COUNTIFS(_05preva_view43[Site ID],_05preva_view43[[#This Row],[Site ID]],_05preva_view43[Prevalidation Status],"Under Prevalidation")</f>
        <v>0</v>
      </c>
      <c r="BC185" s="153" t="str">
        <f ca="1">HYPERLINK(CheckPath(_05preva_view43[[#This Row],[File Path]],_05preva_view43[[#This Row],[File Path]],_05preva_view43[[#This Row],[Folder Path3]]),CheckPath(_05preva_view43[[#This Row],[File Path]],"Open File","No File"))</f>
        <v>No File</v>
      </c>
      <c r="BD185" s="136" t="str">
        <f>CONCATENATE(_05preva_view43[[#This Row],[Site ID]]," (",_05preva_view43[[#This Row],[tenant id]],") Application",IF(_05preva_view43[[#This Row],[Colo Rev]]&gt;0," Rev "&amp;_05preva_view43[[#This Row],[Colo Rev]],""),".xlsx")</f>
        <v>1-01-08009-002 (MGW00400) Application Rev 2.xlsx</v>
      </c>
      <c r="BE185" s="64">
        <f t="shared" ca="1" si="4"/>
        <v>50</v>
      </c>
      <c r="BF185" s="104" t="str">
        <f ca="1">LEFT(CELL("filename",A170),_05preva_view43[[#This Row],[Find Process &amp; Database]]-1)</f>
        <v>D:\OneDrive - apollo-towers.com\Apollo Towers\00-</v>
      </c>
      <c r="BG185" s="104" t="str">
        <f ca="1">_05preva_view43[Folder Path1]&amp;"Process &amp; Database\Documentation\Colo Applications"</f>
        <v>D:\OneDrive - apollo-towers.com\Apollo Towers\00-Process &amp; Database\Documentation\Colo Applications</v>
      </c>
      <c r="BH185" s="104" t="str">
        <f ca="1">_05preva_view43[Folder Path2]&amp;"\Colo App "&amp;_05preva_view43[[#This Row],[Operator]]&amp;"\"</f>
        <v>D:\OneDrive - apollo-towers.com\Apollo Towers\00-Process &amp; Database\Documentation\Colo Applications\Colo App MPT\</v>
      </c>
      <c r="BI185" s="63" t="str">
        <f ca="1">_05preva_view43[[#This Row],[Folder Path3]]&amp;_05preva_view43[[#This Row],[File Name]]</f>
        <v>D:\OneDrive - apollo-towers.com\Apollo Towers\00-Process &amp; Database\Documentation\Colo Applications\Colo App MPT\1-01-08009-002 (MGW00400) Application Rev 2.xlsx</v>
      </c>
      <c r="BJ185" s="104"/>
      <c r="BK185" s="3"/>
      <c r="BL185" s="3"/>
      <c r="CJ185" s="5"/>
      <c r="CK185" s="5"/>
      <c r="CL185" s="3"/>
      <c r="CN185" s="5"/>
      <c r="CR185" s="3"/>
      <c r="CS185" s="3"/>
      <c r="CT185" s="5"/>
      <c r="CV185" s="3"/>
      <c r="DR185" s="5"/>
      <c r="DT185" s="3"/>
      <c r="EF185" s="7"/>
      <c r="EG185" s="7"/>
      <c r="EJ185" s="4"/>
      <c r="EK185" s="4"/>
      <c r="EU185" s="2"/>
      <c r="EV185" s="2"/>
    </row>
    <row r="186" spans="1:152">
      <c r="A186" s="125">
        <v>3455</v>
      </c>
      <c r="B186" s="126" t="s">
        <v>1382</v>
      </c>
      <c r="C186" s="126" t="s">
        <v>331</v>
      </c>
      <c r="D186" s="126" t="s">
        <v>117</v>
      </c>
      <c r="E186" s="126" t="s">
        <v>1383</v>
      </c>
      <c r="F186" s="126" t="s">
        <v>35</v>
      </c>
      <c r="G186" s="126" t="s">
        <v>1583</v>
      </c>
      <c r="H186" s="126" t="s">
        <v>1575</v>
      </c>
      <c r="I186" s="126" t="s">
        <v>1263</v>
      </c>
      <c r="J186" s="126" t="s">
        <v>931</v>
      </c>
      <c r="K186" s="127">
        <v>43434</v>
      </c>
      <c r="L186" s="128">
        <v>1</v>
      </c>
      <c r="M186" s="128">
        <v>1.4</v>
      </c>
      <c r="N186" s="126">
        <v>4.29</v>
      </c>
      <c r="O186" s="126" t="s">
        <v>950</v>
      </c>
      <c r="P186" s="129" t="s">
        <v>1062</v>
      </c>
      <c r="Q186" s="129" t="s">
        <v>958</v>
      </c>
      <c r="R186" s="126" t="s">
        <v>24</v>
      </c>
      <c r="S186" s="126"/>
      <c r="T186" s="130" t="s">
        <v>120</v>
      </c>
      <c r="U186" s="126" t="s">
        <v>1264</v>
      </c>
      <c r="V186" s="130" t="s">
        <v>120</v>
      </c>
      <c r="W186" s="126"/>
      <c r="X186" s="130" t="s">
        <v>120</v>
      </c>
      <c r="Y186" s="126" t="s">
        <v>1384</v>
      </c>
      <c r="Z186" s="162" t="s">
        <v>120</v>
      </c>
      <c r="AA186" s="154"/>
      <c r="AB186" s="154"/>
      <c r="AC186" s="167" t="s">
        <v>123</v>
      </c>
      <c r="AD186" s="126" t="s">
        <v>1385</v>
      </c>
      <c r="AE186" s="130" t="s">
        <v>120</v>
      </c>
      <c r="AF186" s="127"/>
      <c r="AG186" s="131"/>
      <c r="AH186" s="131"/>
      <c r="AI186" s="126"/>
      <c r="AJ186" s="130" t="s">
        <v>120</v>
      </c>
      <c r="AK186" s="126" t="s">
        <v>123</v>
      </c>
      <c r="AL186" s="126" t="s">
        <v>1198</v>
      </c>
      <c r="AM186" s="130"/>
      <c r="AN186" s="126"/>
      <c r="AO186" s="132"/>
      <c r="AP186" s="126"/>
      <c r="AQ186" s="126"/>
      <c r="AR186" s="130"/>
      <c r="AS186" s="126"/>
      <c r="AT186" s="127">
        <v>43437.615591898102</v>
      </c>
      <c r="AU186" s="127">
        <v>43440.428031249998</v>
      </c>
      <c r="AV186" s="127">
        <v>43440.494381365701</v>
      </c>
      <c r="AW186" s="127">
        <v>43437.615591898102</v>
      </c>
      <c r="AX186" s="127">
        <v>43438.644192939799</v>
      </c>
      <c r="AY186" s="127">
        <v>43434.6749247685</v>
      </c>
      <c r="AZ186" s="133">
        <v>43441.419782291698</v>
      </c>
      <c r="BA186" s="134">
        <f ca="1">IF(_05preva_view43[[#This Row],[Prevalidation Status]]="Under Prevalidation",NOW()-_05preva_view43[[#This Row],[Request Date]],IF(_05preva_view43[[#This Row],[Close Date]]&gt;_05preva_view43[[#This Row],[Request Date]],_05preva_view43[[#This Row],[Close Date]]-_05preva_view43[[#This Row],[Request Date]],"Not  Calculated"))</f>
        <v>7.4197822916976293</v>
      </c>
      <c r="BB186" s="135">
        <f>COUNTIFS(_05preva_view43[Site ID],_05preva_view43[[#This Row],[Site ID]],_05preva_view43[Prevalidation Status],"Under Prevalidation")</f>
        <v>0</v>
      </c>
      <c r="BC186" s="153" t="str">
        <f ca="1">HYPERLINK(CheckPath(_05preva_view43[[#This Row],[File Path]],_05preva_view43[[#This Row],[File Path]],_05preva_view43[[#This Row],[Folder Path3]]),CheckPath(_05preva_view43[[#This Row],[File Path]],"Open File","No File"))</f>
        <v>No File</v>
      </c>
      <c r="BD186" s="136" t="str">
        <f>CONCATENATE(_05preva_view43[[#This Row],[Site ID]]," (",_05preva_view43[[#This Row],[tenant id]],") Application",IF(_05preva_view43[[#This Row],[Colo Rev]]&gt;0," Rev "&amp;_05preva_view43[[#This Row],[Colo Rev]],""),".xlsx")</f>
        <v>1-01-09017-004 (MGW00413) Application Rev 1.xlsx</v>
      </c>
      <c r="BE186" s="64">
        <f t="shared" ca="1" si="4"/>
        <v>50</v>
      </c>
      <c r="BF186" s="104" t="str">
        <f ca="1">LEFT(CELL("filename",A171),_05preva_view43[[#This Row],[Find Process &amp; Database]]-1)</f>
        <v>D:\OneDrive - apollo-towers.com\Apollo Towers\00-</v>
      </c>
      <c r="BG186" s="104" t="str">
        <f ca="1">_05preva_view43[Folder Path1]&amp;"Process &amp; Database\Documentation\Colo Applications"</f>
        <v>D:\OneDrive - apollo-towers.com\Apollo Towers\00-Process &amp; Database\Documentation\Colo Applications</v>
      </c>
      <c r="BH186" s="104" t="str">
        <f ca="1">_05preva_view43[Folder Path2]&amp;"\Colo App "&amp;_05preva_view43[[#This Row],[Operator]]&amp;"\"</f>
        <v>D:\OneDrive - apollo-towers.com\Apollo Towers\00-Process &amp; Database\Documentation\Colo Applications\Colo App MPT\</v>
      </c>
      <c r="BI186" s="63" t="str">
        <f ca="1">_05preva_view43[[#This Row],[Folder Path3]]&amp;_05preva_view43[[#This Row],[File Name]]</f>
        <v>D:\OneDrive - apollo-towers.com\Apollo Towers\00-Process &amp; Database\Documentation\Colo Applications\Colo App MPT\1-01-09017-004 (MGW00413) Application Rev 1.xlsx</v>
      </c>
      <c r="BJ186" s="104"/>
      <c r="BK186" s="3"/>
      <c r="BL186" s="3"/>
      <c r="CJ186" s="5"/>
      <c r="CK186" s="5"/>
      <c r="CL186" s="3"/>
      <c r="CN186" s="5"/>
      <c r="CR186" s="3"/>
      <c r="CS186" s="3"/>
      <c r="CT186" s="5"/>
      <c r="CV186" s="3"/>
      <c r="DR186" s="5"/>
      <c r="DT186" s="3"/>
      <c r="EF186" s="7"/>
      <c r="EG186" s="7"/>
      <c r="EJ186" s="4"/>
      <c r="EK186" s="4"/>
      <c r="EU186" s="2"/>
      <c r="EV186" s="2"/>
    </row>
    <row r="187" spans="1:152">
      <c r="A187" s="125">
        <v>3456</v>
      </c>
      <c r="B187" s="126" t="s">
        <v>1261</v>
      </c>
      <c r="C187" s="126" t="s">
        <v>331</v>
      </c>
      <c r="D187" s="126" t="s">
        <v>127</v>
      </c>
      <c r="E187" s="126" t="s">
        <v>1262</v>
      </c>
      <c r="F187" s="126" t="s">
        <v>35</v>
      </c>
      <c r="G187" s="126" t="s">
        <v>1583</v>
      </c>
      <c r="H187" s="126" t="s">
        <v>1575</v>
      </c>
      <c r="I187" s="126" t="s">
        <v>1053</v>
      </c>
      <c r="J187" s="126" t="s">
        <v>949</v>
      </c>
      <c r="K187" s="127">
        <v>43434</v>
      </c>
      <c r="L187" s="128">
        <v>2.0590000000000002</v>
      </c>
      <c r="M187" s="128">
        <v>3.5489999999999999</v>
      </c>
      <c r="N187" s="126">
        <v>5.56</v>
      </c>
      <c r="O187" s="126" t="s">
        <v>950</v>
      </c>
      <c r="P187" s="129" t="s">
        <v>958</v>
      </c>
      <c r="Q187" s="129" t="s">
        <v>959</v>
      </c>
      <c r="R187" s="126" t="s">
        <v>24</v>
      </c>
      <c r="S187" s="126"/>
      <c r="T187" s="130" t="s">
        <v>120</v>
      </c>
      <c r="U187" s="126" t="s">
        <v>1264</v>
      </c>
      <c r="V187" s="130" t="s">
        <v>120</v>
      </c>
      <c r="W187" s="126"/>
      <c r="X187" s="130" t="s">
        <v>120</v>
      </c>
      <c r="Y187" s="126" t="s">
        <v>1386</v>
      </c>
      <c r="Z187" s="162" t="s">
        <v>120</v>
      </c>
      <c r="AA187" s="154"/>
      <c r="AB187" s="154"/>
      <c r="AC187" s="167" t="s">
        <v>123</v>
      </c>
      <c r="AD187" s="126" t="s">
        <v>1387</v>
      </c>
      <c r="AE187" s="130" t="s">
        <v>120</v>
      </c>
      <c r="AF187" s="127" t="s">
        <v>1388</v>
      </c>
      <c r="AG187" s="131"/>
      <c r="AH187" s="131"/>
      <c r="AI187" s="126" t="s">
        <v>1389</v>
      </c>
      <c r="AJ187" s="130" t="s">
        <v>120</v>
      </c>
      <c r="AK187" s="126" t="s">
        <v>123</v>
      </c>
      <c r="AL187" s="126" t="s">
        <v>1198</v>
      </c>
      <c r="AM187" s="130"/>
      <c r="AN187" s="126"/>
      <c r="AO187" s="132"/>
      <c r="AP187" s="126"/>
      <c r="AQ187" s="126"/>
      <c r="AR187" s="130"/>
      <c r="AS187" s="126"/>
      <c r="AT187" s="127">
        <v>43437.615594328701</v>
      </c>
      <c r="AU187" s="127">
        <v>43440.428033449098</v>
      </c>
      <c r="AV187" s="127">
        <v>43440.7054929398</v>
      </c>
      <c r="AW187" s="127">
        <v>43437.615594328701</v>
      </c>
      <c r="AX187" s="127">
        <v>43438.644194675901</v>
      </c>
      <c r="AY187" s="127">
        <v>43434.674926041698</v>
      </c>
      <c r="AZ187" s="133">
        <v>43441.4197829861</v>
      </c>
      <c r="BA187" s="134">
        <f ca="1">IF(_05preva_view43[[#This Row],[Prevalidation Status]]="Under Prevalidation",NOW()-_05preva_view43[[#This Row],[Request Date]],IF(_05preva_view43[[#This Row],[Close Date]]&gt;_05preva_view43[[#This Row],[Request Date]],_05preva_view43[[#This Row],[Close Date]]-_05preva_view43[[#This Row],[Request Date]],"Not  Calculated"))</f>
        <v>7.419782986100472</v>
      </c>
      <c r="BB187" s="135">
        <f>COUNTIFS(_05preva_view43[Site ID],_05preva_view43[[#This Row],[Site ID]],_05preva_view43[Prevalidation Status],"Under Prevalidation")</f>
        <v>0</v>
      </c>
      <c r="BC187" s="153" t="str">
        <f ca="1">HYPERLINK(CheckPath(_05preva_view43[[#This Row],[File Path]],_05preva_view43[[#This Row],[File Path]],_05preva_view43[[#This Row],[Folder Path3]]),CheckPath(_05preva_view43[[#This Row],[File Path]],"Open File","No File"))</f>
        <v>No File</v>
      </c>
      <c r="BD187" s="136" t="str">
        <f>CONCATENATE(_05preva_view43[[#This Row],[Site ID]]," (",_05preva_view43[[#This Row],[tenant id]],") Application",IF(_05preva_view43[[#This Row],[Colo Rev]]&gt;0," Rev "&amp;_05preva_view43[[#This Row],[Colo Rev]],""),".xlsx")</f>
        <v>1-01-05010-002 (SGG00209) Application Rev 2.xlsx</v>
      </c>
      <c r="BE187" s="64">
        <f t="shared" ca="1" si="4"/>
        <v>50</v>
      </c>
      <c r="BF187" s="104" t="str">
        <f ca="1">LEFT(CELL("filename",A172),_05preva_view43[[#This Row],[Find Process &amp; Database]]-1)</f>
        <v>D:\OneDrive - apollo-towers.com\Apollo Towers\00-</v>
      </c>
      <c r="BG187" s="104" t="str">
        <f ca="1">_05preva_view43[Folder Path1]&amp;"Process &amp; Database\Documentation\Colo Applications"</f>
        <v>D:\OneDrive - apollo-towers.com\Apollo Towers\00-Process &amp; Database\Documentation\Colo Applications</v>
      </c>
      <c r="BH187" s="104" t="str">
        <f ca="1">_05preva_view43[Folder Path2]&amp;"\Colo App "&amp;_05preva_view43[[#This Row],[Operator]]&amp;"\"</f>
        <v>D:\OneDrive - apollo-towers.com\Apollo Towers\00-Process &amp; Database\Documentation\Colo Applications\Colo App MPT\</v>
      </c>
      <c r="BI187" s="63" t="str">
        <f ca="1">_05preva_view43[[#This Row],[Folder Path3]]&amp;_05preva_view43[[#This Row],[File Name]]</f>
        <v>D:\OneDrive - apollo-towers.com\Apollo Towers\00-Process &amp; Database\Documentation\Colo Applications\Colo App MPT\1-01-05010-002 (SGG00209) Application Rev 2.xlsx</v>
      </c>
      <c r="BJ187" s="104"/>
      <c r="BK187" s="3"/>
      <c r="BL187" s="3"/>
      <c r="CJ187" s="5"/>
      <c r="CK187" s="5"/>
      <c r="CL187" s="3"/>
      <c r="CN187" s="5"/>
      <c r="CR187" s="3"/>
      <c r="CS187" s="3"/>
      <c r="CT187" s="5"/>
      <c r="CV187" s="3"/>
      <c r="DR187" s="5"/>
      <c r="DT187" s="3"/>
      <c r="EF187" s="7"/>
      <c r="EG187" s="7"/>
      <c r="EJ187" s="4"/>
      <c r="EK187" s="4"/>
      <c r="EU187" s="2"/>
      <c r="EV187" s="2"/>
    </row>
    <row r="188" spans="1:152">
      <c r="A188" s="125">
        <v>3457</v>
      </c>
      <c r="B188" s="126" t="s">
        <v>1390</v>
      </c>
      <c r="C188" s="126" t="s">
        <v>331</v>
      </c>
      <c r="D188" s="126" t="s">
        <v>127</v>
      </c>
      <c r="E188" s="126" t="s">
        <v>1391</v>
      </c>
      <c r="F188" s="126" t="s">
        <v>35</v>
      </c>
      <c r="G188" s="126" t="s">
        <v>1583</v>
      </c>
      <c r="H188" s="126" t="s">
        <v>1575</v>
      </c>
      <c r="I188" s="126" t="s">
        <v>1263</v>
      </c>
      <c r="J188" s="126" t="s">
        <v>949</v>
      </c>
      <c r="K188" s="127">
        <v>43434</v>
      </c>
      <c r="L188" s="128">
        <v>1</v>
      </c>
      <c r="M188" s="128">
        <v>1.462</v>
      </c>
      <c r="N188" s="126">
        <v>4.24</v>
      </c>
      <c r="O188" s="126" t="s">
        <v>950</v>
      </c>
      <c r="P188" s="129" t="s">
        <v>958</v>
      </c>
      <c r="Q188" s="129" t="s">
        <v>959</v>
      </c>
      <c r="R188" s="126" t="s">
        <v>24</v>
      </c>
      <c r="S188" s="126"/>
      <c r="T188" s="130" t="s">
        <v>120</v>
      </c>
      <c r="U188" s="126" t="s">
        <v>1264</v>
      </c>
      <c r="V188" s="130" t="s">
        <v>120</v>
      </c>
      <c r="W188" s="126"/>
      <c r="X188" s="130" t="s">
        <v>120</v>
      </c>
      <c r="Y188" s="126" t="s">
        <v>1392</v>
      </c>
      <c r="Z188" s="162" t="s">
        <v>120</v>
      </c>
      <c r="AA188" s="154"/>
      <c r="AB188" s="154"/>
      <c r="AC188" s="167" t="s">
        <v>123</v>
      </c>
      <c r="AD188" s="126" t="s">
        <v>1393</v>
      </c>
      <c r="AE188" s="130" t="s">
        <v>120</v>
      </c>
      <c r="AF188" s="127"/>
      <c r="AG188" s="131"/>
      <c r="AH188" s="131"/>
      <c r="AI188" s="126"/>
      <c r="AJ188" s="130" t="s">
        <v>120</v>
      </c>
      <c r="AK188" s="126" t="s">
        <v>123</v>
      </c>
      <c r="AL188" s="126" t="s">
        <v>1198</v>
      </c>
      <c r="AM188" s="130"/>
      <c r="AN188" s="126"/>
      <c r="AO188" s="132"/>
      <c r="AP188" s="126"/>
      <c r="AQ188" s="126"/>
      <c r="AR188" s="130"/>
      <c r="AS188" s="126"/>
      <c r="AT188" s="127">
        <v>43437.615600231497</v>
      </c>
      <c r="AU188" s="127">
        <v>43440.687456481501</v>
      </c>
      <c r="AV188" s="127">
        <v>43440.705493865702</v>
      </c>
      <c r="AW188" s="127">
        <v>43437.615600231497</v>
      </c>
      <c r="AX188" s="127">
        <v>43438.644195254601</v>
      </c>
      <c r="AY188" s="127">
        <v>43434.674927083302</v>
      </c>
      <c r="AZ188" s="133">
        <v>43441.419783912002</v>
      </c>
      <c r="BA188" s="134">
        <f ca="1">IF(_05preva_view43[[#This Row],[Prevalidation Status]]="Under Prevalidation",NOW()-_05preva_view43[[#This Row],[Request Date]],IF(_05preva_view43[[#This Row],[Close Date]]&gt;_05preva_view43[[#This Row],[Request Date]],_05preva_view43[[#This Row],[Close Date]]-_05preva_view43[[#This Row],[Request Date]],"Not  Calculated"))</f>
        <v>7.4197839120024582</v>
      </c>
      <c r="BB188" s="135">
        <f>COUNTIFS(_05preva_view43[Site ID],_05preva_view43[[#This Row],[Site ID]],_05preva_view43[Prevalidation Status],"Under Prevalidation")</f>
        <v>0</v>
      </c>
      <c r="BC188" s="153" t="str">
        <f ca="1">HYPERLINK(CheckPath(_05preva_view43[[#This Row],[File Path]],_05preva_view43[[#This Row],[File Path]],_05preva_view43[[#This Row],[Folder Path3]]),CheckPath(_05preva_view43[[#This Row],[File Path]],"Open File","No File"))</f>
        <v>No File</v>
      </c>
      <c r="BD188" s="136" t="str">
        <f>CONCATENATE(_05preva_view43[[#This Row],[Site ID]]," (",_05preva_view43[[#This Row],[tenant id]],") Application",IF(_05preva_view43[[#This Row],[Colo Rev]]&gt;0," Rev "&amp;_05preva_view43[[#This Row],[Colo Rev]],""),".xlsx")</f>
        <v>1-01-05005-002 (SGG00219) Application Rev 2.xlsx</v>
      </c>
      <c r="BE188" s="64">
        <f t="shared" ca="1" si="4"/>
        <v>50</v>
      </c>
      <c r="BF188" s="104" t="str">
        <f ca="1">LEFT(CELL("filename",A173),_05preva_view43[[#This Row],[Find Process &amp; Database]]-1)</f>
        <v>D:\OneDrive - apollo-towers.com\Apollo Towers\00-</v>
      </c>
      <c r="BG188" s="104" t="str">
        <f ca="1">_05preva_view43[Folder Path1]&amp;"Process &amp; Database\Documentation\Colo Applications"</f>
        <v>D:\OneDrive - apollo-towers.com\Apollo Towers\00-Process &amp; Database\Documentation\Colo Applications</v>
      </c>
      <c r="BH188" s="104" t="str">
        <f ca="1">_05preva_view43[Folder Path2]&amp;"\Colo App "&amp;_05preva_view43[[#This Row],[Operator]]&amp;"\"</f>
        <v>D:\OneDrive - apollo-towers.com\Apollo Towers\00-Process &amp; Database\Documentation\Colo Applications\Colo App MPT\</v>
      </c>
      <c r="BI188" s="63" t="str">
        <f ca="1">_05preva_view43[[#This Row],[Folder Path3]]&amp;_05preva_view43[[#This Row],[File Name]]</f>
        <v>D:\OneDrive - apollo-towers.com\Apollo Towers\00-Process &amp; Database\Documentation\Colo Applications\Colo App MPT\1-01-05005-002 (SGG00219) Application Rev 2.xlsx</v>
      </c>
      <c r="BJ188" s="104"/>
      <c r="BK188" s="3"/>
      <c r="BL188" s="3"/>
      <c r="CJ188" s="5"/>
      <c r="CK188" s="5"/>
      <c r="CL188" s="3"/>
      <c r="CN188" s="5"/>
      <c r="CR188" s="3"/>
      <c r="CS188" s="3"/>
      <c r="CT188" s="5"/>
      <c r="CV188" s="3"/>
      <c r="DR188" s="5"/>
      <c r="DT188" s="3"/>
      <c r="EF188" s="7"/>
      <c r="EG188" s="7"/>
      <c r="EJ188" s="4"/>
      <c r="EK188" s="4"/>
      <c r="EU188" s="2"/>
      <c r="EV188" s="2"/>
    </row>
    <row r="189" spans="1:152">
      <c r="A189" s="125">
        <v>3458</v>
      </c>
      <c r="B189" s="126" t="s">
        <v>1268</v>
      </c>
      <c r="C189" s="126" t="s">
        <v>331</v>
      </c>
      <c r="D189" s="126" t="s">
        <v>127</v>
      </c>
      <c r="E189" s="126" t="s">
        <v>1269</v>
      </c>
      <c r="F189" s="126" t="s">
        <v>35</v>
      </c>
      <c r="G189" s="126" t="s">
        <v>1583</v>
      </c>
      <c r="H189" s="126" t="s">
        <v>1575</v>
      </c>
      <c r="I189" s="126" t="s">
        <v>1053</v>
      </c>
      <c r="J189" s="126" t="s">
        <v>990</v>
      </c>
      <c r="K189" s="127">
        <v>43434</v>
      </c>
      <c r="L189" s="128">
        <v>2.0590000000000002</v>
      </c>
      <c r="M189" s="128">
        <v>3.649</v>
      </c>
      <c r="N189" s="126">
        <v>11.26</v>
      </c>
      <c r="O189" s="126" t="s">
        <v>950</v>
      </c>
      <c r="P189" s="129" t="s">
        <v>1270</v>
      </c>
      <c r="Q189" s="129" t="s">
        <v>1271</v>
      </c>
      <c r="R189" s="126" t="s">
        <v>24</v>
      </c>
      <c r="S189" s="126"/>
      <c r="T189" s="130" t="s">
        <v>120</v>
      </c>
      <c r="U189" s="126" t="s">
        <v>1264</v>
      </c>
      <c r="V189" s="130" t="s">
        <v>120</v>
      </c>
      <c r="W189" s="126"/>
      <c r="X189" s="130" t="s">
        <v>120</v>
      </c>
      <c r="Y189" s="126" t="s">
        <v>1394</v>
      </c>
      <c r="Z189" s="162" t="s">
        <v>120</v>
      </c>
      <c r="AA189" s="154"/>
      <c r="AB189" s="154"/>
      <c r="AC189" s="167" t="s">
        <v>123</v>
      </c>
      <c r="AD189" s="126" t="s">
        <v>1395</v>
      </c>
      <c r="AE189" s="130" t="s">
        <v>120</v>
      </c>
      <c r="AF189" s="127" t="s">
        <v>1388</v>
      </c>
      <c r="AG189" s="131">
        <v>2.5</v>
      </c>
      <c r="AH189" s="131"/>
      <c r="AI189" s="126" t="s">
        <v>1396</v>
      </c>
      <c r="AJ189" s="130" t="s">
        <v>120</v>
      </c>
      <c r="AK189" s="126" t="s">
        <v>123</v>
      </c>
      <c r="AL189" s="126" t="s">
        <v>1198</v>
      </c>
      <c r="AM189" s="130"/>
      <c r="AN189" s="126"/>
      <c r="AO189" s="132"/>
      <c r="AP189" s="126"/>
      <c r="AQ189" s="126"/>
      <c r="AR189" s="130"/>
      <c r="AS189" s="126"/>
      <c r="AT189" s="127">
        <v>43437.615603009297</v>
      </c>
      <c r="AU189" s="127">
        <v>43440.687457523098</v>
      </c>
      <c r="AV189" s="127">
        <v>43439.707483680599</v>
      </c>
      <c r="AW189" s="127">
        <v>43437.615603009297</v>
      </c>
      <c r="AX189" s="127">
        <v>43438.644195949099</v>
      </c>
      <c r="AY189" s="127">
        <v>43434.6749283565</v>
      </c>
      <c r="AZ189" s="133">
        <v>43441.4197846065</v>
      </c>
      <c r="BA189" s="134">
        <f ca="1">IF(_05preva_view43[[#This Row],[Prevalidation Status]]="Under Prevalidation",NOW()-_05preva_view43[[#This Row],[Request Date]],IF(_05preva_view43[[#This Row],[Close Date]]&gt;_05preva_view43[[#This Row],[Request Date]],_05preva_view43[[#This Row],[Close Date]]-_05preva_view43[[#This Row],[Request Date]],"Not  Calculated"))</f>
        <v>7.4197846064998885</v>
      </c>
      <c r="BB189" s="135">
        <f>COUNTIFS(_05preva_view43[Site ID],_05preva_view43[[#This Row],[Site ID]],_05preva_view43[Prevalidation Status],"Under Prevalidation")</f>
        <v>0</v>
      </c>
      <c r="BC189" s="153" t="str">
        <f ca="1">HYPERLINK(CheckPath(_05preva_view43[[#This Row],[File Path]],_05preva_view43[[#This Row],[File Path]],_05preva_view43[[#This Row],[Folder Path3]]),CheckPath(_05preva_view43[[#This Row],[File Path]],"Open File","No File"))</f>
        <v>No File</v>
      </c>
      <c r="BD189" s="136" t="str">
        <f>CONCATENATE(_05preva_view43[[#This Row],[Site ID]]," (",_05preva_view43[[#This Row],[tenant id]],") Application",IF(_05preva_view43[[#This Row],[Colo Rev]]&gt;0," Rev "&amp;_05preva_view43[[#This Row],[Colo Rev]],""),".xlsx")</f>
        <v>1-01-05010-006 (SGG00232) Application Rev 3.xlsx</v>
      </c>
      <c r="BE189" s="64">
        <f t="shared" ca="1" si="4"/>
        <v>50</v>
      </c>
      <c r="BF189" s="104" t="str">
        <f ca="1">LEFT(CELL("filename",A174),_05preva_view43[[#This Row],[Find Process &amp; Database]]-1)</f>
        <v>D:\OneDrive - apollo-towers.com\Apollo Towers\00-</v>
      </c>
      <c r="BG189" s="104" t="str">
        <f ca="1">_05preva_view43[Folder Path1]&amp;"Process &amp; Database\Documentation\Colo Applications"</f>
        <v>D:\OneDrive - apollo-towers.com\Apollo Towers\00-Process &amp; Database\Documentation\Colo Applications</v>
      </c>
      <c r="BH189" s="104" t="str">
        <f ca="1">_05preva_view43[Folder Path2]&amp;"\Colo App "&amp;_05preva_view43[[#This Row],[Operator]]&amp;"\"</f>
        <v>D:\OneDrive - apollo-towers.com\Apollo Towers\00-Process &amp; Database\Documentation\Colo Applications\Colo App MPT\</v>
      </c>
      <c r="BI189" s="63" t="str">
        <f ca="1">_05preva_view43[[#This Row],[Folder Path3]]&amp;_05preva_view43[[#This Row],[File Name]]</f>
        <v>D:\OneDrive - apollo-towers.com\Apollo Towers\00-Process &amp; Database\Documentation\Colo Applications\Colo App MPT\1-01-05010-006 (SGG00232) Application Rev 3.xlsx</v>
      </c>
      <c r="BJ189" s="104"/>
      <c r="BK189" s="3"/>
      <c r="BL189" s="3"/>
      <c r="CJ189" s="5"/>
      <c r="CK189" s="5"/>
      <c r="CL189" s="3"/>
      <c r="CN189" s="5"/>
      <c r="CR189" s="3"/>
      <c r="CS189" s="3"/>
      <c r="CT189" s="5"/>
      <c r="CV189" s="3"/>
      <c r="DR189" s="5"/>
      <c r="DT189" s="3"/>
      <c r="EF189" s="7"/>
      <c r="EG189" s="7"/>
      <c r="EJ189" s="4"/>
      <c r="EK189" s="4"/>
      <c r="EU189" s="2"/>
      <c r="EV189" s="2"/>
    </row>
    <row r="190" spans="1:152">
      <c r="A190" s="125">
        <v>3459</v>
      </c>
      <c r="B190" s="126" t="s">
        <v>1397</v>
      </c>
      <c r="C190" s="126" t="s">
        <v>331</v>
      </c>
      <c r="D190" s="126" t="s">
        <v>127</v>
      </c>
      <c r="E190" s="126" t="s">
        <v>1398</v>
      </c>
      <c r="F190" s="126" t="s">
        <v>35</v>
      </c>
      <c r="G190" s="126" t="s">
        <v>1583</v>
      </c>
      <c r="H190" s="126" t="s">
        <v>1575</v>
      </c>
      <c r="I190" s="126" t="s">
        <v>1263</v>
      </c>
      <c r="J190" s="126" t="s">
        <v>949</v>
      </c>
      <c r="K190" s="127">
        <v>43434</v>
      </c>
      <c r="L190" s="128">
        <v>1</v>
      </c>
      <c r="M190" s="128">
        <v>1.4</v>
      </c>
      <c r="N190" s="126">
        <v>3.56</v>
      </c>
      <c r="O190" s="126" t="s">
        <v>950</v>
      </c>
      <c r="P190" s="129" t="s">
        <v>958</v>
      </c>
      <c r="Q190" s="129" t="s">
        <v>959</v>
      </c>
      <c r="R190" s="126" t="s">
        <v>24</v>
      </c>
      <c r="S190" s="126"/>
      <c r="T190" s="130" t="s">
        <v>120</v>
      </c>
      <c r="U190" s="126" t="s">
        <v>1264</v>
      </c>
      <c r="V190" s="130" t="s">
        <v>120</v>
      </c>
      <c r="W190" s="126"/>
      <c r="X190" s="130" t="s">
        <v>120</v>
      </c>
      <c r="Y190" s="126" t="s">
        <v>1399</v>
      </c>
      <c r="Z190" s="162" t="s">
        <v>120</v>
      </c>
      <c r="AA190" s="154"/>
      <c r="AB190" s="154"/>
      <c r="AC190" s="167" t="s">
        <v>123</v>
      </c>
      <c r="AD190" s="126" t="s">
        <v>1400</v>
      </c>
      <c r="AE190" s="130" t="s">
        <v>120</v>
      </c>
      <c r="AF190" s="127"/>
      <c r="AG190" s="131"/>
      <c r="AH190" s="131"/>
      <c r="AI190" s="126"/>
      <c r="AJ190" s="130" t="s">
        <v>120</v>
      </c>
      <c r="AK190" s="126" t="s">
        <v>123</v>
      </c>
      <c r="AL190" s="126" t="s">
        <v>1198</v>
      </c>
      <c r="AM190" s="130"/>
      <c r="AN190" s="126"/>
      <c r="AO190" s="132"/>
      <c r="AP190" s="126"/>
      <c r="AQ190" s="126"/>
      <c r="AR190" s="130"/>
      <c r="AS190" s="126"/>
      <c r="AT190" s="127">
        <v>43437.615606250001</v>
      </c>
      <c r="AU190" s="127">
        <v>43440.687459606503</v>
      </c>
      <c r="AV190" s="127">
        <v>43439.707484722203</v>
      </c>
      <c r="AW190" s="127">
        <v>43437.615606250001</v>
      </c>
      <c r="AX190" s="127">
        <v>43438.644197222202</v>
      </c>
      <c r="AY190" s="127">
        <v>43434.674929398097</v>
      </c>
      <c r="AZ190" s="133">
        <v>43441.419785532402</v>
      </c>
      <c r="BA190" s="134">
        <f ca="1">IF(_05preva_view43[[#This Row],[Prevalidation Status]]="Under Prevalidation",NOW()-_05preva_view43[[#This Row],[Request Date]],IF(_05preva_view43[[#This Row],[Close Date]]&gt;_05preva_view43[[#This Row],[Request Date]],_05preva_view43[[#This Row],[Close Date]]-_05preva_view43[[#This Row],[Request Date]],"Not  Calculated"))</f>
        <v>7.4197855324018747</v>
      </c>
      <c r="BB190" s="135">
        <f>COUNTIFS(_05preva_view43[Site ID],_05preva_view43[[#This Row],[Site ID]],_05preva_view43[Prevalidation Status],"Under Prevalidation")</f>
        <v>0</v>
      </c>
      <c r="BC190" s="153" t="str">
        <f ca="1">HYPERLINK(CheckPath(_05preva_view43[[#This Row],[File Path]],_05preva_view43[[#This Row],[File Path]],_05preva_view43[[#This Row],[Folder Path3]]),CheckPath(_05preva_view43[[#This Row],[File Path]],"Open File","No File"))</f>
        <v>No File</v>
      </c>
      <c r="BD190" s="136" t="str">
        <f>CONCATENATE(_05preva_view43[[#This Row],[Site ID]]," (",_05preva_view43[[#This Row],[tenant id]],") Application",IF(_05preva_view43[[#This Row],[Colo Rev]]&gt;0," Rev "&amp;_05preva_view43[[#This Row],[Colo Rev]],""),".xlsx")</f>
        <v>1-01-05007-006 (SGG00780) Application Rev 2.xlsx</v>
      </c>
      <c r="BE190" s="64">
        <f t="shared" ca="1" si="4"/>
        <v>50</v>
      </c>
      <c r="BF190" s="104" t="str">
        <f ca="1">LEFT(CELL("filename",A175),_05preva_view43[[#This Row],[Find Process &amp; Database]]-1)</f>
        <v>D:\OneDrive - apollo-towers.com\Apollo Towers\00-</v>
      </c>
      <c r="BG190" s="104" t="str">
        <f ca="1">_05preva_view43[Folder Path1]&amp;"Process &amp; Database\Documentation\Colo Applications"</f>
        <v>D:\OneDrive - apollo-towers.com\Apollo Towers\00-Process &amp; Database\Documentation\Colo Applications</v>
      </c>
      <c r="BH190" s="104" t="str">
        <f ca="1">_05preva_view43[Folder Path2]&amp;"\Colo App "&amp;_05preva_view43[[#This Row],[Operator]]&amp;"\"</f>
        <v>D:\OneDrive - apollo-towers.com\Apollo Towers\00-Process &amp; Database\Documentation\Colo Applications\Colo App MPT\</v>
      </c>
      <c r="BI190" s="63" t="str">
        <f ca="1">_05preva_view43[[#This Row],[Folder Path3]]&amp;_05preva_view43[[#This Row],[File Name]]</f>
        <v>D:\OneDrive - apollo-towers.com\Apollo Towers\00-Process &amp; Database\Documentation\Colo Applications\Colo App MPT\1-01-05007-006 (SGG00780) Application Rev 2.xlsx</v>
      </c>
      <c r="BJ190" s="104"/>
      <c r="BK190" s="3"/>
      <c r="BL190" s="3"/>
      <c r="CJ190" s="5"/>
      <c r="CK190" s="5"/>
      <c r="CL190" s="3"/>
      <c r="CN190" s="5"/>
      <c r="CR190" s="3"/>
      <c r="CS190" s="3"/>
      <c r="CT190" s="5"/>
      <c r="CV190" s="3"/>
      <c r="DR190" s="5"/>
      <c r="DT190" s="3"/>
      <c r="EF190" s="7"/>
      <c r="EG190" s="7"/>
      <c r="EJ190" s="4"/>
      <c r="EK190" s="4"/>
      <c r="EU190" s="2"/>
      <c r="EV190" s="2"/>
    </row>
    <row r="191" spans="1:152">
      <c r="A191" s="125">
        <v>3460</v>
      </c>
      <c r="B191" s="126" t="s">
        <v>1401</v>
      </c>
      <c r="C191" s="126" t="s">
        <v>331</v>
      </c>
      <c r="D191" s="126" t="s">
        <v>127</v>
      </c>
      <c r="E191" s="126" t="s">
        <v>1402</v>
      </c>
      <c r="F191" s="126" t="s">
        <v>35</v>
      </c>
      <c r="G191" s="126" t="s">
        <v>1583</v>
      </c>
      <c r="H191" s="126" t="s">
        <v>1575</v>
      </c>
      <c r="I191" s="126" t="s">
        <v>1263</v>
      </c>
      <c r="J191" s="126" t="s">
        <v>990</v>
      </c>
      <c r="K191" s="127">
        <v>43434</v>
      </c>
      <c r="L191" s="128">
        <v>1</v>
      </c>
      <c r="M191" s="128">
        <v>1.462</v>
      </c>
      <c r="N191" s="126">
        <v>3.56</v>
      </c>
      <c r="O191" s="126" t="s">
        <v>950</v>
      </c>
      <c r="P191" s="129" t="s">
        <v>1275</v>
      </c>
      <c r="Q191" s="129" t="s">
        <v>1276</v>
      </c>
      <c r="R191" s="126" t="s">
        <v>24</v>
      </c>
      <c r="S191" s="126"/>
      <c r="T191" s="130" t="s">
        <v>120</v>
      </c>
      <c r="U191" s="126" t="s">
        <v>1264</v>
      </c>
      <c r="V191" s="130" t="s">
        <v>120</v>
      </c>
      <c r="W191" s="126"/>
      <c r="X191" s="130" t="s">
        <v>120</v>
      </c>
      <c r="Y191" s="126" t="s">
        <v>1403</v>
      </c>
      <c r="Z191" s="162" t="s">
        <v>120</v>
      </c>
      <c r="AA191" s="154"/>
      <c r="AB191" s="154"/>
      <c r="AC191" s="167" t="s">
        <v>123</v>
      </c>
      <c r="AD191" s="126" t="s">
        <v>1404</v>
      </c>
      <c r="AE191" s="130" t="s">
        <v>120</v>
      </c>
      <c r="AF191" s="127" t="s">
        <v>1731</v>
      </c>
      <c r="AG191" s="131"/>
      <c r="AH191" s="131"/>
      <c r="AI191" s="126" t="s">
        <v>1405</v>
      </c>
      <c r="AJ191" s="130" t="s">
        <v>120</v>
      </c>
      <c r="AK191" s="126" t="s">
        <v>123</v>
      </c>
      <c r="AL191" s="126" t="s">
        <v>1198</v>
      </c>
      <c r="AM191" s="130"/>
      <c r="AN191" s="126"/>
      <c r="AO191" s="132"/>
      <c r="AP191" s="126"/>
      <c r="AQ191" s="126"/>
      <c r="AR191" s="130"/>
      <c r="AS191" s="126"/>
      <c r="AT191" s="127">
        <v>43437.615609375003</v>
      </c>
      <c r="AU191" s="127">
        <v>43451.370470833303</v>
      </c>
      <c r="AV191" s="127">
        <v>43439.707486226798</v>
      </c>
      <c r="AW191" s="127">
        <v>43437.615609375003</v>
      </c>
      <c r="AX191" s="127">
        <v>43438.644197916699</v>
      </c>
      <c r="AY191" s="127">
        <v>43434.6749305556</v>
      </c>
      <c r="AZ191" s="133">
        <v>43451.411459259303</v>
      </c>
      <c r="BA191" s="134">
        <f ca="1">IF(_05preva_view43[[#This Row],[Prevalidation Status]]="Under Prevalidation",NOW()-_05preva_view43[[#This Row],[Request Date]],IF(_05preva_view43[[#This Row],[Close Date]]&gt;_05preva_view43[[#This Row],[Request Date]],_05preva_view43[[#This Row],[Close Date]]-_05preva_view43[[#This Row],[Request Date]],"Not  Calculated"))</f>
        <v>17.411459259303228</v>
      </c>
      <c r="BB191" s="135">
        <f>COUNTIFS(_05preva_view43[Site ID],_05preva_view43[[#This Row],[Site ID]],_05preva_view43[Prevalidation Status],"Under Prevalidation")</f>
        <v>0</v>
      </c>
      <c r="BC191" s="153" t="str">
        <f ca="1">HYPERLINK(CheckPath(_05preva_view43[[#This Row],[File Path]],_05preva_view43[[#This Row],[File Path]],_05preva_view43[[#This Row],[Folder Path3]]),CheckPath(_05preva_view43[[#This Row],[File Path]],"Open File","No File"))</f>
        <v>No File</v>
      </c>
      <c r="BD191" s="136" t="str">
        <f>CONCATENATE(_05preva_view43[[#This Row],[Site ID]]," (",_05preva_view43[[#This Row],[tenant id]],") Application",IF(_05preva_view43[[#This Row],[Colo Rev]]&gt;0," Rev "&amp;_05preva_view43[[#This Row],[Colo Rev]],""),".xlsx")</f>
        <v>1-01-15009-006 (SHN00051) Application Rev 3.xlsx</v>
      </c>
      <c r="BE191" s="64">
        <f t="shared" ca="1" si="4"/>
        <v>50</v>
      </c>
      <c r="BF191" s="104" t="str">
        <f ca="1">LEFT(CELL("filename",A176),_05preva_view43[[#This Row],[Find Process &amp; Database]]-1)</f>
        <v>D:\OneDrive - apollo-towers.com\Apollo Towers\00-</v>
      </c>
      <c r="BG191" s="104" t="str">
        <f ca="1">_05preva_view43[Folder Path1]&amp;"Process &amp; Database\Documentation\Colo Applications"</f>
        <v>D:\OneDrive - apollo-towers.com\Apollo Towers\00-Process &amp; Database\Documentation\Colo Applications</v>
      </c>
      <c r="BH191" s="104" t="str">
        <f ca="1">_05preva_view43[Folder Path2]&amp;"\Colo App "&amp;_05preva_view43[[#This Row],[Operator]]&amp;"\"</f>
        <v>D:\OneDrive - apollo-towers.com\Apollo Towers\00-Process &amp; Database\Documentation\Colo Applications\Colo App MPT\</v>
      </c>
      <c r="BI191" s="63" t="str">
        <f ca="1">_05preva_view43[[#This Row],[Folder Path3]]&amp;_05preva_view43[[#This Row],[File Name]]</f>
        <v>D:\OneDrive - apollo-towers.com\Apollo Towers\00-Process &amp; Database\Documentation\Colo Applications\Colo App MPT\1-01-15009-006 (SHN00051) Application Rev 3.xlsx</v>
      </c>
      <c r="BJ191" s="104"/>
      <c r="BK191" s="3"/>
      <c r="BL191" s="3"/>
      <c r="CJ191" s="5"/>
      <c r="CK191" s="5"/>
      <c r="CL191" s="3"/>
      <c r="CN191" s="5"/>
      <c r="CR191" s="3"/>
      <c r="CS191" s="3"/>
      <c r="CT191" s="5"/>
      <c r="CV191" s="3"/>
      <c r="DR191" s="5"/>
      <c r="DT191" s="3"/>
      <c r="EF191" s="7"/>
      <c r="EG191" s="7"/>
      <c r="EJ191" s="4"/>
      <c r="EK191" s="4"/>
      <c r="EU191" s="2"/>
      <c r="EV191" s="2"/>
    </row>
    <row r="192" spans="1:152">
      <c r="A192" s="125">
        <v>3461</v>
      </c>
      <c r="B192" s="126" t="s">
        <v>1406</v>
      </c>
      <c r="C192" s="126" t="s">
        <v>331</v>
      </c>
      <c r="D192" s="126" t="s">
        <v>127</v>
      </c>
      <c r="E192" s="126" t="s">
        <v>1407</v>
      </c>
      <c r="F192" s="126" t="s">
        <v>35</v>
      </c>
      <c r="G192" s="126" t="s">
        <v>1583</v>
      </c>
      <c r="H192" s="126" t="s">
        <v>1575</v>
      </c>
      <c r="I192" s="126" t="s">
        <v>1263</v>
      </c>
      <c r="J192" s="126" t="s">
        <v>990</v>
      </c>
      <c r="K192" s="127">
        <v>43434</v>
      </c>
      <c r="L192" s="128">
        <v>1</v>
      </c>
      <c r="M192" s="128">
        <v>1.462</v>
      </c>
      <c r="N192" s="126">
        <v>4.1900000000000004</v>
      </c>
      <c r="O192" s="126" t="s">
        <v>950</v>
      </c>
      <c r="P192" s="129" t="s">
        <v>1071</v>
      </c>
      <c r="Q192" s="129" t="s">
        <v>1072</v>
      </c>
      <c r="R192" s="126" t="s">
        <v>24</v>
      </c>
      <c r="S192" s="126"/>
      <c r="T192" s="130" t="s">
        <v>120</v>
      </c>
      <c r="U192" s="126" t="s">
        <v>1264</v>
      </c>
      <c r="V192" s="130" t="s">
        <v>120</v>
      </c>
      <c r="W192" s="126"/>
      <c r="X192" s="130" t="s">
        <v>120</v>
      </c>
      <c r="Y192" s="126" t="s">
        <v>1408</v>
      </c>
      <c r="Z192" s="162" t="s">
        <v>120</v>
      </c>
      <c r="AA192" s="154"/>
      <c r="AB192" s="154"/>
      <c r="AC192" s="167" t="s">
        <v>123</v>
      </c>
      <c r="AD192" s="126" t="s">
        <v>1409</v>
      </c>
      <c r="AE192" s="130" t="s">
        <v>120</v>
      </c>
      <c r="AF192" s="127" t="s">
        <v>1388</v>
      </c>
      <c r="AG192" s="131"/>
      <c r="AH192" s="131"/>
      <c r="AI192" s="126"/>
      <c r="AJ192" s="130" t="s">
        <v>120</v>
      </c>
      <c r="AK192" s="126" t="s">
        <v>123</v>
      </c>
      <c r="AL192" s="126" t="s">
        <v>1198</v>
      </c>
      <c r="AM192" s="130"/>
      <c r="AN192" s="126"/>
      <c r="AO192" s="132"/>
      <c r="AP192" s="126"/>
      <c r="AQ192" s="126"/>
      <c r="AR192" s="130"/>
      <c r="AS192" s="126"/>
      <c r="AT192" s="127">
        <v>43437.615612152797</v>
      </c>
      <c r="AU192" s="127">
        <v>43440.6874626157</v>
      </c>
      <c r="AV192" s="127">
        <v>43440.494384375001</v>
      </c>
      <c r="AW192" s="127">
        <v>43437.615612152797</v>
      </c>
      <c r="AX192" s="127">
        <v>43438.6441984954</v>
      </c>
      <c r="AY192" s="127">
        <v>43434.674931713002</v>
      </c>
      <c r="AZ192" s="133">
        <v>43441.419787268504</v>
      </c>
      <c r="BA192" s="134">
        <f ca="1">IF(_05preva_view43[[#This Row],[Prevalidation Status]]="Under Prevalidation",NOW()-_05preva_view43[[#This Row],[Request Date]],IF(_05preva_view43[[#This Row],[Close Date]]&gt;_05preva_view43[[#This Row],[Request Date]],_05preva_view43[[#This Row],[Close Date]]-_05preva_view43[[#This Row],[Request Date]],"Not  Calculated"))</f>
        <v>7.4197872685035691</v>
      </c>
      <c r="BB192" s="135">
        <f>COUNTIFS(_05preva_view43[Site ID],_05preva_view43[[#This Row],[Site ID]],_05preva_view43[Prevalidation Status],"Under Prevalidation")</f>
        <v>0</v>
      </c>
      <c r="BC192" s="153" t="str">
        <f ca="1">HYPERLINK(CheckPath(_05preva_view43[[#This Row],[File Path]],_05preva_view43[[#This Row],[File Path]],_05preva_view43[[#This Row],[Folder Path3]]),CheckPath(_05preva_view43[[#This Row],[File Path]],"Open File","No File"))</f>
        <v>No File</v>
      </c>
      <c r="BD192" s="136" t="str">
        <f>CONCATENATE(_05preva_view43[[#This Row],[Site ID]]," (",_05preva_view43[[#This Row],[tenant id]],") Application",IF(_05preva_view43[[#This Row],[Colo Rev]]&gt;0," Rev "&amp;_05preva_view43[[#This Row],[Colo Rev]],""),".xlsx")</f>
        <v>1-01-15012-004 (SHN00053) Application Rev 3.xlsx</v>
      </c>
      <c r="BE192" s="64">
        <f t="shared" ca="1" si="4"/>
        <v>50</v>
      </c>
      <c r="BF192" s="104" t="str">
        <f ca="1">LEFT(CELL("filename",A177),_05preva_view43[[#This Row],[Find Process &amp; Database]]-1)</f>
        <v>D:\OneDrive - apollo-towers.com\Apollo Towers\00-</v>
      </c>
      <c r="BG192" s="104" t="str">
        <f ca="1">_05preva_view43[Folder Path1]&amp;"Process &amp; Database\Documentation\Colo Applications"</f>
        <v>D:\OneDrive - apollo-towers.com\Apollo Towers\00-Process &amp; Database\Documentation\Colo Applications</v>
      </c>
      <c r="BH192" s="104" t="str">
        <f ca="1">_05preva_view43[Folder Path2]&amp;"\Colo App "&amp;_05preva_view43[[#This Row],[Operator]]&amp;"\"</f>
        <v>D:\OneDrive - apollo-towers.com\Apollo Towers\00-Process &amp; Database\Documentation\Colo Applications\Colo App MPT\</v>
      </c>
      <c r="BI192" s="63" t="str">
        <f ca="1">_05preva_view43[[#This Row],[Folder Path3]]&amp;_05preva_view43[[#This Row],[File Name]]</f>
        <v>D:\OneDrive - apollo-towers.com\Apollo Towers\00-Process &amp; Database\Documentation\Colo Applications\Colo App MPT\1-01-15012-004 (SHN00053) Application Rev 3.xlsx</v>
      </c>
      <c r="BJ192" s="104"/>
      <c r="BK192" s="3"/>
      <c r="BL192" s="3"/>
      <c r="CJ192" s="5"/>
      <c r="CK192" s="5"/>
      <c r="CL192" s="3"/>
      <c r="CN192" s="5"/>
      <c r="CR192" s="3"/>
      <c r="CS192" s="3"/>
      <c r="CT192" s="5"/>
      <c r="CV192" s="3"/>
      <c r="DR192" s="5"/>
      <c r="DT192" s="3"/>
      <c r="EF192" s="7"/>
      <c r="EG192" s="7"/>
      <c r="EJ192" s="4"/>
      <c r="EK192" s="4"/>
      <c r="EU192" s="2"/>
      <c r="EV192" s="2"/>
    </row>
    <row r="193" spans="1:152">
      <c r="A193" s="125">
        <v>3446</v>
      </c>
      <c r="B193" s="126" t="s">
        <v>1344</v>
      </c>
      <c r="C193" s="126" t="s">
        <v>331</v>
      </c>
      <c r="D193" s="126" t="s">
        <v>127</v>
      </c>
      <c r="E193" s="126" t="s">
        <v>1345</v>
      </c>
      <c r="F193" s="126" t="s">
        <v>35</v>
      </c>
      <c r="G193" s="126" t="s">
        <v>1583</v>
      </c>
      <c r="H193" s="126" t="s">
        <v>1575</v>
      </c>
      <c r="I193" s="126" t="s">
        <v>1263</v>
      </c>
      <c r="J193" s="126" t="s">
        <v>949</v>
      </c>
      <c r="K193" s="127">
        <v>43432</v>
      </c>
      <c r="L193" s="128">
        <v>1</v>
      </c>
      <c r="M193" s="128">
        <v>1.4</v>
      </c>
      <c r="N193" s="126">
        <v>3.56</v>
      </c>
      <c r="O193" s="126" t="s">
        <v>950</v>
      </c>
      <c r="P193" s="129" t="s">
        <v>1275</v>
      </c>
      <c r="Q193" s="129" t="s">
        <v>1276</v>
      </c>
      <c r="R193" s="126" t="s">
        <v>24</v>
      </c>
      <c r="S193" s="126"/>
      <c r="T193" s="130" t="s">
        <v>120</v>
      </c>
      <c r="U193" s="126" t="s">
        <v>1264</v>
      </c>
      <c r="V193" s="130" t="s">
        <v>120</v>
      </c>
      <c r="W193" s="126"/>
      <c r="X193" s="130" t="s">
        <v>120</v>
      </c>
      <c r="Y193" s="126" t="s">
        <v>1346</v>
      </c>
      <c r="Z193" s="162" t="s">
        <v>120</v>
      </c>
      <c r="AA193" s="154"/>
      <c r="AB193" s="154"/>
      <c r="AC193" s="167" t="s">
        <v>123</v>
      </c>
      <c r="AD193" s="126" t="s">
        <v>1347</v>
      </c>
      <c r="AE193" s="130" t="s">
        <v>120</v>
      </c>
      <c r="AF193" s="127"/>
      <c r="AG193" s="131"/>
      <c r="AH193" s="131"/>
      <c r="AI193" s="126" t="s">
        <v>1348</v>
      </c>
      <c r="AJ193" s="130" t="s">
        <v>120</v>
      </c>
      <c r="AK193" s="126" t="s">
        <v>123</v>
      </c>
      <c r="AL193" s="126" t="s">
        <v>1198</v>
      </c>
      <c r="AM193" s="130"/>
      <c r="AN193" s="126"/>
      <c r="AO193" s="132"/>
      <c r="AP193" s="126"/>
      <c r="AQ193" s="126"/>
      <c r="AR193" s="130"/>
      <c r="AS193" s="126"/>
      <c r="AT193" s="127">
        <v>43433.679719791697</v>
      </c>
      <c r="AU193" s="127">
        <v>43433.627221296301</v>
      </c>
      <c r="AV193" s="127">
        <v>43434.722880208297</v>
      </c>
      <c r="AW193" s="127">
        <v>43433.679719791697</v>
      </c>
      <c r="AX193" s="127">
        <v>43438.644180671297</v>
      </c>
      <c r="AY193" s="127">
        <v>43433.472604050898</v>
      </c>
      <c r="AZ193" s="133">
        <v>43439.634170138903</v>
      </c>
      <c r="BA193" s="134">
        <f ca="1">IF(_05preva_view43[[#This Row],[Prevalidation Status]]="Under Prevalidation",NOW()-_05preva_view43[[#This Row],[Request Date]],IF(_05preva_view43[[#This Row],[Close Date]]&gt;_05preva_view43[[#This Row],[Request Date]],_05preva_view43[[#This Row],[Close Date]]-_05preva_view43[[#This Row],[Request Date]],"Not  Calculated"))</f>
        <v>7.6341701389028458</v>
      </c>
      <c r="BB193" s="135">
        <f>COUNTIFS(_05preva_view43[Site ID],_05preva_view43[[#This Row],[Site ID]],_05preva_view43[Prevalidation Status],"Under Prevalidation")</f>
        <v>0</v>
      </c>
      <c r="BC193" s="153" t="str">
        <f ca="1">HYPERLINK(CheckPath(_05preva_view43[[#This Row],[File Path]],_05preva_view43[[#This Row],[File Path]],_05preva_view43[[#This Row],[Folder Path3]]),CheckPath(_05preva_view43[[#This Row],[File Path]],"Open File","No File"))</f>
        <v>No File</v>
      </c>
      <c r="BD193" s="136" t="str">
        <f>CONCATENATE(_05preva_view43[[#This Row],[Site ID]]," (",_05preva_view43[[#This Row],[tenant id]],") Application",IF(_05preva_view43[[#This Row],[Colo Rev]]&gt;0," Rev "&amp;_05preva_view43[[#This Row],[Colo Rev]],""),".xlsx")</f>
        <v>1-01-15013-004 (SHN00327) Application Rev 2.xlsx</v>
      </c>
      <c r="BE193" s="64">
        <f t="shared" ca="1" si="4"/>
        <v>50</v>
      </c>
      <c r="BF193" s="104" t="str">
        <f ca="1">LEFT(CELL("filename",A178),_05preva_view43[[#This Row],[Find Process &amp; Database]]-1)</f>
        <v>D:\OneDrive - apollo-towers.com\Apollo Towers\00-</v>
      </c>
      <c r="BG193" s="104" t="str">
        <f ca="1">_05preva_view43[Folder Path1]&amp;"Process &amp; Database\Documentation\Colo Applications"</f>
        <v>D:\OneDrive - apollo-towers.com\Apollo Towers\00-Process &amp; Database\Documentation\Colo Applications</v>
      </c>
      <c r="BH193" s="104" t="str">
        <f ca="1">_05preva_view43[Folder Path2]&amp;"\Colo App "&amp;_05preva_view43[[#This Row],[Operator]]&amp;"\"</f>
        <v>D:\OneDrive - apollo-towers.com\Apollo Towers\00-Process &amp; Database\Documentation\Colo Applications\Colo App MPT\</v>
      </c>
      <c r="BI193" s="63" t="str">
        <f ca="1">_05preva_view43[[#This Row],[Folder Path3]]&amp;_05preva_view43[[#This Row],[File Name]]</f>
        <v>D:\OneDrive - apollo-towers.com\Apollo Towers\00-Process &amp; Database\Documentation\Colo Applications\Colo App MPT\1-01-15013-004 (SHN00327) Application Rev 2.xlsx</v>
      </c>
      <c r="BJ193" s="104"/>
      <c r="BK193" s="3"/>
      <c r="BL193" s="3"/>
      <c r="CJ193" s="5"/>
      <c r="CK193" s="5"/>
      <c r="CL193" s="3"/>
      <c r="CN193" s="5"/>
      <c r="CR193" s="3"/>
      <c r="CS193" s="3"/>
      <c r="CT193" s="5"/>
      <c r="CV193" s="3"/>
      <c r="DR193" s="5"/>
      <c r="DT193" s="3"/>
      <c r="EF193" s="7"/>
      <c r="EG193" s="7"/>
      <c r="EJ193" s="4"/>
      <c r="EK193" s="4"/>
      <c r="EU193" s="2"/>
      <c r="EV193" s="2"/>
    </row>
    <row r="194" spans="1:152">
      <c r="A194" s="125">
        <v>3447</v>
      </c>
      <c r="B194" s="126" t="s">
        <v>1349</v>
      </c>
      <c r="C194" s="126" t="s">
        <v>331</v>
      </c>
      <c r="D194" s="126" t="s">
        <v>163</v>
      </c>
      <c r="E194" s="126" t="s">
        <v>1350</v>
      </c>
      <c r="F194" s="126" t="s">
        <v>35</v>
      </c>
      <c r="G194" s="126" t="s">
        <v>1583</v>
      </c>
      <c r="H194" s="126" t="s">
        <v>1575</v>
      </c>
      <c r="I194" s="126" t="s">
        <v>1351</v>
      </c>
      <c r="J194" s="126" t="s">
        <v>931</v>
      </c>
      <c r="K194" s="127">
        <v>43432</v>
      </c>
      <c r="L194" s="128">
        <v>3.36</v>
      </c>
      <c r="M194" s="128">
        <v>4.2</v>
      </c>
      <c r="N194" s="126">
        <v>3.98</v>
      </c>
      <c r="O194" s="126" t="s">
        <v>950</v>
      </c>
      <c r="P194" s="129" t="s">
        <v>957</v>
      </c>
      <c r="Q194" s="129" t="s">
        <v>1352</v>
      </c>
      <c r="R194" s="126" t="s">
        <v>24</v>
      </c>
      <c r="S194" s="126"/>
      <c r="T194" s="130" t="s">
        <v>120</v>
      </c>
      <c r="U194" s="126" t="s">
        <v>1264</v>
      </c>
      <c r="V194" s="130" t="s">
        <v>120</v>
      </c>
      <c r="W194" s="126"/>
      <c r="X194" s="130" t="s">
        <v>120</v>
      </c>
      <c r="Y194" s="126" t="s">
        <v>1353</v>
      </c>
      <c r="Z194" s="162" t="s">
        <v>120</v>
      </c>
      <c r="AA194" s="154"/>
      <c r="AB194" s="154"/>
      <c r="AC194" s="167" t="s">
        <v>123</v>
      </c>
      <c r="AD194" s="126" t="s">
        <v>1354</v>
      </c>
      <c r="AE194" s="130" t="s">
        <v>120</v>
      </c>
      <c r="AF194" s="127" t="s">
        <v>1754</v>
      </c>
      <c r="AG194" s="131"/>
      <c r="AH194" s="131"/>
      <c r="AI194" s="126" t="s">
        <v>1596</v>
      </c>
      <c r="AJ194" s="130" t="s">
        <v>120</v>
      </c>
      <c r="AK194" s="126" t="s">
        <v>123</v>
      </c>
      <c r="AL194" s="126" t="s">
        <v>1198</v>
      </c>
      <c r="AM194" s="130"/>
      <c r="AN194" s="126"/>
      <c r="AO194" s="132"/>
      <c r="AP194" s="126"/>
      <c r="AQ194" s="126"/>
      <c r="AR194" s="130"/>
      <c r="AS194" s="126"/>
      <c r="AT194" s="127">
        <v>43433.679725578702</v>
      </c>
      <c r="AU194" s="127">
        <v>43451.370464583299</v>
      </c>
      <c r="AV194" s="127">
        <v>43434.722880786998</v>
      </c>
      <c r="AW194" s="127">
        <v>43433.679725578702</v>
      </c>
      <c r="AX194" s="127">
        <v>43438.644181597199</v>
      </c>
      <c r="AY194" s="127">
        <v>43433.472604513903</v>
      </c>
      <c r="AZ194" s="133">
        <v>43451.411454282403</v>
      </c>
      <c r="BA194" s="134">
        <f ca="1">IF(_05preva_view43[[#This Row],[Prevalidation Status]]="Under Prevalidation",NOW()-_05preva_view43[[#This Row],[Request Date]],IF(_05preva_view43[[#This Row],[Close Date]]&gt;_05preva_view43[[#This Row],[Request Date]],_05preva_view43[[#This Row],[Close Date]]-_05preva_view43[[#This Row],[Request Date]],"Not  Calculated"))</f>
        <v>19.411454282402701</v>
      </c>
      <c r="BB194" s="135">
        <f>COUNTIFS(_05preva_view43[Site ID],_05preva_view43[[#This Row],[Site ID]],_05preva_view43[Prevalidation Status],"Under Prevalidation")</f>
        <v>0</v>
      </c>
      <c r="BC194" s="153" t="str">
        <f ca="1">HYPERLINK(CheckPath(_05preva_view43[[#This Row],[File Path]],_05preva_view43[[#This Row],[File Path]],_05preva_view43[[#This Row],[Folder Path3]]),CheckPath(_05preva_view43[[#This Row],[File Path]],"Open File","No File"))</f>
        <v>No File</v>
      </c>
      <c r="BD194" s="136" t="str">
        <f>CONCATENATE(_05preva_view43[[#This Row],[Site ID]]," (",_05preva_view43[[#This Row],[tenant id]],") Application",IF(_05preva_view43[[#This Row],[Colo Rev]]&gt;0," Rev "&amp;_05preva_view43[[#This Row],[Colo Rev]],""),".xlsx")</f>
        <v>1-01-11009-002 (MON00311) Application Rev 1.xlsx</v>
      </c>
      <c r="BE194" s="64">
        <f t="shared" ca="1" si="4"/>
        <v>50</v>
      </c>
      <c r="BF194" s="104" t="str">
        <f ca="1">LEFT(CELL("filename",A179),_05preva_view43[[#This Row],[Find Process &amp; Database]]-1)</f>
        <v>D:\OneDrive - apollo-towers.com\Apollo Towers\00-</v>
      </c>
      <c r="BG194" s="104" t="str">
        <f ca="1">_05preva_view43[Folder Path1]&amp;"Process &amp; Database\Documentation\Colo Applications"</f>
        <v>D:\OneDrive - apollo-towers.com\Apollo Towers\00-Process &amp; Database\Documentation\Colo Applications</v>
      </c>
      <c r="BH194" s="104" t="str">
        <f ca="1">_05preva_view43[Folder Path2]&amp;"\Colo App "&amp;_05preva_view43[[#This Row],[Operator]]&amp;"\"</f>
        <v>D:\OneDrive - apollo-towers.com\Apollo Towers\00-Process &amp; Database\Documentation\Colo Applications\Colo App MPT\</v>
      </c>
      <c r="BI194" s="63" t="str">
        <f ca="1">_05preva_view43[[#This Row],[Folder Path3]]&amp;_05preva_view43[[#This Row],[File Name]]</f>
        <v>D:\OneDrive - apollo-towers.com\Apollo Towers\00-Process &amp; Database\Documentation\Colo Applications\Colo App MPT\1-01-11009-002 (MON00311) Application Rev 1.xlsx</v>
      </c>
      <c r="BJ194" s="104"/>
      <c r="BK194" s="3"/>
      <c r="BL194" s="3"/>
      <c r="CJ194" s="5"/>
      <c r="CK194" s="5"/>
      <c r="CL194" s="3"/>
      <c r="CN194" s="5"/>
      <c r="CR194" s="3"/>
      <c r="CS194" s="3"/>
      <c r="CT194" s="5"/>
      <c r="CV194" s="3"/>
      <c r="DR194" s="5"/>
      <c r="DT194" s="3"/>
      <c r="EF194" s="7"/>
      <c r="EG194" s="7"/>
      <c r="EJ194" s="4"/>
      <c r="EK194" s="4"/>
      <c r="EU194" s="2"/>
      <c r="EV194" s="2"/>
    </row>
    <row r="195" spans="1:152">
      <c r="A195" s="125">
        <v>3448</v>
      </c>
      <c r="B195" s="126" t="s">
        <v>1065</v>
      </c>
      <c r="C195" s="126" t="s">
        <v>331</v>
      </c>
      <c r="D195" s="126" t="s">
        <v>117</v>
      </c>
      <c r="E195" s="126" t="s">
        <v>1066</v>
      </c>
      <c r="F195" s="126" t="s">
        <v>35</v>
      </c>
      <c r="G195" s="126" t="s">
        <v>1583</v>
      </c>
      <c r="H195" s="126" t="s">
        <v>1575</v>
      </c>
      <c r="I195" s="126" t="s">
        <v>1351</v>
      </c>
      <c r="J195" s="126" t="s">
        <v>1304</v>
      </c>
      <c r="K195" s="127">
        <v>43432</v>
      </c>
      <c r="L195" s="128">
        <v>3.12</v>
      </c>
      <c r="M195" s="128">
        <v>3.9</v>
      </c>
      <c r="N195" s="126">
        <v>4.21</v>
      </c>
      <c r="O195" s="126" t="s">
        <v>950</v>
      </c>
      <c r="P195" s="129" t="s">
        <v>704</v>
      </c>
      <c r="Q195" s="129" t="s">
        <v>705</v>
      </c>
      <c r="R195" s="126" t="s">
        <v>24</v>
      </c>
      <c r="S195" s="126"/>
      <c r="T195" s="130" t="s">
        <v>120</v>
      </c>
      <c r="U195" s="126" t="s">
        <v>1264</v>
      </c>
      <c r="V195" s="130" t="s">
        <v>120</v>
      </c>
      <c r="W195" s="126"/>
      <c r="X195" s="130" t="s">
        <v>120</v>
      </c>
      <c r="Y195" s="126" t="s">
        <v>1356</v>
      </c>
      <c r="Z195" s="162" t="s">
        <v>120</v>
      </c>
      <c r="AA195" s="154"/>
      <c r="AB195" s="154"/>
      <c r="AC195" s="167" t="s">
        <v>123</v>
      </c>
      <c r="AD195" s="126" t="s">
        <v>1357</v>
      </c>
      <c r="AE195" s="130" t="s">
        <v>120</v>
      </c>
      <c r="AF195" s="127" t="s">
        <v>1755</v>
      </c>
      <c r="AG195" s="131"/>
      <c r="AH195" s="131"/>
      <c r="AI195" s="126" t="s">
        <v>1597</v>
      </c>
      <c r="AJ195" s="130" t="s">
        <v>120</v>
      </c>
      <c r="AK195" s="126" t="s">
        <v>123</v>
      </c>
      <c r="AL195" s="126" t="s">
        <v>1198</v>
      </c>
      <c r="AM195" s="130"/>
      <c r="AN195" s="126"/>
      <c r="AO195" s="132"/>
      <c r="AP195" s="126"/>
      <c r="AQ195" s="126"/>
      <c r="AR195" s="130"/>
      <c r="AS195" s="126"/>
      <c r="AT195" s="127">
        <v>43433.679731944401</v>
      </c>
      <c r="AU195" s="127">
        <v>43451.370466088003</v>
      </c>
      <c r="AV195" s="127">
        <v>43434.722881713002</v>
      </c>
      <c r="AW195" s="127">
        <v>43433.679731944401</v>
      </c>
      <c r="AX195" s="127">
        <v>43438.644183449098</v>
      </c>
      <c r="AY195" s="127">
        <v>43433.472604976901</v>
      </c>
      <c r="AZ195" s="133">
        <v>43451.411455208297</v>
      </c>
      <c r="BA195" s="134">
        <f ca="1">IF(_05preva_view43[[#This Row],[Prevalidation Status]]="Under Prevalidation",NOW()-_05preva_view43[[#This Row],[Request Date]],IF(_05preva_view43[[#This Row],[Close Date]]&gt;_05preva_view43[[#This Row],[Request Date]],_05preva_view43[[#This Row],[Close Date]]-_05preva_view43[[#This Row],[Request Date]],"Not  Calculated"))</f>
        <v>19.411455208297411</v>
      </c>
      <c r="BB195" s="135">
        <f>COUNTIFS(_05preva_view43[Site ID],_05preva_view43[[#This Row],[Site ID]],_05preva_view43[Prevalidation Status],"Under Prevalidation")</f>
        <v>0</v>
      </c>
      <c r="BC195" s="153" t="str">
        <f ca="1">HYPERLINK(CheckPath(_05preva_view43[[#This Row],[File Path]],_05preva_view43[[#This Row],[File Path]],_05preva_view43[[#This Row],[Folder Path3]]),CheckPath(_05preva_view43[[#This Row],[File Path]],"Open File","No File"))</f>
        <v>No File</v>
      </c>
      <c r="BD195" s="136" t="str">
        <f>CONCATENATE(_05preva_view43[[#This Row],[Site ID]]," (",_05preva_view43[[#This Row],[tenant id]],") Application",IF(_05preva_view43[[#This Row],[Colo Rev]]&gt;0," Rev "&amp;_05preva_view43[[#This Row],[Colo Rev]],""),".xlsx")</f>
        <v>1-01-14001-015 (SHS00057) Application Rev 5.xlsx</v>
      </c>
      <c r="BE195" s="64">
        <f t="shared" ca="1" si="4"/>
        <v>50</v>
      </c>
      <c r="BF195" s="104" t="str">
        <f ca="1">LEFT(CELL("filename",A180),_05preva_view43[[#This Row],[Find Process &amp; Database]]-1)</f>
        <v>D:\OneDrive - apollo-towers.com\Apollo Towers\00-</v>
      </c>
      <c r="BG195" s="104" t="str">
        <f ca="1">_05preva_view43[Folder Path1]&amp;"Process &amp; Database\Documentation\Colo Applications"</f>
        <v>D:\OneDrive - apollo-towers.com\Apollo Towers\00-Process &amp; Database\Documentation\Colo Applications</v>
      </c>
      <c r="BH195" s="104" t="str">
        <f ca="1">_05preva_view43[Folder Path2]&amp;"\Colo App "&amp;_05preva_view43[[#This Row],[Operator]]&amp;"\"</f>
        <v>D:\OneDrive - apollo-towers.com\Apollo Towers\00-Process &amp; Database\Documentation\Colo Applications\Colo App MPT\</v>
      </c>
      <c r="BI195" s="63" t="str">
        <f ca="1">_05preva_view43[[#This Row],[Folder Path3]]&amp;_05preva_view43[[#This Row],[File Name]]</f>
        <v>D:\OneDrive - apollo-towers.com\Apollo Towers\00-Process &amp; Database\Documentation\Colo Applications\Colo App MPT\1-01-14001-015 (SHS00057) Application Rev 5.xlsx</v>
      </c>
      <c r="BJ195" s="104"/>
      <c r="BK195" s="3"/>
      <c r="BL195" s="3"/>
      <c r="CJ195" s="5"/>
      <c r="CK195" s="5"/>
      <c r="CL195" s="3"/>
      <c r="CN195" s="5"/>
      <c r="CR195" s="3"/>
      <c r="CS195" s="3"/>
      <c r="CT195" s="5"/>
      <c r="CV195" s="3"/>
      <c r="DR195" s="5"/>
      <c r="DT195" s="3"/>
      <c r="EF195" s="7"/>
      <c r="EG195" s="7"/>
      <c r="EJ195" s="4"/>
      <c r="EK195" s="4"/>
      <c r="EU195" s="2"/>
      <c r="EV195" s="2"/>
    </row>
    <row r="196" spans="1:152">
      <c r="A196" s="125">
        <v>3449</v>
      </c>
      <c r="B196" s="126" t="s">
        <v>1136</v>
      </c>
      <c r="C196" s="126" t="s">
        <v>331</v>
      </c>
      <c r="D196" s="126" t="s">
        <v>117</v>
      </c>
      <c r="E196" s="126" t="s">
        <v>1137</v>
      </c>
      <c r="F196" s="126" t="s">
        <v>35</v>
      </c>
      <c r="G196" s="126" t="s">
        <v>1583</v>
      </c>
      <c r="H196" s="126" t="s">
        <v>1575</v>
      </c>
      <c r="I196" s="126" t="s">
        <v>1151</v>
      </c>
      <c r="J196" s="126" t="s">
        <v>957</v>
      </c>
      <c r="K196" s="127">
        <v>43432</v>
      </c>
      <c r="L196" s="128">
        <v>2.3199999999999998</v>
      </c>
      <c r="M196" s="128">
        <v>2.9</v>
      </c>
      <c r="N196" s="126">
        <v>2.88</v>
      </c>
      <c r="O196" s="126" t="s">
        <v>950</v>
      </c>
      <c r="P196" s="129" t="s">
        <v>958</v>
      </c>
      <c r="Q196" s="129" t="s">
        <v>959</v>
      </c>
      <c r="R196" s="126" t="s">
        <v>24</v>
      </c>
      <c r="S196" s="126"/>
      <c r="T196" s="130" t="s">
        <v>120</v>
      </c>
      <c r="U196" s="126" t="s">
        <v>1264</v>
      </c>
      <c r="V196" s="130" t="s">
        <v>120</v>
      </c>
      <c r="W196" s="126"/>
      <c r="X196" s="130" t="s">
        <v>120</v>
      </c>
      <c r="Y196" s="126" t="s">
        <v>1358</v>
      </c>
      <c r="Z196" s="162" t="s">
        <v>120</v>
      </c>
      <c r="AA196" s="154"/>
      <c r="AB196" s="154"/>
      <c r="AC196" s="167" t="s">
        <v>123</v>
      </c>
      <c r="AD196" s="126" t="s">
        <v>1359</v>
      </c>
      <c r="AE196" s="130" t="s">
        <v>120</v>
      </c>
      <c r="AF196" s="127"/>
      <c r="AG196" s="131"/>
      <c r="AH196" s="131"/>
      <c r="AI196" s="126" t="s">
        <v>1360</v>
      </c>
      <c r="AJ196" s="130" t="s">
        <v>120</v>
      </c>
      <c r="AK196" s="126" t="s">
        <v>123</v>
      </c>
      <c r="AL196" s="126" t="s">
        <v>1198</v>
      </c>
      <c r="AM196" s="130"/>
      <c r="AN196" s="126"/>
      <c r="AO196" s="132"/>
      <c r="AP196" s="126"/>
      <c r="AQ196" s="126"/>
      <c r="AR196" s="130"/>
      <c r="AS196" s="126"/>
      <c r="AT196" s="127">
        <v>43433.679737963001</v>
      </c>
      <c r="AU196" s="127">
        <v>43433.627222916701</v>
      </c>
      <c r="AV196" s="127">
        <v>43434.445667592598</v>
      </c>
      <c r="AW196" s="127">
        <v>43433.679737963001</v>
      </c>
      <c r="AX196" s="127">
        <v>43438.644185416699</v>
      </c>
      <c r="AY196" s="127">
        <v>43433.472606481497</v>
      </c>
      <c r="AZ196" s="133">
        <v>43439.634174305596</v>
      </c>
      <c r="BA196" s="134">
        <f ca="1">IF(_05preva_view43[[#This Row],[Prevalidation Status]]="Under Prevalidation",NOW()-_05preva_view43[[#This Row],[Request Date]],IF(_05preva_view43[[#This Row],[Close Date]]&gt;_05preva_view43[[#This Row],[Request Date]],_05preva_view43[[#This Row],[Close Date]]-_05preva_view43[[#This Row],[Request Date]],"Not  Calculated"))</f>
        <v>7.6341743055963889</v>
      </c>
      <c r="BB196" s="135">
        <f>COUNTIFS(_05preva_view43[Site ID],_05preva_view43[[#This Row],[Site ID]],_05preva_view43[Prevalidation Status],"Under Prevalidation")</f>
        <v>0</v>
      </c>
      <c r="BC196" s="153" t="str">
        <f ca="1">HYPERLINK(CheckPath(_05preva_view43[[#This Row],[File Path]],_05preva_view43[[#This Row],[File Path]],_05preva_view43[[#This Row],[Folder Path3]]),CheckPath(_05preva_view43[[#This Row],[File Path]],"Open File","No File"))</f>
        <v>No File</v>
      </c>
      <c r="BD196" s="136" t="str">
        <f>CONCATENATE(_05preva_view43[[#This Row],[Site ID]]," (",_05preva_view43[[#This Row],[tenant id]],") Application",IF(_05preva_view43[[#This Row],[Colo Rev]]&gt;0," Rev "&amp;_05preva_view43[[#This Row],[Colo Rev]],""),".xlsx")</f>
        <v>1-01-14001-026 (SHS00070) Application Rev 4.xlsx</v>
      </c>
      <c r="BE196" s="64">
        <f t="shared" ca="1" si="4"/>
        <v>50</v>
      </c>
      <c r="BF196" s="104" t="str">
        <f ca="1">LEFT(CELL("filename",A181),_05preva_view43[[#This Row],[Find Process &amp; Database]]-1)</f>
        <v>D:\OneDrive - apollo-towers.com\Apollo Towers\00-</v>
      </c>
      <c r="BG196" s="104" t="str">
        <f ca="1">_05preva_view43[Folder Path1]&amp;"Process &amp; Database\Documentation\Colo Applications"</f>
        <v>D:\OneDrive - apollo-towers.com\Apollo Towers\00-Process &amp; Database\Documentation\Colo Applications</v>
      </c>
      <c r="BH196" s="104" t="str">
        <f ca="1">_05preva_view43[Folder Path2]&amp;"\Colo App "&amp;_05preva_view43[[#This Row],[Operator]]&amp;"\"</f>
        <v>D:\OneDrive - apollo-towers.com\Apollo Towers\00-Process &amp; Database\Documentation\Colo Applications\Colo App MPT\</v>
      </c>
      <c r="BI196" s="63" t="str">
        <f ca="1">_05preva_view43[[#This Row],[Folder Path3]]&amp;_05preva_view43[[#This Row],[File Name]]</f>
        <v>D:\OneDrive - apollo-towers.com\Apollo Towers\00-Process &amp; Database\Documentation\Colo Applications\Colo App MPT\1-01-14001-026 (SHS00070) Application Rev 4.xlsx</v>
      </c>
      <c r="BJ196" s="104"/>
      <c r="BK196" s="3"/>
      <c r="BL196" s="3"/>
      <c r="CJ196" s="5"/>
      <c r="CK196" s="5"/>
      <c r="CL196" s="3"/>
      <c r="CN196" s="5"/>
      <c r="CR196" s="3"/>
      <c r="CS196" s="3"/>
      <c r="CT196" s="5"/>
      <c r="CV196" s="3"/>
      <c r="DR196" s="5"/>
      <c r="DT196" s="3"/>
      <c r="EF196" s="7"/>
      <c r="EG196" s="7"/>
      <c r="EJ196" s="4"/>
      <c r="EK196" s="4"/>
      <c r="EU196" s="2"/>
      <c r="EV196" s="2"/>
    </row>
    <row r="197" spans="1:152">
      <c r="A197" s="125">
        <v>3450</v>
      </c>
      <c r="B197" s="126" t="s">
        <v>1069</v>
      </c>
      <c r="C197" s="126" t="s">
        <v>331</v>
      </c>
      <c r="D197" s="126" t="s">
        <v>163</v>
      </c>
      <c r="E197" s="126" t="s">
        <v>1070</v>
      </c>
      <c r="F197" s="126" t="s">
        <v>35</v>
      </c>
      <c r="G197" s="126" t="s">
        <v>1583</v>
      </c>
      <c r="H197" s="126" t="s">
        <v>1575</v>
      </c>
      <c r="I197" s="126" t="s">
        <v>1351</v>
      </c>
      <c r="J197" s="126" t="s">
        <v>957</v>
      </c>
      <c r="K197" s="127">
        <v>43432</v>
      </c>
      <c r="L197" s="128">
        <v>3.28</v>
      </c>
      <c r="M197" s="128">
        <v>4.0999999999999996</v>
      </c>
      <c r="N197" s="126">
        <v>4.42</v>
      </c>
      <c r="O197" s="126" t="s">
        <v>950</v>
      </c>
      <c r="P197" s="129" t="s">
        <v>1071</v>
      </c>
      <c r="Q197" s="129" t="s">
        <v>1072</v>
      </c>
      <c r="R197" s="126" t="s">
        <v>24</v>
      </c>
      <c r="S197" s="126"/>
      <c r="T197" s="130" t="s">
        <v>120</v>
      </c>
      <c r="U197" s="126" t="s">
        <v>1264</v>
      </c>
      <c r="V197" s="130" t="s">
        <v>120</v>
      </c>
      <c r="W197" s="126"/>
      <c r="X197" s="130" t="s">
        <v>120</v>
      </c>
      <c r="Y197" s="126" t="s">
        <v>1361</v>
      </c>
      <c r="Z197" s="162" t="s">
        <v>120</v>
      </c>
      <c r="AA197" s="154"/>
      <c r="AB197" s="154"/>
      <c r="AC197" s="167" t="s">
        <v>123</v>
      </c>
      <c r="AD197" s="126" t="s">
        <v>1362</v>
      </c>
      <c r="AE197" s="130" t="s">
        <v>120</v>
      </c>
      <c r="AF197" s="127" t="s">
        <v>1756</v>
      </c>
      <c r="AG197" s="131"/>
      <c r="AH197" s="131"/>
      <c r="AI197" s="126" t="s">
        <v>1597</v>
      </c>
      <c r="AJ197" s="130" t="s">
        <v>120</v>
      </c>
      <c r="AK197" s="126" t="s">
        <v>123</v>
      </c>
      <c r="AL197" s="126" t="s">
        <v>1198</v>
      </c>
      <c r="AM197" s="130"/>
      <c r="AN197" s="126"/>
      <c r="AO197" s="132"/>
      <c r="AP197" s="126"/>
      <c r="AQ197" s="126"/>
      <c r="AR197" s="130"/>
      <c r="AS197" s="126"/>
      <c r="AT197" s="127">
        <v>43433.6797443287</v>
      </c>
      <c r="AU197" s="127">
        <v>43451.370467361099</v>
      </c>
      <c r="AV197" s="127">
        <v>43434.578054398102</v>
      </c>
      <c r="AW197" s="127">
        <v>43433.6797443287</v>
      </c>
      <c r="AX197" s="127">
        <v>43438.644186689802</v>
      </c>
      <c r="AY197" s="127">
        <v>43433.4726077546</v>
      </c>
      <c r="AZ197" s="133">
        <v>43451.411456481503</v>
      </c>
      <c r="BA197" s="134">
        <f ca="1">IF(_05preva_view43[[#This Row],[Prevalidation Status]]="Under Prevalidation",NOW()-_05preva_view43[[#This Row],[Request Date]],IF(_05preva_view43[[#This Row],[Close Date]]&gt;_05preva_view43[[#This Row],[Request Date]],_05preva_view43[[#This Row],[Close Date]]-_05preva_view43[[#This Row],[Request Date]],"Not  Calculated"))</f>
        <v>19.411456481502682</v>
      </c>
      <c r="BB197" s="135">
        <f>COUNTIFS(_05preva_view43[Site ID],_05preva_view43[[#This Row],[Site ID]],_05preva_view43[Prevalidation Status],"Under Prevalidation")</f>
        <v>0</v>
      </c>
      <c r="BC197" s="153" t="str">
        <f ca="1">HYPERLINK(CheckPath(_05preva_view43[[#This Row],[File Path]],_05preva_view43[[#This Row],[File Path]],_05preva_view43[[#This Row],[Folder Path3]]),CheckPath(_05preva_view43[[#This Row],[File Path]],"Open File","No File"))</f>
        <v>No File</v>
      </c>
      <c r="BD197" s="136" t="str">
        <f>CONCATENATE(_05preva_view43[[#This Row],[Site ID]]," (",_05preva_view43[[#This Row],[tenant id]],") Application",IF(_05preva_view43[[#This Row],[Colo Rev]]&gt;0," Rev "&amp;_05preva_view43[[#This Row],[Colo Rev]],""),".xlsx")</f>
        <v>1-01-06002-003 (TNY00206) Application Rev 4.xlsx</v>
      </c>
      <c r="BE197" s="64">
        <f t="shared" ca="1" si="4"/>
        <v>50</v>
      </c>
      <c r="BF197" s="104" t="str">
        <f ca="1">LEFT(CELL("filename",A182),_05preva_view43[[#This Row],[Find Process &amp; Database]]-1)</f>
        <v>D:\OneDrive - apollo-towers.com\Apollo Towers\00-</v>
      </c>
      <c r="BG197" s="104" t="str">
        <f ca="1">_05preva_view43[Folder Path1]&amp;"Process &amp; Database\Documentation\Colo Applications"</f>
        <v>D:\OneDrive - apollo-towers.com\Apollo Towers\00-Process &amp; Database\Documentation\Colo Applications</v>
      </c>
      <c r="BH197" s="104" t="str">
        <f ca="1">_05preva_view43[Folder Path2]&amp;"\Colo App "&amp;_05preva_view43[[#This Row],[Operator]]&amp;"\"</f>
        <v>D:\OneDrive - apollo-towers.com\Apollo Towers\00-Process &amp; Database\Documentation\Colo Applications\Colo App MPT\</v>
      </c>
      <c r="BI197" s="63" t="str">
        <f ca="1">_05preva_view43[[#This Row],[Folder Path3]]&amp;_05preva_view43[[#This Row],[File Name]]</f>
        <v>D:\OneDrive - apollo-towers.com\Apollo Towers\00-Process &amp; Database\Documentation\Colo Applications\Colo App MPT\1-01-06002-003 (TNY00206) Application Rev 4.xlsx</v>
      </c>
      <c r="BJ197" s="104"/>
      <c r="BK197" s="3"/>
      <c r="BL197" s="3"/>
      <c r="CJ197" s="5"/>
      <c r="CK197" s="5"/>
      <c r="CL197" s="3"/>
      <c r="CN197" s="5"/>
      <c r="CR197" s="3"/>
      <c r="CS197" s="3"/>
      <c r="CT197" s="5"/>
      <c r="CV197" s="3"/>
      <c r="DR197" s="5"/>
      <c r="DT197" s="3"/>
      <c r="EF197" s="7"/>
      <c r="EG197" s="7"/>
      <c r="EJ197" s="4"/>
      <c r="EK197" s="4"/>
      <c r="EU197" s="2"/>
      <c r="EV197" s="2"/>
    </row>
    <row r="198" spans="1:152">
      <c r="A198" s="125">
        <v>3451</v>
      </c>
      <c r="B198" s="126" t="s">
        <v>1363</v>
      </c>
      <c r="C198" s="126" t="s">
        <v>331</v>
      </c>
      <c r="D198" s="126" t="s">
        <v>163</v>
      </c>
      <c r="E198" s="126" t="s">
        <v>1364</v>
      </c>
      <c r="F198" s="126" t="s">
        <v>35</v>
      </c>
      <c r="G198" s="126" t="s">
        <v>1583</v>
      </c>
      <c r="H198" s="126" t="s">
        <v>1575</v>
      </c>
      <c r="I198" s="126" t="s">
        <v>1151</v>
      </c>
      <c r="J198" s="126" t="s">
        <v>957</v>
      </c>
      <c r="K198" s="127">
        <v>43432</v>
      </c>
      <c r="L198" s="128">
        <v>1.92</v>
      </c>
      <c r="M198" s="128">
        <v>2.4</v>
      </c>
      <c r="N198" s="126">
        <v>3.72</v>
      </c>
      <c r="O198" s="126" t="s">
        <v>950</v>
      </c>
      <c r="P198" s="129" t="s">
        <v>736</v>
      </c>
      <c r="Q198" s="129" t="s">
        <v>880</v>
      </c>
      <c r="R198" s="126" t="s">
        <v>24</v>
      </c>
      <c r="S198" s="126"/>
      <c r="T198" s="130" t="s">
        <v>120</v>
      </c>
      <c r="U198" s="126" t="s">
        <v>1264</v>
      </c>
      <c r="V198" s="130" t="s">
        <v>120</v>
      </c>
      <c r="W198" s="126"/>
      <c r="X198" s="130" t="s">
        <v>120</v>
      </c>
      <c r="Y198" s="126" t="s">
        <v>1365</v>
      </c>
      <c r="Z198" s="162" t="s">
        <v>120</v>
      </c>
      <c r="AA198" s="154"/>
      <c r="AB198" s="154"/>
      <c r="AC198" s="167" t="s">
        <v>123</v>
      </c>
      <c r="AD198" s="126" t="s">
        <v>1366</v>
      </c>
      <c r="AE198" s="130" t="s">
        <v>120</v>
      </c>
      <c r="AF198" s="127" t="s">
        <v>1757</v>
      </c>
      <c r="AG198" s="131"/>
      <c r="AH198" s="131"/>
      <c r="AI198" s="126" t="s">
        <v>1355</v>
      </c>
      <c r="AJ198" s="130" t="s">
        <v>120</v>
      </c>
      <c r="AK198" s="126" t="s">
        <v>123</v>
      </c>
      <c r="AL198" s="126" t="s">
        <v>1198</v>
      </c>
      <c r="AM198" s="130"/>
      <c r="AN198" s="126"/>
      <c r="AO198" s="132"/>
      <c r="AP198" s="126"/>
      <c r="AQ198" s="126"/>
      <c r="AR198" s="130"/>
      <c r="AS198" s="126"/>
      <c r="AT198" s="127">
        <v>43433.679749884301</v>
      </c>
      <c r="AU198" s="127">
        <v>43451.370468055597</v>
      </c>
      <c r="AV198" s="127">
        <v>43434.629329166703</v>
      </c>
      <c r="AW198" s="127">
        <v>43433.679749884301</v>
      </c>
      <c r="AX198" s="127">
        <v>43438.644188310202</v>
      </c>
      <c r="AY198" s="127">
        <v>43433.472608217598</v>
      </c>
      <c r="AZ198" s="133">
        <v>43451.411457754599</v>
      </c>
      <c r="BA198" s="134">
        <f ca="1">IF(_05preva_view43[[#This Row],[Prevalidation Status]]="Under Prevalidation",NOW()-_05preva_view43[[#This Row],[Request Date]],IF(_05preva_view43[[#This Row],[Close Date]]&gt;_05preva_view43[[#This Row],[Request Date]],_05preva_view43[[#This Row],[Close Date]]-_05preva_view43[[#This Row],[Request Date]],"Not  Calculated"))</f>
        <v>19.411457754598814</v>
      </c>
      <c r="BB198" s="135">
        <f>COUNTIFS(_05preva_view43[Site ID],_05preva_view43[[#This Row],[Site ID]],_05preva_view43[Prevalidation Status],"Under Prevalidation")</f>
        <v>1</v>
      </c>
      <c r="BC198" s="153" t="str">
        <f ca="1">HYPERLINK(CheckPath(_05preva_view43[[#This Row],[File Path]],_05preva_view43[[#This Row],[File Path]],_05preva_view43[[#This Row],[Folder Path3]]),CheckPath(_05preva_view43[[#This Row],[File Path]],"Open File","No File"))</f>
        <v>No File</v>
      </c>
      <c r="BD198" s="136" t="str">
        <f>CONCATENATE(_05preva_view43[[#This Row],[Site ID]]," (",_05preva_view43[[#This Row],[tenant id]],") Application",IF(_05preva_view43[[#This Row],[Colo Rev]]&gt;0," Rev "&amp;_05preva_view43[[#This Row],[Colo Rev]],""),".xlsx")</f>
        <v>1-01-06001-002 (TNY00288) Application Rev 4.xlsx</v>
      </c>
      <c r="BE198" s="64">
        <f t="shared" ca="1" si="4"/>
        <v>50</v>
      </c>
      <c r="BF198" s="104" t="str">
        <f ca="1">LEFT(CELL("filename",A183),_05preva_view43[[#This Row],[Find Process &amp; Database]]-1)</f>
        <v>D:\OneDrive - apollo-towers.com\Apollo Towers\00-</v>
      </c>
      <c r="BG198" s="104" t="str">
        <f ca="1">_05preva_view43[Folder Path1]&amp;"Process &amp; Database\Documentation\Colo Applications"</f>
        <v>D:\OneDrive - apollo-towers.com\Apollo Towers\00-Process &amp; Database\Documentation\Colo Applications</v>
      </c>
      <c r="BH198" s="104" t="str">
        <f ca="1">_05preva_view43[Folder Path2]&amp;"\Colo App "&amp;_05preva_view43[[#This Row],[Operator]]&amp;"\"</f>
        <v>D:\OneDrive - apollo-towers.com\Apollo Towers\00-Process &amp; Database\Documentation\Colo Applications\Colo App MPT\</v>
      </c>
      <c r="BI198" s="63" t="str">
        <f ca="1">_05preva_view43[[#This Row],[Folder Path3]]&amp;_05preva_view43[[#This Row],[File Name]]</f>
        <v>D:\OneDrive - apollo-towers.com\Apollo Towers\00-Process &amp; Database\Documentation\Colo Applications\Colo App MPT\1-01-06001-002 (TNY00288) Application Rev 4.xlsx</v>
      </c>
      <c r="BJ198" s="104"/>
      <c r="BK198" s="3"/>
      <c r="BL198" s="3"/>
      <c r="CJ198" s="5"/>
      <c r="CK198" s="5"/>
      <c r="CL198" s="3"/>
      <c r="CN198" s="5"/>
      <c r="CR198" s="3"/>
      <c r="CS198" s="3"/>
      <c r="CT198" s="5"/>
      <c r="CV198" s="3"/>
      <c r="DR198" s="5"/>
      <c r="DT198" s="3"/>
      <c r="EF198" s="7"/>
      <c r="EG198" s="7"/>
      <c r="EJ198" s="4"/>
      <c r="EK198" s="4"/>
      <c r="EU198" s="2"/>
      <c r="EV198" s="2"/>
    </row>
    <row r="199" spans="1:152">
      <c r="A199" s="125">
        <v>3452</v>
      </c>
      <c r="B199" s="126" t="s">
        <v>1367</v>
      </c>
      <c r="C199" s="126" t="s">
        <v>331</v>
      </c>
      <c r="D199" s="126" t="s">
        <v>163</v>
      </c>
      <c r="E199" s="126" t="s">
        <v>1368</v>
      </c>
      <c r="F199" s="126" t="s">
        <v>35</v>
      </c>
      <c r="G199" s="126" t="s">
        <v>1583</v>
      </c>
      <c r="H199" s="126" t="s">
        <v>1575</v>
      </c>
      <c r="I199" s="126" t="s">
        <v>1151</v>
      </c>
      <c r="J199" s="126" t="s">
        <v>949</v>
      </c>
      <c r="K199" s="127">
        <v>43432</v>
      </c>
      <c r="L199" s="128">
        <v>2.16</v>
      </c>
      <c r="M199" s="128">
        <v>2.7</v>
      </c>
      <c r="N199" s="126">
        <v>3.47</v>
      </c>
      <c r="O199" s="126" t="s">
        <v>950</v>
      </c>
      <c r="P199" s="129" t="s">
        <v>704</v>
      </c>
      <c r="Q199" s="129" t="s">
        <v>705</v>
      </c>
      <c r="R199" s="126" t="s">
        <v>24</v>
      </c>
      <c r="S199" s="126"/>
      <c r="T199" s="130" t="s">
        <v>120</v>
      </c>
      <c r="U199" s="126" t="s">
        <v>1264</v>
      </c>
      <c r="V199" s="130" t="s">
        <v>120</v>
      </c>
      <c r="W199" s="126"/>
      <c r="X199" s="130" t="s">
        <v>120</v>
      </c>
      <c r="Y199" s="126" t="s">
        <v>1369</v>
      </c>
      <c r="Z199" s="162" t="s">
        <v>120</v>
      </c>
      <c r="AA199" s="154"/>
      <c r="AB199" s="154"/>
      <c r="AC199" s="167" t="s">
        <v>123</v>
      </c>
      <c r="AD199" s="126" t="s">
        <v>1370</v>
      </c>
      <c r="AE199" s="130" t="s">
        <v>120</v>
      </c>
      <c r="AF199" s="127"/>
      <c r="AG199" s="131"/>
      <c r="AH199" s="131"/>
      <c r="AI199" s="126" t="s">
        <v>1348</v>
      </c>
      <c r="AJ199" s="130" t="s">
        <v>120</v>
      </c>
      <c r="AK199" s="126" t="s">
        <v>123</v>
      </c>
      <c r="AL199" s="126" t="s">
        <v>1198</v>
      </c>
      <c r="AM199" s="130"/>
      <c r="AN199" s="126"/>
      <c r="AO199" s="132"/>
      <c r="AP199" s="126"/>
      <c r="AQ199" s="126"/>
      <c r="AR199" s="130"/>
      <c r="AS199" s="126"/>
      <c r="AT199" s="127">
        <v>43433.679755555597</v>
      </c>
      <c r="AU199" s="127">
        <v>43433.627225347198</v>
      </c>
      <c r="AV199" s="127">
        <v>43434.717072337997</v>
      </c>
      <c r="AW199" s="127">
        <v>43433.679755555597</v>
      </c>
      <c r="AX199" s="127">
        <v>43438.644189583298</v>
      </c>
      <c r="AY199" s="127">
        <v>43433.4726099537</v>
      </c>
      <c r="AZ199" s="133">
        <v>43439.634178819397</v>
      </c>
      <c r="BA199" s="134">
        <f ca="1">IF(_05preva_view43[[#This Row],[Prevalidation Status]]="Under Prevalidation",NOW()-_05preva_view43[[#This Row],[Request Date]],IF(_05preva_view43[[#This Row],[Close Date]]&gt;_05preva_view43[[#This Row],[Request Date]],_05preva_view43[[#This Row],[Close Date]]-_05preva_view43[[#This Row],[Request Date]],"Not  Calculated"))</f>
        <v>7.6341788193967659</v>
      </c>
      <c r="BB199" s="135">
        <f>COUNTIFS(_05preva_view43[Site ID],_05preva_view43[[#This Row],[Site ID]],_05preva_view43[Prevalidation Status],"Under Prevalidation")</f>
        <v>0</v>
      </c>
      <c r="BC199" s="153" t="str">
        <f ca="1">HYPERLINK(CheckPath(_05preva_view43[[#This Row],[File Path]],_05preva_view43[[#This Row],[File Path]],_05preva_view43[[#This Row],[Folder Path3]]),CheckPath(_05preva_view43[[#This Row],[File Path]],"Open File","No File"))</f>
        <v>No File</v>
      </c>
      <c r="BD199" s="136" t="str">
        <f>CONCATENATE(_05preva_view43[[#This Row],[Site ID]]," (",_05preva_view43[[#This Row],[tenant id]],") Application",IF(_05preva_view43[[#This Row],[Colo Rev]]&gt;0," Rev "&amp;_05preva_view43[[#This Row],[Colo Rev]],""),".xlsx")</f>
        <v>1-01-13004-006 (YGN00927) Application Rev 2.xlsx</v>
      </c>
      <c r="BE199" s="64">
        <f t="shared" ca="1" si="4"/>
        <v>50</v>
      </c>
      <c r="BF199" s="104" t="str">
        <f ca="1">LEFT(CELL("filename",A184),_05preva_view43[[#This Row],[Find Process &amp; Database]]-1)</f>
        <v>D:\OneDrive - apollo-towers.com\Apollo Towers\00-</v>
      </c>
      <c r="BG199" s="104" t="str">
        <f ca="1">_05preva_view43[Folder Path1]&amp;"Process &amp; Database\Documentation\Colo Applications"</f>
        <v>D:\OneDrive - apollo-towers.com\Apollo Towers\00-Process &amp; Database\Documentation\Colo Applications</v>
      </c>
      <c r="BH199" s="104" t="str">
        <f ca="1">_05preva_view43[Folder Path2]&amp;"\Colo App "&amp;_05preva_view43[[#This Row],[Operator]]&amp;"\"</f>
        <v>D:\OneDrive - apollo-towers.com\Apollo Towers\00-Process &amp; Database\Documentation\Colo Applications\Colo App MPT\</v>
      </c>
      <c r="BI199" s="63" t="str">
        <f ca="1">_05preva_view43[[#This Row],[Folder Path3]]&amp;_05preva_view43[[#This Row],[File Name]]</f>
        <v>D:\OneDrive - apollo-towers.com\Apollo Towers\00-Process &amp; Database\Documentation\Colo Applications\Colo App MPT\1-01-13004-006 (YGN00927) Application Rev 2.xlsx</v>
      </c>
      <c r="BJ199" s="104"/>
      <c r="BK199" s="3"/>
      <c r="BL199" s="3"/>
      <c r="CJ199" s="5"/>
      <c r="CK199" s="5"/>
      <c r="CL199" s="3"/>
      <c r="CN199" s="5"/>
      <c r="CR199" s="3"/>
      <c r="CS199" s="3"/>
      <c r="CT199" s="5"/>
      <c r="CV199" s="3"/>
      <c r="DR199" s="5"/>
      <c r="DT199" s="3"/>
      <c r="EF199" s="7"/>
      <c r="EG199" s="7"/>
      <c r="EJ199" s="4"/>
      <c r="EK199" s="4"/>
      <c r="EU199" s="2"/>
      <c r="EV199" s="2"/>
    </row>
    <row r="200" spans="1:152">
      <c r="A200" s="125">
        <v>3445</v>
      </c>
      <c r="B200" s="126" t="s">
        <v>1339</v>
      </c>
      <c r="C200" s="126" t="s">
        <v>331</v>
      </c>
      <c r="D200" s="126" t="s">
        <v>127</v>
      </c>
      <c r="E200" s="126" t="s">
        <v>1340</v>
      </c>
      <c r="F200" s="126" t="s">
        <v>38</v>
      </c>
      <c r="G200" s="126" t="s">
        <v>1586</v>
      </c>
      <c r="H200" s="126" t="s">
        <v>1575</v>
      </c>
      <c r="I200" s="126" t="s">
        <v>1341</v>
      </c>
      <c r="J200" s="126" t="s">
        <v>931</v>
      </c>
      <c r="K200" s="127">
        <v>43431</v>
      </c>
      <c r="L200" s="128"/>
      <c r="M200" s="128"/>
      <c r="N200" s="126">
        <v>4.8</v>
      </c>
      <c r="O200" s="126" t="s">
        <v>950</v>
      </c>
      <c r="P200" s="129" t="s">
        <v>1028</v>
      </c>
      <c r="Q200" s="129" t="s">
        <v>1029</v>
      </c>
      <c r="R200" s="126" t="s">
        <v>24</v>
      </c>
      <c r="S200" s="126"/>
      <c r="T200" s="130" t="s">
        <v>861</v>
      </c>
      <c r="U200" s="126"/>
      <c r="V200" s="130" t="s">
        <v>120</v>
      </c>
      <c r="W200" s="126" t="s">
        <v>120</v>
      </c>
      <c r="X200" s="130" t="s">
        <v>120</v>
      </c>
      <c r="Y200" s="126" t="s">
        <v>1342</v>
      </c>
      <c r="Z200" s="162" t="s">
        <v>120</v>
      </c>
      <c r="AA200" s="154"/>
      <c r="AB200" s="154"/>
      <c r="AC200" s="167" t="s">
        <v>123</v>
      </c>
      <c r="AD200" s="126" t="s">
        <v>1343</v>
      </c>
      <c r="AE200" s="130" t="s">
        <v>861</v>
      </c>
      <c r="AF200" s="127"/>
      <c r="AG200" s="131"/>
      <c r="AH200" s="131"/>
      <c r="AI200" s="126"/>
      <c r="AJ200" s="130" t="s">
        <v>120</v>
      </c>
      <c r="AK200" s="126" t="s">
        <v>123</v>
      </c>
      <c r="AL200" s="126" t="s">
        <v>1198</v>
      </c>
      <c r="AM200" s="130"/>
      <c r="AN200" s="126"/>
      <c r="AO200" s="132"/>
      <c r="AP200" s="126"/>
      <c r="AQ200" s="126"/>
      <c r="AR200" s="130"/>
      <c r="AS200" s="126"/>
      <c r="AT200" s="127">
        <v>43431.631301273097</v>
      </c>
      <c r="AU200" s="127"/>
      <c r="AV200" s="127">
        <v>43434.4300329861</v>
      </c>
      <c r="AW200" s="127">
        <v>43431.631301273097</v>
      </c>
      <c r="AX200" s="127"/>
      <c r="AY200" s="127">
        <v>43431.6475726852</v>
      </c>
      <c r="AZ200" s="133">
        <v>43434.4300329861</v>
      </c>
      <c r="BA200" s="134">
        <f ca="1">IF(_05preva_view43[[#This Row],[Prevalidation Status]]="Under Prevalidation",NOW()-_05preva_view43[[#This Row],[Request Date]],IF(_05preva_view43[[#This Row],[Close Date]]&gt;_05preva_view43[[#This Row],[Request Date]],_05preva_view43[[#This Row],[Close Date]]-_05preva_view43[[#This Row],[Request Date]],"Not  Calculated"))</f>
        <v>3.4300329860998318</v>
      </c>
      <c r="BB200" s="135">
        <f>COUNTIFS(_05preva_view43[Site ID],_05preva_view43[[#This Row],[Site ID]],_05preva_view43[Prevalidation Status],"Under Prevalidation")</f>
        <v>0</v>
      </c>
      <c r="BC200" s="153" t="str">
        <f ca="1">HYPERLINK(CheckPath(_05preva_view43[[#This Row],[File Path]],_05preva_view43[[#This Row],[File Path]],_05preva_view43[[#This Row],[Folder Path3]]),CheckPath(_05preva_view43[[#This Row],[File Path]],"Open File","No File"))</f>
        <v>No File</v>
      </c>
      <c r="BD200" s="136" t="str">
        <f>CONCATENATE(_05preva_view43[[#This Row],[Site ID]]," (",_05preva_view43[[#This Row],[tenant id]],") Application",IF(_05preva_view43[[#This Row],[Colo Rev]]&gt;0," Rev "&amp;_05preva_view43[[#This Row],[Colo Rev]],""),".xlsx")</f>
        <v>1-01-05007-011 (SG1093) Application Rev 1.xlsx</v>
      </c>
      <c r="BE200" s="64">
        <f t="shared" ca="1" si="4"/>
        <v>50</v>
      </c>
      <c r="BF200" s="104" t="str">
        <f ca="1">LEFT(CELL("filename",A185),_05preva_view43[[#This Row],[Find Process &amp; Database]]-1)</f>
        <v>D:\OneDrive - apollo-towers.com\Apollo Towers\00-</v>
      </c>
      <c r="BG200" s="104" t="str">
        <f ca="1">_05preva_view43[Folder Path1]&amp;"Process &amp; Database\Documentation\Colo Applications"</f>
        <v>D:\OneDrive - apollo-towers.com\Apollo Towers\00-Process &amp; Database\Documentation\Colo Applications</v>
      </c>
      <c r="BH200" s="104" t="str">
        <f ca="1">_05preva_view43[Folder Path2]&amp;"\Colo App "&amp;_05preva_view43[[#This Row],[Operator]]&amp;"\"</f>
        <v>D:\OneDrive - apollo-towers.com\Apollo Towers\00-Process &amp; Database\Documentation\Colo Applications\Colo App Telenor\</v>
      </c>
      <c r="BI200" s="63" t="str">
        <f ca="1">_05preva_view43[[#This Row],[Folder Path3]]&amp;_05preva_view43[[#This Row],[File Name]]</f>
        <v>D:\OneDrive - apollo-towers.com\Apollo Towers\00-Process &amp; Database\Documentation\Colo Applications\Colo App Telenor\1-01-05007-011 (SG1093) Application Rev 1.xlsx</v>
      </c>
      <c r="BJ200" s="104"/>
      <c r="BK200" s="3"/>
      <c r="BL200" s="3"/>
      <c r="CJ200" s="5"/>
      <c r="CK200" s="5"/>
      <c r="CL200" s="3"/>
      <c r="CN200" s="5"/>
      <c r="CR200" s="3"/>
      <c r="CS200" s="3"/>
      <c r="CT200" s="5"/>
      <c r="CV200" s="3"/>
      <c r="DR200" s="5"/>
      <c r="DT200" s="3"/>
      <c r="EF200" s="7"/>
      <c r="EG200" s="7"/>
      <c r="EJ200" s="4"/>
      <c r="EK200" s="4"/>
      <c r="EU200" s="2"/>
      <c r="EV200" s="2"/>
    </row>
    <row r="201" spans="1:152">
      <c r="A201" s="125">
        <v>3435</v>
      </c>
      <c r="B201" s="126" t="s">
        <v>1291</v>
      </c>
      <c r="C201" s="126" t="s">
        <v>331</v>
      </c>
      <c r="D201" s="126" t="s">
        <v>127</v>
      </c>
      <c r="E201" s="126" t="s">
        <v>1292</v>
      </c>
      <c r="F201" s="126" t="s">
        <v>35</v>
      </c>
      <c r="G201" s="126" t="s">
        <v>1583</v>
      </c>
      <c r="H201" s="126" t="s">
        <v>1575</v>
      </c>
      <c r="I201" s="126" t="s">
        <v>1053</v>
      </c>
      <c r="J201" s="126" t="s">
        <v>931</v>
      </c>
      <c r="K201" s="127">
        <v>43430</v>
      </c>
      <c r="L201" s="128">
        <v>2.0179999999999998</v>
      </c>
      <c r="M201" s="128">
        <v>3.22</v>
      </c>
      <c r="N201" s="126">
        <v>6.0659999999999998</v>
      </c>
      <c r="O201" s="126" t="s">
        <v>950</v>
      </c>
      <c r="P201" s="129" t="s">
        <v>958</v>
      </c>
      <c r="Q201" s="129" t="s">
        <v>959</v>
      </c>
      <c r="R201" s="126" t="s">
        <v>24</v>
      </c>
      <c r="S201" s="126"/>
      <c r="T201" s="130" t="s">
        <v>120</v>
      </c>
      <c r="U201" s="126" t="s">
        <v>1293</v>
      </c>
      <c r="V201" s="130" t="s">
        <v>120</v>
      </c>
      <c r="W201" s="126"/>
      <c r="X201" s="130" t="s">
        <v>120</v>
      </c>
      <c r="Y201" s="126" t="s">
        <v>1294</v>
      </c>
      <c r="Z201" s="162" t="s">
        <v>120</v>
      </c>
      <c r="AA201" s="154"/>
      <c r="AB201" s="154"/>
      <c r="AC201" s="167" t="s">
        <v>123</v>
      </c>
      <c r="AD201" s="126" t="s">
        <v>1328</v>
      </c>
      <c r="AE201" s="130" t="s">
        <v>120</v>
      </c>
      <c r="AF201" s="127" t="s">
        <v>1758</v>
      </c>
      <c r="AG201" s="131"/>
      <c r="AH201" s="131"/>
      <c r="AI201" s="126" t="s">
        <v>1285</v>
      </c>
      <c r="AJ201" s="130" t="s">
        <v>120</v>
      </c>
      <c r="AK201" s="126" t="s">
        <v>123</v>
      </c>
      <c r="AL201" s="126" t="s">
        <v>1198</v>
      </c>
      <c r="AM201" s="130"/>
      <c r="AN201" s="126"/>
      <c r="AO201" s="132"/>
      <c r="AP201" s="126"/>
      <c r="AQ201" s="126"/>
      <c r="AR201" s="130"/>
      <c r="AS201" s="126"/>
      <c r="AT201" s="127">
        <v>43430.729991550899</v>
      </c>
      <c r="AU201" s="127">
        <v>43451.370457638899</v>
      </c>
      <c r="AV201" s="127">
        <v>43433.611970601902</v>
      </c>
      <c r="AW201" s="127">
        <v>43430.729991550899</v>
      </c>
      <c r="AX201" s="127">
        <v>43430.496678472198</v>
      </c>
      <c r="AY201" s="127">
        <v>43430.8437508102</v>
      </c>
      <c r="AZ201" s="133">
        <v>43451.389660300898</v>
      </c>
      <c r="BA201" s="134">
        <f ca="1">IF(_05preva_view43[[#This Row],[Prevalidation Status]]="Under Prevalidation",NOW()-_05preva_view43[[#This Row],[Request Date]],IF(_05preva_view43[[#This Row],[Close Date]]&gt;_05preva_view43[[#This Row],[Request Date]],_05preva_view43[[#This Row],[Close Date]]-_05preva_view43[[#This Row],[Request Date]],"Not  Calculated"))</f>
        <v>21.389660300897958</v>
      </c>
      <c r="BB201" s="135">
        <f>COUNTIFS(_05preva_view43[Site ID],_05preva_view43[[#This Row],[Site ID]],_05preva_view43[Prevalidation Status],"Under Prevalidation")</f>
        <v>0</v>
      </c>
      <c r="BC201" s="153" t="str">
        <f ca="1">HYPERLINK(CheckPath(_05preva_view43[[#This Row],[File Path]],_05preva_view43[[#This Row],[File Path]],_05preva_view43[[#This Row],[Folder Path3]]),CheckPath(_05preva_view43[[#This Row],[File Path]],"Open File","No File"))</f>
        <v>No File</v>
      </c>
      <c r="BD201" s="136" t="str">
        <f>CONCATENATE(_05preva_view43[[#This Row],[Site ID]]," (",_05preva_view43[[#This Row],[tenant id]],") Application",IF(_05preva_view43[[#This Row],[Colo Rev]]&gt;0," Rev "&amp;_05preva_view43[[#This Row],[Colo Rev]],""),".xlsx")</f>
        <v>1-01-05011-004 (SGG00215) Application Rev 1.xlsx</v>
      </c>
      <c r="BE201" s="64">
        <f t="shared" ca="1" si="4"/>
        <v>50</v>
      </c>
      <c r="BF201" s="104" t="str">
        <f ca="1">LEFT(CELL("filename",A186),_05preva_view43[[#This Row],[Find Process &amp; Database]]-1)</f>
        <v>D:\OneDrive - apollo-towers.com\Apollo Towers\00-</v>
      </c>
      <c r="BG201" s="104" t="str">
        <f ca="1">_05preva_view43[Folder Path1]&amp;"Process &amp; Database\Documentation\Colo Applications"</f>
        <v>D:\OneDrive - apollo-towers.com\Apollo Towers\00-Process &amp; Database\Documentation\Colo Applications</v>
      </c>
      <c r="BH201" s="104" t="str">
        <f ca="1">_05preva_view43[Folder Path2]&amp;"\Colo App "&amp;_05preva_view43[[#This Row],[Operator]]&amp;"\"</f>
        <v>D:\OneDrive - apollo-towers.com\Apollo Towers\00-Process &amp; Database\Documentation\Colo Applications\Colo App MPT\</v>
      </c>
      <c r="BI201" s="63" t="str">
        <f ca="1">_05preva_view43[[#This Row],[Folder Path3]]&amp;_05preva_view43[[#This Row],[File Name]]</f>
        <v>D:\OneDrive - apollo-towers.com\Apollo Towers\00-Process &amp; Database\Documentation\Colo Applications\Colo App MPT\1-01-05011-004 (SGG00215) Application Rev 1.xlsx</v>
      </c>
      <c r="BJ201" s="104"/>
      <c r="BK201" s="3"/>
      <c r="BL201" s="3"/>
      <c r="CJ201" s="5"/>
      <c r="CK201" s="5"/>
      <c r="CL201" s="3"/>
      <c r="CN201" s="5"/>
      <c r="CR201" s="3"/>
      <c r="CS201" s="3"/>
      <c r="CT201" s="5"/>
      <c r="CV201" s="3"/>
      <c r="DR201" s="5"/>
      <c r="DT201" s="3"/>
      <c r="EF201" s="7"/>
      <c r="EG201" s="7"/>
      <c r="EJ201" s="4"/>
      <c r="EK201" s="4"/>
      <c r="EU201" s="2"/>
      <c r="EV201" s="2"/>
    </row>
    <row r="202" spans="1:152">
      <c r="A202" s="125">
        <v>3436</v>
      </c>
      <c r="B202" s="126" t="s">
        <v>1295</v>
      </c>
      <c r="C202" s="126" t="s">
        <v>331</v>
      </c>
      <c r="D202" s="126" t="s">
        <v>127</v>
      </c>
      <c r="E202" s="126" t="s">
        <v>1296</v>
      </c>
      <c r="F202" s="126" t="s">
        <v>35</v>
      </c>
      <c r="G202" s="126" t="s">
        <v>1583</v>
      </c>
      <c r="H202" s="126" t="s">
        <v>1575</v>
      </c>
      <c r="I202" s="126" t="s">
        <v>1288</v>
      </c>
      <c r="J202" s="126" t="s">
        <v>990</v>
      </c>
      <c r="K202" s="127">
        <v>43430</v>
      </c>
      <c r="L202" s="128">
        <v>1.399</v>
      </c>
      <c r="M202" s="128">
        <v>2.2610000000000001</v>
      </c>
      <c r="N202" s="126">
        <v>2.87</v>
      </c>
      <c r="O202" s="126" t="s">
        <v>950</v>
      </c>
      <c r="P202" s="129" t="s">
        <v>958</v>
      </c>
      <c r="Q202" s="129" t="s">
        <v>959</v>
      </c>
      <c r="R202" s="126" t="s">
        <v>24</v>
      </c>
      <c r="S202" s="126"/>
      <c r="T202" s="130" t="s">
        <v>120</v>
      </c>
      <c r="U202" s="126" t="s">
        <v>1264</v>
      </c>
      <c r="V202" s="130" t="s">
        <v>120</v>
      </c>
      <c r="W202" s="126"/>
      <c r="X202" s="130" t="s">
        <v>120</v>
      </c>
      <c r="Y202" s="126" t="s">
        <v>1297</v>
      </c>
      <c r="Z202" s="162" t="s">
        <v>120</v>
      </c>
      <c r="AA202" s="154"/>
      <c r="AB202" s="154"/>
      <c r="AC202" s="167" t="s">
        <v>123</v>
      </c>
      <c r="AD202" s="126" t="s">
        <v>1329</v>
      </c>
      <c r="AE202" s="130" t="s">
        <v>120</v>
      </c>
      <c r="AF202" s="127" t="s">
        <v>1759</v>
      </c>
      <c r="AG202" s="131"/>
      <c r="AH202" s="131"/>
      <c r="AI202" s="126" t="s">
        <v>1285</v>
      </c>
      <c r="AJ202" s="130" t="s">
        <v>120</v>
      </c>
      <c r="AK202" s="126" t="s">
        <v>123</v>
      </c>
      <c r="AL202" s="126" t="s">
        <v>1198</v>
      </c>
      <c r="AM202" s="130"/>
      <c r="AN202" s="126"/>
      <c r="AO202" s="132"/>
      <c r="AP202" s="126"/>
      <c r="AQ202" s="126"/>
      <c r="AR202" s="130"/>
      <c r="AS202" s="126"/>
      <c r="AT202" s="127">
        <v>43430.729993634297</v>
      </c>
      <c r="AU202" s="127">
        <v>43451.370458449099</v>
      </c>
      <c r="AV202" s="127">
        <v>43433.416367939797</v>
      </c>
      <c r="AW202" s="127">
        <v>43430.729993634297</v>
      </c>
      <c r="AX202" s="127">
        <v>43430.4966824074</v>
      </c>
      <c r="AY202" s="127">
        <v>43430.843755671303</v>
      </c>
      <c r="AZ202" s="133">
        <v>43451.389661458299</v>
      </c>
      <c r="BA202" s="134">
        <f ca="1">IF(_05preva_view43[[#This Row],[Prevalidation Status]]="Under Prevalidation",NOW()-_05preva_view43[[#This Row],[Request Date]],IF(_05preva_view43[[#This Row],[Close Date]]&gt;_05preva_view43[[#This Row],[Request Date]],_05preva_view43[[#This Row],[Close Date]]-_05preva_view43[[#This Row],[Request Date]],"Not  Calculated"))</f>
        <v>21.389661458299088</v>
      </c>
      <c r="BB202" s="135">
        <f>COUNTIFS(_05preva_view43[Site ID],_05preva_view43[[#This Row],[Site ID]],_05preva_view43[Prevalidation Status],"Under Prevalidation")</f>
        <v>0</v>
      </c>
      <c r="BC202" s="153" t="str">
        <f ca="1">HYPERLINK(CheckPath(_05preva_view43[[#This Row],[File Path]],_05preva_view43[[#This Row],[File Path]],_05preva_view43[[#This Row],[Folder Path3]]),CheckPath(_05preva_view43[[#This Row],[File Path]],"Open File","No File"))</f>
        <v>No File</v>
      </c>
      <c r="BD202" s="136" t="str">
        <f>CONCATENATE(_05preva_view43[[#This Row],[Site ID]]," (",_05preva_view43[[#This Row],[tenant id]],") Application",IF(_05preva_view43[[#This Row],[Colo Rev]]&gt;0," Rev "&amp;_05preva_view43[[#This Row],[Colo Rev]],""),".xlsx")</f>
        <v>1-01-05010-004 (SGG00233) Application Rev 3.xlsx</v>
      </c>
      <c r="BE202" s="64">
        <f t="shared" ca="1" si="4"/>
        <v>50</v>
      </c>
      <c r="BF202" s="104" t="str">
        <f ca="1">LEFT(CELL("filename",A187),_05preva_view43[[#This Row],[Find Process &amp; Database]]-1)</f>
        <v>D:\OneDrive - apollo-towers.com\Apollo Towers\00-</v>
      </c>
      <c r="BG202" s="104" t="str">
        <f ca="1">_05preva_view43[Folder Path1]&amp;"Process &amp; Database\Documentation\Colo Applications"</f>
        <v>D:\OneDrive - apollo-towers.com\Apollo Towers\00-Process &amp; Database\Documentation\Colo Applications</v>
      </c>
      <c r="BH202" s="104" t="str">
        <f ca="1">_05preva_view43[Folder Path2]&amp;"\Colo App "&amp;_05preva_view43[[#This Row],[Operator]]&amp;"\"</f>
        <v>D:\OneDrive - apollo-towers.com\Apollo Towers\00-Process &amp; Database\Documentation\Colo Applications\Colo App MPT\</v>
      </c>
      <c r="BI202" s="63" t="str">
        <f ca="1">_05preva_view43[[#This Row],[Folder Path3]]&amp;_05preva_view43[[#This Row],[File Name]]</f>
        <v>D:\OneDrive - apollo-towers.com\Apollo Towers\00-Process &amp; Database\Documentation\Colo Applications\Colo App MPT\1-01-05010-004 (SGG00233) Application Rev 3.xlsx</v>
      </c>
      <c r="BJ202" s="104"/>
      <c r="BK202" s="3"/>
      <c r="BL202" s="3"/>
      <c r="CJ202" s="5"/>
      <c r="CK202" s="5"/>
      <c r="CL202" s="3"/>
      <c r="CN202" s="5"/>
      <c r="CR202" s="3"/>
      <c r="CS202" s="3"/>
      <c r="CT202" s="5"/>
      <c r="CV202" s="3"/>
      <c r="DR202" s="5"/>
      <c r="DT202" s="3"/>
      <c r="EF202" s="7"/>
      <c r="EG202" s="7"/>
      <c r="EJ202" s="4"/>
      <c r="EK202" s="4"/>
      <c r="EU202" s="2"/>
      <c r="EV202" s="2"/>
    </row>
    <row r="203" spans="1:152">
      <c r="A203" s="125">
        <v>3437</v>
      </c>
      <c r="B203" s="126" t="s">
        <v>1194</v>
      </c>
      <c r="C203" s="126" t="s">
        <v>331</v>
      </c>
      <c r="D203" s="126" t="s">
        <v>127</v>
      </c>
      <c r="E203" s="126" t="s">
        <v>1195</v>
      </c>
      <c r="F203" s="126" t="s">
        <v>35</v>
      </c>
      <c r="G203" s="126" t="s">
        <v>1583</v>
      </c>
      <c r="H203" s="126" t="s">
        <v>1575</v>
      </c>
      <c r="I203" s="126" t="s">
        <v>1053</v>
      </c>
      <c r="J203" s="126" t="s">
        <v>990</v>
      </c>
      <c r="K203" s="127">
        <v>43430</v>
      </c>
      <c r="L203" s="128">
        <v>1.9890000000000001</v>
      </c>
      <c r="M203" s="128">
        <v>3.5489999999999999</v>
      </c>
      <c r="N203" s="126">
        <v>4.54</v>
      </c>
      <c r="O203" s="126" t="s">
        <v>950</v>
      </c>
      <c r="P203" s="129" t="s">
        <v>276</v>
      </c>
      <c r="Q203" s="129" t="s">
        <v>277</v>
      </c>
      <c r="R203" s="126" t="s">
        <v>24</v>
      </c>
      <c r="S203" s="126"/>
      <c r="T203" s="130" t="s">
        <v>120</v>
      </c>
      <c r="U203" s="126" t="s">
        <v>1264</v>
      </c>
      <c r="V203" s="130" t="s">
        <v>120</v>
      </c>
      <c r="W203" s="126"/>
      <c r="X203" s="130" t="s">
        <v>120</v>
      </c>
      <c r="Y203" s="126" t="s">
        <v>1298</v>
      </c>
      <c r="Z203" s="162" t="s">
        <v>120</v>
      </c>
      <c r="AA203" s="154"/>
      <c r="AB203" s="154"/>
      <c r="AC203" s="167" t="s">
        <v>123</v>
      </c>
      <c r="AD203" s="126" t="s">
        <v>1330</v>
      </c>
      <c r="AE203" s="130" t="s">
        <v>120</v>
      </c>
      <c r="AF203" s="127" t="s">
        <v>1760</v>
      </c>
      <c r="AG203" s="131"/>
      <c r="AH203" s="131"/>
      <c r="AI203" s="126" t="s">
        <v>1285</v>
      </c>
      <c r="AJ203" s="130" t="s">
        <v>120</v>
      </c>
      <c r="AK203" s="126" t="s">
        <v>123</v>
      </c>
      <c r="AL203" s="126" t="s">
        <v>1198</v>
      </c>
      <c r="AM203" s="130"/>
      <c r="AN203" s="126"/>
      <c r="AO203" s="132"/>
      <c r="AP203" s="126"/>
      <c r="AQ203" s="126"/>
      <c r="AR203" s="130"/>
      <c r="AS203" s="126"/>
      <c r="AT203" s="127">
        <v>43431.352911342598</v>
      </c>
      <c r="AU203" s="127">
        <v>43451.370459027799</v>
      </c>
      <c r="AV203" s="127">
        <v>43433.416368634302</v>
      </c>
      <c r="AW203" s="127">
        <v>43431.352911342598</v>
      </c>
      <c r="AX203" s="127">
        <v>43431.683977893503</v>
      </c>
      <c r="AY203" s="127">
        <v>43430.843760995398</v>
      </c>
      <c r="AZ203" s="133">
        <v>43451.389662268499</v>
      </c>
      <c r="BA203" s="134">
        <f ca="1">IF(_05preva_view43[[#This Row],[Prevalidation Status]]="Under Prevalidation",NOW()-_05preva_view43[[#This Row],[Request Date]],IF(_05preva_view43[[#This Row],[Close Date]]&gt;_05preva_view43[[#This Row],[Request Date]],_05preva_view43[[#This Row],[Close Date]]-_05preva_view43[[#This Row],[Request Date]],"Not  Calculated"))</f>
        <v>21.389662268498796</v>
      </c>
      <c r="BB203" s="135">
        <f>COUNTIFS(_05preva_view43[Site ID],_05preva_view43[[#This Row],[Site ID]],_05preva_view43[Prevalidation Status],"Under Prevalidation")</f>
        <v>0</v>
      </c>
      <c r="BC203" s="153" t="str">
        <f ca="1">HYPERLINK(CheckPath(_05preva_view43[[#This Row],[File Path]],_05preva_view43[[#This Row],[File Path]],_05preva_view43[[#This Row],[Folder Path3]]),CheckPath(_05preva_view43[[#This Row],[File Path]],"Open File","No File"))</f>
        <v>No File</v>
      </c>
      <c r="BD203" s="136" t="str">
        <f>CONCATENATE(_05preva_view43[[#This Row],[Site ID]]," (",_05preva_view43[[#This Row],[tenant id]],") Application",IF(_05preva_view43[[#This Row],[Colo Rev]]&gt;0," Rev "&amp;_05preva_view43[[#This Row],[Colo Rev]],""),".xlsx")</f>
        <v>1-01-01002-008 (KCN00372) Application Rev 3.xlsx</v>
      </c>
      <c r="BE203" s="64">
        <f t="shared" ca="1" si="4"/>
        <v>50</v>
      </c>
      <c r="BF203" s="104" t="str">
        <f ca="1">LEFT(CELL("filename",A188),_05preva_view43[[#This Row],[Find Process &amp; Database]]-1)</f>
        <v>D:\OneDrive - apollo-towers.com\Apollo Towers\00-</v>
      </c>
      <c r="BG203" s="104" t="str">
        <f ca="1">_05preva_view43[Folder Path1]&amp;"Process &amp; Database\Documentation\Colo Applications"</f>
        <v>D:\OneDrive - apollo-towers.com\Apollo Towers\00-Process &amp; Database\Documentation\Colo Applications</v>
      </c>
      <c r="BH203" s="104" t="str">
        <f ca="1">_05preva_view43[Folder Path2]&amp;"\Colo App "&amp;_05preva_view43[[#This Row],[Operator]]&amp;"\"</f>
        <v>D:\OneDrive - apollo-towers.com\Apollo Towers\00-Process &amp; Database\Documentation\Colo Applications\Colo App MPT\</v>
      </c>
      <c r="BI203" s="63" t="str">
        <f ca="1">_05preva_view43[[#This Row],[Folder Path3]]&amp;_05preva_view43[[#This Row],[File Name]]</f>
        <v>D:\OneDrive - apollo-towers.com\Apollo Towers\00-Process &amp; Database\Documentation\Colo Applications\Colo App MPT\1-01-01002-008 (KCN00372) Application Rev 3.xlsx</v>
      </c>
      <c r="BJ203" s="104"/>
      <c r="BK203" s="3"/>
      <c r="BL203" s="3"/>
      <c r="CJ203" s="5"/>
      <c r="CK203" s="5"/>
      <c r="CL203" s="3"/>
      <c r="CN203" s="5"/>
      <c r="CR203" s="3"/>
      <c r="CS203" s="3"/>
      <c r="CT203" s="5"/>
      <c r="CV203" s="3"/>
      <c r="DR203" s="5"/>
      <c r="DT203" s="3"/>
      <c r="EF203" s="7"/>
      <c r="EG203" s="7"/>
      <c r="EJ203" s="4"/>
      <c r="EK203" s="4"/>
      <c r="EU203" s="2"/>
      <c r="EV203" s="2"/>
    </row>
    <row r="204" spans="1:152">
      <c r="A204" s="125">
        <v>3439</v>
      </c>
      <c r="B204" s="126" t="s">
        <v>1299</v>
      </c>
      <c r="C204" s="126" t="s">
        <v>331</v>
      </c>
      <c r="D204" s="126" t="s">
        <v>163</v>
      </c>
      <c r="E204" s="126" t="s">
        <v>1300</v>
      </c>
      <c r="F204" s="126" t="s">
        <v>35</v>
      </c>
      <c r="G204" s="126" t="s">
        <v>1583</v>
      </c>
      <c r="H204" s="126" t="s">
        <v>1575</v>
      </c>
      <c r="I204" s="126" t="s">
        <v>1061</v>
      </c>
      <c r="J204" s="126" t="s">
        <v>990</v>
      </c>
      <c r="K204" s="127">
        <v>43430</v>
      </c>
      <c r="L204" s="128">
        <v>1.68</v>
      </c>
      <c r="M204" s="128">
        <v>2.1</v>
      </c>
      <c r="N204" s="126">
        <v>4.59</v>
      </c>
      <c r="O204" s="126" t="s">
        <v>950</v>
      </c>
      <c r="P204" s="129" t="s">
        <v>1275</v>
      </c>
      <c r="Q204" s="129" t="s">
        <v>1276</v>
      </c>
      <c r="R204" s="126" t="s">
        <v>24</v>
      </c>
      <c r="S204" s="126"/>
      <c r="T204" s="130" t="s">
        <v>120</v>
      </c>
      <c r="U204" s="126" t="s">
        <v>1264</v>
      </c>
      <c r="V204" s="130" t="s">
        <v>120</v>
      </c>
      <c r="W204" s="126"/>
      <c r="X204" s="130" t="s">
        <v>120</v>
      </c>
      <c r="Y204" s="126" t="s">
        <v>1301</v>
      </c>
      <c r="Z204" s="162" t="s">
        <v>120</v>
      </c>
      <c r="AA204" s="154"/>
      <c r="AB204" s="154"/>
      <c r="AC204" s="167" t="s">
        <v>123</v>
      </c>
      <c r="AD204" s="126" t="s">
        <v>1331</v>
      </c>
      <c r="AE204" s="130" t="s">
        <v>120</v>
      </c>
      <c r="AF204" s="127" t="s">
        <v>1760</v>
      </c>
      <c r="AG204" s="131"/>
      <c r="AH204" s="131"/>
      <c r="AI204" s="126" t="s">
        <v>1285</v>
      </c>
      <c r="AJ204" s="130" t="s">
        <v>120</v>
      </c>
      <c r="AK204" s="126" t="s">
        <v>123</v>
      </c>
      <c r="AL204" s="126" t="s">
        <v>1198</v>
      </c>
      <c r="AM204" s="130"/>
      <c r="AN204" s="126"/>
      <c r="AO204" s="132"/>
      <c r="AP204" s="126"/>
      <c r="AQ204" s="126"/>
      <c r="AR204" s="130"/>
      <c r="AS204" s="126"/>
      <c r="AT204" s="127">
        <v>43431.352913310198</v>
      </c>
      <c r="AU204" s="127">
        <v>43451.370459722202</v>
      </c>
      <c r="AV204" s="127">
        <v>43433.416369791703</v>
      </c>
      <c r="AW204" s="127">
        <v>43431.352913310198</v>
      </c>
      <c r="AX204" s="127">
        <v>43431.683978472203</v>
      </c>
      <c r="AY204" s="127">
        <v>43430.843765625003</v>
      </c>
      <c r="AZ204" s="133">
        <v>43451.3896634259</v>
      </c>
      <c r="BA204" s="134">
        <f ca="1">IF(_05preva_view43[[#This Row],[Prevalidation Status]]="Under Prevalidation",NOW()-_05preva_view43[[#This Row],[Request Date]],IF(_05preva_view43[[#This Row],[Close Date]]&gt;_05preva_view43[[#This Row],[Request Date]],_05preva_view43[[#This Row],[Close Date]]-_05preva_view43[[#This Row],[Request Date]],"Not  Calculated"))</f>
        <v>21.389663425899926</v>
      </c>
      <c r="BB204" s="135">
        <f>COUNTIFS(_05preva_view43[Site ID],_05preva_view43[[#This Row],[Site ID]],_05preva_view43[Prevalidation Status],"Under Prevalidation")</f>
        <v>0</v>
      </c>
      <c r="BC204" s="153" t="str">
        <f ca="1">HYPERLINK(CheckPath(_05preva_view43[[#This Row],[File Path]],_05preva_view43[[#This Row],[File Path]],_05preva_view43[[#This Row],[Folder Path3]]),CheckPath(_05preva_view43[[#This Row],[File Path]],"Open File","No File"))</f>
        <v>No File</v>
      </c>
      <c r="BD204" s="136" t="str">
        <f>CONCATENATE(_05preva_view43[[#This Row],[Site ID]]," (",_05preva_view43[[#This Row],[tenant id]],") Application",IF(_05preva_view43[[#This Row],[Colo Rev]]&gt;0," Rev "&amp;_05preva_view43[[#This Row],[Colo Rev]],""),".xlsx")</f>
        <v>1-01-11007-003 (MON00275) Application Rev 3.xlsx</v>
      </c>
      <c r="BE204" s="64">
        <f t="shared" ca="1" si="4"/>
        <v>50</v>
      </c>
      <c r="BF204" s="104" t="str">
        <f ca="1">LEFT(CELL("filename",A189),_05preva_view43[[#This Row],[Find Process &amp; Database]]-1)</f>
        <v>D:\OneDrive - apollo-towers.com\Apollo Towers\00-</v>
      </c>
      <c r="BG204" s="104" t="str">
        <f ca="1">_05preva_view43[Folder Path1]&amp;"Process &amp; Database\Documentation\Colo Applications"</f>
        <v>D:\OneDrive - apollo-towers.com\Apollo Towers\00-Process &amp; Database\Documentation\Colo Applications</v>
      </c>
      <c r="BH204" s="104" t="str">
        <f ca="1">_05preva_view43[Folder Path2]&amp;"\Colo App "&amp;_05preva_view43[[#This Row],[Operator]]&amp;"\"</f>
        <v>D:\OneDrive - apollo-towers.com\Apollo Towers\00-Process &amp; Database\Documentation\Colo Applications\Colo App MPT\</v>
      </c>
      <c r="BI204" s="63" t="str">
        <f ca="1">_05preva_view43[[#This Row],[Folder Path3]]&amp;_05preva_view43[[#This Row],[File Name]]</f>
        <v>D:\OneDrive - apollo-towers.com\Apollo Towers\00-Process &amp; Database\Documentation\Colo Applications\Colo App MPT\1-01-11007-003 (MON00275) Application Rev 3.xlsx</v>
      </c>
      <c r="BJ204" s="104"/>
      <c r="BK204" s="3"/>
      <c r="BL204" s="3"/>
      <c r="CJ204" s="5"/>
      <c r="CK204" s="5"/>
      <c r="CL204" s="3"/>
      <c r="CN204" s="5"/>
      <c r="CR204" s="3"/>
      <c r="CS204" s="3"/>
      <c r="CT204" s="5"/>
      <c r="CV204" s="3"/>
      <c r="DR204" s="5"/>
      <c r="DT204" s="3"/>
      <c r="EF204" s="7"/>
      <c r="EG204" s="7"/>
      <c r="EJ204" s="4"/>
      <c r="EK204" s="4"/>
      <c r="EU204" s="2"/>
      <c r="EV204" s="2"/>
    </row>
    <row r="205" spans="1:152">
      <c r="A205" s="125">
        <v>3440</v>
      </c>
      <c r="B205" s="126" t="s">
        <v>997</v>
      </c>
      <c r="C205" s="126" t="s">
        <v>331</v>
      </c>
      <c r="D205" s="126" t="s">
        <v>117</v>
      </c>
      <c r="E205" s="126" t="s">
        <v>998</v>
      </c>
      <c r="F205" s="126" t="s">
        <v>35</v>
      </c>
      <c r="G205" s="126" t="s">
        <v>1583</v>
      </c>
      <c r="H205" s="126" t="s">
        <v>1575</v>
      </c>
      <c r="I205" s="126" t="s">
        <v>1053</v>
      </c>
      <c r="J205" s="126" t="s">
        <v>990</v>
      </c>
      <c r="K205" s="127">
        <v>43430</v>
      </c>
      <c r="L205" s="128">
        <v>3.44</v>
      </c>
      <c r="M205" s="128">
        <v>4.3</v>
      </c>
      <c r="N205" s="126">
        <v>4.55</v>
      </c>
      <c r="O205" s="126" t="s">
        <v>950</v>
      </c>
      <c r="P205" s="129" t="s">
        <v>704</v>
      </c>
      <c r="Q205" s="129" t="s">
        <v>705</v>
      </c>
      <c r="R205" s="126" t="s">
        <v>24</v>
      </c>
      <c r="S205" s="126"/>
      <c r="T205" s="130" t="s">
        <v>120</v>
      </c>
      <c r="U205" s="126" t="s">
        <v>1264</v>
      </c>
      <c r="V205" s="130" t="s">
        <v>120</v>
      </c>
      <c r="W205" s="126"/>
      <c r="X205" s="130" t="s">
        <v>120</v>
      </c>
      <c r="Y205" s="126" t="s">
        <v>1302</v>
      </c>
      <c r="Z205" s="162" t="s">
        <v>120</v>
      </c>
      <c r="AA205" s="154"/>
      <c r="AB205" s="154"/>
      <c r="AC205" s="167" t="s">
        <v>123</v>
      </c>
      <c r="AD205" s="126" t="s">
        <v>1332</v>
      </c>
      <c r="AE205" s="130" t="s">
        <v>120</v>
      </c>
      <c r="AF205" s="127" t="s">
        <v>1761</v>
      </c>
      <c r="AG205" s="131"/>
      <c r="AH205" s="131"/>
      <c r="AI205" s="126" t="s">
        <v>1333</v>
      </c>
      <c r="AJ205" s="130" t="s">
        <v>120</v>
      </c>
      <c r="AK205" s="126" t="s">
        <v>123</v>
      </c>
      <c r="AL205" s="126" t="s">
        <v>1198</v>
      </c>
      <c r="AM205" s="130"/>
      <c r="AN205" s="126"/>
      <c r="AO205" s="132"/>
      <c r="AP205" s="126"/>
      <c r="AQ205" s="126"/>
      <c r="AR205" s="130"/>
      <c r="AS205" s="126"/>
      <c r="AT205" s="127">
        <v>43431.390415624999</v>
      </c>
      <c r="AU205" s="127">
        <v>43451.370461226797</v>
      </c>
      <c r="AV205" s="127">
        <v>43433.611973495397</v>
      </c>
      <c r="AW205" s="127">
        <v>43431.390415624999</v>
      </c>
      <c r="AX205" s="127">
        <v>43431.683979745401</v>
      </c>
      <c r="AY205" s="127">
        <v>43430.8437694444</v>
      </c>
      <c r="AZ205" s="133">
        <v>43451.389664467599</v>
      </c>
      <c r="BA205" s="134">
        <f ca="1">IF(_05preva_view43[[#This Row],[Prevalidation Status]]="Under Prevalidation",NOW()-_05preva_view43[[#This Row],[Request Date]],IF(_05preva_view43[[#This Row],[Close Date]]&gt;_05preva_view43[[#This Row],[Request Date]],_05preva_view43[[#This Row],[Close Date]]-_05preva_view43[[#This Row],[Request Date]],"Not  Calculated"))</f>
        <v>21.389664467598777</v>
      </c>
      <c r="BB205" s="135">
        <f>COUNTIFS(_05preva_view43[Site ID],_05preva_view43[[#This Row],[Site ID]],_05preva_view43[Prevalidation Status],"Under Prevalidation")</f>
        <v>0</v>
      </c>
      <c r="BC205" s="153" t="str">
        <f ca="1">HYPERLINK(CheckPath(_05preva_view43[[#This Row],[File Path]],_05preva_view43[[#This Row],[File Path]],_05preva_view43[[#This Row],[Folder Path3]]),CheckPath(_05preva_view43[[#This Row],[File Path]],"Open File","No File"))</f>
        <v>No File</v>
      </c>
      <c r="BD205" s="136" t="str">
        <f>CONCATENATE(_05preva_view43[[#This Row],[Site ID]]," (",_05preva_view43[[#This Row],[tenant id]],") Application",IF(_05preva_view43[[#This Row],[Colo Rev]]&gt;0," Rev "&amp;_05preva_view43[[#This Row],[Colo Rev]],""),".xlsx")</f>
        <v>1-01-16001-003 (SHE00021) Application Rev 3.xlsx</v>
      </c>
      <c r="BE205" s="64">
        <f t="shared" ca="1" si="4"/>
        <v>50</v>
      </c>
      <c r="BF205" s="104" t="str">
        <f ca="1">LEFT(CELL("filename",A190),_05preva_view43[[#This Row],[Find Process &amp; Database]]-1)</f>
        <v>D:\OneDrive - apollo-towers.com\Apollo Towers\00-</v>
      </c>
      <c r="BG205" s="104" t="str">
        <f ca="1">_05preva_view43[Folder Path1]&amp;"Process &amp; Database\Documentation\Colo Applications"</f>
        <v>D:\OneDrive - apollo-towers.com\Apollo Towers\00-Process &amp; Database\Documentation\Colo Applications</v>
      </c>
      <c r="BH205" s="104" t="str">
        <f ca="1">_05preva_view43[Folder Path2]&amp;"\Colo App "&amp;_05preva_view43[[#This Row],[Operator]]&amp;"\"</f>
        <v>D:\OneDrive - apollo-towers.com\Apollo Towers\00-Process &amp; Database\Documentation\Colo Applications\Colo App MPT\</v>
      </c>
      <c r="BI205" s="63" t="str">
        <f ca="1">_05preva_view43[[#This Row],[Folder Path3]]&amp;_05preva_view43[[#This Row],[File Name]]</f>
        <v>D:\OneDrive - apollo-towers.com\Apollo Towers\00-Process &amp; Database\Documentation\Colo Applications\Colo App MPT\1-01-16001-003 (SHE00021) Application Rev 3.xlsx</v>
      </c>
      <c r="BJ205" s="104"/>
      <c r="BK205" s="3"/>
      <c r="BL205" s="3"/>
      <c r="CJ205" s="5"/>
      <c r="CK205" s="5"/>
      <c r="CL205" s="3"/>
      <c r="CN205" s="5"/>
      <c r="CR205" s="3"/>
      <c r="CS205" s="3"/>
      <c r="CT205" s="5"/>
      <c r="CV205" s="3"/>
      <c r="DR205" s="5"/>
      <c r="DT205" s="3"/>
      <c r="EF205" s="7"/>
      <c r="EG205" s="7"/>
      <c r="EJ205" s="4"/>
      <c r="EK205" s="4"/>
      <c r="EU205" s="2"/>
      <c r="EV205" s="2"/>
    </row>
    <row r="206" spans="1:152">
      <c r="A206" s="125">
        <v>3441</v>
      </c>
      <c r="B206" s="126" t="s">
        <v>1201</v>
      </c>
      <c r="C206" s="126" t="s">
        <v>331</v>
      </c>
      <c r="D206" s="126" t="s">
        <v>127</v>
      </c>
      <c r="E206" s="126" t="s">
        <v>1202</v>
      </c>
      <c r="F206" s="126" t="s">
        <v>35</v>
      </c>
      <c r="G206" s="126" t="s">
        <v>1583</v>
      </c>
      <c r="H206" s="126" t="s">
        <v>1575</v>
      </c>
      <c r="I206" s="126" t="s">
        <v>1053</v>
      </c>
      <c r="J206" s="126" t="s">
        <v>949</v>
      </c>
      <c r="K206" s="127">
        <v>43430</v>
      </c>
      <c r="L206" s="128">
        <v>1.9890000000000001</v>
      </c>
      <c r="M206" s="128">
        <v>3.6110000000000002</v>
      </c>
      <c r="N206" s="126">
        <v>4.45</v>
      </c>
      <c r="O206" s="126" t="s">
        <v>950</v>
      </c>
      <c r="P206" s="129" t="s">
        <v>958</v>
      </c>
      <c r="Q206" s="129" t="s">
        <v>959</v>
      </c>
      <c r="R206" s="126" t="s">
        <v>24</v>
      </c>
      <c r="S206" s="126"/>
      <c r="T206" s="130" t="s">
        <v>861</v>
      </c>
      <c r="U206" s="126" t="s">
        <v>1203</v>
      </c>
      <c r="V206" s="130" t="s">
        <v>120</v>
      </c>
      <c r="W206" s="126"/>
      <c r="X206" s="130" t="s">
        <v>120</v>
      </c>
      <c r="Y206" s="126" t="s">
        <v>1303</v>
      </c>
      <c r="Z206" s="162" t="s">
        <v>120</v>
      </c>
      <c r="AA206" s="154"/>
      <c r="AB206" s="154"/>
      <c r="AC206" s="167" t="s">
        <v>123</v>
      </c>
      <c r="AD206" s="126" t="s">
        <v>1334</v>
      </c>
      <c r="AE206" s="130" t="s">
        <v>120</v>
      </c>
      <c r="AF206" s="127" t="s">
        <v>1751</v>
      </c>
      <c r="AG206" s="131"/>
      <c r="AH206" s="131"/>
      <c r="AI206" s="126" t="s">
        <v>1595</v>
      </c>
      <c r="AJ206" s="130" t="s">
        <v>120</v>
      </c>
      <c r="AK206" s="126" t="s">
        <v>123</v>
      </c>
      <c r="AL206" s="126" t="s">
        <v>1198</v>
      </c>
      <c r="AM206" s="130"/>
      <c r="AN206" s="126"/>
      <c r="AO206" s="132"/>
      <c r="AP206" s="126"/>
      <c r="AQ206" s="126"/>
      <c r="AR206" s="130"/>
      <c r="AS206" s="126"/>
      <c r="AT206" s="127">
        <v>43431.3904167824</v>
      </c>
      <c r="AU206" s="127">
        <v>43451.370462615698</v>
      </c>
      <c r="AV206" s="127">
        <v>43432.492968634302</v>
      </c>
      <c r="AW206" s="127">
        <v>43431.3904167824</v>
      </c>
      <c r="AX206" s="127"/>
      <c r="AY206" s="127">
        <v>43452.676278472201</v>
      </c>
      <c r="AZ206" s="133">
        <v>43452.704516782404</v>
      </c>
      <c r="BA206" s="134">
        <f ca="1">IF(_05preva_view43[[#This Row],[Prevalidation Status]]="Under Prevalidation",NOW()-_05preva_view43[[#This Row],[Request Date]],IF(_05preva_view43[[#This Row],[Close Date]]&gt;_05preva_view43[[#This Row],[Request Date]],_05preva_view43[[#This Row],[Close Date]]-_05preva_view43[[#This Row],[Request Date]],"Not  Calculated"))</f>
        <v>22.704516782403516</v>
      </c>
      <c r="BB206" s="135">
        <f>COUNTIFS(_05preva_view43[Site ID],_05preva_view43[[#This Row],[Site ID]],_05preva_view43[Prevalidation Status],"Under Prevalidation")</f>
        <v>0</v>
      </c>
      <c r="BC206" s="153" t="str">
        <f ca="1">HYPERLINK(CheckPath(_05preva_view43[[#This Row],[File Path]],_05preva_view43[[#This Row],[File Path]],_05preva_view43[[#This Row],[Folder Path3]]),CheckPath(_05preva_view43[[#This Row],[File Path]],"Open File","No File"))</f>
        <v>No File</v>
      </c>
      <c r="BD206" s="136" t="str">
        <f>CONCATENATE(_05preva_view43[[#This Row],[Site ID]]," (",_05preva_view43[[#This Row],[tenant id]],") Application",IF(_05preva_view43[[#This Row],[Colo Rev]]&gt;0," Rev "&amp;_05preva_view43[[#This Row],[Colo Rev]],""),".xlsx")</f>
        <v>1-01-15012-002 (SHN00218) Application Rev 2.xlsx</v>
      </c>
      <c r="BE206" s="64">
        <f t="shared" ca="1" si="4"/>
        <v>50</v>
      </c>
      <c r="BF206" s="104" t="str">
        <f ca="1">LEFT(CELL("filename",A191),_05preva_view43[[#This Row],[Find Process &amp; Database]]-1)</f>
        <v>D:\OneDrive - apollo-towers.com\Apollo Towers\00-</v>
      </c>
      <c r="BG206" s="104" t="str">
        <f ca="1">_05preva_view43[Folder Path1]&amp;"Process &amp; Database\Documentation\Colo Applications"</f>
        <v>D:\OneDrive - apollo-towers.com\Apollo Towers\00-Process &amp; Database\Documentation\Colo Applications</v>
      </c>
      <c r="BH206" s="104" t="str">
        <f ca="1">_05preva_view43[Folder Path2]&amp;"\Colo App "&amp;_05preva_view43[[#This Row],[Operator]]&amp;"\"</f>
        <v>D:\OneDrive - apollo-towers.com\Apollo Towers\00-Process &amp; Database\Documentation\Colo Applications\Colo App MPT\</v>
      </c>
      <c r="BI206" s="63" t="str">
        <f ca="1">_05preva_view43[[#This Row],[Folder Path3]]&amp;_05preva_view43[[#This Row],[File Name]]</f>
        <v>D:\OneDrive - apollo-towers.com\Apollo Towers\00-Process &amp; Database\Documentation\Colo Applications\Colo App MPT\1-01-15012-002 (SHN00218) Application Rev 2.xlsx</v>
      </c>
      <c r="BJ206" s="104"/>
      <c r="BK206" s="3"/>
      <c r="BL206" s="3"/>
      <c r="CJ206" s="5"/>
      <c r="CK206" s="5"/>
      <c r="CL206" s="3"/>
      <c r="CN206" s="5"/>
      <c r="CR206" s="3"/>
      <c r="CS206" s="3"/>
      <c r="CT206" s="5"/>
      <c r="CV206" s="3"/>
      <c r="DR206" s="5"/>
      <c r="DT206" s="3"/>
      <c r="EF206" s="7"/>
      <c r="EG206" s="7"/>
      <c r="EJ206" s="4"/>
      <c r="EK206" s="4"/>
      <c r="EU206" s="2"/>
      <c r="EV206" s="2"/>
    </row>
    <row r="207" spans="1:152">
      <c r="A207" s="125">
        <v>3442</v>
      </c>
      <c r="B207" s="126" t="s">
        <v>972</v>
      </c>
      <c r="C207" s="126" t="s">
        <v>331</v>
      </c>
      <c r="D207" s="126" t="s">
        <v>163</v>
      </c>
      <c r="E207" s="126" t="s">
        <v>973</v>
      </c>
      <c r="F207" s="126" t="s">
        <v>35</v>
      </c>
      <c r="G207" s="126" t="s">
        <v>1583</v>
      </c>
      <c r="H207" s="126" t="s">
        <v>1575</v>
      </c>
      <c r="I207" s="126" t="s">
        <v>1048</v>
      </c>
      <c r="J207" s="126" t="s">
        <v>1304</v>
      </c>
      <c r="K207" s="127">
        <v>43430</v>
      </c>
      <c r="L207" s="128">
        <v>2.64</v>
      </c>
      <c r="M207" s="128">
        <v>3.3</v>
      </c>
      <c r="N207" s="126">
        <v>4.4400000000000004</v>
      </c>
      <c r="O207" s="126" t="s">
        <v>950</v>
      </c>
      <c r="P207" s="129" t="s">
        <v>958</v>
      </c>
      <c r="Q207" s="129" t="s">
        <v>959</v>
      </c>
      <c r="R207" s="126" t="s">
        <v>24</v>
      </c>
      <c r="S207" s="126"/>
      <c r="T207" s="130" t="s">
        <v>120</v>
      </c>
      <c r="U207" s="126" t="s">
        <v>1264</v>
      </c>
      <c r="V207" s="130" t="s">
        <v>120</v>
      </c>
      <c r="W207" s="126"/>
      <c r="X207" s="130" t="s">
        <v>120</v>
      </c>
      <c r="Y207" s="126" t="s">
        <v>1305</v>
      </c>
      <c r="Z207" s="162" t="s">
        <v>120</v>
      </c>
      <c r="AA207" s="154"/>
      <c r="AB207" s="154"/>
      <c r="AC207" s="167" t="s">
        <v>123</v>
      </c>
      <c r="AD207" s="126" t="s">
        <v>1335</v>
      </c>
      <c r="AE207" s="130" t="s">
        <v>120</v>
      </c>
      <c r="AF207" s="127" t="s">
        <v>1762</v>
      </c>
      <c r="AG207" s="131"/>
      <c r="AH207" s="131"/>
      <c r="AI207" s="126" t="s">
        <v>1596</v>
      </c>
      <c r="AJ207" s="130" t="s">
        <v>120</v>
      </c>
      <c r="AK207" s="126" t="s">
        <v>123</v>
      </c>
      <c r="AL207" s="126" t="s">
        <v>1198</v>
      </c>
      <c r="AM207" s="130"/>
      <c r="AN207" s="126"/>
      <c r="AO207" s="132"/>
      <c r="AP207" s="126"/>
      <c r="AQ207" s="126"/>
      <c r="AR207" s="130"/>
      <c r="AS207" s="126"/>
      <c r="AT207" s="127">
        <v>43431.390417245399</v>
      </c>
      <c r="AU207" s="127">
        <v>43451.370463194398</v>
      </c>
      <c r="AV207" s="127">
        <v>43432.688025347197</v>
      </c>
      <c r="AW207" s="127">
        <v>43431.390417245399</v>
      </c>
      <c r="AX207" s="127">
        <v>43431.683982407398</v>
      </c>
      <c r="AY207" s="127">
        <v>43430.843780092597</v>
      </c>
      <c r="AZ207" s="133">
        <v>43451.389666319403</v>
      </c>
      <c r="BA207" s="134">
        <f ca="1">IF(_05preva_view43[[#This Row],[Prevalidation Status]]="Under Prevalidation",NOW()-_05preva_view43[[#This Row],[Request Date]],IF(_05preva_view43[[#This Row],[Close Date]]&gt;_05preva_view43[[#This Row],[Request Date]],_05preva_view43[[#This Row],[Close Date]]-_05preva_view43[[#This Row],[Request Date]],"Not  Calculated"))</f>
        <v>21.38966631940275</v>
      </c>
      <c r="BB207" s="135">
        <f>COUNTIFS(_05preva_view43[Site ID],_05preva_view43[[#This Row],[Site ID]],_05preva_view43[Prevalidation Status],"Under Prevalidation")</f>
        <v>0</v>
      </c>
      <c r="BC207" s="153" t="str">
        <f ca="1">HYPERLINK(CheckPath(_05preva_view43[[#This Row],[File Path]],_05preva_view43[[#This Row],[File Path]],_05preva_view43[[#This Row],[Folder Path3]]),CheckPath(_05preva_view43[[#This Row],[File Path]],"Open File","No File"))</f>
        <v>No File</v>
      </c>
      <c r="BD207" s="136" t="str">
        <f>CONCATENATE(_05preva_view43[[#This Row],[Site ID]]," (",_05preva_view43[[#This Row],[tenant id]],") Application",IF(_05preva_view43[[#This Row],[Colo Rev]]&gt;0," Rev "&amp;_05preva_view43[[#This Row],[Colo Rev]],""),".xlsx")</f>
        <v>1-01-06008-002 (TNY00033) Application Rev 5.xlsx</v>
      </c>
      <c r="BE207" s="64">
        <f t="shared" ca="1" si="4"/>
        <v>50</v>
      </c>
      <c r="BF207" s="104" t="str">
        <f ca="1">LEFT(CELL("filename",A192),_05preva_view43[[#This Row],[Find Process &amp; Database]]-1)</f>
        <v>D:\OneDrive - apollo-towers.com\Apollo Towers\00-</v>
      </c>
      <c r="BG207" s="104" t="str">
        <f ca="1">_05preva_view43[Folder Path1]&amp;"Process &amp; Database\Documentation\Colo Applications"</f>
        <v>D:\OneDrive - apollo-towers.com\Apollo Towers\00-Process &amp; Database\Documentation\Colo Applications</v>
      </c>
      <c r="BH207" s="104" t="str">
        <f ca="1">_05preva_view43[Folder Path2]&amp;"\Colo App "&amp;_05preva_view43[[#This Row],[Operator]]&amp;"\"</f>
        <v>D:\OneDrive - apollo-towers.com\Apollo Towers\00-Process &amp; Database\Documentation\Colo Applications\Colo App MPT\</v>
      </c>
      <c r="BI207" s="63" t="str">
        <f ca="1">_05preva_view43[[#This Row],[Folder Path3]]&amp;_05preva_view43[[#This Row],[File Name]]</f>
        <v>D:\OneDrive - apollo-towers.com\Apollo Towers\00-Process &amp; Database\Documentation\Colo Applications\Colo App MPT\1-01-06008-002 (TNY00033) Application Rev 5.xlsx</v>
      </c>
      <c r="BJ207" s="104"/>
      <c r="BK207" s="3"/>
      <c r="BL207" s="3"/>
      <c r="CJ207" s="5"/>
      <c r="CK207" s="5"/>
      <c r="CL207" s="3"/>
      <c r="CN207" s="5"/>
      <c r="CR207" s="3"/>
      <c r="CS207" s="3"/>
      <c r="CT207" s="5"/>
      <c r="CV207" s="3"/>
      <c r="DR207" s="5"/>
      <c r="DT207" s="3"/>
      <c r="EF207" s="7"/>
      <c r="EG207" s="7"/>
      <c r="EJ207" s="4"/>
      <c r="EK207" s="4"/>
      <c r="EU207" s="2"/>
      <c r="EV207" s="2"/>
    </row>
    <row r="208" spans="1:152">
      <c r="A208" s="125">
        <v>3443</v>
      </c>
      <c r="B208" s="126" t="s">
        <v>1306</v>
      </c>
      <c r="C208" s="126" t="s">
        <v>116</v>
      </c>
      <c r="D208" s="126" t="s">
        <v>127</v>
      </c>
      <c r="E208" s="126" t="s">
        <v>1307</v>
      </c>
      <c r="F208" s="126" t="s">
        <v>35</v>
      </c>
      <c r="G208" s="126" t="s">
        <v>1577</v>
      </c>
      <c r="H208" s="126" t="s">
        <v>1575</v>
      </c>
      <c r="I208" s="126" t="s">
        <v>1053</v>
      </c>
      <c r="J208" s="126" t="s">
        <v>949</v>
      </c>
      <c r="K208" s="127">
        <v>43430</v>
      </c>
      <c r="L208" s="128">
        <v>2.097</v>
      </c>
      <c r="M208" s="128">
        <v>3.669</v>
      </c>
      <c r="N208" s="126">
        <v>9.01</v>
      </c>
      <c r="O208" s="126" t="s">
        <v>119</v>
      </c>
      <c r="P208" s="129" t="s">
        <v>263</v>
      </c>
      <c r="Q208" s="129" t="s">
        <v>264</v>
      </c>
      <c r="R208" s="126" t="s">
        <v>24</v>
      </c>
      <c r="S208" s="126"/>
      <c r="T208" s="130" t="s">
        <v>120</v>
      </c>
      <c r="U208" s="126" t="s">
        <v>1336</v>
      </c>
      <c r="V208" s="130" t="s">
        <v>120</v>
      </c>
      <c r="W208" s="126" t="s">
        <v>120</v>
      </c>
      <c r="X208" s="130" t="s">
        <v>120</v>
      </c>
      <c r="Y208" s="126" t="s">
        <v>1308</v>
      </c>
      <c r="Z208" s="162" t="s">
        <v>120</v>
      </c>
      <c r="AA208" s="154"/>
      <c r="AB208" s="154"/>
      <c r="AC208" s="167" t="s">
        <v>123</v>
      </c>
      <c r="AD208" s="126" t="s">
        <v>1337</v>
      </c>
      <c r="AE208" s="130" t="s">
        <v>120</v>
      </c>
      <c r="AF208" s="127"/>
      <c r="AG208" s="131"/>
      <c r="AH208" s="131"/>
      <c r="AI208" s="126"/>
      <c r="AJ208" s="130" t="s">
        <v>120</v>
      </c>
      <c r="AK208" s="126" t="s">
        <v>123</v>
      </c>
      <c r="AL208" s="126" t="s">
        <v>1198</v>
      </c>
      <c r="AM208" s="130"/>
      <c r="AN208" s="126"/>
      <c r="AO208" s="132"/>
      <c r="AP208" s="126"/>
      <c r="AQ208" s="126"/>
      <c r="AR208" s="130"/>
      <c r="AS208" s="126"/>
      <c r="AT208" s="127">
        <v>43431.390418171301</v>
      </c>
      <c r="AU208" s="127">
        <v>43431.743153124997</v>
      </c>
      <c r="AV208" s="127">
        <v>43433.558900347198</v>
      </c>
      <c r="AW208" s="127">
        <v>43431.631299305598</v>
      </c>
      <c r="AX208" s="127">
        <v>43431.683982986098</v>
      </c>
      <c r="AY208" s="127">
        <v>43431.647567361098</v>
      </c>
      <c r="AZ208" s="133">
        <v>43433.558900347198</v>
      </c>
      <c r="BA208" s="134">
        <f ca="1">IF(_05preva_view43[[#This Row],[Prevalidation Status]]="Under Prevalidation",NOW()-_05preva_view43[[#This Row],[Request Date]],IF(_05preva_view43[[#This Row],[Close Date]]&gt;_05preva_view43[[#This Row],[Request Date]],_05preva_view43[[#This Row],[Close Date]]-_05preva_view43[[#This Row],[Request Date]],"Not  Calculated"))</f>
        <v>3.5589003471977776</v>
      </c>
      <c r="BB208" s="135">
        <f>COUNTIFS(_05preva_view43[Site ID],_05preva_view43[[#This Row],[Site ID]],_05preva_view43[Prevalidation Status],"Under Prevalidation")</f>
        <v>0</v>
      </c>
      <c r="BC208" s="153" t="str">
        <f ca="1">HYPERLINK(CheckPath(_05preva_view43[[#This Row],[File Path]],_05preva_view43[[#This Row],[File Path]],_05preva_view43[[#This Row],[Folder Path3]]),CheckPath(_05preva_view43[[#This Row],[File Path]],"Open File","No File"))</f>
        <v>No File</v>
      </c>
      <c r="BD208" s="136" t="str">
        <f>CONCATENATE(_05preva_view43[[#This Row],[Site ID]]," (",_05preva_view43[[#This Row],[tenant id]],") Application",IF(_05preva_view43[[#This Row],[Colo Rev]]&gt;0," Rev "&amp;_05preva_view43[[#This Row],[Colo Rev]],""),".xlsx")</f>
        <v>ANSG_0393 (SGG00203) Application Rev 2.xlsx</v>
      </c>
      <c r="BE208" s="64">
        <f t="shared" ref="BE208:BE271" ca="1" si="5">FIND("Process &amp; Database\",CELL("filename",$A$1))</f>
        <v>50</v>
      </c>
      <c r="BF208" s="104" t="str">
        <f ca="1">LEFT(CELL("filename",A193),_05preva_view43[[#This Row],[Find Process &amp; Database]]-1)</f>
        <v>D:\OneDrive - apollo-towers.com\Apollo Towers\00-</v>
      </c>
      <c r="BG208" s="104" t="str">
        <f ca="1">_05preva_view43[Folder Path1]&amp;"Process &amp; Database\Documentation\Colo Applications"</f>
        <v>D:\OneDrive - apollo-towers.com\Apollo Towers\00-Process &amp; Database\Documentation\Colo Applications</v>
      </c>
      <c r="BH208" s="104" t="str">
        <f ca="1">_05preva_view43[Folder Path2]&amp;"\Colo App "&amp;_05preva_view43[[#This Row],[Operator]]&amp;"\"</f>
        <v>D:\OneDrive - apollo-towers.com\Apollo Towers\00-Process &amp; Database\Documentation\Colo Applications\Colo App MPT\</v>
      </c>
      <c r="BI208" s="63" t="str">
        <f ca="1">_05preva_view43[[#This Row],[Folder Path3]]&amp;_05preva_view43[[#This Row],[File Name]]</f>
        <v>D:\OneDrive - apollo-towers.com\Apollo Towers\00-Process &amp; Database\Documentation\Colo Applications\Colo App MPT\ANSG_0393 (SGG00203) Application Rev 2.xlsx</v>
      </c>
      <c r="BJ208" s="104"/>
      <c r="BK208" s="3"/>
      <c r="BL208" s="3"/>
      <c r="CJ208" s="5"/>
      <c r="CK208" s="5"/>
      <c r="CL208" s="3"/>
      <c r="CN208" s="5"/>
      <c r="CR208" s="3"/>
      <c r="CS208" s="3"/>
      <c r="CT208" s="5"/>
      <c r="CV208" s="3"/>
      <c r="DR208" s="5"/>
      <c r="DT208" s="3"/>
      <c r="EF208" s="7"/>
      <c r="EG208" s="7"/>
      <c r="EJ208" s="4"/>
      <c r="EK208" s="4"/>
      <c r="EU208" s="2"/>
      <c r="EV208" s="2"/>
    </row>
    <row r="209" spans="1:152">
      <c r="A209" s="125">
        <v>3444</v>
      </c>
      <c r="B209" s="126" t="s">
        <v>1309</v>
      </c>
      <c r="C209" s="126" t="s">
        <v>116</v>
      </c>
      <c r="D209" s="126" t="s">
        <v>127</v>
      </c>
      <c r="E209" s="126" t="s">
        <v>1310</v>
      </c>
      <c r="F209" s="126" t="s">
        <v>35</v>
      </c>
      <c r="G209" s="126" t="s">
        <v>1585</v>
      </c>
      <c r="H209" s="126" t="s">
        <v>1580</v>
      </c>
      <c r="I209" s="126" t="s">
        <v>1311</v>
      </c>
      <c r="J209" s="126" t="s">
        <v>940</v>
      </c>
      <c r="K209" s="127">
        <v>43430</v>
      </c>
      <c r="L209" s="128">
        <v>0.98299999999999998</v>
      </c>
      <c r="M209" s="128">
        <v>1.6779999999999999</v>
      </c>
      <c r="N209" s="126">
        <v>3.91</v>
      </c>
      <c r="O209" s="126" t="s">
        <v>119</v>
      </c>
      <c r="P209" s="129" t="s">
        <v>276</v>
      </c>
      <c r="Q209" s="129" t="s">
        <v>277</v>
      </c>
      <c r="R209" s="126" t="s">
        <v>24</v>
      </c>
      <c r="S209" s="126"/>
      <c r="T209" s="130" t="s">
        <v>120</v>
      </c>
      <c r="U209" s="126" t="s">
        <v>1336</v>
      </c>
      <c r="V209" s="130" t="s">
        <v>120</v>
      </c>
      <c r="W209" s="126"/>
      <c r="X209" s="130" t="s">
        <v>120</v>
      </c>
      <c r="Y209" s="126" t="s">
        <v>1312</v>
      </c>
      <c r="Z209" s="162" t="s">
        <v>120</v>
      </c>
      <c r="AA209" s="154"/>
      <c r="AB209" s="154"/>
      <c r="AC209" s="167" t="s">
        <v>123</v>
      </c>
      <c r="AD209" s="126" t="s">
        <v>1338</v>
      </c>
      <c r="AE209" s="130" t="s">
        <v>120</v>
      </c>
      <c r="AF209" s="127"/>
      <c r="AG209" s="131"/>
      <c r="AH209" s="131"/>
      <c r="AI209" s="126"/>
      <c r="AJ209" s="130" t="s">
        <v>120</v>
      </c>
      <c r="AK209" s="126" t="s">
        <v>240</v>
      </c>
      <c r="AL209" s="126" t="s">
        <v>1313</v>
      </c>
      <c r="AM209" s="130"/>
      <c r="AN209" s="126"/>
      <c r="AO209" s="132"/>
      <c r="AP209" s="126"/>
      <c r="AQ209" s="126"/>
      <c r="AR209" s="130"/>
      <c r="AS209" s="126"/>
      <c r="AT209" s="127">
        <v>43431.390419097203</v>
      </c>
      <c r="AU209" s="127">
        <v>43431.743155902797</v>
      </c>
      <c r="AV209" s="127">
        <v>43433.685579282399</v>
      </c>
      <c r="AW209" s="127">
        <v>43431.390419097203</v>
      </c>
      <c r="AX209" s="127">
        <v>43431.683984259304</v>
      </c>
      <c r="AY209" s="127">
        <v>43430.830383564797</v>
      </c>
      <c r="AZ209" s="133">
        <v>43433.685579282399</v>
      </c>
      <c r="BA209" s="134">
        <f ca="1">IF(_05preva_view43[[#This Row],[Prevalidation Status]]="Under Prevalidation",NOW()-_05preva_view43[[#This Row],[Request Date]],IF(_05preva_view43[[#This Row],[Close Date]]&gt;_05preva_view43[[#This Row],[Request Date]],_05preva_view43[[#This Row],[Close Date]]-_05preva_view43[[#This Row],[Request Date]],"Not  Calculated"))</f>
        <v>3.6855792823989759</v>
      </c>
      <c r="BB209" s="135">
        <f>COUNTIFS(_05preva_view43[Site ID],_05preva_view43[[#This Row],[Site ID]],_05preva_view43[Prevalidation Status],"Under Prevalidation")</f>
        <v>0</v>
      </c>
      <c r="BC209" s="153" t="str">
        <f ca="1">HYPERLINK(CheckPath(_05preva_view43[[#This Row],[File Path]],_05preva_view43[[#This Row],[File Path]],_05preva_view43[[#This Row],[Folder Path3]]),CheckPath(_05preva_view43[[#This Row],[File Path]],"Open File","No File"))</f>
        <v>No File</v>
      </c>
      <c r="BD209" s="136" t="str">
        <f>CONCATENATE(_05preva_view43[[#This Row],[Site ID]]," (",_05preva_view43[[#This Row],[tenant id]],") Application",IF(_05preva_view43[[#This Row],[Colo Rev]]&gt;0," Rev "&amp;_05preva_view43[[#This Row],[Colo Rev]],""),".xlsx")</f>
        <v>ANMD_3001 (MDY01695) Application Rev 0.xlsx</v>
      </c>
      <c r="BE209" s="64">
        <f t="shared" ca="1" si="5"/>
        <v>50</v>
      </c>
      <c r="BF209" s="104" t="str">
        <f ca="1">LEFT(CELL("filename",A194),_05preva_view43[[#This Row],[Find Process &amp; Database]]-1)</f>
        <v>D:\OneDrive - apollo-towers.com\Apollo Towers\00-</v>
      </c>
      <c r="BG209" s="104" t="str">
        <f ca="1">_05preva_view43[Folder Path1]&amp;"Process &amp; Database\Documentation\Colo Applications"</f>
        <v>D:\OneDrive - apollo-towers.com\Apollo Towers\00-Process &amp; Database\Documentation\Colo Applications</v>
      </c>
      <c r="BH209" s="104" t="str">
        <f ca="1">_05preva_view43[Folder Path2]&amp;"\Colo App "&amp;_05preva_view43[[#This Row],[Operator]]&amp;"\"</f>
        <v>D:\OneDrive - apollo-towers.com\Apollo Towers\00-Process &amp; Database\Documentation\Colo Applications\Colo App MPT\</v>
      </c>
      <c r="BI209" s="63" t="str">
        <f ca="1">_05preva_view43[[#This Row],[Folder Path3]]&amp;_05preva_view43[[#This Row],[File Name]]</f>
        <v>D:\OneDrive - apollo-towers.com\Apollo Towers\00-Process &amp; Database\Documentation\Colo Applications\Colo App MPT\ANMD_3001 (MDY01695) Application Rev 0.xlsx</v>
      </c>
      <c r="BJ209" s="104"/>
      <c r="BK209" s="3"/>
      <c r="BL209" s="3"/>
      <c r="CJ209" s="5"/>
      <c r="CK209" s="5"/>
      <c r="CL209" s="3"/>
      <c r="CN209" s="5"/>
      <c r="CR209" s="3"/>
      <c r="CS209" s="3"/>
      <c r="CT209" s="5"/>
      <c r="CV209" s="3"/>
      <c r="DR209" s="5"/>
      <c r="DT209" s="3"/>
      <c r="EF209" s="7"/>
      <c r="EG209" s="7"/>
      <c r="EJ209" s="4"/>
      <c r="EK209" s="4"/>
      <c r="EU209" s="2"/>
      <c r="EV209" s="2"/>
    </row>
    <row r="210" spans="1:152">
      <c r="A210" s="125">
        <v>3429</v>
      </c>
      <c r="B210" s="126" t="s">
        <v>1261</v>
      </c>
      <c r="C210" s="126" t="s">
        <v>331</v>
      </c>
      <c r="D210" s="126" t="s">
        <v>127</v>
      </c>
      <c r="E210" s="126" t="s">
        <v>1262</v>
      </c>
      <c r="F210" s="126" t="s">
        <v>35</v>
      </c>
      <c r="G210" s="126" t="s">
        <v>1583</v>
      </c>
      <c r="H210" s="126" t="s">
        <v>1575</v>
      </c>
      <c r="I210" s="126" t="s">
        <v>1263</v>
      </c>
      <c r="J210" s="126" t="s">
        <v>931</v>
      </c>
      <c r="K210" s="127">
        <v>43424</v>
      </c>
      <c r="L210" s="128">
        <v>1</v>
      </c>
      <c r="M210" s="128">
        <v>1.4</v>
      </c>
      <c r="N210" s="126">
        <v>3.7429999999999999</v>
      </c>
      <c r="O210" s="126" t="s">
        <v>950</v>
      </c>
      <c r="P210" s="129" t="s">
        <v>958</v>
      </c>
      <c r="Q210" s="129" t="s">
        <v>959</v>
      </c>
      <c r="R210" s="126" t="s">
        <v>24</v>
      </c>
      <c r="S210" s="126"/>
      <c r="T210" s="130" t="s">
        <v>120</v>
      </c>
      <c r="U210" s="126" t="s">
        <v>1264</v>
      </c>
      <c r="V210" s="130" t="s">
        <v>120</v>
      </c>
      <c r="W210" s="126"/>
      <c r="X210" s="130" t="s">
        <v>120</v>
      </c>
      <c r="Y210" s="126" t="s">
        <v>1265</v>
      </c>
      <c r="Z210" s="162" t="s">
        <v>120</v>
      </c>
      <c r="AA210" s="154"/>
      <c r="AB210" s="154"/>
      <c r="AC210" s="167" t="s">
        <v>123</v>
      </c>
      <c r="AD210" s="126" t="s">
        <v>1266</v>
      </c>
      <c r="AE210" s="130" t="s">
        <v>120</v>
      </c>
      <c r="AF210" s="127"/>
      <c r="AG210" s="131"/>
      <c r="AH210" s="131"/>
      <c r="AI210" s="126" t="s">
        <v>1267</v>
      </c>
      <c r="AJ210" s="130" t="s">
        <v>120</v>
      </c>
      <c r="AK210" s="126" t="s">
        <v>123</v>
      </c>
      <c r="AL210" s="126" t="s">
        <v>1198</v>
      </c>
      <c r="AM210" s="130"/>
      <c r="AN210" s="126"/>
      <c r="AO210" s="132"/>
      <c r="AP210" s="126"/>
      <c r="AQ210" s="126"/>
      <c r="AR210" s="130"/>
      <c r="AS210" s="126"/>
      <c r="AT210" s="127">
        <v>43424.694659953697</v>
      </c>
      <c r="AU210" s="127">
        <v>43424.698242824103</v>
      </c>
      <c r="AV210" s="127">
        <v>43430.680181713004</v>
      </c>
      <c r="AW210" s="127">
        <v>43424.694659953697</v>
      </c>
      <c r="AX210" s="127">
        <v>43430.4966569444</v>
      </c>
      <c r="AY210" s="127">
        <v>43430.843723842598</v>
      </c>
      <c r="AZ210" s="133">
        <v>43430.843723842598</v>
      </c>
      <c r="BA210" s="134">
        <f ca="1">IF(_05preva_view43[[#This Row],[Prevalidation Status]]="Under Prevalidation",NOW()-_05preva_view43[[#This Row],[Request Date]],IF(_05preva_view43[[#This Row],[Close Date]]&gt;_05preva_view43[[#This Row],[Request Date]],_05preva_view43[[#This Row],[Close Date]]-_05preva_view43[[#This Row],[Request Date]],"Not  Calculated"))</f>
        <v>6.843723842597683</v>
      </c>
      <c r="BB210" s="135">
        <f>COUNTIFS(_05preva_view43[Site ID],_05preva_view43[[#This Row],[Site ID]],_05preva_view43[Prevalidation Status],"Under Prevalidation")</f>
        <v>0</v>
      </c>
      <c r="BC210" s="153" t="str">
        <f ca="1">HYPERLINK(CheckPath(_05preva_view43[[#This Row],[File Path]],_05preva_view43[[#This Row],[File Path]],_05preva_view43[[#This Row],[Folder Path3]]),CheckPath(_05preva_view43[[#This Row],[File Path]],"Open File","No File"))</f>
        <v>No File</v>
      </c>
      <c r="BD210" s="136" t="str">
        <f>CONCATENATE(_05preva_view43[[#This Row],[Site ID]]," (",_05preva_view43[[#This Row],[tenant id]],") Application",IF(_05preva_view43[[#This Row],[Colo Rev]]&gt;0," Rev "&amp;_05preva_view43[[#This Row],[Colo Rev]],""),".xlsx")</f>
        <v>1-01-05010-002 (SGG00209) Application Rev 1.xlsx</v>
      </c>
      <c r="BE210" s="64">
        <f t="shared" ca="1" si="5"/>
        <v>50</v>
      </c>
      <c r="BF210" s="104" t="str">
        <f ca="1">LEFT(CELL("filename",A195),_05preva_view43[[#This Row],[Find Process &amp; Database]]-1)</f>
        <v>D:\OneDrive - apollo-towers.com\Apollo Towers\00-</v>
      </c>
      <c r="BG210" s="104" t="str">
        <f ca="1">_05preva_view43[Folder Path1]&amp;"Process &amp; Database\Documentation\Colo Applications"</f>
        <v>D:\OneDrive - apollo-towers.com\Apollo Towers\00-Process &amp; Database\Documentation\Colo Applications</v>
      </c>
      <c r="BH210" s="104" t="str">
        <f ca="1">_05preva_view43[Folder Path2]&amp;"\Colo App "&amp;_05preva_view43[[#This Row],[Operator]]&amp;"\"</f>
        <v>D:\OneDrive - apollo-towers.com\Apollo Towers\00-Process &amp; Database\Documentation\Colo Applications\Colo App MPT\</v>
      </c>
      <c r="BI210" s="63" t="str">
        <f ca="1">_05preva_view43[[#This Row],[Folder Path3]]&amp;_05preva_view43[[#This Row],[File Name]]</f>
        <v>D:\OneDrive - apollo-towers.com\Apollo Towers\00-Process &amp; Database\Documentation\Colo Applications\Colo App MPT\1-01-05010-002 (SGG00209) Application Rev 1.xlsx</v>
      </c>
      <c r="BJ210" s="104"/>
      <c r="BK210" s="3"/>
      <c r="BL210" s="3"/>
      <c r="CJ210" s="5"/>
      <c r="CK210" s="5"/>
      <c r="CL210" s="3"/>
      <c r="CN210" s="5"/>
      <c r="CR210" s="3"/>
      <c r="CS210" s="3"/>
      <c r="CT210" s="5"/>
      <c r="CV210" s="3"/>
      <c r="DR210" s="5"/>
      <c r="DT210" s="3"/>
      <c r="EF210" s="7"/>
      <c r="EG210" s="7"/>
      <c r="EJ210" s="4"/>
      <c r="EK210" s="4"/>
      <c r="EU210" s="2"/>
      <c r="EV210" s="2"/>
    </row>
    <row r="211" spans="1:152">
      <c r="A211" s="125">
        <v>3430</v>
      </c>
      <c r="B211" s="126" t="s">
        <v>1268</v>
      </c>
      <c r="C211" s="126" t="s">
        <v>331</v>
      </c>
      <c r="D211" s="126" t="s">
        <v>127</v>
      </c>
      <c r="E211" s="126" t="s">
        <v>1269</v>
      </c>
      <c r="F211" s="126" t="s">
        <v>35</v>
      </c>
      <c r="G211" s="126" t="s">
        <v>1583</v>
      </c>
      <c r="H211" s="126" t="s">
        <v>1575</v>
      </c>
      <c r="I211" s="126" t="s">
        <v>1263</v>
      </c>
      <c r="J211" s="126" t="s">
        <v>949</v>
      </c>
      <c r="K211" s="127">
        <v>43424</v>
      </c>
      <c r="L211" s="128">
        <v>1.1619999999999999</v>
      </c>
      <c r="M211" s="128">
        <v>1.68</v>
      </c>
      <c r="N211" s="126">
        <v>10.129</v>
      </c>
      <c r="O211" s="126" t="s">
        <v>950</v>
      </c>
      <c r="P211" s="129" t="s">
        <v>1270</v>
      </c>
      <c r="Q211" s="129" t="s">
        <v>1271</v>
      </c>
      <c r="R211" s="126" t="s">
        <v>24</v>
      </c>
      <c r="S211" s="126"/>
      <c r="T211" s="130" t="s">
        <v>120</v>
      </c>
      <c r="U211" s="126" t="s">
        <v>1264</v>
      </c>
      <c r="V211" s="130" t="s">
        <v>120</v>
      </c>
      <c r="W211" s="126"/>
      <c r="X211" s="130" t="s">
        <v>120</v>
      </c>
      <c r="Y211" s="126" t="s">
        <v>1272</v>
      </c>
      <c r="Z211" s="162" t="s">
        <v>120</v>
      </c>
      <c r="AA211" s="154"/>
      <c r="AB211" s="154"/>
      <c r="AC211" s="167" t="s">
        <v>123</v>
      </c>
      <c r="AD211" s="126" t="s">
        <v>1323</v>
      </c>
      <c r="AE211" s="130" t="s">
        <v>120</v>
      </c>
      <c r="AF211" s="127"/>
      <c r="AG211" s="131"/>
      <c r="AH211" s="131"/>
      <c r="AI211" s="126" t="s">
        <v>1267</v>
      </c>
      <c r="AJ211" s="130" t="s">
        <v>120</v>
      </c>
      <c r="AK211" s="126" t="s">
        <v>123</v>
      </c>
      <c r="AL211" s="126" t="s">
        <v>1198</v>
      </c>
      <c r="AM211" s="130"/>
      <c r="AN211" s="126"/>
      <c r="AO211" s="132"/>
      <c r="AP211" s="126"/>
      <c r="AQ211" s="126"/>
      <c r="AR211" s="130"/>
      <c r="AS211" s="126"/>
      <c r="AT211" s="127">
        <v>43424.694662268499</v>
      </c>
      <c r="AU211" s="127">
        <v>43424.698243634302</v>
      </c>
      <c r="AV211" s="127">
        <v>43431.481612962998</v>
      </c>
      <c r="AW211" s="127">
        <v>43424.694662268499</v>
      </c>
      <c r="AX211" s="127">
        <v>43430.496660185199</v>
      </c>
      <c r="AY211" s="127">
        <v>43430.843728703701</v>
      </c>
      <c r="AZ211" s="133">
        <v>43431.481612962998</v>
      </c>
      <c r="BA211" s="134">
        <f ca="1">IF(_05preva_view43[[#This Row],[Prevalidation Status]]="Under Prevalidation",NOW()-_05preva_view43[[#This Row],[Request Date]],IF(_05preva_view43[[#This Row],[Close Date]]&gt;_05preva_view43[[#This Row],[Request Date]],_05preva_view43[[#This Row],[Close Date]]-_05preva_view43[[#This Row],[Request Date]],"Not  Calculated"))</f>
        <v>7.4816129629980423</v>
      </c>
      <c r="BB211" s="135">
        <f>COUNTIFS(_05preva_view43[Site ID],_05preva_view43[[#This Row],[Site ID]],_05preva_view43[Prevalidation Status],"Under Prevalidation")</f>
        <v>0</v>
      </c>
      <c r="BC211" s="153" t="str">
        <f ca="1">HYPERLINK(CheckPath(_05preva_view43[[#This Row],[File Path]],_05preva_view43[[#This Row],[File Path]],_05preva_view43[[#This Row],[Folder Path3]]),CheckPath(_05preva_view43[[#This Row],[File Path]],"Open File","No File"))</f>
        <v>No File</v>
      </c>
      <c r="BD211" s="136" t="str">
        <f>CONCATENATE(_05preva_view43[[#This Row],[Site ID]]," (",_05preva_view43[[#This Row],[tenant id]],") Application",IF(_05preva_view43[[#This Row],[Colo Rev]]&gt;0," Rev "&amp;_05preva_view43[[#This Row],[Colo Rev]],""),".xlsx")</f>
        <v>1-01-05010-006 (SGG00232) Application Rev 2.xlsx</v>
      </c>
      <c r="BE211" s="64">
        <f t="shared" ca="1" si="5"/>
        <v>50</v>
      </c>
      <c r="BF211" s="104" t="str">
        <f ca="1">LEFT(CELL("filename",A196),_05preva_view43[[#This Row],[Find Process &amp; Database]]-1)</f>
        <v>D:\OneDrive - apollo-towers.com\Apollo Towers\00-</v>
      </c>
      <c r="BG211" s="104" t="str">
        <f ca="1">_05preva_view43[Folder Path1]&amp;"Process &amp; Database\Documentation\Colo Applications"</f>
        <v>D:\OneDrive - apollo-towers.com\Apollo Towers\00-Process &amp; Database\Documentation\Colo Applications</v>
      </c>
      <c r="BH211" s="104" t="str">
        <f ca="1">_05preva_view43[Folder Path2]&amp;"\Colo App "&amp;_05preva_view43[[#This Row],[Operator]]&amp;"\"</f>
        <v>D:\OneDrive - apollo-towers.com\Apollo Towers\00-Process &amp; Database\Documentation\Colo Applications\Colo App MPT\</v>
      </c>
      <c r="BI211" s="63" t="str">
        <f ca="1">_05preva_view43[[#This Row],[Folder Path3]]&amp;_05preva_view43[[#This Row],[File Name]]</f>
        <v>D:\OneDrive - apollo-towers.com\Apollo Towers\00-Process &amp; Database\Documentation\Colo Applications\Colo App MPT\1-01-05010-006 (SGG00232) Application Rev 2.xlsx</v>
      </c>
      <c r="BJ211" s="104"/>
      <c r="BK211" s="3"/>
      <c r="BL211" s="3"/>
      <c r="CJ211" s="5"/>
      <c r="CK211" s="5"/>
      <c r="CL211" s="3"/>
      <c r="CN211" s="5"/>
      <c r="CR211" s="3"/>
      <c r="CS211" s="3"/>
      <c r="CT211" s="5"/>
      <c r="CV211" s="3"/>
      <c r="DR211" s="5"/>
      <c r="DT211" s="3"/>
      <c r="EF211" s="7"/>
      <c r="EG211" s="7"/>
      <c r="EJ211" s="4"/>
      <c r="EK211" s="4"/>
      <c r="EU211" s="2"/>
      <c r="EV211" s="2"/>
    </row>
    <row r="212" spans="1:152">
      <c r="A212" s="125">
        <v>3431</v>
      </c>
      <c r="B212" s="126" t="s">
        <v>1273</v>
      </c>
      <c r="C212" s="126" t="s">
        <v>331</v>
      </c>
      <c r="D212" s="126" t="s">
        <v>127</v>
      </c>
      <c r="E212" s="126" t="s">
        <v>1274</v>
      </c>
      <c r="F212" s="126" t="s">
        <v>35</v>
      </c>
      <c r="G212" s="126" t="s">
        <v>1583</v>
      </c>
      <c r="H212" s="126" t="s">
        <v>1575</v>
      </c>
      <c r="I212" s="126" t="s">
        <v>1263</v>
      </c>
      <c r="J212" s="126" t="s">
        <v>949</v>
      </c>
      <c r="K212" s="127">
        <v>43424</v>
      </c>
      <c r="L212" s="128">
        <v>1</v>
      </c>
      <c r="M212" s="128">
        <v>1.4</v>
      </c>
      <c r="N212" s="126">
        <v>4.6900000000000004</v>
      </c>
      <c r="O212" s="126" t="s">
        <v>950</v>
      </c>
      <c r="P212" s="129" t="s">
        <v>1275</v>
      </c>
      <c r="Q212" s="129" t="s">
        <v>1276</v>
      </c>
      <c r="R212" s="126" t="s">
        <v>24</v>
      </c>
      <c r="S212" s="126"/>
      <c r="T212" s="130" t="s">
        <v>120</v>
      </c>
      <c r="U212" s="126" t="s">
        <v>1277</v>
      </c>
      <c r="V212" s="130" t="s">
        <v>120</v>
      </c>
      <c r="W212" s="126"/>
      <c r="X212" s="130" t="s">
        <v>120</v>
      </c>
      <c r="Y212" s="126" t="s">
        <v>1278</v>
      </c>
      <c r="Z212" s="162" t="s">
        <v>120</v>
      </c>
      <c r="AA212" s="154"/>
      <c r="AB212" s="154"/>
      <c r="AC212" s="167" t="s">
        <v>123</v>
      </c>
      <c r="AD212" s="126" t="s">
        <v>1324</v>
      </c>
      <c r="AE212" s="130" t="s">
        <v>120</v>
      </c>
      <c r="AF212" s="127"/>
      <c r="AG212" s="131"/>
      <c r="AH212" s="131"/>
      <c r="AI212" s="126" t="s">
        <v>1267</v>
      </c>
      <c r="AJ212" s="130" t="s">
        <v>120</v>
      </c>
      <c r="AK212" s="126" t="s">
        <v>123</v>
      </c>
      <c r="AL212" s="126" t="s">
        <v>1198</v>
      </c>
      <c r="AM212" s="130"/>
      <c r="AN212" s="126"/>
      <c r="AO212" s="132"/>
      <c r="AP212" s="126"/>
      <c r="AQ212" s="126"/>
      <c r="AR212" s="130"/>
      <c r="AS212" s="126"/>
      <c r="AT212" s="127">
        <v>43424.6946648148</v>
      </c>
      <c r="AU212" s="127">
        <v>43424.698246874999</v>
      </c>
      <c r="AV212" s="127">
        <v>43431.577387963</v>
      </c>
      <c r="AW212" s="127">
        <v>43424.6946648148</v>
      </c>
      <c r="AX212" s="127">
        <v>43430.496663425904</v>
      </c>
      <c r="AY212" s="127">
        <v>43430.843733449103</v>
      </c>
      <c r="AZ212" s="133">
        <v>43431.577387963</v>
      </c>
      <c r="BA212" s="134">
        <f ca="1">IF(_05preva_view43[[#This Row],[Prevalidation Status]]="Under Prevalidation",NOW()-_05preva_view43[[#This Row],[Request Date]],IF(_05preva_view43[[#This Row],[Close Date]]&gt;_05preva_view43[[#This Row],[Request Date]],_05preva_view43[[#This Row],[Close Date]]-_05preva_view43[[#This Row],[Request Date]],"Not  Calculated"))</f>
        <v>7.5773879629996372</v>
      </c>
      <c r="BB212" s="135">
        <f>COUNTIFS(_05preva_view43[Site ID],_05preva_view43[[#This Row],[Site ID]],_05preva_view43[Prevalidation Status],"Under Prevalidation")</f>
        <v>0</v>
      </c>
      <c r="BC212" s="153" t="str">
        <f ca="1">HYPERLINK(CheckPath(_05preva_view43[[#This Row],[File Path]],_05preva_view43[[#This Row],[File Path]],_05preva_view43[[#This Row],[Folder Path3]]),CheckPath(_05preva_view43[[#This Row],[File Path]],"Open File","No File"))</f>
        <v>No File</v>
      </c>
      <c r="BD212" s="136" t="str">
        <f>CONCATENATE(_05preva_view43[[#This Row],[Site ID]]," (",_05preva_view43[[#This Row],[tenant id]],") Application",IF(_05preva_view43[[#This Row],[Colo Rev]]&gt;0," Rev "&amp;_05preva_view43[[#This Row],[Colo Rev]],""),".xlsx")</f>
        <v>1-01-05009-003 (SGG00236) Application Rev 2.xlsx</v>
      </c>
      <c r="BE212" s="64">
        <f t="shared" ca="1" si="5"/>
        <v>50</v>
      </c>
      <c r="BF212" s="104" t="str">
        <f ca="1">LEFT(CELL("filename",A197),_05preva_view43[[#This Row],[Find Process &amp; Database]]-1)</f>
        <v>D:\OneDrive - apollo-towers.com\Apollo Towers\00-</v>
      </c>
      <c r="BG212" s="104" t="str">
        <f ca="1">_05preva_view43[Folder Path1]&amp;"Process &amp; Database\Documentation\Colo Applications"</f>
        <v>D:\OneDrive - apollo-towers.com\Apollo Towers\00-Process &amp; Database\Documentation\Colo Applications</v>
      </c>
      <c r="BH212" s="104" t="str">
        <f ca="1">_05preva_view43[Folder Path2]&amp;"\Colo App "&amp;_05preva_view43[[#This Row],[Operator]]&amp;"\"</f>
        <v>D:\OneDrive - apollo-towers.com\Apollo Towers\00-Process &amp; Database\Documentation\Colo Applications\Colo App MPT\</v>
      </c>
      <c r="BI212" s="63" t="str">
        <f ca="1">_05preva_view43[[#This Row],[Folder Path3]]&amp;_05preva_view43[[#This Row],[File Name]]</f>
        <v>D:\OneDrive - apollo-towers.com\Apollo Towers\00-Process &amp; Database\Documentation\Colo Applications\Colo App MPT\1-01-05009-003 (SGG00236) Application Rev 2.xlsx</v>
      </c>
      <c r="BJ212" s="104"/>
      <c r="BK212" s="3"/>
      <c r="BL212" s="3"/>
      <c r="CJ212" s="5"/>
      <c r="CK212" s="5"/>
      <c r="CL212" s="3"/>
      <c r="CN212" s="5"/>
      <c r="CR212" s="3"/>
      <c r="CS212" s="3"/>
      <c r="CT212" s="5"/>
      <c r="CV212" s="3"/>
      <c r="DR212" s="5"/>
      <c r="DT212" s="3"/>
      <c r="EF212" s="7"/>
      <c r="EG212" s="7"/>
      <c r="EJ212" s="4"/>
      <c r="EK212" s="4"/>
      <c r="EU212" s="2"/>
      <c r="EV212" s="2"/>
    </row>
    <row r="213" spans="1:152">
      <c r="A213" s="125">
        <v>3432</v>
      </c>
      <c r="B213" s="126" t="s">
        <v>1279</v>
      </c>
      <c r="C213" s="126" t="s">
        <v>331</v>
      </c>
      <c r="D213" s="126" t="s">
        <v>127</v>
      </c>
      <c r="E213" s="126" t="s">
        <v>1280</v>
      </c>
      <c r="F213" s="126" t="s">
        <v>35</v>
      </c>
      <c r="G213" s="126" t="s">
        <v>1583</v>
      </c>
      <c r="H213" s="126" t="s">
        <v>1575</v>
      </c>
      <c r="I213" s="126" t="s">
        <v>1263</v>
      </c>
      <c r="J213" s="126" t="s">
        <v>949</v>
      </c>
      <c r="K213" s="127">
        <v>43424</v>
      </c>
      <c r="L213" s="128">
        <v>1</v>
      </c>
      <c r="M213" s="128">
        <v>1.462</v>
      </c>
      <c r="N213" s="126">
        <v>3.72</v>
      </c>
      <c r="O213" s="126" t="s">
        <v>950</v>
      </c>
      <c r="P213" s="129" t="s">
        <v>958</v>
      </c>
      <c r="Q213" s="129" t="s">
        <v>959</v>
      </c>
      <c r="R213" s="126" t="s">
        <v>24</v>
      </c>
      <c r="S213" s="126"/>
      <c r="T213" s="130" t="s">
        <v>120</v>
      </c>
      <c r="U213" s="126" t="s">
        <v>1264</v>
      </c>
      <c r="V213" s="130" t="s">
        <v>120</v>
      </c>
      <c r="W213" s="126"/>
      <c r="X213" s="130" t="s">
        <v>120</v>
      </c>
      <c r="Y213" s="126" t="s">
        <v>1281</v>
      </c>
      <c r="Z213" s="162" t="s">
        <v>120</v>
      </c>
      <c r="AA213" s="154"/>
      <c r="AB213" s="154"/>
      <c r="AC213" s="167" t="s">
        <v>123</v>
      </c>
      <c r="AD213" s="126" t="s">
        <v>1325</v>
      </c>
      <c r="AE213" s="130" t="s">
        <v>120</v>
      </c>
      <c r="AF213" s="127"/>
      <c r="AG213" s="131"/>
      <c r="AH213" s="131"/>
      <c r="AI213" s="126" t="s">
        <v>1267</v>
      </c>
      <c r="AJ213" s="130" t="s">
        <v>120</v>
      </c>
      <c r="AK213" s="126" t="s">
        <v>123</v>
      </c>
      <c r="AL213" s="126" t="s">
        <v>1198</v>
      </c>
      <c r="AM213" s="130"/>
      <c r="AN213" s="126"/>
      <c r="AO213" s="132"/>
      <c r="AP213" s="126"/>
      <c r="AQ213" s="126"/>
      <c r="AR213" s="130"/>
      <c r="AS213" s="126"/>
      <c r="AT213" s="127">
        <v>43424.694668171302</v>
      </c>
      <c r="AU213" s="127">
        <v>43424.698250115704</v>
      </c>
      <c r="AV213" s="127">
        <v>43431.6075696759</v>
      </c>
      <c r="AW213" s="127">
        <v>43424.694668171302</v>
      </c>
      <c r="AX213" s="127">
        <v>43430.496666666702</v>
      </c>
      <c r="AY213" s="127">
        <v>43430.843737962998</v>
      </c>
      <c r="AZ213" s="133">
        <v>43431.6075696759</v>
      </c>
      <c r="BA213" s="134">
        <f ca="1">IF(_05preva_view43[[#This Row],[Prevalidation Status]]="Under Prevalidation",NOW()-_05preva_view43[[#This Row],[Request Date]],IF(_05preva_view43[[#This Row],[Close Date]]&gt;_05preva_view43[[#This Row],[Request Date]],_05preva_view43[[#This Row],[Close Date]]-_05preva_view43[[#This Row],[Request Date]],"Not  Calculated"))</f>
        <v>7.6075696758998674</v>
      </c>
      <c r="BB213" s="135">
        <f>COUNTIFS(_05preva_view43[Site ID],_05preva_view43[[#This Row],[Site ID]],_05preva_view43[Prevalidation Status],"Under Prevalidation")</f>
        <v>0</v>
      </c>
      <c r="BC213" s="153" t="str">
        <f ca="1">HYPERLINK(CheckPath(_05preva_view43[[#This Row],[File Path]],_05preva_view43[[#This Row],[File Path]],_05preva_view43[[#This Row],[Folder Path3]]),CheckPath(_05preva_view43[[#This Row],[File Path]],"Open File","No File"))</f>
        <v>No File</v>
      </c>
      <c r="BD213" s="136" t="str">
        <f>CONCATENATE(_05preva_view43[[#This Row],[Site ID]]," (",_05preva_view43[[#This Row],[tenant id]],") Application",IF(_05preva_view43[[#This Row],[Colo Rev]]&gt;0," Rev "&amp;_05preva_view43[[#This Row],[Colo Rev]],""),".xlsx")</f>
        <v>1-01-14007-014 (SHN00080) Application Rev 2.xlsx</v>
      </c>
      <c r="BE213" s="64">
        <f t="shared" ca="1" si="5"/>
        <v>50</v>
      </c>
      <c r="BF213" s="104" t="str">
        <f ca="1">LEFT(CELL("filename",A198),_05preva_view43[[#This Row],[Find Process &amp; Database]]-1)</f>
        <v>D:\OneDrive - apollo-towers.com\Apollo Towers\00-</v>
      </c>
      <c r="BG213" s="104" t="str">
        <f ca="1">_05preva_view43[Folder Path1]&amp;"Process &amp; Database\Documentation\Colo Applications"</f>
        <v>D:\OneDrive - apollo-towers.com\Apollo Towers\00-Process &amp; Database\Documentation\Colo Applications</v>
      </c>
      <c r="BH213" s="104" t="str">
        <f ca="1">_05preva_view43[Folder Path2]&amp;"\Colo App "&amp;_05preva_view43[[#This Row],[Operator]]&amp;"\"</f>
        <v>D:\OneDrive - apollo-towers.com\Apollo Towers\00-Process &amp; Database\Documentation\Colo Applications\Colo App MPT\</v>
      </c>
      <c r="BI213" s="63" t="str">
        <f ca="1">_05preva_view43[[#This Row],[Folder Path3]]&amp;_05preva_view43[[#This Row],[File Name]]</f>
        <v>D:\OneDrive - apollo-towers.com\Apollo Towers\00-Process &amp; Database\Documentation\Colo Applications\Colo App MPT\1-01-14007-014 (SHN00080) Application Rev 2.xlsx</v>
      </c>
      <c r="BJ213" s="104"/>
      <c r="BK213" s="3"/>
      <c r="BL213" s="3"/>
      <c r="CJ213" s="5"/>
      <c r="CK213" s="5"/>
      <c r="CL213" s="3"/>
      <c r="CN213" s="5"/>
      <c r="CR213" s="3"/>
      <c r="CS213" s="3"/>
      <c r="CT213" s="5"/>
      <c r="CV213" s="3"/>
      <c r="DR213" s="5"/>
      <c r="DT213" s="3"/>
      <c r="EF213" s="7"/>
      <c r="EG213" s="7"/>
      <c r="EJ213" s="4"/>
      <c r="EK213" s="4"/>
      <c r="EU213" s="2"/>
      <c r="EV213" s="2"/>
    </row>
    <row r="214" spans="1:152">
      <c r="A214" s="125">
        <v>3433</v>
      </c>
      <c r="B214" s="126" t="s">
        <v>1282</v>
      </c>
      <c r="C214" s="126" t="s">
        <v>331</v>
      </c>
      <c r="D214" s="126" t="s">
        <v>127</v>
      </c>
      <c r="E214" s="126" t="s">
        <v>1283</v>
      </c>
      <c r="F214" s="126" t="s">
        <v>35</v>
      </c>
      <c r="G214" s="126" t="s">
        <v>1583</v>
      </c>
      <c r="H214" s="126" t="s">
        <v>1575</v>
      </c>
      <c r="I214" s="126" t="s">
        <v>1053</v>
      </c>
      <c r="J214" s="126" t="s">
        <v>949</v>
      </c>
      <c r="K214" s="127">
        <v>43424</v>
      </c>
      <c r="L214" s="128">
        <v>2.0590000000000002</v>
      </c>
      <c r="M214" s="128">
        <v>3.6110000000000002</v>
      </c>
      <c r="N214" s="126">
        <v>4.51</v>
      </c>
      <c r="O214" s="126" t="s">
        <v>950</v>
      </c>
      <c r="P214" s="129" t="s">
        <v>958</v>
      </c>
      <c r="Q214" s="129" t="s">
        <v>959</v>
      </c>
      <c r="R214" s="126" t="s">
        <v>24</v>
      </c>
      <c r="S214" s="126"/>
      <c r="T214" s="130" t="s">
        <v>120</v>
      </c>
      <c r="U214" s="126" t="s">
        <v>1264</v>
      </c>
      <c r="V214" s="130" t="s">
        <v>120</v>
      </c>
      <c r="W214" s="126"/>
      <c r="X214" s="130" t="s">
        <v>120</v>
      </c>
      <c r="Y214" s="126" t="s">
        <v>1284</v>
      </c>
      <c r="Z214" s="162" t="s">
        <v>120</v>
      </c>
      <c r="AA214" s="154"/>
      <c r="AB214" s="154"/>
      <c r="AC214" s="167" t="s">
        <v>123</v>
      </c>
      <c r="AD214" s="126" t="s">
        <v>1326</v>
      </c>
      <c r="AE214" s="130" t="s">
        <v>120</v>
      </c>
      <c r="AF214" s="127" t="s">
        <v>1763</v>
      </c>
      <c r="AG214" s="131"/>
      <c r="AH214" s="131"/>
      <c r="AI214" s="126" t="s">
        <v>1285</v>
      </c>
      <c r="AJ214" s="130" t="s">
        <v>120</v>
      </c>
      <c r="AK214" s="126" t="s">
        <v>123</v>
      </c>
      <c r="AL214" s="126" t="s">
        <v>1198</v>
      </c>
      <c r="AM214" s="130"/>
      <c r="AN214" s="126"/>
      <c r="AO214" s="132"/>
      <c r="AP214" s="126"/>
      <c r="AQ214" s="126"/>
      <c r="AR214" s="130"/>
      <c r="AS214" s="126"/>
      <c r="AT214" s="127">
        <v>43424.694670254597</v>
      </c>
      <c r="AU214" s="127">
        <v>43451.370453356503</v>
      </c>
      <c r="AV214" s="127">
        <v>43431.607571643501</v>
      </c>
      <c r="AW214" s="127">
        <v>43424.694670254597</v>
      </c>
      <c r="AX214" s="127">
        <v>43430.496670717599</v>
      </c>
      <c r="AY214" s="127">
        <v>43430.843742824101</v>
      </c>
      <c r="AZ214" s="133">
        <v>43451.389658333297</v>
      </c>
      <c r="BA214" s="134">
        <f ca="1">IF(_05preva_view43[[#This Row],[Prevalidation Status]]="Under Prevalidation",NOW()-_05preva_view43[[#This Row],[Request Date]],IF(_05preva_view43[[#This Row],[Close Date]]&gt;_05preva_view43[[#This Row],[Request Date]],_05preva_view43[[#This Row],[Close Date]]-_05preva_view43[[#This Row],[Request Date]],"Not  Calculated"))</f>
        <v>27.38965833329712</v>
      </c>
      <c r="BB214" s="135">
        <f>COUNTIFS(_05preva_view43[Site ID],_05preva_view43[[#This Row],[Site ID]],_05preva_view43[Prevalidation Status],"Under Prevalidation")</f>
        <v>0</v>
      </c>
      <c r="BC214" s="153" t="str">
        <f ca="1">HYPERLINK(CheckPath(_05preva_view43[[#This Row],[File Path]],_05preva_view43[[#This Row],[File Path]],_05preva_view43[[#This Row],[Folder Path3]]),CheckPath(_05preva_view43[[#This Row],[File Path]],"Open File","No File"))</f>
        <v>No File</v>
      </c>
      <c r="BD214" s="136" t="str">
        <f>CONCATENATE(_05preva_view43[[#This Row],[Site ID]]," (",_05preva_view43[[#This Row],[tenant id]],") Application",IF(_05preva_view43[[#This Row],[Colo Rev]]&gt;0," Rev "&amp;_05preva_view43[[#This Row],[Colo Rev]],""),".xlsx")</f>
        <v>1-01-15013-007 (SHN00086) Application Rev 2.xlsx</v>
      </c>
      <c r="BE214" s="64">
        <f t="shared" ca="1" si="5"/>
        <v>50</v>
      </c>
      <c r="BF214" s="104" t="str">
        <f ca="1">LEFT(CELL("filename",A199),_05preva_view43[[#This Row],[Find Process &amp; Database]]-1)</f>
        <v>D:\OneDrive - apollo-towers.com\Apollo Towers\00-</v>
      </c>
      <c r="BG214" s="104" t="str">
        <f ca="1">_05preva_view43[Folder Path1]&amp;"Process &amp; Database\Documentation\Colo Applications"</f>
        <v>D:\OneDrive - apollo-towers.com\Apollo Towers\00-Process &amp; Database\Documentation\Colo Applications</v>
      </c>
      <c r="BH214" s="104" t="str">
        <f ca="1">_05preva_view43[Folder Path2]&amp;"\Colo App "&amp;_05preva_view43[[#This Row],[Operator]]&amp;"\"</f>
        <v>D:\OneDrive - apollo-towers.com\Apollo Towers\00-Process &amp; Database\Documentation\Colo Applications\Colo App MPT\</v>
      </c>
      <c r="BI214" s="63" t="str">
        <f ca="1">_05preva_view43[[#This Row],[Folder Path3]]&amp;_05preva_view43[[#This Row],[File Name]]</f>
        <v>D:\OneDrive - apollo-towers.com\Apollo Towers\00-Process &amp; Database\Documentation\Colo Applications\Colo App MPT\1-01-15013-007 (SHN00086) Application Rev 2.xlsx</v>
      </c>
      <c r="BJ214" s="104"/>
      <c r="BK214" s="3"/>
      <c r="BL214" s="3"/>
      <c r="CJ214" s="5"/>
      <c r="CK214" s="5"/>
      <c r="CL214" s="3"/>
      <c r="CN214" s="5"/>
      <c r="CR214" s="3"/>
      <c r="CS214" s="3"/>
      <c r="CT214" s="5"/>
      <c r="CV214" s="3"/>
      <c r="DR214" s="5"/>
      <c r="DT214" s="3"/>
      <c r="EF214" s="7"/>
      <c r="EG214" s="7"/>
      <c r="EJ214" s="4"/>
      <c r="EK214" s="4"/>
      <c r="EU214" s="2"/>
      <c r="EV214" s="2"/>
    </row>
    <row r="215" spans="1:152">
      <c r="A215" s="125">
        <v>3434</v>
      </c>
      <c r="B215" s="126" t="s">
        <v>1286</v>
      </c>
      <c r="C215" s="126" t="s">
        <v>331</v>
      </c>
      <c r="D215" s="126" t="s">
        <v>117</v>
      </c>
      <c r="E215" s="126" t="s">
        <v>1287</v>
      </c>
      <c r="F215" s="126" t="s">
        <v>35</v>
      </c>
      <c r="G215" s="126" t="s">
        <v>1583</v>
      </c>
      <c r="H215" s="126" t="s">
        <v>1575</v>
      </c>
      <c r="I215" s="126" t="s">
        <v>1288</v>
      </c>
      <c r="J215" s="126" t="s">
        <v>949</v>
      </c>
      <c r="K215" s="127">
        <v>43424</v>
      </c>
      <c r="L215" s="128">
        <v>2.16</v>
      </c>
      <c r="M215" s="128">
        <v>2.7</v>
      </c>
      <c r="N215" s="126">
        <v>6.82</v>
      </c>
      <c r="O215" s="126" t="s">
        <v>950</v>
      </c>
      <c r="P215" s="129" t="s">
        <v>958</v>
      </c>
      <c r="Q215" s="129" t="s">
        <v>959</v>
      </c>
      <c r="R215" s="126" t="s">
        <v>24</v>
      </c>
      <c r="S215" s="126"/>
      <c r="T215" s="130" t="s">
        <v>120</v>
      </c>
      <c r="U215" s="126" t="s">
        <v>1289</v>
      </c>
      <c r="V215" s="130" t="s">
        <v>120</v>
      </c>
      <c r="W215" s="126"/>
      <c r="X215" s="130" t="s">
        <v>120</v>
      </c>
      <c r="Y215" s="126" t="s">
        <v>1290</v>
      </c>
      <c r="Z215" s="162" t="s">
        <v>120</v>
      </c>
      <c r="AA215" s="154"/>
      <c r="AB215" s="154"/>
      <c r="AC215" s="167" t="s">
        <v>123</v>
      </c>
      <c r="AD215" s="126" t="s">
        <v>1327</v>
      </c>
      <c r="AE215" s="130" t="s">
        <v>120</v>
      </c>
      <c r="AF215" s="127" t="s">
        <v>1758</v>
      </c>
      <c r="AG215" s="131"/>
      <c r="AH215" s="131"/>
      <c r="AI215" s="126" t="s">
        <v>1285</v>
      </c>
      <c r="AJ215" s="130" t="s">
        <v>120</v>
      </c>
      <c r="AK215" s="126" t="s">
        <v>240</v>
      </c>
      <c r="AL215" s="126" t="s">
        <v>1198</v>
      </c>
      <c r="AM215" s="130"/>
      <c r="AN215" s="126"/>
      <c r="AO215" s="132"/>
      <c r="AP215" s="126"/>
      <c r="AQ215" s="126"/>
      <c r="AR215" s="130"/>
      <c r="AS215" s="126"/>
      <c r="AT215" s="127">
        <v>43424.694671990699</v>
      </c>
      <c r="AU215" s="127">
        <v>43451.370454976903</v>
      </c>
      <c r="AV215" s="127">
        <v>43431.6075732639</v>
      </c>
      <c r="AW215" s="127">
        <v>43424.694671990699</v>
      </c>
      <c r="AX215" s="127">
        <v>43430.496674421302</v>
      </c>
      <c r="AY215" s="127">
        <v>43430.8437478009</v>
      </c>
      <c r="AZ215" s="133">
        <v>43451.389659375003</v>
      </c>
      <c r="BA215" s="134">
        <f ca="1">IF(_05preva_view43[[#This Row],[Prevalidation Status]]="Under Prevalidation",NOW()-_05preva_view43[[#This Row],[Request Date]],IF(_05preva_view43[[#This Row],[Close Date]]&gt;_05preva_view43[[#This Row],[Request Date]],_05preva_view43[[#This Row],[Close Date]]-_05preva_view43[[#This Row],[Request Date]],"Not  Calculated"))</f>
        <v>27.389659375003248</v>
      </c>
      <c r="BB215" s="135">
        <f>COUNTIFS(_05preva_view43[Site ID],_05preva_view43[[#This Row],[Site ID]],_05preva_view43[Prevalidation Status],"Under Prevalidation")</f>
        <v>0</v>
      </c>
      <c r="BC215" s="153" t="str">
        <f ca="1">HYPERLINK(CheckPath(_05preva_view43[[#This Row],[File Path]],_05preva_view43[[#This Row],[File Path]],_05preva_view43[[#This Row],[Folder Path3]]),CheckPath(_05preva_view43[[#This Row],[File Path]],"Open File","No File"))</f>
        <v>No File</v>
      </c>
      <c r="BD215" s="136" t="str">
        <f>CONCATENATE(_05preva_view43[[#This Row],[Site ID]]," (",_05preva_view43[[#This Row],[tenant id]],") Application",IF(_05preva_view43[[#This Row],[Colo Rev]]&gt;0," Rev "&amp;_05preva_view43[[#This Row],[Colo Rev]],""),".xlsx")</f>
        <v>1-01-14007-002 (SHS00093) Application Rev 2.xlsx</v>
      </c>
      <c r="BE215" s="64">
        <f t="shared" ca="1" si="5"/>
        <v>50</v>
      </c>
      <c r="BF215" s="104" t="str">
        <f ca="1">LEFT(CELL("filename",A200),_05preva_view43[[#This Row],[Find Process &amp; Database]]-1)</f>
        <v>D:\OneDrive - apollo-towers.com\Apollo Towers\00-</v>
      </c>
      <c r="BG215" s="104" t="str">
        <f ca="1">_05preva_view43[Folder Path1]&amp;"Process &amp; Database\Documentation\Colo Applications"</f>
        <v>D:\OneDrive - apollo-towers.com\Apollo Towers\00-Process &amp; Database\Documentation\Colo Applications</v>
      </c>
      <c r="BH215" s="104" t="str">
        <f ca="1">_05preva_view43[Folder Path2]&amp;"\Colo App "&amp;_05preva_view43[[#This Row],[Operator]]&amp;"\"</f>
        <v>D:\OneDrive - apollo-towers.com\Apollo Towers\00-Process &amp; Database\Documentation\Colo Applications\Colo App MPT\</v>
      </c>
      <c r="BI215" s="63" t="str">
        <f ca="1">_05preva_view43[[#This Row],[Folder Path3]]&amp;_05preva_view43[[#This Row],[File Name]]</f>
        <v>D:\OneDrive - apollo-towers.com\Apollo Towers\00-Process &amp; Database\Documentation\Colo Applications\Colo App MPT\1-01-14007-002 (SHS00093) Application Rev 2.xlsx</v>
      </c>
      <c r="BJ215" s="104"/>
      <c r="BK215" s="3"/>
      <c r="BL215" s="3"/>
      <c r="CJ215" s="5"/>
      <c r="CK215" s="5"/>
      <c r="CL215" s="3"/>
      <c r="CN215" s="5"/>
      <c r="CR215" s="3"/>
      <c r="CS215" s="3"/>
      <c r="CT215" s="5"/>
      <c r="CV215" s="3"/>
      <c r="DR215" s="5"/>
      <c r="DT215" s="3"/>
      <c r="EF215" s="7"/>
      <c r="EG215" s="7"/>
      <c r="EJ215" s="4"/>
      <c r="EK215" s="4"/>
      <c r="EU215" s="2"/>
      <c r="EV215" s="2"/>
    </row>
    <row r="216" spans="1:152">
      <c r="A216" s="125">
        <v>3428</v>
      </c>
      <c r="B216" s="126" t="s">
        <v>1075</v>
      </c>
      <c r="C216" s="126" t="s">
        <v>116</v>
      </c>
      <c r="D216" s="126" t="s">
        <v>127</v>
      </c>
      <c r="E216" s="126" t="s">
        <v>1076</v>
      </c>
      <c r="F216" s="126" t="s">
        <v>35</v>
      </c>
      <c r="G216" s="126" t="s">
        <v>1577</v>
      </c>
      <c r="H216" s="126" t="s">
        <v>1575</v>
      </c>
      <c r="I216" s="126" t="s">
        <v>1053</v>
      </c>
      <c r="J216" s="126" t="s">
        <v>931</v>
      </c>
      <c r="K216" s="127">
        <v>43420</v>
      </c>
      <c r="L216" s="128">
        <v>1.66</v>
      </c>
      <c r="M216" s="128">
        <v>2.75</v>
      </c>
      <c r="N216" s="126">
        <v>3.4</v>
      </c>
      <c r="O216" s="126" t="s">
        <v>119</v>
      </c>
      <c r="P216" s="129" t="s">
        <v>363</v>
      </c>
      <c r="Q216" s="129" t="s">
        <v>270</v>
      </c>
      <c r="R216" s="126" t="s">
        <v>24</v>
      </c>
      <c r="S216" s="126"/>
      <c r="T216" s="130" t="s">
        <v>120</v>
      </c>
      <c r="U216" s="126"/>
      <c r="V216" s="130" t="s">
        <v>120</v>
      </c>
      <c r="W216" s="126"/>
      <c r="X216" s="130" t="s">
        <v>120</v>
      </c>
      <c r="Y216" s="126" t="s">
        <v>1257</v>
      </c>
      <c r="Z216" s="162" t="s">
        <v>120</v>
      </c>
      <c r="AA216" s="154"/>
      <c r="AB216" s="154"/>
      <c r="AC216" s="167" t="s">
        <v>123</v>
      </c>
      <c r="AD216" s="126" t="s">
        <v>1258</v>
      </c>
      <c r="AE216" s="130" t="s">
        <v>120</v>
      </c>
      <c r="AF216" s="127" t="s">
        <v>1259</v>
      </c>
      <c r="AG216" s="131"/>
      <c r="AH216" s="131"/>
      <c r="AI216" s="126" t="s">
        <v>1260</v>
      </c>
      <c r="AJ216" s="130" t="s">
        <v>120</v>
      </c>
      <c r="AK216" s="126" t="s">
        <v>123</v>
      </c>
      <c r="AL216" s="126" t="s">
        <v>1198</v>
      </c>
      <c r="AM216" s="130"/>
      <c r="AN216" s="126"/>
      <c r="AO216" s="132"/>
      <c r="AP216" s="126"/>
      <c r="AQ216" s="126"/>
      <c r="AR216" s="130"/>
      <c r="AS216" s="126"/>
      <c r="AT216" s="127">
        <v>43423.505152777798</v>
      </c>
      <c r="AU216" s="127">
        <v>43423.728602546304</v>
      </c>
      <c r="AV216" s="127">
        <v>43430.471621875004</v>
      </c>
      <c r="AW216" s="127">
        <v>43423.505152777798</v>
      </c>
      <c r="AX216" s="127">
        <v>43424.368697222199</v>
      </c>
      <c r="AY216" s="127">
        <v>43423.766301273201</v>
      </c>
      <c r="AZ216" s="133">
        <v>43430.471621875004</v>
      </c>
      <c r="BA216" s="134">
        <f ca="1">IF(_05preva_view43[[#This Row],[Prevalidation Status]]="Under Prevalidation",NOW()-_05preva_view43[[#This Row],[Request Date]],IF(_05preva_view43[[#This Row],[Close Date]]&gt;_05preva_view43[[#This Row],[Request Date]],_05preva_view43[[#This Row],[Close Date]]-_05preva_view43[[#This Row],[Request Date]],"Not  Calculated"))</f>
        <v>10.471621875003621</v>
      </c>
      <c r="BB216" s="135">
        <f>COUNTIFS(_05preva_view43[Site ID],_05preva_view43[[#This Row],[Site ID]],_05preva_view43[Prevalidation Status],"Under Prevalidation")</f>
        <v>0</v>
      </c>
      <c r="BC216" s="153" t="str">
        <f ca="1">HYPERLINK(CheckPath(_05preva_view43[[#This Row],[File Path]],_05preva_view43[[#This Row],[File Path]],_05preva_view43[[#This Row],[Folder Path3]]),CheckPath(_05preva_view43[[#This Row],[File Path]],"Open File","No File"))</f>
        <v>No File</v>
      </c>
      <c r="BD216" s="136" t="str">
        <f>CONCATENATE(_05preva_view43[[#This Row],[Site ID]]," (",_05preva_view43[[#This Row],[tenant id]],") Application",IF(_05preva_view43[[#This Row],[Colo Rev]]&gt;0," Rev "&amp;_05preva_view43[[#This Row],[Colo Rev]],""),".xlsx")</f>
        <v>ANMD_0132 (MDY00422) Application Rev 1.xlsx</v>
      </c>
      <c r="BE216" s="64">
        <f t="shared" ca="1" si="5"/>
        <v>50</v>
      </c>
      <c r="BF216" s="104" t="str">
        <f ca="1">LEFT(CELL("filename",A201),_05preva_view43[[#This Row],[Find Process &amp; Database]]-1)</f>
        <v>D:\OneDrive - apollo-towers.com\Apollo Towers\00-</v>
      </c>
      <c r="BG216" s="104" t="str">
        <f ca="1">_05preva_view43[Folder Path1]&amp;"Process &amp; Database\Documentation\Colo Applications"</f>
        <v>D:\OneDrive - apollo-towers.com\Apollo Towers\00-Process &amp; Database\Documentation\Colo Applications</v>
      </c>
      <c r="BH216" s="104" t="str">
        <f ca="1">_05preva_view43[Folder Path2]&amp;"\Colo App "&amp;_05preva_view43[[#This Row],[Operator]]&amp;"\"</f>
        <v>D:\OneDrive - apollo-towers.com\Apollo Towers\00-Process &amp; Database\Documentation\Colo Applications\Colo App MPT\</v>
      </c>
      <c r="BI216" s="63" t="str">
        <f ca="1">_05preva_view43[[#This Row],[Folder Path3]]&amp;_05preva_view43[[#This Row],[File Name]]</f>
        <v>D:\OneDrive - apollo-towers.com\Apollo Towers\00-Process &amp; Database\Documentation\Colo Applications\Colo App MPT\ANMD_0132 (MDY00422) Application Rev 1.xlsx</v>
      </c>
      <c r="BJ216" s="104"/>
      <c r="BK216" s="3"/>
      <c r="BL216" s="3"/>
      <c r="CJ216" s="5"/>
      <c r="CK216" s="5"/>
      <c r="CL216" s="3"/>
      <c r="CN216" s="5"/>
      <c r="CR216" s="3"/>
      <c r="CS216" s="3"/>
      <c r="CT216" s="5"/>
      <c r="CV216" s="3"/>
      <c r="DR216" s="5"/>
      <c r="DT216" s="3"/>
      <c r="EF216" s="7"/>
      <c r="EG216" s="7"/>
      <c r="EJ216" s="4"/>
      <c r="EK216" s="4"/>
      <c r="EU216" s="2"/>
      <c r="EV216" s="2"/>
    </row>
    <row r="217" spans="1:152">
      <c r="A217" s="125">
        <v>3416</v>
      </c>
      <c r="B217" s="126" t="s">
        <v>1210</v>
      </c>
      <c r="C217" s="126" t="s">
        <v>116</v>
      </c>
      <c r="D217" s="126" t="s">
        <v>163</v>
      </c>
      <c r="E217" s="126" t="s">
        <v>1211</v>
      </c>
      <c r="F217" s="126" t="s">
        <v>41</v>
      </c>
      <c r="G217" s="126" t="s">
        <v>1576</v>
      </c>
      <c r="H217" s="126" t="s">
        <v>1575</v>
      </c>
      <c r="I217" s="126" t="s">
        <v>1212</v>
      </c>
      <c r="J217" s="126" t="s">
        <v>931</v>
      </c>
      <c r="K217" s="127">
        <v>43419</v>
      </c>
      <c r="L217" s="128"/>
      <c r="M217" s="128"/>
      <c r="N217" s="126">
        <v>3</v>
      </c>
      <c r="O217" s="126" t="s">
        <v>950</v>
      </c>
      <c r="P217" s="129" t="s">
        <v>338</v>
      </c>
      <c r="Q217" s="129" t="s">
        <v>339</v>
      </c>
      <c r="R217" s="126" t="s">
        <v>24</v>
      </c>
      <c r="S217" s="126"/>
      <c r="T217" s="130" t="s">
        <v>861</v>
      </c>
      <c r="U217" s="126"/>
      <c r="V217" s="130" t="s">
        <v>861</v>
      </c>
      <c r="W217" s="126"/>
      <c r="X217" s="130" t="s">
        <v>120</v>
      </c>
      <c r="Y217" s="126" t="s">
        <v>1213</v>
      </c>
      <c r="Z217" s="162" t="s">
        <v>861</v>
      </c>
      <c r="AA217" s="154"/>
      <c r="AB217" s="154"/>
      <c r="AC217" s="167" t="s">
        <v>123</v>
      </c>
      <c r="AD217" s="126" t="s">
        <v>1214</v>
      </c>
      <c r="AE217" s="130" t="s">
        <v>861</v>
      </c>
      <c r="AF217" s="127"/>
      <c r="AG217" s="131"/>
      <c r="AH217" s="131"/>
      <c r="AI217" s="126"/>
      <c r="AJ217" s="130" t="s">
        <v>861</v>
      </c>
      <c r="AK217" s="126"/>
      <c r="AL217" s="126"/>
      <c r="AM217" s="130" t="s">
        <v>861</v>
      </c>
      <c r="AN217" s="126"/>
      <c r="AO217" s="132"/>
      <c r="AP217" s="126" t="s">
        <v>861</v>
      </c>
      <c r="AQ217" s="126"/>
      <c r="AR217" s="130" t="s">
        <v>120</v>
      </c>
      <c r="AS217" s="126"/>
      <c r="AT217" s="127">
        <v>43419.7339959491</v>
      </c>
      <c r="AU217" s="127"/>
      <c r="AV217" s="127"/>
      <c r="AW217" s="127"/>
      <c r="AX217" s="127"/>
      <c r="AY217" s="127"/>
      <c r="AZ217" s="133">
        <v>43447.656926504598</v>
      </c>
      <c r="BA217" s="134">
        <f ca="1">IF(_05preva_view43[[#This Row],[Prevalidation Status]]="Under Prevalidation",NOW()-_05preva_view43[[#This Row],[Request Date]],IF(_05preva_view43[[#This Row],[Close Date]]&gt;_05preva_view43[[#This Row],[Request Date]],_05preva_view43[[#This Row],[Close Date]]-_05preva_view43[[#This Row],[Request Date]],"Not  Calculated"))</f>
        <v>28.656926504598232</v>
      </c>
      <c r="BB217" s="135">
        <f>COUNTIFS(_05preva_view43[Site ID],_05preva_view43[[#This Row],[Site ID]],_05preva_view43[Prevalidation Status],"Under Prevalidation")</f>
        <v>0</v>
      </c>
      <c r="BC217" s="153" t="str">
        <f ca="1">HYPERLINK(CheckPath(_05preva_view43[[#This Row],[File Path]],_05preva_view43[[#This Row],[File Path]],_05preva_view43[[#This Row],[Folder Path3]]),CheckPath(_05preva_view43[[#This Row],[File Path]],"Open File","No File"))</f>
        <v>No File</v>
      </c>
      <c r="BD217" s="136" t="str">
        <f>CONCATENATE(_05preva_view43[[#This Row],[Site ID]]," (",_05preva_view43[[#This Row],[tenant id]],") Application",IF(_05preva_view43[[#This Row],[Colo Rev]]&gt;0," Rev "&amp;_05preva_view43[[#This Row],[Colo Rev]],""),".xlsx")</f>
        <v>AYYN_0264 (YGNINSN003) Application Rev 1.xlsx</v>
      </c>
      <c r="BE217" s="64">
        <f t="shared" ca="1" si="5"/>
        <v>50</v>
      </c>
      <c r="BF217" s="104" t="str">
        <f ca="1">LEFT(CELL("filename",A202),_05preva_view43[[#This Row],[Find Process &amp; Database]]-1)</f>
        <v>D:\OneDrive - apollo-towers.com\Apollo Towers\00-</v>
      </c>
      <c r="BG217" s="104" t="str">
        <f ca="1">_05preva_view43[Folder Path1]&amp;"Process &amp; Database\Documentation\Colo Applications"</f>
        <v>D:\OneDrive - apollo-towers.com\Apollo Towers\00-Process &amp; Database\Documentation\Colo Applications</v>
      </c>
      <c r="BH217" s="104" t="str">
        <f ca="1">_05preva_view43[Folder Path2]&amp;"\Colo App "&amp;_05preva_view43[[#This Row],[Operator]]&amp;"\"</f>
        <v>D:\OneDrive - apollo-towers.com\Apollo Towers\00-Process &amp; Database\Documentation\Colo Applications\Colo App Amara\</v>
      </c>
      <c r="BI217" s="63" t="str">
        <f ca="1">_05preva_view43[[#This Row],[Folder Path3]]&amp;_05preva_view43[[#This Row],[File Name]]</f>
        <v>D:\OneDrive - apollo-towers.com\Apollo Towers\00-Process &amp; Database\Documentation\Colo Applications\Colo App Amara\AYYN_0264 (YGNINSN003) Application Rev 1.xlsx</v>
      </c>
      <c r="BJ217" s="104"/>
      <c r="BK217" s="3"/>
      <c r="BL217" s="3"/>
      <c r="CJ217" s="5"/>
      <c r="CK217" s="5"/>
      <c r="CL217" s="3"/>
      <c r="CN217" s="5"/>
      <c r="CR217" s="3"/>
      <c r="CS217" s="3"/>
      <c r="CT217" s="5"/>
      <c r="CV217" s="3"/>
      <c r="DR217" s="5"/>
      <c r="DT217" s="3"/>
      <c r="EF217" s="7"/>
      <c r="EG217" s="7"/>
      <c r="EJ217" s="4"/>
      <c r="EK217" s="4"/>
      <c r="EU217" s="2"/>
      <c r="EV217" s="2"/>
    </row>
    <row r="218" spans="1:152">
      <c r="A218" s="125">
        <v>3417</v>
      </c>
      <c r="B218" s="126" t="s">
        <v>1215</v>
      </c>
      <c r="C218" s="126" t="s">
        <v>116</v>
      </c>
      <c r="D218" s="126" t="s">
        <v>163</v>
      </c>
      <c r="E218" s="126" t="s">
        <v>1216</v>
      </c>
      <c r="F218" s="126" t="s">
        <v>41</v>
      </c>
      <c r="G218" s="126" t="s">
        <v>1576</v>
      </c>
      <c r="H218" s="126" t="s">
        <v>1575</v>
      </c>
      <c r="I218" s="126" t="s">
        <v>1212</v>
      </c>
      <c r="J218" s="126" t="s">
        <v>931</v>
      </c>
      <c r="K218" s="127">
        <v>43419</v>
      </c>
      <c r="L218" s="128"/>
      <c r="M218" s="128"/>
      <c r="N218" s="126">
        <v>3.1</v>
      </c>
      <c r="O218" s="126" t="s">
        <v>950</v>
      </c>
      <c r="P218" s="129" t="s">
        <v>1217</v>
      </c>
      <c r="Q218" s="129" t="s">
        <v>1218</v>
      </c>
      <c r="R218" s="126" t="s">
        <v>24</v>
      </c>
      <c r="S218" s="126"/>
      <c r="T218" s="130" t="s">
        <v>861</v>
      </c>
      <c r="U218" s="126"/>
      <c r="V218" s="130" t="s">
        <v>861</v>
      </c>
      <c r="W218" s="126"/>
      <c r="X218" s="130" t="s">
        <v>120</v>
      </c>
      <c r="Y218" s="126" t="s">
        <v>1219</v>
      </c>
      <c r="Z218" s="162" t="s">
        <v>861</v>
      </c>
      <c r="AA218" s="154"/>
      <c r="AB218" s="154"/>
      <c r="AC218" s="167"/>
      <c r="AD218" s="126"/>
      <c r="AE218" s="130" t="s">
        <v>861</v>
      </c>
      <c r="AF218" s="127"/>
      <c r="AG218" s="131"/>
      <c r="AH218" s="131"/>
      <c r="AI218" s="126"/>
      <c r="AJ218" s="130" t="s">
        <v>861</v>
      </c>
      <c r="AK218" s="126"/>
      <c r="AL218" s="126"/>
      <c r="AM218" s="130" t="s">
        <v>861</v>
      </c>
      <c r="AN218" s="126"/>
      <c r="AO218" s="132"/>
      <c r="AP218" s="126" t="s">
        <v>861</v>
      </c>
      <c r="AQ218" s="126"/>
      <c r="AR218" s="130" t="s">
        <v>120</v>
      </c>
      <c r="AS218" s="126"/>
      <c r="AT218" s="127">
        <v>43419.733996643503</v>
      </c>
      <c r="AU218" s="127"/>
      <c r="AV218" s="127"/>
      <c r="AW218" s="127"/>
      <c r="AX218" s="127"/>
      <c r="AY218" s="127"/>
      <c r="AZ218" s="133">
        <v>43447.656927777804</v>
      </c>
      <c r="BA218" s="134">
        <f ca="1">IF(_05preva_view43[[#This Row],[Prevalidation Status]]="Under Prevalidation",NOW()-_05preva_view43[[#This Row],[Request Date]],IF(_05preva_view43[[#This Row],[Close Date]]&gt;_05preva_view43[[#This Row],[Request Date]],_05preva_view43[[#This Row],[Close Date]]-_05preva_view43[[#This Row],[Request Date]],"Not  Calculated"))</f>
        <v>28.656927777803503</v>
      </c>
      <c r="BB218" s="135">
        <f>COUNTIFS(_05preva_view43[Site ID],_05preva_view43[[#This Row],[Site ID]],_05preva_view43[Prevalidation Status],"Under Prevalidation")</f>
        <v>0</v>
      </c>
      <c r="BC218" s="153" t="str">
        <f ca="1">HYPERLINK(CheckPath(_05preva_view43[[#This Row],[File Path]],_05preva_view43[[#This Row],[File Path]],_05preva_view43[[#This Row],[Folder Path3]]),CheckPath(_05preva_view43[[#This Row],[File Path]],"Open File","No File"))</f>
        <v>No File</v>
      </c>
      <c r="BD218" s="136" t="str">
        <f>CONCATENATE(_05preva_view43[[#This Row],[Site ID]]," (",_05preva_view43[[#This Row],[tenant id]],") Application",IF(_05preva_view43[[#This Row],[Colo Rev]]&gt;0," Rev "&amp;_05preva_view43[[#This Row],[Colo Rev]],""),".xlsx")</f>
        <v>AYYN_0334 (YGNMYGE005) Application Rev 1.xlsx</v>
      </c>
      <c r="BE218" s="64">
        <f t="shared" ca="1" si="5"/>
        <v>50</v>
      </c>
      <c r="BF218" s="104" t="str">
        <f ca="1">LEFT(CELL("filename",A203),_05preva_view43[[#This Row],[Find Process &amp; Database]]-1)</f>
        <v>D:\OneDrive - apollo-towers.com\Apollo Towers\00-</v>
      </c>
      <c r="BG218" s="104" t="str">
        <f ca="1">_05preva_view43[Folder Path1]&amp;"Process &amp; Database\Documentation\Colo Applications"</f>
        <v>D:\OneDrive - apollo-towers.com\Apollo Towers\00-Process &amp; Database\Documentation\Colo Applications</v>
      </c>
      <c r="BH218" s="104" t="str">
        <f ca="1">_05preva_view43[Folder Path2]&amp;"\Colo App "&amp;_05preva_view43[[#This Row],[Operator]]&amp;"\"</f>
        <v>D:\OneDrive - apollo-towers.com\Apollo Towers\00-Process &amp; Database\Documentation\Colo Applications\Colo App Amara\</v>
      </c>
      <c r="BI218" s="63" t="str">
        <f ca="1">_05preva_view43[[#This Row],[Folder Path3]]&amp;_05preva_view43[[#This Row],[File Name]]</f>
        <v>D:\OneDrive - apollo-towers.com\Apollo Towers\00-Process &amp; Database\Documentation\Colo Applications\Colo App Amara\AYYN_0334 (YGNMYGE005) Application Rev 1.xlsx</v>
      </c>
      <c r="BJ218" s="104"/>
      <c r="BK218" s="3"/>
      <c r="BL218" s="3"/>
      <c r="CJ218" s="5"/>
      <c r="CK218" s="5"/>
      <c r="CL218" s="3"/>
      <c r="CN218" s="5"/>
      <c r="CR218" s="3"/>
      <c r="CS218" s="3"/>
      <c r="CT218" s="5"/>
      <c r="CV218" s="3"/>
      <c r="DR218" s="5"/>
      <c r="DT218" s="3"/>
      <c r="EF218" s="7"/>
      <c r="EG218" s="7"/>
      <c r="EJ218" s="4"/>
      <c r="EK218" s="4"/>
      <c r="EU218" s="2"/>
      <c r="EV218" s="2"/>
    </row>
    <row r="219" spans="1:152">
      <c r="A219" s="125">
        <v>3418</v>
      </c>
      <c r="B219" s="126" t="s">
        <v>1220</v>
      </c>
      <c r="C219" s="126" t="s">
        <v>116</v>
      </c>
      <c r="D219" s="126" t="s">
        <v>163</v>
      </c>
      <c r="E219" s="126" t="s">
        <v>1221</v>
      </c>
      <c r="F219" s="126" t="s">
        <v>41</v>
      </c>
      <c r="G219" s="126" t="s">
        <v>1576</v>
      </c>
      <c r="H219" s="126" t="s">
        <v>1575</v>
      </c>
      <c r="I219" s="126" t="s">
        <v>1212</v>
      </c>
      <c r="J219" s="126" t="s">
        <v>931</v>
      </c>
      <c r="K219" s="127">
        <v>43419</v>
      </c>
      <c r="L219" s="128"/>
      <c r="M219" s="128"/>
      <c r="N219" s="126">
        <v>2.97</v>
      </c>
      <c r="O219" s="126" t="s">
        <v>950</v>
      </c>
      <c r="P219" s="129" t="s">
        <v>910</v>
      </c>
      <c r="Q219" s="129" t="s">
        <v>264</v>
      </c>
      <c r="R219" s="126" t="s">
        <v>24</v>
      </c>
      <c r="S219" s="126"/>
      <c r="T219" s="130" t="s">
        <v>861</v>
      </c>
      <c r="U219" s="126"/>
      <c r="V219" s="130" t="s">
        <v>861</v>
      </c>
      <c r="W219" s="126"/>
      <c r="X219" s="130" t="s">
        <v>120</v>
      </c>
      <c r="Y219" s="126" t="s">
        <v>1222</v>
      </c>
      <c r="Z219" s="162" t="s">
        <v>120</v>
      </c>
      <c r="AA219" s="154"/>
      <c r="AB219" s="154"/>
      <c r="AC219" s="167" t="s">
        <v>240</v>
      </c>
      <c r="AD219" s="126" t="s">
        <v>1321</v>
      </c>
      <c r="AE219" s="130" t="s">
        <v>861</v>
      </c>
      <c r="AF219" s="127"/>
      <c r="AG219" s="131"/>
      <c r="AH219" s="131"/>
      <c r="AI219" s="126"/>
      <c r="AJ219" s="130" t="s">
        <v>861</v>
      </c>
      <c r="AK219" s="126"/>
      <c r="AL219" s="126"/>
      <c r="AM219" s="130" t="s">
        <v>861</v>
      </c>
      <c r="AN219" s="126"/>
      <c r="AO219" s="132"/>
      <c r="AP219" s="126" t="s">
        <v>861</v>
      </c>
      <c r="AQ219" s="126"/>
      <c r="AR219" s="130" t="s">
        <v>120</v>
      </c>
      <c r="AS219" s="126"/>
      <c r="AT219" s="127">
        <v>43419.733997222203</v>
      </c>
      <c r="AU219" s="127"/>
      <c r="AV219" s="127">
        <v>43441.7283320602</v>
      </c>
      <c r="AW219" s="127"/>
      <c r="AX219" s="127"/>
      <c r="AY219" s="127"/>
      <c r="AZ219" s="133">
        <v>43447.656928935197</v>
      </c>
      <c r="BA219" s="134">
        <f ca="1">IF(_05preva_view43[[#This Row],[Prevalidation Status]]="Under Prevalidation",NOW()-_05preva_view43[[#This Row],[Request Date]],IF(_05preva_view43[[#This Row],[Close Date]]&gt;_05preva_view43[[#This Row],[Request Date]],_05preva_view43[[#This Row],[Close Date]]-_05preva_view43[[#This Row],[Request Date]],"Not  Calculated"))</f>
        <v>28.656928935197357</v>
      </c>
      <c r="BB219" s="135">
        <f>COUNTIFS(_05preva_view43[Site ID],_05preva_view43[[#This Row],[Site ID]],_05preva_view43[Prevalidation Status],"Under Prevalidation")</f>
        <v>0</v>
      </c>
      <c r="BC219" s="153" t="str">
        <f ca="1">HYPERLINK(CheckPath(_05preva_view43[[#This Row],[File Path]],_05preva_view43[[#This Row],[File Path]],_05preva_view43[[#This Row],[Folder Path3]]),CheckPath(_05preva_view43[[#This Row],[File Path]],"Open File","No File"))</f>
        <v>No File</v>
      </c>
      <c r="BD219" s="136" t="str">
        <f>CONCATENATE(_05preva_view43[[#This Row],[Site ID]]," (",_05preva_view43[[#This Row],[tenant id]],") Application",IF(_05preva_view43[[#This Row],[Colo Rev]]&gt;0," Rev "&amp;_05preva_view43[[#This Row],[Colo Rev]],""),".xlsx")</f>
        <v>AYYN_0579 (YGNSPTR024) Application Rev 1.xlsx</v>
      </c>
      <c r="BE219" s="64">
        <f t="shared" ca="1" si="5"/>
        <v>50</v>
      </c>
      <c r="BF219" s="104" t="str">
        <f ca="1">LEFT(CELL("filename",A204),_05preva_view43[[#This Row],[Find Process &amp; Database]]-1)</f>
        <v>D:\OneDrive - apollo-towers.com\Apollo Towers\00-</v>
      </c>
      <c r="BG219" s="104" t="str">
        <f ca="1">_05preva_view43[Folder Path1]&amp;"Process &amp; Database\Documentation\Colo Applications"</f>
        <v>D:\OneDrive - apollo-towers.com\Apollo Towers\00-Process &amp; Database\Documentation\Colo Applications</v>
      </c>
      <c r="BH219" s="104" t="str">
        <f ca="1">_05preva_view43[Folder Path2]&amp;"\Colo App "&amp;_05preva_view43[[#This Row],[Operator]]&amp;"\"</f>
        <v>D:\OneDrive - apollo-towers.com\Apollo Towers\00-Process &amp; Database\Documentation\Colo Applications\Colo App Amara\</v>
      </c>
      <c r="BI219" s="63" t="str">
        <f ca="1">_05preva_view43[[#This Row],[Folder Path3]]&amp;_05preva_view43[[#This Row],[File Name]]</f>
        <v>D:\OneDrive - apollo-towers.com\Apollo Towers\00-Process &amp; Database\Documentation\Colo Applications\Colo App Amara\AYYN_0579 (YGNSPTR024) Application Rev 1.xlsx</v>
      </c>
      <c r="BJ219" s="104"/>
      <c r="BK219" s="3"/>
      <c r="BL219" s="3"/>
      <c r="CJ219" s="5"/>
      <c r="CK219" s="5"/>
      <c r="CL219" s="3"/>
      <c r="CN219" s="5"/>
      <c r="CR219" s="3"/>
      <c r="CS219" s="3"/>
      <c r="CT219" s="5"/>
      <c r="CV219" s="3"/>
      <c r="DR219" s="5"/>
      <c r="DT219" s="3"/>
      <c r="EF219" s="7"/>
      <c r="EG219" s="7"/>
      <c r="EJ219" s="4"/>
      <c r="EK219" s="4"/>
      <c r="EU219" s="2"/>
      <c r="EV219" s="2"/>
    </row>
    <row r="220" spans="1:152">
      <c r="A220" s="125">
        <v>3419</v>
      </c>
      <c r="B220" s="126" t="s">
        <v>1223</v>
      </c>
      <c r="C220" s="126" t="s">
        <v>116</v>
      </c>
      <c r="D220" s="126" t="s">
        <v>163</v>
      </c>
      <c r="E220" s="126" t="s">
        <v>1224</v>
      </c>
      <c r="F220" s="126" t="s">
        <v>41</v>
      </c>
      <c r="G220" s="126" t="s">
        <v>1576</v>
      </c>
      <c r="H220" s="126" t="s">
        <v>1575</v>
      </c>
      <c r="I220" s="126" t="s">
        <v>1212</v>
      </c>
      <c r="J220" s="126" t="s">
        <v>931</v>
      </c>
      <c r="K220" s="127">
        <v>43419</v>
      </c>
      <c r="L220" s="128"/>
      <c r="M220" s="128"/>
      <c r="N220" s="126">
        <v>3</v>
      </c>
      <c r="O220" s="126" t="s">
        <v>950</v>
      </c>
      <c r="P220" s="129"/>
      <c r="Q220" s="129" t="s">
        <v>1225</v>
      </c>
      <c r="R220" s="126" t="s">
        <v>24</v>
      </c>
      <c r="S220" s="126"/>
      <c r="T220" s="130" t="s">
        <v>861</v>
      </c>
      <c r="U220" s="126"/>
      <c r="V220" s="130" t="s">
        <v>861</v>
      </c>
      <c r="W220" s="126"/>
      <c r="X220" s="130" t="s">
        <v>120</v>
      </c>
      <c r="Y220" s="126" t="s">
        <v>1226</v>
      </c>
      <c r="Z220" s="162" t="s">
        <v>861</v>
      </c>
      <c r="AA220" s="154"/>
      <c r="AB220" s="154"/>
      <c r="AC220" s="167"/>
      <c r="AD220" s="126"/>
      <c r="AE220" s="130" t="s">
        <v>861</v>
      </c>
      <c r="AF220" s="127"/>
      <c r="AG220" s="131"/>
      <c r="AH220" s="131"/>
      <c r="AI220" s="126"/>
      <c r="AJ220" s="130" t="s">
        <v>861</v>
      </c>
      <c r="AK220" s="126"/>
      <c r="AL220" s="126"/>
      <c r="AM220" s="130" t="s">
        <v>861</v>
      </c>
      <c r="AN220" s="126"/>
      <c r="AO220" s="132"/>
      <c r="AP220" s="126" t="s">
        <v>861</v>
      </c>
      <c r="AQ220" s="126"/>
      <c r="AR220" s="130" t="s">
        <v>120</v>
      </c>
      <c r="AS220" s="126"/>
      <c r="AT220" s="127">
        <v>43419.733998032403</v>
      </c>
      <c r="AU220" s="127"/>
      <c r="AV220" s="127"/>
      <c r="AW220" s="127"/>
      <c r="AX220" s="127"/>
      <c r="AY220" s="127"/>
      <c r="AZ220" s="133">
        <v>43447.656929861099</v>
      </c>
      <c r="BA220" s="134">
        <f ca="1">IF(_05preva_view43[[#This Row],[Prevalidation Status]]="Under Prevalidation",NOW()-_05preva_view43[[#This Row],[Request Date]],IF(_05preva_view43[[#This Row],[Close Date]]&gt;_05preva_view43[[#This Row],[Request Date]],_05preva_view43[[#This Row],[Close Date]]-_05preva_view43[[#This Row],[Request Date]],"Not  Calculated"))</f>
        <v>28.656929861099343</v>
      </c>
      <c r="BB220" s="135">
        <f>COUNTIFS(_05preva_view43[Site ID],_05preva_view43[[#This Row],[Site ID]],_05preva_view43[Prevalidation Status],"Under Prevalidation")</f>
        <v>0</v>
      </c>
      <c r="BC220" s="153" t="str">
        <f ca="1">HYPERLINK(CheckPath(_05preva_view43[[#This Row],[File Path]],_05preva_view43[[#This Row],[File Path]],_05preva_view43[[#This Row],[Folder Path3]]),CheckPath(_05preva_view43[[#This Row],[File Path]],"Open File","No File"))</f>
        <v>No File</v>
      </c>
      <c r="BD220" s="136" t="str">
        <f>CONCATENATE(_05preva_view43[[#This Row],[Site ID]]," (",_05preva_view43[[#This Row],[tenant id]],") Application",IF(_05preva_view43[[#This Row],[Colo Rev]]&gt;0," Rev "&amp;_05preva_view43[[#This Row],[Colo Rev]],""),".xlsx")</f>
        <v>AYYN_0553 (YGNTKTA010) Application Rev 1.xlsx</v>
      </c>
      <c r="BE220" s="64">
        <f t="shared" ca="1" si="5"/>
        <v>50</v>
      </c>
      <c r="BF220" s="104" t="str">
        <f ca="1">LEFT(CELL("filename",A205),_05preva_view43[[#This Row],[Find Process &amp; Database]]-1)</f>
        <v>D:\OneDrive - apollo-towers.com\Apollo Towers\00-</v>
      </c>
      <c r="BG220" s="104" t="str">
        <f ca="1">_05preva_view43[Folder Path1]&amp;"Process &amp; Database\Documentation\Colo Applications"</f>
        <v>D:\OneDrive - apollo-towers.com\Apollo Towers\00-Process &amp; Database\Documentation\Colo Applications</v>
      </c>
      <c r="BH220" s="104" t="str">
        <f ca="1">_05preva_view43[Folder Path2]&amp;"\Colo App "&amp;_05preva_view43[[#This Row],[Operator]]&amp;"\"</f>
        <v>D:\OneDrive - apollo-towers.com\Apollo Towers\00-Process &amp; Database\Documentation\Colo Applications\Colo App Amara\</v>
      </c>
      <c r="BI220" s="63" t="str">
        <f ca="1">_05preva_view43[[#This Row],[Folder Path3]]&amp;_05preva_view43[[#This Row],[File Name]]</f>
        <v>D:\OneDrive - apollo-towers.com\Apollo Towers\00-Process &amp; Database\Documentation\Colo Applications\Colo App Amara\AYYN_0553 (YGNTKTA010) Application Rev 1.xlsx</v>
      </c>
      <c r="BJ220" s="104"/>
      <c r="BK220" s="3"/>
      <c r="BL220" s="3"/>
      <c r="CJ220" s="5"/>
      <c r="CK220" s="5"/>
      <c r="CL220" s="3"/>
      <c r="CN220" s="5"/>
      <c r="CR220" s="3"/>
      <c r="CS220" s="3"/>
      <c r="CT220" s="5"/>
      <c r="CV220" s="3"/>
      <c r="DR220" s="5"/>
      <c r="DT220" s="3"/>
      <c r="EF220" s="7"/>
      <c r="EG220" s="7"/>
      <c r="EJ220" s="4"/>
      <c r="EK220" s="4"/>
      <c r="EU220" s="2"/>
      <c r="EV220" s="2"/>
    </row>
    <row r="221" spans="1:152">
      <c r="A221" s="125">
        <v>3420</v>
      </c>
      <c r="B221" s="126" t="s">
        <v>327</v>
      </c>
      <c r="C221" s="126" t="s">
        <v>116</v>
      </c>
      <c r="D221" s="126" t="s">
        <v>163</v>
      </c>
      <c r="E221" s="126" t="s">
        <v>328</v>
      </c>
      <c r="F221" s="126" t="s">
        <v>40</v>
      </c>
      <c r="G221" s="126" t="s">
        <v>118</v>
      </c>
      <c r="H221" s="126"/>
      <c r="I221" s="126" t="s">
        <v>1143</v>
      </c>
      <c r="J221" s="126" t="s">
        <v>931</v>
      </c>
      <c r="K221" s="127">
        <v>43419</v>
      </c>
      <c r="L221" s="128">
        <v>3</v>
      </c>
      <c r="M221" s="128">
        <v>3.6</v>
      </c>
      <c r="N221" s="126">
        <v>4.5</v>
      </c>
      <c r="O221" s="126" t="s">
        <v>119</v>
      </c>
      <c r="P221" s="129" t="s">
        <v>1072</v>
      </c>
      <c r="Q221" s="129" t="s">
        <v>1227</v>
      </c>
      <c r="R221" s="126" t="s">
        <v>26</v>
      </c>
      <c r="S221" s="126"/>
      <c r="T221" s="130" t="s">
        <v>120</v>
      </c>
      <c r="U221" s="126" t="s">
        <v>1228</v>
      </c>
      <c r="V221" s="130" t="s">
        <v>120</v>
      </c>
      <c r="W221" s="126"/>
      <c r="X221" s="130" t="s">
        <v>120</v>
      </c>
      <c r="Y221" s="126" t="s">
        <v>1229</v>
      </c>
      <c r="Z221" s="162" t="s">
        <v>144</v>
      </c>
      <c r="AA221" s="154"/>
      <c r="AB221" s="154"/>
      <c r="AC221" s="167" t="s">
        <v>123</v>
      </c>
      <c r="AD221" s="126" t="s">
        <v>1230</v>
      </c>
      <c r="AE221" s="130" t="s">
        <v>144</v>
      </c>
      <c r="AF221" s="127" t="s">
        <v>1232</v>
      </c>
      <c r="AG221" s="131"/>
      <c r="AH221" s="131"/>
      <c r="AI221" s="126" t="s">
        <v>1233</v>
      </c>
      <c r="AJ221" s="130" t="s">
        <v>120</v>
      </c>
      <c r="AK221" s="126" t="s">
        <v>123</v>
      </c>
      <c r="AL221" s="126" t="s">
        <v>1231</v>
      </c>
      <c r="AM221" s="130"/>
      <c r="AN221" s="126"/>
      <c r="AO221" s="132"/>
      <c r="AP221" s="126"/>
      <c r="AQ221" s="126"/>
      <c r="AR221" s="130"/>
      <c r="AS221" s="126"/>
      <c r="AT221" s="127">
        <v>43419.733998726901</v>
      </c>
      <c r="AU221" s="127"/>
      <c r="AV221" s="127"/>
      <c r="AW221" s="127">
        <v>43419.733998726901</v>
      </c>
      <c r="AX221" s="127">
        <v>43424.368688078699</v>
      </c>
      <c r="AY221" s="127">
        <v>43419.657818055603</v>
      </c>
      <c r="AZ221" s="133">
        <v>43424.368688078699</v>
      </c>
      <c r="BA221" s="134">
        <f ca="1">IF(_05preva_view43[[#This Row],[Prevalidation Status]]="Under Prevalidation",NOW()-_05preva_view43[[#This Row],[Request Date]],IF(_05preva_view43[[#This Row],[Close Date]]&gt;_05preva_view43[[#This Row],[Request Date]],_05preva_view43[[#This Row],[Close Date]]-_05preva_view43[[#This Row],[Request Date]],"Not  Calculated"))</f>
        <v>5.3686880786990514</v>
      </c>
      <c r="BB221" s="135">
        <f>COUNTIFS(_05preva_view43[Site ID],_05preva_view43[[#This Row],[Site ID]],_05preva_view43[Prevalidation Status],"Under Prevalidation")</f>
        <v>0</v>
      </c>
      <c r="BC221" s="153" t="str">
        <f ca="1">HYPERLINK(CheckPath(_05preva_view43[[#This Row],[File Path]],_05preva_view43[[#This Row],[File Path]],_05preva_view43[[#This Row],[Folder Path3]]),CheckPath(_05preva_view43[[#This Row],[File Path]],"Open File","No File"))</f>
        <v>No File</v>
      </c>
      <c r="BD221" s="136" t="str">
        <f>CONCATENATE(_05preva_view43[[#This Row],[Site ID]]," (",_05preva_view43[[#This Row],[tenant id]],") Application",IF(_05preva_view43[[#This Row],[Colo Rev]]&gt;0," Rev "&amp;_05preva_view43[[#This Row],[Colo Rev]],""),".xlsx")</f>
        <v>ASMO_0202 (MOW6163) Application Rev 1.xlsx</v>
      </c>
      <c r="BE221" s="64">
        <f t="shared" ca="1" si="5"/>
        <v>50</v>
      </c>
      <c r="BF221" s="104" t="str">
        <f ca="1">LEFT(CELL("filename",A206),_05preva_view43[[#This Row],[Find Process &amp; Database]]-1)</f>
        <v>D:\OneDrive - apollo-towers.com\Apollo Towers\00-</v>
      </c>
      <c r="BG221" s="104" t="str">
        <f ca="1">_05preva_view43[Folder Path1]&amp;"Process &amp; Database\Documentation\Colo Applications"</f>
        <v>D:\OneDrive - apollo-towers.com\Apollo Towers\00-Process &amp; Database\Documentation\Colo Applications</v>
      </c>
      <c r="BH221" s="104" t="str">
        <f ca="1">_05preva_view43[Folder Path2]&amp;"\Colo App "&amp;_05preva_view43[[#This Row],[Operator]]&amp;"\"</f>
        <v>D:\OneDrive - apollo-towers.com\Apollo Towers\00-Process &amp; Database\Documentation\Colo Applications\Colo App OML\</v>
      </c>
      <c r="BI221" s="63" t="str">
        <f ca="1">_05preva_view43[[#This Row],[Folder Path3]]&amp;_05preva_view43[[#This Row],[File Name]]</f>
        <v>D:\OneDrive - apollo-towers.com\Apollo Towers\00-Process &amp; Database\Documentation\Colo Applications\Colo App OML\ASMO_0202 (MOW6163) Application Rev 1.xlsx</v>
      </c>
      <c r="BJ221" s="104"/>
      <c r="BK221" s="3"/>
      <c r="BL221" s="3"/>
      <c r="CJ221" s="5"/>
      <c r="CK221" s="5"/>
      <c r="CL221" s="3"/>
      <c r="CN221" s="5"/>
      <c r="CR221" s="3"/>
      <c r="CS221" s="3"/>
      <c r="CT221" s="5"/>
      <c r="CV221" s="3"/>
      <c r="DR221" s="5"/>
      <c r="DT221" s="3"/>
      <c r="EF221" s="7"/>
      <c r="EG221" s="7"/>
      <c r="EJ221" s="4"/>
      <c r="EK221" s="4"/>
      <c r="EU221" s="2"/>
      <c r="EV221" s="2"/>
    </row>
    <row r="222" spans="1:152">
      <c r="A222" s="125">
        <v>3421</v>
      </c>
      <c r="B222" s="126" t="s">
        <v>483</v>
      </c>
      <c r="C222" s="126" t="s">
        <v>116</v>
      </c>
      <c r="D222" s="126" t="s">
        <v>163</v>
      </c>
      <c r="E222" s="126" t="s">
        <v>484</v>
      </c>
      <c r="F222" s="126" t="s">
        <v>40</v>
      </c>
      <c r="G222" s="126" t="s">
        <v>118</v>
      </c>
      <c r="H222" s="126"/>
      <c r="I222" s="126" t="s">
        <v>1143</v>
      </c>
      <c r="J222" s="126" t="s">
        <v>931</v>
      </c>
      <c r="K222" s="127">
        <v>43419</v>
      </c>
      <c r="L222" s="128">
        <v>3</v>
      </c>
      <c r="M222" s="128">
        <v>3.6</v>
      </c>
      <c r="N222" s="126">
        <v>4.5</v>
      </c>
      <c r="O222" s="126" t="s">
        <v>119</v>
      </c>
      <c r="P222" s="129" t="s">
        <v>736</v>
      </c>
      <c r="Q222" s="129" t="s">
        <v>880</v>
      </c>
      <c r="R222" s="126" t="s">
        <v>26</v>
      </c>
      <c r="S222" s="126"/>
      <c r="T222" s="130" t="s">
        <v>120</v>
      </c>
      <c r="U222" s="126" t="s">
        <v>1234</v>
      </c>
      <c r="V222" s="130" t="s">
        <v>120</v>
      </c>
      <c r="W222" s="126" t="s">
        <v>125</v>
      </c>
      <c r="X222" s="130" t="s">
        <v>120</v>
      </c>
      <c r="Y222" s="126" t="s">
        <v>1235</v>
      </c>
      <c r="Z222" s="162" t="s">
        <v>144</v>
      </c>
      <c r="AA222" s="154"/>
      <c r="AB222" s="154"/>
      <c r="AC222" s="167" t="s">
        <v>240</v>
      </c>
      <c r="AD222" s="126" t="s">
        <v>1236</v>
      </c>
      <c r="AE222" s="130" t="s">
        <v>120</v>
      </c>
      <c r="AF222" s="127" t="s">
        <v>1167</v>
      </c>
      <c r="AG222" s="131"/>
      <c r="AH222" s="131"/>
      <c r="AI222" s="126" t="s">
        <v>1237</v>
      </c>
      <c r="AJ222" s="130" t="s">
        <v>120</v>
      </c>
      <c r="AK222" s="126" t="s">
        <v>123</v>
      </c>
      <c r="AL222" s="126" t="s">
        <v>1231</v>
      </c>
      <c r="AM222" s="130"/>
      <c r="AN222" s="126"/>
      <c r="AO222" s="132"/>
      <c r="AP222" s="126"/>
      <c r="AQ222" s="126"/>
      <c r="AR222" s="130"/>
      <c r="AS222" s="126"/>
      <c r="AT222" s="127">
        <v>43419.733999421303</v>
      </c>
      <c r="AU222" s="127">
        <v>43420.401276041703</v>
      </c>
      <c r="AV222" s="127"/>
      <c r="AW222" s="127">
        <v>43419.733999421303</v>
      </c>
      <c r="AX222" s="127">
        <v>43424.391512499998</v>
      </c>
      <c r="AY222" s="127">
        <v>43419.657820254601</v>
      </c>
      <c r="AZ222" s="133">
        <v>43424.391512499998</v>
      </c>
      <c r="BA222" s="134">
        <f ca="1">IF(_05preva_view43[[#This Row],[Prevalidation Status]]="Under Prevalidation",NOW()-_05preva_view43[[#This Row],[Request Date]],IF(_05preva_view43[[#This Row],[Close Date]]&gt;_05preva_view43[[#This Row],[Request Date]],_05preva_view43[[#This Row],[Close Date]]-_05preva_view43[[#This Row],[Request Date]],"Not  Calculated"))</f>
        <v>5.3915124999984982</v>
      </c>
      <c r="BB222" s="135">
        <f>COUNTIFS(_05preva_view43[Site ID],_05preva_view43[[#This Row],[Site ID]],_05preva_view43[Prevalidation Status],"Under Prevalidation")</f>
        <v>0</v>
      </c>
      <c r="BC222" s="153" t="str">
        <f ca="1">HYPERLINK(CheckPath(_05preva_view43[[#This Row],[File Path]],_05preva_view43[[#This Row],[File Path]],_05preva_view43[[#This Row],[Folder Path3]]),CheckPath(_05preva_view43[[#This Row],[File Path]],"Open File","No File"))</f>
        <v>No File</v>
      </c>
      <c r="BD222" s="136" t="str">
        <f>CONCATENATE(_05preva_view43[[#This Row],[Site ID]]," (",_05preva_view43[[#This Row],[tenant id]],") Application",IF(_05preva_view43[[#This Row],[Colo Rev]]&gt;0," Rev "&amp;_05preva_view43[[#This Row],[Colo Rev]],""),".xlsx")</f>
        <v>AYYN_0508 (YAW7800) Application Rev 1.xlsx</v>
      </c>
      <c r="BE222" s="64">
        <f t="shared" ca="1" si="5"/>
        <v>50</v>
      </c>
      <c r="BF222" s="104" t="str">
        <f ca="1">LEFT(CELL("filename",A207),_05preva_view43[[#This Row],[Find Process &amp; Database]]-1)</f>
        <v>D:\OneDrive - apollo-towers.com\Apollo Towers\00-</v>
      </c>
      <c r="BG222" s="104" t="str">
        <f ca="1">_05preva_view43[Folder Path1]&amp;"Process &amp; Database\Documentation\Colo Applications"</f>
        <v>D:\OneDrive - apollo-towers.com\Apollo Towers\00-Process &amp; Database\Documentation\Colo Applications</v>
      </c>
      <c r="BH222" s="104" t="str">
        <f ca="1">_05preva_view43[Folder Path2]&amp;"\Colo App "&amp;_05preva_view43[[#This Row],[Operator]]&amp;"\"</f>
        <v>D:\OneDrive - apollo-towers.com\Apollo Towers\00-Process &amp; Database\Documentation\Colo Applications\Colo App OML\</v>
      </c>
      <c r="BI222" s="63" t="str">
        <f ca="1">_05preva_view43[[#This Row],[Folder Path3]]&amp;_05preva_view43[[#This Row],[File Name]]</f>
        <v>D:\OneDrive - apollo-towers.com\Apollo Towers\00-Process &amp; Database\Documentation\Colo Applications\Colo App OML\AYYN_0508 (YAW7800) Application Rev 1.xlsx</v>
      </c>
      <c r="BJ222" s="104"/>
      <c r="BK222" s="3"/>
      <c r="BL222" s="3"/>
      <c r="CJ222" s="5"/>
      <c r="CK222" s="5"/>
      <c r="CL222" s="3"/>
      <c r="CN222" s="5"/>
      <c r="CR222" s="3"/>
      <c r="CS222" s="3"/>
      <c r="CT222" s="5"/>
      <c r="CV222" s="3"/>
      <c r="DR222" s="5"/>
      <c r="DT222" s="3"/>
      <c r="EF222" s="7"/>
      <c r="EG222" s="7"/>
      <c r="EJ222" s="4"/>
      <c r="EK222" s="4"/>
      <c r="EU222" s="2"/>
      <c r="EV222" s="2"/>
    </row>
    <row r="223" spans="1:152">
      <c r="A223" s="125">
        <v>3422</v>
      </c>
      <c r="B223" s="126" t="s">
        <v>431</v>
      </c>
      <c r="C223" s="126" t="s">
        <v>116</v>
      </c>
      <c r="D223" s="126" t="s">
        <v>163</v>
      </c>
      <c r="E223" s="126" t="s">
        <v>432</v>
      </c>
      <c r="F223" s="126" t="s">
        <v>40</v>
      </c>
      <c r="G223" s="126" t="s">
        <v>118</v>
      </c>
      <c r="H223" s="126"/>
      <c r="I223" s="126" t="s">
        <v>1143</v>
      </c>
      <c r="J223" s="126" t="s">
        <v>931</v>
      </c>
      <c r="K223" s="127">
        <v>43419</v>
      </c>
      <c r="L223" s="128">
        <v>3</v>
      </c>
      <c r="M223" s="128">
        <v>3.6</v>
      </c>
      <c r="N223" s="126">
        <v>4.5</v>
      </c>
      <c r="O223" s="126" t="s">
        <v>119</v>
      </c>
      <c r="P223" s="129" t="s">
        <v>270</v>
      </c>
      <c r="Q223" s="129" t="s">
        <v>256</v>
      </c>
      <c r="R223" s="126" t="s">
        <v>25</v>
      </c>
      <c r="S223" s="126"/>
      <c r="T223" s="130" t="s">
        <v>120</v>
      </c>
      <c r="U223" s="126" t="s">
        <v>1238</v>
      </c>
      <c r="V223" s="130" t="s">
        <v>120</v>
      </c>
      <c r="W223" s="126"/>
      <c r="X223" s="130" t="s">
        <v>144</v>
      </c>
      <c r="Y223" s="126" t="s">
        <v>1239</v>
      </c>
      <c r="Z223" s="162"/>
      <c r="AA223" s="154"/>
      <c r="AB223" s="154"/>
      <c r="AC223" s="167"/>
      <c r="AD223" s="126"/>
      <c r="AE223" s="130" t="s">
        <v>120</v>
      </c>
      <c r="AF223" s="127" t="s">
        <v>895</v>
      </c>
      <c r="AG223" s="131"/>
      <c r="AH223" s="131"/>
      <c r="AI223" s="126" t="s">
        <v>1240</v>
      </c>
      <c r="AJ223" s="130" t="s">
        <v>120</v>
      </c>
      <c r="AK223" s="126" t="s">
        <v>123</v>
      </c>
      <c r="AL223" s="126" t="s">
        <v>1231</v>
      </c>
      <c r="AM223" s="130"/>
      <c r="AN223" s="126"/>
      <c r="AO223" s="132"/>
      <c r="AP223" s="126"/>
      <c r="AQ223" s="126"/>
      <c r="AR223" s="130"/>
      <c r="AS223" s="126"/>
      <c r="AT223" s="127"/>
      <c r="AU223" s="127">
        <v>43420.401277314799</v>
      </c>
      <c r="AV223" s="127"/>
      <c r="AW223" s="127">
        <v>43419.734000231503</v>
      </c>
      <c r="AX223" s="127">
        <v>43424.368692592601</v>
      </c>
      <c r="AY223" s="127">
        <v>43419.6578226852</v>
      </c>
      <c r="AZ223" s="133"/>
      <c r="BA223" s="134">
        <f ca="1">IF(_05preva_view43[[#This Row],[Prevalidation Status]]="Under Prevalidation",NOW()-_05preva_view43[[#This Row],[Request Date]],IF(_05preva_view43[[#This Row],[Close Date]]&gt;_05preva_view43[[#This Row],[Request Date]],_05preva_view43[[#This Row],[Close Date]]-_05preva_view43[[#This Row],[Request Date]],"Not  Calculated"))</f>
        <v>68.506734143520589</v>
      </c>
      <c r="BB223" s="135">
        <f>COUNTIFS(_05preva_view43[Site ID],_05preva_view43[[#This Row],[Site ID]],_05preva_view43[Prevalidation Status],"Under Prevalidation")</f>
        <v>1</v>
      </c>
      <c r="BC223" s="153" t="str">
        <f ca="1">HYPERLINK(CheckPath(_05preva_view43[[#This Row],[File Path]],_05preva_view43[[#This Row],[File Path]],_05preva_view43[[#This Row],[Folder Path3]]),CheckPath(_05preva_view43[[#This Row],[File Path]],"Open File","No File"))</f>
        <v>No File</v>
      </c>
      <c r="BD223" s="136" t="str">
        <f>CONCATENATE(_05preva_view43[[#This Row],[Site ID]]," (",_05preva_view43[[#This Row],[tenant id]],") Application",IF(_05preva_view43[[#This Row],[Colo Rev]]&gt;0," Rev "&amp;_05preva_view43[[#This Row],[Colo Rev]],""),".xlsx")</f>
        <v>AYYN_0534 (YAW7825) Application Rev 1.xlsx</v>
      </c>
      <c r="BE223" s="64">
        <f t="shared" ca="1" si="5"/>
        <v>50</v>
      </c>
      <c r="BF223" s="104" t="str">
        <f ca="1">LEFT(CELL("filename",A208),_05preva_view43[[#This Row],[Find Process &amp; Database]]-1)</f>
        <v>D:\OneDrive - apollo-towers.com\Apollo Towers\00-</v>
      </c>
      <c r="BG223" s="104" t="str">
        <f ca="1">_05preva_view43[Folder Path1]&amp;"Process &amp; Database\Documentation\Colo Applications"</f>
        <v>D:\OneDrive - apollo-towers.com\Apollo Towers\00-Process &amp; Database\Documentation\Colo Applications</v>
      </c>
      <c r="BH223" s="104" t="str">
        <f ca="1">_05preva_view43[Folder Path2]&amp;"\Colo App "&amp;_05preva_view43[[#This Row],[Operator]]&amp;"\"</f>
        <v>D:\OneDrive - apollo-towers.com\Apollo Towers\00-Process &amp; Database\Documentation\Colo Applications\Colo App OML\</v>
      </c>
      <c r="BI223" s="63" t="str">
        <f ca="1">_05preva_view43[[#This Row],[Folder Path3]]&amp;_05preva_view43[[#This Row],[File Name]]</f>
        <v>D:\OneDrive - apollo-towers.com\Apollo Towers\00-Process &amp; Database\Documentation\Colo Applications\Colo App OML\AYYN_0534 (YAW7825) Application Rev 1.xlsx</v>
      </c>
      <c r="BJ223" s="104"/>
      <c r="BK223" s="3"/>
      <c r="BL223" s="3"/>
      <c r="CJ223" s="5"/>
      <c r="CK223" s="5"/>
      <c r="CL223" s="3"/>
      <c r="CN223" s="5"/>
      <c r="CR223" s="3"/>
      <c r="CS223" s="3"/>
      <c r="CT223" s="5"/>
      <c r="CV223" s="3"/>
      <c r="DR223" s="5"/>
      <c r="DT223" s="3"/>
      <c r="EF223" s="7"/>
      <c r="EG223" s="7"/>
      <c r="EJ223" s="4"/>
      <c r="EK223" s="4"/>
      <c r="EU223" s="2"/>
      <c r="EV223" s="2"/>
    </row>
    <row r="224" spans="1:152">
      <c r="A224" s="125">
        <v>3423</v>
      </c>
      <c r="B224" s="126" t="s">
        <v>243</v>
      </c>
      <c r="C224" s="126" t="s">
        <v>116</v>
      </c>
      <c r="D224" s="126" t="s">
        <v>163</v>
      </c>
      <c r="E224" s="126" t="s">
        <v>244</v>
      </c>
      <c r="F224" s="126" t="s">
        <v>40</v>
      </c>
      <c r="G224" s="126" t="s">
        <v>118</v>
      </c>
      <c r="H224" s="126"/>
      <c r="I224" s="126" t="s">
        <v>1143</v>
      </c>
      <c r="J224" s="126" t="s">
        <v>931</v>
      </c>
      <c r="K224" s="127">
        <v>43419</v>
      </c>
      <c r="L224" s="128">
        <v>3</v>
      </c>
      <c r="M224" s="128">
        <v>3.6</v>
      </c>
      <c r="N224" s="126">
        <v>4.5</v>
      </c>
      <c r="O224" s="126" t="s">
        <v>119</v>
      </c>
      <c r="P224" s="129" t="s">
        <v>858</v>
      </c>
      <c r="Q224" s="129" t="s">
        <v>284</v>
      </c>
      <c r="R224" s="126" t="s">
        <v>26</v>
      </c>
      <c r="S224" s="126"/>
      <c r="T224" s="130" t="s">
        <v>120</v>
      </c>
      <c r="U224" s="126" t="s">
        <v>1241</v>
      </c>
      <c r="V224" s="130" t="s">
        <v>120</v>
      </c>
      <c r="W224" s="126"/>
      <c r="X224" s="130" t="s">
        <v>120</v>
      </c>
      <c r="Y224" s="126" t="s">
        <v>1242</v>
      </c>
      <c r="Z224" s="162" t="s">
        <v>144</v>
      </c>
      <c r="AA224" s="154"/>
      <c r="AB224" s="154"/>
      <c r="AC224" s="167" t="s">
        <v>240</v>
      </c>
      <c r="AD224" s="126" t="s">
        <v>1243</v>
      </c>
      <c r="AE224" s="130" t="s">
        <v>120</v>
      </c>
      <c r="AF224" s="127" t="s">
        <v>895</v>
      </c>
      <c r="AG224" s="131"/>
      <c r="AH224" s="131"/>
      <c r="AI224" s="126" t="s">
        <v>1244</v>
      </c>
      <c r="AJ224" s="130" t="s">
        <v>120</v>
      </c>
      <c r="AK224" s="126" t="s">
        <v>123</v>
      </c>
      <c r="AL224" s="126" t="s">
        <v>1231</v>
      </c>
      <c r="AM224" s="130"/>
      <c r="AN224" s="126"/>
      <c r="AO224" s="132"/>
      <c r="AP224" s="126"/>
      <c r="AQ224" s="126"/>
      <c r="AR224" s="130"/>
      <c r="AS224" s="126"/>
      <c r="AT224" s="127">
        <v>43419.734001388897</v>
      </c>
      <c r="AU224" s="127">
        <v>43420.401278587997</v>
      </c>
      <c r="AV224" s="127"/>
      <c r="AW224" s="127">
        <v>43419.734001388897</v>
      </c>
      <c r="AX224" s="127">
        <v>43424.391513773102</v>
      </c>
      <c r="AY224" s="127">
        <v>43419.657825347203</v>
      </c>
      <c r="AZ224" s="133">
        <v>43424.391513773102</v>
      </c>
      <c r="BA224" s="134">
        <f ca="1">IF(_05preva_view43[[#This Row],[Prevalidation Status]]="Under Prevalidation",NOW()-_05preva_view43[[#This Row],[Request Date]],IF(_05preva_view43[[#This Row],[Close Date]]&gt;_05preva_view43[[#This Row],[Request Date]],_05preva_view43[[#This Row],[Close Date]]-_05preva_view43[[#This Row],[Request Date]],"Not  Calculated"))</f>
        <v>5.3915137731019058</v>
      </c>
      <c r="BB224" s="135">
        <f>COUNTIFS(_05preva_view43[Site ID],_05preva_view43[[#This Row],[Site ID]],_05preva_view43[Prevalidation Status],"Under Prevalidation")</f>
        <v>0</v>
      </c>
      <c r="BC224" s="153" t="str">
        <f ca="1">HYPERLINK(CheckPath(_05preva_view43[[#This Row],[File Path]],_05preva_view43[[#This Row],[File Path]],_05preva_view43[[#This Row],[Folder Path3]]),CheckPath(_05preva_view43[[#This Row],[File Path]],"Open File","No File"))</f>
        <v>No File</v>
      </c>
      <c r="BD224" s="136" t="str">
        <f>CONCATENATE(_05preva_view43[[#This Row],[Site ID]]," (",_05preva_view43[[#This Row],[tenant id]],") Application",IF(_05preva_view43[[#This Row],[Colo Rev]]&gt;0," Rev "&amp;_05preva_view43[[#This Row],[Colo Rev]],""),".xlsx")</f>
        <v>AYYN_0611 (YAW4436) Application Rev 1.xlsx</v>
      </c>
      <c r="BE224" s="64">
        <f t="shared" ca="1" si="5"/>
        <v>50</v>
      </c>
      <c r="BF224" s="104" t="str">
        <f ca="1">LEFT(CELL("filename",A209),_05preva_view43[[#This Row],[Find Process &amp; Database]]-1)</f>
        <v>D:\OneDrive - apollo-towers.com\Apollo Towers\00-</v>
      </c>
      <c r="BG224" s="104" t="str">
        <f ca="1">_05preva_view43[Folder Path1]&amp;"Process &amp; Database\Documentation\Colo Applications"</f>
        <v>D:\OneDrive - apollo-towers.com\Apollo Towers\00-Process &amp; Database\Documentation\Colo Applications</v>
      </c>
      <c r="BH224" s="104" t="str">
        <f ca="1">_05preva_view43[Folder Path2]&amp;"\Colo App "&amp;_05preva_view43[[#This Row],[Operator]]&amp;"\"</f>
        <v>D:\OneDrive - apollo-towers.com\Apollo Towers\00-Process &amp; Database\Documentation\Colo Applications\Colo App OML\</v>
      </c>
      <c r="BI224" s="63" t="str">
        <f ca="1">_05preva_view43[[#This Row],[Folder Path3]]&amp;_05preva_view43[[#This Row],[File Name]]</f>
        <v>D:\OneDrive - apollo-towers.com\Apollo Towers\00-Process &amp; Database\Documentation\Colo Applications\Colo App OML\AYYN_0611 (YAW4436) Application Rev 1.xlsx</v>
      </c>
      <c r="BJ224" s="104"/>
      <c r="BK224" s="3"/>
      <c r="BL224" s="3"/>
      <c r="CJ224" s="5"/>
      <c r="CK224" s="5"/>
      <c r="CL224" s="3"/>
      <c r="CN224" s="5"/>
      <c r="CR224" s="3"/>
      <c r="CS224" s="3"/>
      <c r="CT224" s="5"/>
      <c r="CV224" s="3"/>
      <c r="DR224" s="5"/>
      <c r="DT224" s="3"/>
      <c r="EF224" s="7"/>
      <c r="EG224" s="7"/>
      <c r="EJ224" s="4"/>
      <c r="EK224" s="4"/>
      <c r="EU224" s="2"/>
      <c r="EV224" s="2"/>
    </row>
    <row r="225" spans="1:152">
      <c r="A225" s="125">
        <v>3424</v>
      </c>
      <c r="B225" s="126" t="s">
        <v>420</v>
      </c>
      <c r="C225" s="126" t="s">
        <v>116</v>
      </c>
      <c r="D225" s="126" t="s">
        <v>163</v>
      </c>
      <c r="E225" s="126" t="s">
        <v>421</v>
      </c>
      <c r="F225" s="126" t="s">
        <v>40</v>
      </c>
      <c r="G225" s="126" t="s">
        <v>118</v>
      </c>
      <c r="H225" s="126"/>
      <c r="I225" s="126" t="s">
        <v>1143</v>
      </c>
      <c r="J225" s="126" t="s">
        <v>931</v>
      </c>
      <c r="K225" s="127">
        <v>43419</v>
      </c>
      <c r="L225" s="128">
        <v>3</v>
      </c>
      <c r="M225" s="128">
        <v>3.6</v>
      </c>
      <c r="N225" s="126">
        <v>4.5</v>
      </c>
      <c r="O225" s="126" t="s">
        <v>119</v>
      </c>
      <c r="P225" s="129" t="s">
        <v>1245</v>
      </c>
      <c r="Q225" s="129" t="s">
        <v>858</v>
      </c>
      <c r="R225" s="126" t="s">
        <v>24</v>
      </c>
      <c r="S225" s="126"/>
      <c r="T225" s="130" t="s">
        <v>120</v>
      </c>
      <c r="U225" s="126" t="s">
        <v>1246</v>
      </c>
      <c r="V225" s="130" t="s">
        <v>120</v>
      </c>
      <c r="W225" s="126"/>
      <c r="X225" s="130" t="s">
        <v>120</v>
      </c>
      <c r="Y225" s="126" t="s">
        <v>1247</v>
      </c>
      <c r="Z225" s="162" t="s">
        <v>120</v>
      </c>
      <c r="AA225" s="154"/>
      <c r="AB225" s="154"/>
      <c r="AC225" s="167" t="s">
        <v>123</v>
      </c>
      <c r="AD225" s="126" t="s">
        <v>1573</v>
      </c>
      <c r="AE225" s="130" t="s">
        <v>120</v>
      </c>
      <c r="AF225" s="127" t="s">
        <v>895</v>
      </c>
      <c r="AG225" s="131"/>
      <c r="AH225" s="131"/>
      <c r="AI225" s="126" t="s">
        <v>1248</v>
      </c>
      <c r="AJ225" s="130" t="s">
        <v>120</v>
      </c>
      <c r="AK225" s="126" t="s">
        <v>123</v>
      </c>
      <c r="AL225" s="126" t="s">
        <v>1231</v>
      </c>
      <c r="AM225" s="130"/>
      <c r="AN225" s="126"/>
      <c r="AO225" s="132"/>
      <c r="AP225" s="126"/>
      <c r="AQ225" s="126"/>
      <c r="AR225" s="130"/>
      <c r="AS225" s="126"/>
      <c r="AT225" s="127">
        <v>43420.419846643497</v>
      </c>
      <c r="AU225" s="127">
        <v>43420.401281712999</v>
      </c>
      <c r="AV225" s="127">
        <v>43447.556885532402</v>
      </c>
      <c r="AW225" s="127">
        <v>43419.734002199097</v>
      </c>
      <c r="AX225" s="127">
        <v>43424.368693518503</v>
      </c>
      <c r="AY225" s="127">
        <v>43419.657826620401</v>
      </c>
      <c r="AZ225" s="133">
        <v>43447.556885532402</v>
      </c>
      <c r="BA225" s="134">
        <f ca="1">IF(_05preva_view43[[#This Row],[Prevalidation Status]]="Under Prevalidation",NOW()-_05preva_view43[[#This Row],[Request Date]],IF(_05preva_view43[[#This Row],[Close Date]]&gt;_05preva_view43[[#This Row],[Request Date]],_05preva_view43[[#This Row],[Close Date]]-_05preva_view43[[#This Row],[Request Date]],"Not  Calculated"))</f>
        <v>28.556885532401793</v>
      </c>
      <c r="BB225" s="135">
        <f>COUNTIFS(_05preva_view43[Site ID],_05preva_view43[[#This Row],[Site ID]],_05preva_view43[Prevalidation Status],"Under Prevalidation")</f>
        <v>0</v>
      </c>
      <c r="BC225" s="153" t="str">
        <f ca="1">HYPERLINK(CheckPath(_05preva_view43[[#This Row],[File Path]],_05preva_view43[[#This Row],[File Path]],_05preva_view43[[#This Row],[Folder Path3]]),CheckPath(_05preva_view43[[#This Row],[File Path]],"Open File","No File"))</f>
        <v>No File</v>
      </c>
      <c r="BD225" s="136" t="str">
        <f>CONCATENATE(_05preva_view43[[#This Row],[Site ID]]," (",_05preva_view43[[#This Row],[tenant id]],") Application",IF(_05preva_view43[[#This Row],[Colo Rev]]&gt;0," Rev "&amp;_05preva_view43[[#This Row],[Colo Rev]],""),".xlsx")</f>
        <v>AYYN_0306 (YAW7763) Application Rev 1.xlsx</v>
      </c>
      <c r="BE225" s="64">
        <f t="shared" ca="1" si="5"/>
        <v>50</v>
      </c>
      <c r="BF225" s="104" t="str">
        <f ca="1">LEFT(CELL("filename",A210),_05preva_view43[[#This Row],[Find Process &amp; Database]]-1)</f>
        <v>D:\OneDrive - apollo-towers.com\Apollo Towers\00-</v>
      </c>
      <c r="BG225" s="104" t="str">
        <f ca="1">_05preva_view43[Folder Path1]&amp;"Process &amp; Database\Documentation\Colo Applications"</f>
        <v>D:\OneDrive - apollo-towers.com\Apollo Towers\00-Process &amp; Database\Documentation\Colo Applications</v>
      </c>
      <c r="BH225" s="104" t="str">
        <f ca="1">_05preva_view43[Folder Path2]&amp;"\Colo App "&amp;_05preva_view43[[#This Row],[Operator]]&amp;"\"</f>
        <v>D:\OneDrive - apollo-towers.com\Apollo Towers\00-Process &amp; Database\Documentation\Colo Applications\Colo App OML\</v>
      </c>
      <c r="BI225" s="63" t="str">
        <f ca="1">_05preva_view43[[#This Row],[Folder Path3]]&amp;_05preva_view43[[#This Row],[File Name]]</f>
        <v>D:\OneDrive - apollo-towers.com\Apollo Towers\00-Process &amp; Database\Documentation\Colo Applications\Colo App OML\AYYN_0306 (YAW7763) Application Rev 1.xlsx</v>
      </c>
      <c r="BJ225" s="104"/>
      <c r="BK225" s="3"/>
      <c r="BL225" s="3"/>
      <c r="CJ225" s="5"/>
      <c r="CK225" s="5"/>
      <c r="CL225" s="3"/>
      <c r="CN225" s="5"/>
      <c r="CR225" s="3"/>
      <c r="CS225" s="3"/>
      <c r="CT225" s="5"/>
      <c r="CV225" s="3"/>
      <c r="DR225" s="5"/>
      <c r="DT225" s="3"/>
      <c r="EF225" s="7"/>
      <c r="EG225" s="7"/>
      <c r="EJ225" s="4"/>
      <c r="EK225" s="4"/>
      <c r="EU225" s="2"/>
      <c r="EV225" s="2"/>
    </row>
    <row r="226" spans="1:152">
      <c r="A226" s="125">
        <v>3425</v>
      </c>
      <c r="B226" s="126" t="s">
        <v>247</v>
      </c>
      <c r="C226" s="126" t="s">
        <v>116</v>
      </c>
      <c r="D226" s="126" t="s">
        <v>163</v>
      </c>
      <c r="E226" s="126" t="s">
        <v>248</v>
      </c>
      <c r="F226" s="126" t="s">
        <v>40</v>
      </c>
      <c r="G226" s="126"/>
      <c r="H226" s="126"/>
      <c r="I226" s="126" t="s">
        <v>1143</v>
      </c>
      <c r="J226" s="126" t="s">
        <v>931</v>
      </c>
      <c r="K226" s="127">
        <v>43419</v>
      </c>
      <c r="L226" s="128">
        <v>3</v>
      </c>
      <c r="M226" s="128">
        <v>3.6</v>
      </c>
      <c r="N226" s="126">
        <v>4.5</v>
      </c>
      <c r="O226" s="126" t="s">
        <v>119</v>
      </c>
      <c r="P226" s="129" t="s">
        <v>270</v>
      </c>
      <c r="Q226" s="129" t="s">
        <v>256</v>
      </c>
      <c r="R226" s="126" t="s">
        <v>26</v>
      </c>
      <c r="S226" s="126"/>
      <c r="T226" s="130" t="s">
        <v>144</v>
      </c>
      <c r="U226" s="126" t="s">
        <v>1249</v>
      </c>
      <c r="V226" s="130" t="s">
        <v>120</v>
      </c>
      <c r="W226" s="126"/>
      <c r="X226" s="130" t="s">
        <v>120</v>
      </c>
      <c r="Y226" s="126" t="s">
        <v>1250</v>
      </c>
      <c r="Z226" s="162" t="s">
        <v>120</v>
      </c>
      <c r="AA226" s="154"/>
      <c r="AB226" s="154"/>
      <c r="AC226" s="167" t="s">
        <v>123</v>
      </c>
      <c r="AD226" s="126" t="s">
        <v>1322</v>
      </c>
      <c r="AE226" s="130" t="s">
        <v>120</v>
      </c>
      <c r="AF226" s="127"/>
      <c r="AG226" s="131"/>
      <c r="AH226" s="131"/>
      <c r="AI226" s="126" t="s">
        <v>1251</v>
      </c>
      <c r="AJ226" s="130" t="s">
        <v>120</v>
      </c>
      <c r="AK226" s="126" t="s">
        <v>123</v>
      </c>
      <c r="AL226" s="126" t="s">
        <v>1231</v>
      </c>
      <c r="AM226" s="130"/>
      <c r="AN226" s="126"/>
      <c r="AO226" s="132"/>
      <c r="AP226" s="126"/>
      <c r="AQ226" s="126"/>
      <c r="AR226" s="130"/>
      <c r="AS226" s="126"/>
      <c r="AT226" s="127">
        <v>43419.734003124999</v>
      </c>
      <c r="AU226" s="127">
        <v>43420.401282523097</v>
      </c>
      <c r="AV226" s="127">
        <v>43439.384219560197</v>
      </c>
      <c r="AW226" s="127">
        <v>43419.734003124999</v>
      </c>
      <c r="AX226" s="127"/>
      <c r="AY226" s="127">
        <v>43419.657829282398</v>
      </c>
      <c r="AZ226" s="133">
        <v>43439.384219560197</v>
      </c>
      <c r="BA226" s="134">
        <f ca="1">IF(_05preva_view43[[#This Row],[Prevalidation Status]]="Under Prevalidation",NOW()-_05preva_view43[[#This Row],[Request Date]],IF(_05preva_view43[[#This Row],[Close Date]]&gt;_05preva_view43[[#This Row],[Request Date]],_05preva_view43[[#This Row],[Close Date]]-_05preva_view43[[#This Row],[Request Date]],"Not  Calculated"))</f>
        <v>20.38421956019738</v>
      </c>
      <c r="BB226" s="135">
        <f>COUNTIFS(_05preva_view43[Site ID],_05preva_view43[[#This Row],[Site ID]],_05preva_view43[Prevalidation Status],"Under Prevalidation")</f>
        <v>0</v>
      </c>
      <c r="BC226" s="153" t="str">
        <f ca="1">HYPERLINK(CheckPath(_05preva_view43[[#This Row],[File Path]],_05preva_view43[[#This Row],[File Path]],_05preva_view43[[#This Row],[Folder Path3]]),CheckPath(_05preva_view43[[#This Row],[File Path]],"Open File","No File"))</f>
        <v>No File</v>
      </c>
      <c r="BD226" s="136" t="str">
        <f>CONCATENATE(_05preva_view43[[#This Row],[Site ID]]," (",_05preva_view43[[#This Row],[tenant id]],") Application",IF(_05preva_view43[[#This Row],[Colo Rev]]&gt;0," Rev "&amp;_05preva_view43[[#This Row],[Colo Rev]],""),".xlsx")</f>
        <v>AYYN_0529 (YAW4447) Application Rev 1.xlsx</v>
      </c>
      <c r="BE226" s="64">
        <f t="shared" ca="1" si="5"/>
        <v>50</v>
      </c>
      <c r="BF226" s="104" t="str">
        <f ca="1">LEFT(CELL("filename",A211),_05preva_view43[[#This Row],[Find Process &amp; Database]]-1)</f>
        <v>D:\OneDrive - apollo-towers.com\Apollo Towers\00-</v>
      </c>
      <c r="BG226" s="104" t="str">
        <f ca="1">_05preva_view43[Folder Path1]&amp;"Process &amp; Database\Documentation\Colo Applications"</f>
        <v>D:\OneDrive - apollo-towers.com\Apollo Towers\00-Process &amp; Database\Documentation\Colo Applications</v>
      </c>
      <c r="BH226" s="104" t="str">
        <f ca="1">_05preva_view43[Folder Path2]&amp;"\Colo App "&amp;_05preva_view43[[#This Row],[Operator]]&amp;"\"</f>
        <v>D:\OneDrive - apollo-towers.com\Apollo Towers\00-Process &amp; Database\Documentation\Colo Applications\Colo App OML\</v>
      </c>
      <c r="BI226" s="63" t="str">
        <f ca="1">_05preva_view43[[#This Row],[Folder Path3]]&amp;_05preva_view43[[#This Row],[File Name]]</f>
        <v>D:\OneDrive - apollo-towers.com\Apollo Towers\00-Process &amp; Database\Documentation\Colo Applications\Colo App OML\AYYN_0529 (YAW4447) Application Rev 1.xlsx</v>
      </c>
      <c r="BJ226" s="104"/>
      <c r="BK226" s="3"/>
      <c r="BL226" s="3"/>
      <c r="CJ226" s="5"/>
      <c r="CK226" s="5"/>
      <c r="CL226" s="3"/>
      <c r="CN226" s="5"/>
      <c r="CR226" s="3"/>
      <c r="CS226" s="3"/>
      <c r="CT226" s="5"/>
      <c r="CV226" s="3"/>
      <c r="DR226" s="5"/>
      <c r="DT226" s="3"/>
      <c r="EF226" s="7"/>
      <c r="EG226" s="7"/>
      <c r="EJ226" s="4"/>
      <c r="EK226" s="4"/>
      <c r="EU226" s="2"/>
      <c r="EV226" s="2"/>
    </row>
    <row r="227" spans="1:152">
      <c r="A227" s="125">
        <v>3426</v>
      </c>
      <c r="B227" s="126" t="s">
        <v>1046</v>
      </c>
      <c r="C227" s="126" t="s">
        <v>331</v>
      </c>
      <c r="D227" s="126" t="s">
        <v>127</v>
      </c>
      <c r="E227" s="126" t="s">
        <v>1047</v>
      </c>
      <c r="F227" s="126" t="s">
        <v>35</v>
      </c>
      <c r="G227" s="126" t="s">
        <v>1583</v>
      </c>
      <c r="H227" s="126" t="s">
        <v>1575</v>
      </c>
      <c r="I227" s="126" t="s">
        <v>1048</v>
      </c>
      <c r="J227" s="126" t="s">
        <v>990</v>
      </c>
      <c r="K227" s="127">
        <v>43419</v>
      </c>
      <c r="L227" s="128">
        <v>2.1259999999999999</v>
      </c>
      <c r="M227" s="128">
        <v>4.0149999999999997</v>
      </c>
      <c r="N227" s="126">
        <v>3.3250000000000002</v>
      </c>
      <c r="O227" s="126" t="s">
        <v>950</v>
      </c>
      <c r="P227" s="129" t="s">
        <v>704</v>
      </c>
      <c r="Q227" s="129" t="s">
        <v>705</v>
      </c>
      <c r="R227" s="126" t="s">
        <v>24</v>
      </c>
      <c r="S227" s="126"/>
      <c r="T227" s="130" t="s">
        <v>120</v>
      </c>
      <c r="U227" s="126"/>
      <c r="V227" s="130" t="s">
        <v>861</v>
      </c>
      <c r="W227" s="126"/>
      <c r="X227" s="130" t="s">
        <v>120</v>
      </c>
      <c r="Y227" s="126" t="s">
        <v>1253</v>
      </c>
      <c r="Z227" s="162" t="s">
        <v>120</v>
      </c>
      <c r="AA227" s="154"/>
      <c r="AB227" s="154"/>
      <c r="AC227" s="167" t="s">
        <v>123</v>
      </c>
      <c r="AD227" s="126" t="s">
        <v>1254</v>
      </c>
      <c r="AE227" s="130" t="s">
        <v>120</v>
      </c>
      <c r="AF227" s="127" t="s">
        <v>1764</v>
      </c>
      <c r="AG227" s="131"/>
      <c r="AH227" s="131">
        <v>2.2999999999999998</v>
      </c>
      <c r="AI227" s="126" t="s">
        <v>1285</v>
      </c>
      <c r="AJ227" s="130" t="s">
        <v>120</v>
      </c>
      <c r="AK227" s="126" t="s">
        <v>123</v>
      </c>
      <c r="AL227" s="126" t="s">
        <v>1198</v>
      </c>
      <c r="AM227" s="130"/>
      <c r="AN227" s="126"/>
      <c r="AO227" s="132"/>
      <c r="AP227" s="126"/>
      <c r="AQ227" s="126"/>
      <c r="AR227" s="130"/>
      <c r="AS227" s="126"/>
      <c r="AT227" s="127">
        <v>43420.419850462997</v>
      </c>
      <c r="AU227" s="127">
        <v>43451.370452661999</v>
      </c>
      <c r="AV227" s="127">
        <v>43423.465950347199</v>
      </c>
      <c r="AW227" s="127">
        <v>43420.419850462997</v>
      </c>
      <c r="AX227" s="127">
        <v>43424.368695601901</v>
      </c>
      <c r="AY227" s="127"/>
      <c r="AZ227" s="133">
        <v>43451.3896572917</v>
      </c>
      <c r="BA227" s="134">
        <f ca="1">IF(_05preva_view43[[#This Row],[Prevalidation Status]]="Under Prevalidation",NOW()-_05preva_view43[[#This Row],[Request Date]],IF(_05preva_view43[[#This Row],[Close Date]]&gt;_05preva_view43[[#This Row],[Request Date]],_05preva_view43[[#This Row],[Close Date]]-_05preva_view43[[#This Row],[Request Date]],"Not  Calculated"))</f>
        <v>32.389657291700132</v>
      </c>
      <c r="BB227" s="135">
        <f>COUNTIFS(_05preva_view43[Site ID],_05preva_view43[[#This Row],[Site ID]],_05preva_view43[Prevalidation Status],"Under Prevalidation")</f>
        <v>0</v>
      </c>
      <c r="BC227" s="153" t="str">
        <f ca="1">HYPERLINK(CheckPath(_05preva_view43[[#This Row],[File Path]],_05preva_view43[[#This Row],[File Path]],_05preva_view43[[#This Row],[Folder Path3]]),CheckPath(_05preva_view43[[#This Row],[File Path]],"Open File","No File"))</f>
        <v>No File</v>
      </c>
      <c r="BD227" s="136" t="str">
        <f>CONCATENATE(_05preva_view43[[#This Row],[Site ID]]," (",_05preva_view43[[#This Row],[tenant id]],") Application",IF(_05preva_view43[[#This Row],[Colo Rev]]&gt;0," Rev "&amp;_05preva_view43[[#This Row],[Colo Rev]],""),".xlsx")</f>
        <v>1-01-05027-009 (SGG00227) Application Rev 3.xlsx</v>
      </c>
      <c r="BE227" s="64">
        <f t="shared" ca="1" si="5"/>
        <v>50</v>
      </c>
      <c r="BF227" s="104" t="str">
        <f ca="1">LEFT(CELL("filename",A212),_05preva_view43[[#This Row],[Find Process &amp; Database]]-1)</f>
        <v>D:\OneDrive - apollo-towers.com\Apollo Towers\00-</v>
      </c>
      <c r="BG227" s="104" t="str">
        <f ca="1">_05preva_view43[Folder Path1]&amp;"Process &amp; Database\Documentation\Colo Applications"</f>
        <v>D:\OneDrive - apollo-towers.com\Apollo Towers\00-Process &amp; Database\Documentation\Colo Applications</v>
      </c>
      <c r="BH227" s="104" t="str">
        <f ca="1">_05preva_view43[Folder Path2]&amp;"\Colo App "&amp;_05preva_view43[[#This Row],[Operator]]&amp;"\"</f>
        <v>D:\OneDrive - apollo-towers.com\Apollo Towers\00-Process &amp; Database\Documentation\Colo Applications\Colo App MPT\</v>
      </c>
      <c r="BI227" s="63" t="str">
        <f ca="1">_05preva_view43[[#This Row],[Folder Path3]]&amp;_05preva_view43[[#This Row],[File Name]]</f>
        <v>D:\OneDrive - apollo-towers.com\Apollo Towers\00-Process &amp; Database\Documentation\Colo Applications\Colo App MPT\1-01-05027-009 (SGG00227) Application Rev 3.xlsx</v>
      </c>
      <c r="BJ227" s="104"/>
      <c r="BK227" s="3"/>
      <c r="BL227" s="3"/>
      <c r="CJ227" s="5"/>
      <c r="CK227" s="5"/>
      <c r="CL227" s="3"/>
      <c r="CN227" s="5"/>
      <c r="CR227" s="3"/>
      <c r="CS227" s="3"/>
      <c r="CT227" s="5"/>
      <c r="CV227" s="3"/>
      <c r="DR227" s="5"/>
      <c r="DT227" s="3"/>
      <c r="EF227" s="7"/>
      <c r="EG227" s="7"/>
      <c r="EJ227" s="4"/>
      <c r="EK227" s="4"/>
      <c r="EU227" s="2"/>
      <c r="EV227" s="2"/>
    </row>
    <row r="228" spans="1:152">
      <c r="A228" s="125">
        <v>3427</v>
      </c>
      <c r="B228" s="126" t="s">
        <v>1189</v>
      </c>
      <c r="C228" s="126" t="s">
        <v>331</v>
      </c>
      <c r="D228" s="126" t="s">
        <v>127</v>
      </c>
      <c r="E228" s="126" t="s">
        <v>1190</v>
      </c>
      <c r="F228" s="126" t="s">
        <v>35</v>
      </c>
      <c r="G228" s="126" t="s">
        <v>1583</v>
      </c>
      <c r="H228" s="126" t="s">
        <v>1575</v>
      </c>
      <c r="I228" s="126" t="s">
        <v>1053</v>
      </c>
      <c r="J228" s="126" t="s">
        <v>990</v>
      </c>
      <c r="K228" s="127">
        <v>43419</v>
      </c>
      <c r="L228" s="128">
        <v>1.9890000000000001</v>
      </c>
      <c r="M228" s="128">
        <v>3.6110000000000002</v>
      </c>
      <c r="N228" s="126">
        <v>4.37</v>
      </c>
      <c r="O228" s="126" t="s">
        <v>950</v>
      </c>
      <c r="P228" s="129" t="s">
        <v>704</v>
      </c>
      <c r="Q228" s="129" t="s">
        <v>705</v>
      </c>
      <c r="R228" s="126" t="s">
        <v>24</v>
      </c>
      <c r="S228" s="126"/>
      <c r="T228" s="130" t="s">
        <v>120</v>
      </c>
      <c r="U228" s="126"/>
      <c r="V228" s="130" t="s">
        <v>861</v>
      </c>
      <c r="W228" s="126"/>
      <c r="X228" s="130" t="s">
        <v>120</v>
      </c>
      <c r="Y228" s="126" t="s">
        <v>1255</v>
      </c>
      <c r="Z228" s="162" t="s">
        <v>120</v>
      </c>
      <c r="AA228" s="154"/>
      <c r="AB228" s="154"/>
      <c r="AC228" s="167" t="s">
        <v>123</v>
      </c>
      <c r="AD228" s="126" t="s">
        <v>1256</v>
      </c>
      <c r="AE228" s="130" t="s">
        <v>120</v>
      </c>
      <c r="AF228" s="127" t="s">
        <v>1167</v>
      </c>
      <c r="AG228" s="131"/>
      <c r="AH228" s="131">
        <v>1.5</v>
      </c>
      <c r="AI228" s="126" t="s">
        <v>1168</v>
      </c>
      <c r="AJ228" s="130" t="s">
        <v>120</v>
      </c>
      <c r="AK228" s="126" t="s">
        <v>123</v>
      </c>
      <c r="AL228" s="126" t="s">
        <v>1198</v>
      </c>
      <c r="AM228" s="130"/>
      <c r="AN228" s="126"/>
      <c r="AO228" s="132"/>
      <c r="AP228" s="126"/>
      <c r="AQ228" s="126"/>
      <c r="AR228" s="130"/>
      <c r="AS228" s="126"/>
      <c r="AT228" s="127">
        <v>43420.419852314801</v>
      </c>
      <c r="AU228" s="127">
        <v>43420.5554857639</v>
      </c>
      <c r="AV228" s="127">
        <v>43423.465951620397</v>
      </c>
      <c r="AW228" s="127">
        <v>43420.419852314801</v>
      </c>
      <c r="AX228" s="127">
        <v>43424.368696411999</v>
      </c>
      <c r="AY228" s="127"/>
      <c r="AZ228" s="133">
        <v>43424.368696411999</v>
      </c>
      <c r="BA228" s="134">
        <f ca="1">IF(_05preva_view43[[#This Row],[Prevalidation Status]]="Under Prevalidation",NOW()-_05preva_view43[[#This Row],[Request Date]],IF(_05preva_view43[[#This Row],[Close Date]]&gt;_05preva_view43[[#This Row],[Request Date]],_05preva_view43[[#This Row],[Close Date]]-_05preva_view43[[#This Row],[Request Date]],"Not  Calculated"))</f>
        <v>5.3686964119988261</v>
      </c>
      <c r="BB228" s="135">
        <f>COUNTIFS(_05preva_view43[Site ID],_05preva_view43[[#This Row],[Site ID]],_05preva_view43[Prevalidation Status],"Under Prevalidation")</f>
        <v>0</v>
      </c>
      <c r="BC228" s="153" t="str">
        <f ca="1">HYPERLINK(CheckPath(_05preva_view43[[#This Row],[File Path]],_05preva_view43[[#This Row],[File Path]],_05preva_view43[[#This Row],[Folder Path3]]),CheckPath(_05preva_view43[[#This Row],[File Path]],"Open File","No File"))</f>
        <v>No File</v>
      </c>
      <c r="BD228" s="136" t="str">
        <f>CONCATENATE(_05preva_view43[[#This Row],[Site ID]]," (",_05preva_view43[[#This Row],[tenant id]],") Application",IF(_05preva_view43[[#This Row],[Colo Rev]]&gt;0," Rev "&amp;_05preva_view43[[#This Row],[Colo Rev]],""),".xlsx")</f>
        <v>1-01-15011-001 (SHN00043) Application Rev 3.xlsx</v>
      </c>
      <c r="BE228" s="64">
        <f t="shared" ca="1" si="5"/>
        <v>50</v>
      </c>
      <c r="BF228" s="104" t="str">
        <f ca="1">LEFT(CELL("filename",A213),_05preva_view43[[#This Row],[Find Process &amp; Database]]-1)</f>
        <v>D:\OneDrive - apollo-towers.com\Apollo Towers\00-</v>
      </c>
      <c r="BG228" s="104" t="str">
        <f ca="1">_05preva_view43[Folder Path1]&amp;"Process &amp; Database\Documentation\Colo Applications"</f>
        <v>D:\OneDrive - apollo-towers.com\Apollo Towers\00-Process &amp; Database\Documentation\Colo Applications</v>
      </c>
      <c r="BH228" s="104" t="str">
        <f ca="1">_05preva_view43[Folder Path2]&amp;"\Colo App "&amp;_05preva_view43[[#This Row],[Operator]]&amp;"\"</f>
        <v>D:\OneDrive - apollo-towers.com\Apollo Towers\00-Process &amp; Database\Documentation\Colo Applications\Colo App MPT\</v>
      </c>
      <c r="BI228" s="63" t="str">
        <f ca="1">_05preva_view43[[#This Row],[Folder Path3]]&amp;_05preva_view43[[#This Row],[File Name]]</f>
        <v>D:\OneDrive - apollo-towers.com\Apollo Towers\00-Process &amp; Database\Documentation\Colo Applications\Colo App MPT\1-01-15011-001 (SHN00043) Application Rev 3.xlsx</v>
      </c>
      <c r="BJ228" s="104"/>
      <c r="BK228" s="3"/>
      <c r="BL228" s="3"/>
      <c r="CJ228" s="5"/>
      <c r="CK228" s="5"/>
      <c r="CL228" s="3"/>
      <c r="CN228" s="5"/>
      <c r="CR228" s="3"/>
      <c r="CS228" s="3"/>
      <c r="CT228" s="5"/>
      <c r="CV228" s="3"/>
      <c r="DR228" s="5"/>
      <c r="DT228" s="3"/>
      <c r="EF228" s="7"/>
      <c r="EG228" s="7"/>
      <c r="EJ228" s="4"/>
      <c r="EK228" s="4"/>
      <c r="EU228" s="2"/>
      <c r="EV228" s="2"/>
    </row>
    <row r="229" spans="1:152">
      <c r="A229" s="125">
        <v>3415</v>
      </c>
      <c r="B229" s="126" t="s">
        <v>203</v>
      </c>
      <c r="C229" s="126" t="s">
        <v>116</v>
      </c>
      <c r="D229" s="126" t="s">
        <v>163</v>
      </c>
      <c r="E229" s="126" t="s">
        <v>1206</v>
      </c>
      <c r="F229" s="126" t="s">
        <v>41</v>
      </c>
      <c r="G229" s="126" t="s">
        <v>1576</v>
      </c>
      <c r="H229" s="126" t="s">
        <v>1575</v>
      </c>
      <c r="I229" s="126" t="s">
        <v>1207</v>
      </c>
      <c r="J229" s="126" t="s">
        <v>931</v>
      </c>
      <c r="K229" s="127">
        <v>43418</v>
      </c>
      <c r="L229" s="128"/>
      <c r="M229" s="128"/>
      <c r="N229" s="126">
        <v>6</v>
      </c>
      <c r="O229" s="126" t="s">
        <v>119</v>
      </c>
      <c r="P229" s="129" t="s">
        <v>257</v>
      </c>
      <c r="Q229" s="129" t="s">
        <v>264</v>
      </c>
      <c r="R229" s="126" t="s">
        <v>24</v>
      </c>
      <c r="S229" s="126"/>
      <c r="T229" s="130" t="s">
        <v>861</v>
      </c>
      <c r="U229" s="126"/>
      <c r="V229" s="130" t="s">
        <v>861</v>
      </c>
      <c r="W229" s="126"/>
      <c r="X229" s="130" t="s">
        <v>120</v>
      </c>
      <c r="Y229" s="126" t="s">
        <v>1208</v>
      </c>
      <c r="Z229" s="162" t="s">
        <v>120</v>
      </c>
      <c r="AA229" s="154"/>
      <c r="AB229" s="154"/>
      <c r="AC229" s="167" t="s">
        <v>123</v>
      </c>
      <c r="AD229" s="126" t="s">
        <v>1209</v>
      </c>
      <c r="AE229" s="130" t="s">
        <v>861</v>
      </c>
      <c r="AF229" s="127"/>
      <c r="AG229" s="131"/>
      <c r="AH229" s="131"/>
      <c r="AI229" s="126"/>
      <c r="AJ229" s="130" t="s">
        <v>861</v>
      </c>
      <c r="AK229" s="126"/>
      <c r="AL229" s="126"/>
      <c r="AM229" s="130" t="s">
        <v>861</v>
      </c>
      <c r="AN229" s="126"/>
      <c r="AO229" s="132"/>
      <c r="AP229" s="126" t="s">
        <v>861</v>
      </c>
      <c r="AQ229" s="126"/>
      <c r="AR229" s="130"/>
      <c r="AS229" s="126"/>
      <c r="AT229" s="127">
        <v>43419.733995254603</v>
      </c>
      <c r="AU229" s="127"/>
      <c r="AV229" s="127">
        <v>43427.716642592597</v>
      </c>
      <c r="AW229" s="127"/>
      <c r="AX229" s="127"/>
      <c r="AY229" s="127"/>
      <c r="AZ229" s="133">
        <v>43427.716642592597</v>
      </c>
      <c r="BA229" s="134">
        <f ca="1">IF(_05preva_view43[[#This Row],[Prevalidation Status]]="Under Prevalidation",NOW()-_05preva_view43[[#This Row],[Request Date]],IF(_05preva_view43[[#This Row],[Close Date]]&gt;_05preva_view43[[#This Row],[Request Date]],_05preva_view43[[#This Row],[Close Date]]-_05preva_view43[[#This Row],[Request Date]],"Not  Calculated"))</f>
        <v>9.7166425925970543</v>
      </c>
      <c r="BB229" s="135">
        <f>COUNTIFS(_05preva_view43[Site ID],_05preva_view43[[#This Row],[Site ID]],_05preva_view43[Prevalidation Status],"Under Prevalidation")</f>
        <v>0</v>
      </c>
      <c r="BC229" s="153" t="str">
        <f ca="1">HYPERLINK(CheckPath(_05preva_view43[[#This Row],[File Path]],_05preva_view43[[#This Row],[File Path]],_05preva_view43[[#This Row],[Folder Path3]]),CheckPath(_05preva_view43[[#This Row],[File Path]],"Open File","No File"))</f>
        <v>No File</v>
      </c>
      <c r="BD229" s="136" t="str">
        <f>CONCATENATE(_05preva_view43[[#This Row],[Site ID]]," (",_05preva_view43[[#This Row],[tenant id]],") Application",IF(_05preva_view43[[#This Row],[Colo Rev]]&gt;0," Rev "&amp;_05preva_view43[[#This Row],[Colo Rev]],""),".xlsx")</f>
        <v>AYYN_0583 (YGNSPTR021) Application Rev 1.xlsx</v>
      </c>
      <c r="BE229" s="64">
        <f t="shared" ca="1" si="5"/>
        <v>50</v>
      </c>
      <c r="BF229" s="104" t="str">
        <f ca="1">LEFT(CELL("filename",A214),_05preva_view43[[#This Row],[Find Process &amp; Database]]-1)</f>
        <v>D:\OneDrive - apollo-towers.com\Apollo Towers\00-</v>
      </c>
      <c r="BG229" s="104" t="str">
        <f ca="1">_05preva_view43[Folder Path1]&amp;"Process &amp; Database\Documentation\Colo Applications"</f>
        <v>D:\OneDrive - apollo-towers.com\Apollo Towers\00-Process &amp; Database\Documentation\Colo Applications</v>
      </c>
      <c r="BH229" s="104" t="str">
        <f ca="1">_05preva_view43[Folder Path2]&amp;"\Colo App "&amp;_05preva_view43[[#This Row],[Operator]]&amp;"\"</f>
        <v>D:\OneDrive - apollo-towers.com\Apollo Towers\00-Process &amp; Database\Documentation\Colo Applications\Colo App Amara\</v>
      </c>
      <c r="BI229" s="63" t="str">
        <f ca="1">_05preva_view43[[#This Row],[Folder Path3]]&amp;_05preva_view43[[#This Row],[File Name]]</f>
        <v>D:\OneDrive - apollo-towers.com\Apollo Towers\00-Process &amp; Database\Documentation\Colo Applications\Colo App Amara\AYYN_0583 (YGNSPTR021) Application Rev 1.xlsx</v>
      </c>
      <c r="BJ229" s="104"/>
      <c r="BK229" s="3"/>
      <c r="BL229" s="3"/>
      <c r="CJ229" s="5"/>
      <c r="CK229" s="5"/>
      <c r="CL229" s="3"/>
      <c r="CN229" s="5"/>
      <c r="CR229" s="3"/>
      <c r="CS229" s="3"/>
      <c r="CT229" s="5"/>
      <c r="CV229" s="3"/>
      <c r="DR229" s="5"/>
      <c r="DT229" s="3"/>
      <c r="EF229" s="7"/>
      <c r="EG229" s="7"/>
      <c r="EJ229" s="4"/>
      <c r="EK229" s="4"/>
      <c r="EU229" s="2"/>
      <c r="EV229" s="2"/>
    </row>
    <row r="230" spans="1:152">
      <c r="A230" s="125">
        <v>3413</v>
      </c>
      <c r="B230" s="126" t="s">
        <v>1194</v>
      </c>
      <c r="C230" s="126" t="s">
        <v>331</v>
      </c>
      <c r="D230" s="126" t="s">
        <v>127</v>
      </c>
      <c r="E230" s="126" t="s">
        <v>1195</v>
      </c>
      <c r="F230" s="126" t="s">
        <v>35</v>
      </c>
      <c r="G230" s="126" t="s">
        <v>1583</v>
      </c>
      <c r="H230" s="126" t="s">
        <v>1575</v>
      </c>
      <c r="I230" s="126" t="s">
        <v>1196</v>
      </c>
      <c r="J230" s="126" t="s">
        <v>949</v>
      </c>
      <c r="K230" s="127">
        <v>43417</v>
      </c>
      <c r="L230" s="128"/>
      <c r="M230" s="128"/>
      <c r="N230" s="126">
        <v>3.07</v>
      </c>
      <c r="O230" s="126" t="s">
        <v>950</v>
      </c>
      <c r="P230" s="129" t="s">
        <v>276</v>
      </c>
      <c r="Q230" s="129" t="s">
        <v>277</v>
      </c>
      <c r="R230" s="126" t="s">
        <v>24</v>
      </c>
      <c r="S230" s="126"/>
      <c r="T230" s="130" t="s">
        <v>861</v>
      </c>
      <c r="U230" s="126"/>
      <c r="V230" s="130" t="s">
        <v>861</v>
      </c>
      <c r="W230" s="126"/>
      <c r="X230" s="130" t="s">
        <v>120</v>
      </c>
      <c r="Y230" s="126" t="s">
        <v>1197</v>
      </c>
      <c r="Z230" s="162" t="s">
        <v>861</v>
      </c>
      <c r="AA230" s="154"/>
      <c r="AB230" s="154"/>
      <c r="AC230" s="167"/>
      <c r="AD230" s="126"/>
      <c r="AE230" s="130" t="s">
        <v>125</v>
      </c>
      <c r="AF230" s="127" t="s">
        <v>1199</v>
      </c>
      <c r="AG230" s="131"/>
      <c r="AH230" s="131">
        <v>1.6</v>
      </c>
      <c r="AI230" s="126" t="s">
        <v>1200</v>
      </c>
      <c r="AJ230" s="130" t="s">
        <v>120</v>
      </c>
      <c r="AK230" s="126" t="s">
        <v>123</v>
      </c>
      <c r="AL230" s="126" t="s">
        <v>1198</v>
      </c>
      <c r="AM230" s="130"/>
      <c r="AN230" s="126"/>
      <c r="AO230" s="132"/>
      <c r="AP230" s="126"/>
      <c r="AQ230" s="126"/>
      <c r="AR230" s="130"/>
      <c r="AS230" s="126"/>
      <c r="AT230" s="127">
        <v>43418.370526620398</v>
      </c>
      <c r="AU230" s="127"/>
      <c r="AV230" s="127"/>
      <c r="AW230" s="127">
        <v>43418.370526620398</v>
      </c>
      <c r="AX230" s="127"/>
      <c r="AY230" s="127"/>
      <c r="AZ230" s="133">
        <v>43418.370526620398</v>
      </c>
      <c r="BA230" s="134">
        <f ca="1">IF(_05preva_view43[[#This Row],[Prevalidation Status]]="Under Prevalidation",NOW()-_05preva_view43[[#This Row],[Request Date]],IF(_05preva_view43[[#This Row],[Close Date]]&gt;_05preva_view43[[#This Row],[Request Date]],_05preva_view43[[#This Row],[Close Date]]-_05preva_view43[[#This Row],[Request Date]],"Not  Calculated"))</f>
        <v>1.3705266203978681</v>
      </c>
      <c r="BB230" s="135">
        <f>COUNTIFS(_05preva_view43[Site ID],_05preva_view43[[#This Row],[Site ID]],_05preva_view43[Prevalidation Status],"Under Prevalidation")</f>
        <v>0</v>
      </c>
      <c r="BC230" s="153" t="str">
        <f ca="1">HYPERLINK(CheckPath(_05preva_view43[[#This Row],[File Path]],_05preva_view43[[#This Row],[File Path]],_05preva_view43[[#This Row],[Folder Path3]]),CheckPath(_05preva_view43[[#This Row],[File Path]],"Open File","No File"))</f>
        <v>No File</v>
      </c>
      <c r="BD230" s="136" t="str">
        <f>CONCATENATE(_05preva_view43[[#This Row],[Site ID]]," (",_05preva_view43[[#This Row],[tenant id]],") Application",IF(_05preva_view43[[#This Row],[Colo Rev]]&gt;0," Rev "&amp;_05preva_view43[[#This Row],[Colo Rev]],""),".xlsx")</f>
        <v>1-01-01002-008 (KCN00372) Application Rev 2.xlsx</v>
      </c>
      <c r="BE230" s="64">
        <f t="shared" ca="1" si="5"/>
        <v>50</v>
      </c>
      <c r="BF230" s="104" t="str">
        <f ca="1">LEFT(CELL("filename",A215),_05preva_view43[[#This Row],[Find Process &amp; Database]]-1)</f>
        <v>D:\OneDrive - apollo-towers.com\Apollo Towers\00-</v>
      </c>
      <c r="BG230" s="104" t="str">
        <f ca="1">_05preva_view43[Folder Path1]&amp;"Process &amp; Database\Documentation\Colo Applications"</f>
        <v>D:\OneDrive - apollo-towers.com\Apollo Towers\00-Process &amp; Database\Documentation\Colo Applications</v>
      </c>
      <c r="BH230" s="104" t="str">
        <f ca="1">_05preva_view43[Folder Path2]&amp;"\Colo App "&amp;_05preva_view43[[#This Row],[Operator]]&amp;"\"</f>
        <v>D:\OneDrive - apollo-towers.com\Apollo Towers\00-Process &amp; Database\Documentation\Colo Applications\Colo App MPT\</v>
      </c>
      <c r="BI230" s="63" t="str">
        <f ca="1">_05preva_view43[[#This Row],[Folder Path3]]&amp;_05preva_view43[[#This Row],[File Name]]</f>
        <v>D:\OneDrive - apollo-towers.com\Apollo Towers\00-Process &amp; Database\Documentation\Colo Applications\Colo App MPT\1-01-01002-008 (KCN00372) Application Rev 2.xlsx</v>
      </c>
      <c r="BJ230" s="104"/>
      <c r="BK230" s="3"/>
      <c r="BL230" s="3"/>
      <c r="CJ230" s="5"/>
      <c r="CK230" s="5"/>
      <c r="CL230" s="3"/>
      <c r="CN230" s="5"/>
      <c r="CR230" s="3"/>
      <c r="CS230" s="3"/>
      <c r="CT230" s="5"/>
      <c r="CV230" s="3"/>
      <c r="DR230" s="5"/>
      <c r="DT230" s="3"/>
      <c r="EF230" s="7"/>
      <c r="EG230" s="7"/>
      <c r="EJ230" s="4"/>
      <c r="EK230" s="4"/>
      <c r="EU230" s="2"/>
      <c r="EV230" s="2"/>
    </row>
    <row r="231" spans="1:152">
      <c r="A231" s="125">
        <v>3414</v>
      </c>
      <c r="B231" s="126" t="s">
        <v>1201</v>
      </c>
      <c r="C231" s="126" t="s">
        <v>331</v>
      </c>
      <c r="D231" s="126" t="s">
        <v>127</v>
      </c>
      <c r="E231" s="126" t="s">
        <v>1202</v>
      </c>
      <c r="F231" s="126" t="s">
        <v>35</v>
      </c>
      <c r="G231" s="126" t="s">
        <v>1583</v>
      </c>
      <c r="H231" s="126" t="s">
        <v>1575</v>
      </c>
      <c r="I231" s="126" t="s">
        <v>1196</v>
      </c>
      <c r="J231" s="126" t="s">
        <v>931</v>
      </c>
      <c r="K231" s="127">
        <v>43417</v>
      </c>
      <c r="L231" s="128"/>
      <c r="M231" s="128"/>
      <c r="N231" s="126">
        <v>2.82</v>
      </c>
      <c r="O231" s="126" t="s">
        <v>950</v>
      </c>
      <c r="P231" s="129" t="s">
        <v>958</v>
      </c>
      <c r="Q231" s="129" t="s">
        <v>959</v>
      </c>
      <c r="R231" s="126" t="s">
        <v>24</v>
      </c>
      <c r="S231" s="126"/>
      <c r="T231" s="130" t="s">
        <v>861</v>
      </c>
      <c r="U231" s="126" t="s">
        <v>1203</v>
      </c>
      <c r="V231" s="130" t="s">
        <v>120</v>
      </c>
      <c r="W231" s="126"/>
      <c r="X231" s="130" t="s">
        <v>120</v>
      </c>
      <c r="Y231" s="126" t="s">
        <v>1204</v>
      </c>
      <c r="Z231" s="162" t="s">
        <v>120</v>
      </c>
      <c r="AA231" s="154"/>
      <c r="AB231" s="154"/>
      <c r="AC231" s="167" t="s">
        <v>123</v>
      </c>
      <c r="AD231" s="126" t="s">
        <v>1205</v>
      </c>
      <c r="AE231" s="130" t="s">
        <v>120</v>
      </c>
      <c r="AF231" s="127" t="s">
        <v>1167</v>
      </c>
      <c r="AG231" s="131"/>
      <c r="AH231" s="131">
        <v>1.6</v>
      </c>
      <c r="AI231" s="126" t="s">
        <v>1168</v>
      </c>
      <c r="AJ231" s="130" t="s">
        <v>120</v>
      </c>
      <c r="AK231" s="126" t="s">
        <v>123</v>
      </c>
      <c r="AL231" s="126" t="s">
        <v>1198</v>
      </c>
      <c r="AM231" s="130"/>
      <c r="AN231" s="126"/>
      <c r="AO231" s="132"/>
      <c r="AP231" s="126"/>
      <c r="AQ231" s="126"/>
      <c r="AR231" s="130"/>
      <c r="AS231" s="126"/>
      <c r="AT231" s="127">
        <v>43418.370527893501</v>
      </c>
      <c r="AU231" s="127">
        <v>43419.752471064799</v>
      </c>
      <c r="AV231" s="127">
        <v>43419.439039814803</v>
      </c>
      <c r="AW231" s="127">
        <v>43418.370527893501</v>
      </c>
      <c r="AX231" s="127"/>
      <c r="AY231" s="127">
        <v>43452.724153819399</v>
      </c>
      <c r="AZ231" s="133">
        <v>43452.704516088001</v>
      </c>
      <c r="BA231" s="134">
        <f ca="1">IF(_05preva_view43[[#This Row],[Prevalidation Status]]="Under Prevalidation",NOW()-_05preva_view43[[#This Row],[Request Date]],IF(_05preva_view43[[#This Row],[Close Date]]&gt;_05preva_view43[[#This Row],[Request Date]],_05preva_view43[[#This Row],[Close Date]]-_05preva_view43[[#This Row],[Request Date]],"Not  Calculated"))</f>
        <v>35.704516088000673</v>
      </c>
      <c r="BB231" s="135">
        <f>COUNTIFS(_05preva_view43[Site ID],_05preva_view43[[#This Row],[Site ID]],_05preva_view43[Prevalidation Status],"Under Prevalidation")</f>
        <v>0</v>
      </c>
      <c r="BC231" s="153" t="str">
        <f ca="1">HYPERLINK(CheckPath(_05preva_view43[[#This Row],[File Path]],_05preva_view43[[#This Row],[File Path]],_05preva_view43[[#This Row],[Folder Path3]]),CheckPath(_05preva_view43[[#This Row],[File Path]],"Open File","No File"))</f>
        <v>No File</v>
      </c>
      <c r="BD231" s="136" t="str">
        <f>CONCATENATE(_05preva_view43[[#This Row],[Site ID]]," (",_05preva_view43[[#This Row],[tenant id]],") Application",IF(_05preva_view43[[#This Row],[Colo Rev]]&gt;0," Rev "&amp;_05preva_view43[[#This Row],[Colo Rev]],""),".xlsx")</f>
        <v>1-01-15012-002 (SHN00218) Application Rev 1.xlsx</v>
      </c>
      <c r="BE231" s="64">
        <f t="shared" ca="1" si="5"/>
        <v>50</v>
      </c>
      <c r="BF231" s="104" t="str">
        <f ca="1">LEFT(CELL("filename",A216),_05preva_view43[[#This Row],[Find Process &amp; Database]]-1)</f>
        <v>D:\OneDrive - apollo-towers.com\Apollo Towers\00-</v>
      </c>
      <c r="BG231" s="104" t="str">
        <f ca="1">_05preva_view43[Folder Path1]&amp;"Process &amp; Database\Documentation\Colo Applications"</f>
        <v>D:\OneDrive - apollo-towers.com\Apollo Towers\00-Process &amp; Database\Documentation\Colo Applications</v>
      </c>
      <c r="BH231" s="104" t="str">
        <f ca="1">_05preva_view43[Folder Path2]&amp;"\Colo App "&amp;_05preva_view43[[#This Row],[Operator]]&amp;"\"</f>
        <v>D:\OneDrive - apollo-towers.com\Apollo Towers\00-Process &amp; Database\Documentation\Colo Applications\Colo App MPT\</v>
      </c>
      <c r="BI231" s="63" t="str">
        <f ca="1">_05preva_view43[[#This Row],[Folder Path3]]&amp;_05preva_view43[[#This Row],[File Name]]</f>
        <v>D:\OneDrive - apollo-towers.com\Apollo Towers\00-Process &amp; Database\Documentation\Colo Applications\Colo App MPT\1-01-15012-002 (SHN00218) Application Rev 1.xlsx</v>
      </c>
      <c r="BJ231" s="104"/>
      <c r="BK231" s="3"/>
      <c r="BL231" s="3"/>
      <c r="CJ231" s="5"/>
      <c r="CK231" s="5"/>
      <c r="CL231" s="3"/>
      <c r="CN231" s="5"/>
      <c r="CR231" s="3"/>
      <c r="CS231" s="3"/>
      <c r="CT231" s="5"/>
      <c r="CV231" s="3"/>
      <c r="DR231" s="5"/>
      <c r="DT231" s="3"/>
      <c r="EF231" s="7"/>
      <c r="EG231" s="7"/>
      <c r="EJ231" s="4"/>
      <c r="EK231" s="4"/>
      <c r="EU231" s="2"/>
      <c r="EV231" s="2"/>
    </row>
    <row r="232" spans="1:152">
      <c r="A232" s="125">
        <v>3411</v>
      </c>
      <c r="B232" s="126" t="s">
        <v>984</v>
      </c>
      <c r="C232" s="126" t="s">
        <v>331</v>
      </c>
      <c r="D232" s="126" t="s">
        <v>127</v>
      </c>
      <c r="E232" s="126" t="s">
        <v>985</v>
      </c>
      <c r="F232" s="126" t="s">
        <v>35</v>
      </c>
      <c r="G232" s="126" t="s">
        <v>1583</v>
      </c>
      <c r="H232" s="126" t="s">
        <v>1575</v>
      </c>
      <c r="I232" s="126" t="s">
        <v>1186</v>
      </c>
      <c r="J232" s="126" t="s">
        <v>990</v>
      </c>
      <c r="K232" s="127">
        <v>43412</v>
      </c>
      <c r="L232" s="128"/>
      <c r="M232" s="128">
        <v>2.2999999999999998</v>
      </c>
      <c r="N232" s="126">
        <v>3.113</v>
      </c>
      <c r="O232" s="126" t="s">
        <v>950</v>
      </c>
      <c r="P232" s="129" t="s">
        <v>334</v>
      </c>
      <c r="Q232" s="129" t="s">
        <v>736</v>
      </c>
      <c r="R232" s="126" t="s">
        <v>24</v>
      </c>
      <c r="S232" s="126"/>
      <c r="T232" s="130" t="s">
        <v>861</v>
      </c>
      <c r="U232" s="126"/>
      <c r="V232" s="130" t="s">
        <v>861</v>
      </c>
      <c r="W232" s="126"/>
      <c r="X232" s="130" t="s">
        <v>120</v>
      </c>
      <c r="Y232" s="126" t="s">
        <v>1187</v>
      </c>
      <c r="Z232" s="162" t="s">
        <v>120</v>
      </c>
      <c r="AA232" s="154"/>
      <c r="AB232" s="154"/>
      <c r="AC232" s="167" t="s">
        <v>123</v>
      </c>
      <c r="AD232" s="126" t="s">
        <v>1188</v>
      </c>
      <c r="AE232" s="130" t="s">
        <v>861</v>
      </c>
      <c r="AF232" s="127"/>
      <c r="AG232" s="131"/>
      <c r="AH232" s="131"/>
      <c r="AI232" s="126"/>
      <c r="AJ232" s="130"/>
      <c r="AK232" s="126"/>
      <c r="AL232" s="126"/>
      <c r="AM232" s="130"/>
      <c r="AN232" s="126"/>
      <c r="AO232" s="132"/>
      <c r="AP232" s="126"/>
      <c r="AQ232" s="126"/>
      <c r="AR232" s="130"/>
      <c r="AS232" s="126"/>
      <c r="AT232" s="127"/>
      <c r="AU232" s="127"/>
      <c r="AV232" s="127"/>
      <c r="AW232" s="127"/>
      <c r="AX232" s="127"/>
      <c r="AY232" s="127"/>
      <c r="AZ232" s="133">
        <v>43412</v>
      </c>
      <c r="BA23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32" s="135">
        <f>COUNTIFS(_05preva_view43[Site ID],_05preva_view43[[#This Row],[Site ID]],_05preva_view43[Prevalidation Status],"Under Prevalidation")</f>
        <v>0</v>
      </c>
      <c r="BC232" s="153" t="str">
        <f ca="1">HYPERLINK(CheckPath(_05preva_view43[[#This Row],[File Path]],_05preva_view43[[#This Row],[File Path]],_05preva_view43[[#This Row],[Folder Path3]]),CheckPath(_05preva_view43[[#This Row],[File Path]],"Open File","No File"))</f>
        <v>No File</v>
      </c>
      <c r="BD232" s="136" t="str">
        <f>CONCATENATE(_05preva_view43[[#This Row],[Site ID]]," (",_05preva_view43[[#This Row],[tenant id]],") Application",IF(_05preva_view43[[#This Row],[Colo Rev]]&gt;0," Rev "&amp;_05preva_view43[[#This Row],[Colo Rev]],""),".xlsx")</f>
        <v>1-01-05027-008 (SGG00158) Application Rev 3.xlsx</v>
      </c>
      <c r="BE232" s="64">
        <f t="shared" ca="1" si="5"/>
        <v>50</v>
      </c>
      <c r="BF232" s="104" t="str">
        <f ca="1">LEFT(CELL("filename",A217),_05preva_view43[[#This Row],[Find Process &amp; Database]]-1)</f>
        <v>D:\OneDrive - apollo-towers.com\Apollo Towers\00-</v>
      </c>
      <c r="BG232" s="104" t="str">
        <f ca="1">_05preva_view43[Folder Path1]&amp;"Process &amp; Database\Documentation\Colo Applications"</f>
        <v>D:\OneDrive - apollo-towers.com\Apollo Towers\00-Process &amp; Database\Documentation\Colo Applications</v>
      </c>
      <c r="BH232" s="104" t="str">
        <f ca="1">_05preva_view43[Folder Path2]&amp;"\Colo App "&amp;_05preva_view43[[#This Row],[Operator]]&amp;"\"</f>
        <v>D:\OneDrive - apollo-towers.com\Apollo Towers\00-Process &amp; Database\Documentation\Colo Applications\Colo App MPT\</v>
      </c>
      <c r="BI232" s="63" t="str">
        <f ca="1">_05preva_view43[[#This Row],[Folder Path3]]&amp;_05preva_view43[[#This Row],[File Name]]</f>
        <v>D:\OneDrive - apollo-towers.com\Apollo Towers\00-Process &amp; Database\Documentation\Colo Applications\Colo App MPT\1-01-05027-008 (SGG00158) Application Rev 3.xlsx</v>
      </c>
      <c r="BJ232" s="104"/>
      <c r="BK232" s="3"/>
      <c r="BL232" s="3"/>
      <c r="CJ232" s="5"/>
      <c r="CK232" s="5"/>
      <c r="CL232" s="3"/>
      <c r="CN232" s="5"/>
      <c r="CR232" s="3"/>
      <c r="CS232" s="3"/>
      <c r="CT232" s="5"/>
      <c r="CV232" s="3"/>
      <c r="DR232" s="5"/>
      <c r="DT232" s="3"/>
      <c r="EF232" s="7"/>
      <c r="EG232" s="7"/>
      <c r="EJ232" s="4"/>
      <c r="EK232" s="4"/>
      <c r="EU232" s="2"/>
      <c r="EV232" s="2"/>
    </row>
    <row r="233" spans="1:152">
      <c r="A233" s="125">
        <v>3412</v>
      </c>
      <c r="B233" s="126" t="s">
        <v>1189</v>
      </c>
      <c r="C233" s="126" t="s">
        <v>331</v>
      </c>
      <c r="D233" s="126" t="s">
        <v>127</v>
      </c>
      <c r="E233" s="126" t="s">
        <v>1190</v>
      </c>
      <c r="F233" s="126" t="s">
        <v>35</v>
      </c>
      <c r="G233" s="126" t="s">
        <v>1583</v>
      </c>
      <c r="H233" s="126" t="s">
        <v>1575</v>
      </c>
      <c r="I233" s="126" t="s">
        <v>1191</v>
      </c>
      <c r="J233" s="126" t="s">
        <v>949</v>
      </c>
      <c r="K233" s="127">
        <v>43412</v>
      </c>
      <c r="L233" s="128"/>
      <c r="M233" s="128">
        <v>1.462</v>
      </c>
      <c r="N233" s="126">
        <v>2.714</v>
      </c>
      <c r="O233" s="126" t="s">
        <v>950</v>
      </c>
      <c r="P233" s="129" t="s">
        <v>704</v>
      </c>
      <c r="Q233" s="129" t="s">
        <v>705</v>
      </c>
      <c r="R233" s="126" t="s">
        <v>24</v>
      </c>
      <c r="S233" s="126"/>
      <c r="T233" s="130" t="s">
        <v>861</v>
      </c>
      <c r="U233" s="126"/>
      <c r="V233" s="130" t="s">
        <v>861</v>
      </c>
      <c r="W233" s="126"/>
      <c r="X233" s="130" t="s">
        <v>120</v>
      </c>
      <c r="Y233" s="126" t="s">
        <v>1192</v>
      </c>
      <c r="Z233" s="162" t="s">
        <v>120</v>
      </c>
      <c r="AA233" s="154"/>
      <c r="AB233" s="154"/>
      <c r="AC233" s="167" t="s">
        <v>123</v>
      </c>
      <c r="AD233" s="126" t="s">
        <v>1193</v>
      </c>
      <c r="AE233" s="130" t="s">
        <v>861</v>
      </c>
      <c r="AF233" s="127"/>
      <c r="AG233" s="131"/>
      <c r="AH233" s="131"/>
      <c r="AI233" s="126"/>
      <c r="AJ233" s="130"/>
      <c r="AK233" s="126"/>
      <c r="AL233" s="126"/>
      <c r="AM233" s="130"/>
      <c r="AN233" s="126"/>
      <c r="AO233" s="132"/>
      <c r="AP233" s="126"/>
      <c r="AQ233" s="126"/>
      <c r="AR233" s="130"/>
      <c r="AS233" s="126"/>
      <c r="AT233" s="127"/>
      <c r="AU233" s="127"/>
      <c r="AV233" s="127"/>
      <c r="AW233" s="127"/>
      <c r="AX233" s="127"/>
      <c r="AY233" s="127"/>
      <c r="AZ233" s="133">
        <v>43412</v>
      </c>
      <c r="BA23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33" s="135">
        <f>COUNTIFS(_05preva_view43[Site ID],_05preva_view43[[#This Row],[Site ID]],_05preva_view43[Prevalidation Status],"Under Prevalidation")</f>
        <v>0</v>
      </c>
      <c r="BC233" s="153" t="str">
        <f ca="1">HYPERLINK(CheckPath(_05preva_view43[[#This Row],[File Path]],_05preva_view43[[#This Row],[File Path]],_05preva_view43[[#This Row],[Folder Path3]]),CheckPath(_05preva_view43[[#This Row],[File Path]],"Open File","No File"))</f>
        <v>No File</v>
      </c>
      <c r="BD233" s="136" t="str">
        <f>CONCATENATE(_05preva_view43[[#This Row],[Site ID]]," (",_05preva_view43[[#This Row],[tenant id]],") Application",IF(_05preva_view43[[#This Row],[Colo Rev]]&gt;0," Rev "&amp;_05preva_view43[[#This Row],[Colo Rev]],""),".xlsx")</f>
        <v>1-01-15011-001 (SHN00043) Application Rev 2.xlsx</v>
      </c>
      <c r="BE233" s="64">
        <f t="shared" ca="1" si="5"/>
        <v>50</v>
      </c>
      <c r="BF233" s="104" t="str">
        <f ca="1">LEFT(CELL("filename",A218),_05preva_view43[[#This Row],[Find Process &amp; Database]]-1)</f>
        <v>D:\OneDrive - apollo-towers.com\Apollo Towers\00-</v>
      </c>
      <c r="BG233" s="104" t="str">
        <f ca="1">_05preva_view43[Folder Path1]&amp;"Process &amp; Database\Documentation\Colo Applications"</f>
        <v>D:\OneDrive - apollo-towers.com\Apollo Towers\00-Process &amp; Database\Documentation\Colo Applications</v>
      </c>
      <c r="BH233" s="104" t="str">
        <f ca="1">_05preva_view43[Folder Path2]&amp;"\Colo App "&amp;_05preva_view43[[#This Row],[Operator]]&amp;"\"</f>
        <v>D:\OneDrive - apollo-towers.com\Apollo Towers\00-Process &amp; Database\Documentation\Colo Applications\Colo App MPT\</v>
      </c>
      <c r="BI233" s="63" t="str">
        <f ca="1">_05preva_view43[[#This Row],[Folder Path3]]&amp;_05preva_view43[[#This Row],[File Name]]</f>
        <v>D:\OneDrive - apollo-towers.com\Apollo Towers\00-Process &amp; Database\Documentation\Colo Applications\Colo App MPT\1-01-15011-001 (SHN00043) Application Rev 2.xlsx</v>
      </c>
      <c r="BJ233" s="104"/>
      <c r="BK233" s="3"/>
      <c r="BL233" s="3"/>
      <c r="CJ233" s="5"/>
      <c r="CK233" s="5"/>
      <c r="CL233" s="3"/>
      <c r="CN233" s="5"/>
      <c r="CR233" s="3"/>
      <c r="CS233" s="3"/>
      <c r="CT233" s="5"/>
      <c r="CV233" s="3"/>
      <c r="DR233" s="5"/>
      <c r="DT233" s="3"/>
      <c r="EF233" s="7"/>
      <c r="EG233" s="7"/>
      <c r="EJ233" s="4"/>
      <c r="EK233" s="4"/>
      <c r="EU233" s="2"/>
      <c r="EV233" s="2"/>
    </row>
    <row r="234" spans="1:152">
      <c r="A234" s="125">
        <v>3405</v>
      </c>
      <c r="B234" s="126" t="s">
        <v>1173</v>
      </c>
      <c r="C234" s="126" t="s">
        <v>331</v>
      </c>
      <c r="D234" s="126" t="s">
        <v>117</v>
      </c>
      <c r="E234" s="126" t="s">
        <v>1174</v>
      </c>
      <c r="F234" s="126" t="s">
        <v>35</v>
      </c>
      <c r="G234" s="126" t="s">
        <v>1583</v>
      </c>
      <c r="H234" s="126" t="s">
        <v>1575</v>
      </c>
      <c r="I234" s="126" t="s">
        <v>1061</v>
      </c>
      <c r="J234" s="126" t="s">
        <v>949</v>
      </c>
      <c r="K234" s="127">
        <v>43411</v>
      </c>
      <c r="L234" s="128"/>
      <c r="M234" s="128">
        <v>2.456</v>
      </c>
      <c r="N234" s="126">
        <v>6.2130000000000001</v>
      </c>
      <c r="O234" s="126" t="s">
        <v>950</v>
      </c>
      <c r="P234" s="129" t="s">
        <v>1028</v>
      </c>
      <c r="Q234" s="129" t="s">
        <v>1029</v>
      </c>
      <c r="R234" s="126" t="s">
        <v>24</v>
      </c>
      <c r="S234" s="126"/>
      <c r="T234" s="130" t="s">
        <v>861</v>
      </c>
      <c r="U234" s="126"/>
      <c r="V234" s="130" t="s">
        <v>861</v>
      </c>
      <c r="W234" s="126"/>
      <c r="X234" s="130" t="s">
        <v>120</v>
      </c>
      <c r="Y234" s="126" t="s">
        <v>1175</v>
      </c>
      <c r="Z234" s="162" t="s">
        <v>120</v>
      </c>
      <c r="AA234" s="154"/>
      <c r="AB234" s="154"/>
      <c r="AC234" s="167" t="s">
        <v>123</v>
      </c>
      <c r="AD234" s="126" t="s">
        <v>1176</v>
      </c>
      <c r="AE234" s="130" t="s">
        <v>861</v>
      </c>
      <c r="AF234" s="127"/>
      <c r="AG234" s="131"/>
      <c r="AH234" s="131"/>
      <c r="AI234" s="126"/>
      <c r="AJ234" s="130"/>
      <c r="AK234" s="126"/>
      <c r="AL234" s="126"/>
      <c r="AM234" s="130"/>
      <c r="AN234" s="126"/>
      <c r="AO234" s="132"/>
      <c r="AP234" s="126"/>
      <c r="AQ234" s="126"/>
      <c r="AR234" s="130"/>
      <c r="AS234" s="126"/>
      <c r="AT234" s="127"/>
      <c r="AU234" s="127"/>
      <c r="AV234" s="127"/>
      <c r="AW234" s="127"/>
      <c r="AX234" s="127"/>
      <c r="AY234" s="127"/>
      <c r="AZ234" s="133">
        <v>43411</v>
      </c>
      <c r="BA23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34" s="135">
        <f>COUNTIFS(_05preva_view43[Site ID],_05preva_view43[[#This Row],[Site ID]],_05preva_view43[Prevalidation Status],"Under Prevalidation")</f>
        <v>0</v>
      </c>
      <c r="BC234" s="153" t="str">
        <f ca="1">HYPERLINK(CheckPath(_05preva_view43[[#This Row],[File Path]],_05preva_view43[[#This Row],[File Path]],_05preva_view43[[#This Row],[Folder Path3]]),CheckPath(_05preva_view43[[#This Row],[File Path]],"Open File","No File"))</f>
        <v>No File</v>
      </c>
      <c r="BD234" s="136" t="str">
        <f>CONCATENATE(_05preva_view43[[#This Row],[Site ID]]," (",_05preva_view43[[#This Row],[tenant id]],") Application",IF(_05preva_view43[[#This Row],[Colo Rev]]&gt;0," Rev "&amp;_05preva_view43[[#This Row],[Colo Rev]],""),".xlsx")</f>
        <v>1-01-04004-007 (CHN00118) Application Rev 2.xlsx</v>
      </c>
      <c r="BE234" s="64">
        <f t="shared" ca="1" si="5"/>
        <v>50</v>
      </c>
      <c r="BF234" s="104" t="str">
        <f ca="1">LEFT(CELL("filename",A219),_05preva_view43[[#This Row],[Find Process &amp; Database]]-1)</f>
        <v>D:\OneDrive - apollo-towers.com\Apollo Towers\00-</v>
      </c>
      <c r="BG234" s="104" t="str">
        <f ca="1">_05preva_view43[Folder Path1]&amp;"Process &amp; Database\Documentation\Colo Applications"</f>
        <v>D:\OneDrive - apollo-towers.com\Apollo Towers\00-Process &amp; Database\Documentation\Colo Applications</v>
      </c>
      <c r="BH234" s="104" t="str">
        <f ca="1">_05preva_view43[Folder Path2]&amp;"\Colo App "&amp;_05preva_view43[[#This Row],[Operator]]&amp;"\"</f>
        <v>D:\OneDrive - apollo-towers.com\Apollo Towers\00-Process &amp; Database\Documentation\Colo Applications\Colo App MPT\</v>
      </c>
      <c r="BI234" s="63" t="str">
        <f ca="1">_05preva_view43[[#This Row],[Folder Path3]]&amp;_05preva_view43[[#This Row],[File Name]]</f>
        <v>D:\OneDrive - apollo-towers.com\Apollo Towers\00-Process &amp; Database\Documentation\Colo Applications\Colo App MPT\1-01-04004-007 (CHN00118) Application Rev 2.xlsx</v>
      </c>
      <c r="BJ234" s="104"/>
      <c r="BK234" s="3"/>
      <c r="BL234" s="3"/>
      <c r="CJ234" s="5"/>
      <c r="CK234" s="5"/>
      <c r="CL234" s="3"/>
      <c r="CN234" s="5"/>
      <c r="CR234" s="3"/>
      <c r="CS234" s="3"/>
      <c r="CT234" s="5"/>
      <c r="CV234" s="3"/>
      <c r="DR234" s="5"/>
      <c r="DT234" s="3"/>
      <c r="EF234" s="7"/>
      <c r="EG234" s="7"/>
      <c r="EJ234" s="4"/>
      <c r="EK234" s="4"/>
      <c r="EU234" s="2"/>
      <c r="EV234" s="2"/>
    </row>
    <row r="235" spans="1:152">
      <c r="A235" s="125">
        <v>3406</v>
      </c>
      <c r="B235" s="126" t="s">
        <v>1177</v>
      </c>
      <c r="C235" s="126" t="s">
        <v>331</v>
      </c>
      <c r="D235" s="126" t="s">
        <v>127</v>
      </c>
      <c r="E235" s="126" t="s">
        <v>1178</v>
      </c>
      <c r="F235" s="126" t="s">
        <v>35</v>
      </c>
      <c r="G235" s="126" t="s">
        <v>1583</v>
      </c>
      <c r="H235" s="126" t="s">
        <v>1575</v>
      </c>
      <c r="I235" s="126" t="s">
        <v>1053</v>
      </c>
      <c r="J235" s="126" t="s">
        <v>990</v>
      </c>
      <c r="K235" s="127">
        <v>43411</v>
      </c>
      <c r="L235" s="128"/>
      <c r="M235" s="128">
        <v>3.6110000000000002</v>
      </c>
      <c r="N235" s="126">
        <v>7.94</v>
      </c>
      <c r="O235" s="126" t="s">
        <v>950</v>
      </c>
      <c r="P235" s="129" t="s">
        <v>958</v>
      </c>
      <c r="Q235" s="129" t="s">
        <v>959</v>
      </c>
      <c r="R235" s="126" t="s">
        <v>24</v>
      </c>
      <c r="S235" s="126"/>
      <c r="T235" s="130" t="s">
        <v>861</v>
      </c>
      <c r="U235" s="126"/>
      <c r="V235" s="130" t="s">
        <v>861</v>
      </c>
      <c r="W235" s="126"/>
      <c r="X235" s="130" t="s">
        <v>120</v>
      </c>
      <c r="Y235" s="126" t="s">
        <v>1179</v>
      </c>
      <c r="Z235" s="162" t="s">
        <v>120</v>
      </c>
      <c r="AA235" s="154"/>
      <c r="AB235" s="154"/>
      <c r="AC235" s="167" t="s">
        <v>123</v>
      </c>
      <c r="AD235" s="126" t="s">
        <v>1180</v>
      </c>
      <c r="AE235" s="130" t="s">
        <v>861</v>
      </c>
      <c r="AF235" s="127"/>
      <c r="AG235" s="131"/>
      <c r="AH235" s="131"/>
      <c r="AI235" s="126"/>
      <c r="AJ235" s="130"/>
      <c r="AK235" s="126"/>
      <c r="AL235" s="126"/>
      <c r="AM235" s="130"/>
      <c r="AN235" s="126"/>
      <c r="AO235" s="132"/>
      <c r="AP235" s="126"/>
      <c r="AQ235" s="126"/>
      <c r="AR235" s="130"/>
      <c r="AS235" s="126"/>
      <c r="AT235" s="127"/>
      <c r="AU235" s="127"/>
      <c r="AV235" s="127"/>
      <c r="AW235" s="127"/>
      <c r="AX235" s="127"/>
      <c r="AY235" s="127"/>
      <c r="AZ235" s="133">
        <v>43411</v>
      </c>
      <c r="BA23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35" s="135">
        <f>COUNTIFS(_05preva_view43[Site ID],_05preva_view43[[#This Row],[Site ID]],_05preva_view43[Prevalidation Status],"Under Prevalidation")</f>
        <v>0</v>
      </c>
      <c r="BC235" s="153" t="str">
        <f ca="1">HYPERLINK(CheckPath(_05preva_view43[[#This Row],[File Path]],_05preva_view43[[#This Row],[File Path]],_05preva_view43[[#This Row],[Folder Path3]]),CheckPath(_05preva_view43[[#This Row],[File Path]],"Open File","No File"))</f>
        <v>No File</v>
      </c>
      <c r="BD235" s="136" t="str">
        <f>CONCATENATE(_05preva_view43[[#This Row],[Site ID]]," (",_05preva_view43[[#This Row],[tenant id]],") Application",IF(_05preva_view43[[#This Row],[Colo Rev]]&gt;0," Rev "&amp;_05preva_view43[[#This Row],[Colo Rev]],""),".xlsx")</f>
        <v>1-01-05005-006 (SGG00246) Application Rev 3.xlsx</v>
      </c>
      <c r="BE235" s="64">
        <f t="shared" ca="1" si="5"/>
        <v>50</v>
      </c>
      <c r="BF235" s="104" t="str">
        <f ca="1">LEFT(CELL("filename",A220),_05preva_view43[[#This Row],[Find Process &amp; Database]]-1)</f>
        <v>D:\OneDrive - apollo-towers.com\Apollo Towers\00-</v>
      </c>
      <c r="BG235" s="104" t="str">
        <f ca="1">_05preva_view43[Folder Path1]&amp;"Process &amp; Database\Documentation\Colo Applications"</f>
        <v>D:\OneDrive - apollo-towers.com\Apollo Towers\00-Process &amp; Database\Documentation\Colo Applications</v>
      </c>
      <c r="BH235" s="104" t="str">
        <f ca="1">_05preva_view43[Folder Path2]&amp;"\Colo App "&amp;_05preva_view43[[#This Row],[Operator]]&amp;"\"</f>
        <v>D:\OneDrive - apollo-towers.com\Apollo Towers\00-Process &amp; Database\Documentation\Colo Applications\Colo App MPT\</v>
      </c>
      <c r="BI235" s="63" t="str">
        <f ca="1">_05preva_view43[[#This Row],[Folder Path3]]&amp;_05preva_view43[[#This Row],[File Name]]</f>
        <v>D:\OneDrive - apollo-towers.com\Apollo Towers\00-Process &amp; Database\Documentation\Colo Applications\Colo App MPT\1-01-05005-006 (SGG00246) Application Rev 3.xlsx</v>
      </c>
      <c r="BJ235" s="104"/>
      <c r="BK235" s="3"/>
      <c r="BL235" s="3"/>
      <c r="CJ235" s="5"/>
      <c r="CK235" s="5"/>
      <c r="CL235" s="3"/>
      <c r="CN235" s="5"/>
      <c r="CR235" s="3"/>
      <c r="CS235" s="3"/>
      <c r="CT235" s="5"/>
      <c r="CV235" s="3"/>
      <c r="DR235" s="5"/>
      <c r="DT235" s="3"/>
      <c r="EF235" s="7"/>
      <c r="EG235" s="7"/>
      <c r="EJ235" s="4"/>
      <c r="EK235" s="4"/>
      <c r="EU235" s="2"/>
      <c r="EV235" s="2"/>
    </row>
    <row r="236" spans="1:152">
      <c r="A236" s="125">
        <v>3407</v>
      </c>
      <c r="B236" s="126" t="s">
        <v>1181</v>
      </c>
      <c r="C236" s="126" t="s">
        <v>331</v>
      </c>
      <c r="D236" s="126" t="s">
        <v>117</v>
      </c>
      <c r="E236" s="126" t="s">
        <v>1182</v>
      </c>
      <c r="F236" s="126" t="s">
        <v>35</v>
      </c>
      <c r="G236" s="126" t="s">
        <v>1583</v>
      </c>
      <c r="H236" s="126" t="s">
        <v>1575</v>
      </c>
      <c r="I236" s="126" t="s">
        <v>1183</v>
      </c>
      <c r="J236" s="126" t="s">
        <v>990</v>
      </c>
      <c r="K236" s="127">
        <v>43411</v>
      </c>
      <c r="L236" s="128"/>
      <c r="M236" s="128">
        <v>2.1</v>
      </c>
      <c r="N236" s="126">
        <v>2.91</v>
      </c>
      <c r="O236" s="126" t="s">
        <v>950</v>
      </c>
      <c r="P236" s="129" t="s">
        <v>958</v>
      </c>
      <c r="Q236" s="129" t="s">
        <v>959</v>
      </c>
      <c r="R236" s="126" t="s">
        <v>24</v>
      </c>
      <c r="S236" s="126"/>
      <c r="T236" s="130" t="s">
        <v>861</v>
      </c>
      <c r="U236" s="126"/>
      <c r="V236" s="130" t="s">
        <v>861</v>
      </c>
      <c r="W236" s="126"/>
      <c r="X236" s="130" t="s">
        <v>120</v>
      </c>
      <c r="Y236" s="126" t="s">
        <v>1184</v>
      </c>
      <c r="Z236" s="162" t="s">
        <v>120</v>
      </c>
      <c r="AA236" s="154"/>
      <c r="AB236" s="154"/>
      <c r="AC236" s="167" t="s">
        <v>123</v>
      </c>
      <c r="AD236" s="126" t="s">
        <v>1185</v>
      </c>
      <c r="AE236" s="130" t="s">
        <v>861</v>
      </c>
      <c r="AF236" s="127"/>
      <c r="AG236" s="131"/>
      <c r="AH236" s="131"/>
      <c r="AI236" s="126"/>
      <c r="AJ236" s="130"/>
      <c r="AK236" s="126"/>
      <c r="AL236" s="126"/>
      <c r="AM236" s="130"/>
      <c r="AN236" s="126"/>
      <c r="AO236" s="132"/>
      <c r="AP236" s="126"/>
      <c r="AQ236" s="126"/>
      <c r="AR236" s="130"/>
      <c r="AS236" s="126"/>
      <c r="AT236" s="127"/>
      <c r="AU236" s="127"/>
      <c r="AV236" s="127"/>
      <c r="AW236" s="127"/>
      <c r="AX236" s="127"/>
      <c r="AY236" s="127"/>
      <c r="AZ236" s="133">
        <v>43411</v>
      </c>
      <c r="BA23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36" s="135">
        <f>COUNTIFS(_05preva_view43[Site ID],_05preva_view43[[#This Row],[Site ID]],_05preva_view43[Prevalidation Status],"Under Prevalidation")</f>
        <v>0</v>
      </c>
      <c r="BC236" s="153" t="str">
        <f ca="1">HYPERLINK(CheckPath(_05preva_view43[[#This Row],[File Path]],_05preva_view43[[#This Row],[File Path]],_05preva_view43[[#This Row],[Folder Path3]]),CheckPath(_05preva_view43[[#This Row],[File Path]],"Open File","No File"))</f>
        <v>No File</v>
      </c>
      <c r="BD236" s="136" t="str">
        <f>CONCATENATE(_05preva_view43[[#This Row],[Site ID]]," (",_05preva_view43[[#This Row],[tenant id]],") Application",IF(_05preva_view43[[#This Row],[Colo Rev]]&gt;0," Rev "&amp;_05preva_view43[[#This Row],[Colo Rev]],""),".xlsx")</f>
        <v>1-01-14001-033 (SHS00466) Application Rev 3.xlsx</v>
      </c>
      <c r="BE236" s="64">
        <f t="shared" ca="1" si="5"/>
        <v>50</v>
      </c>
      <c r="BF236" s="104" t="str">
        <f ca="1">LEFT(CELL("filename",A221),_05preva_view43[[#This Row],[Find Process &amp; Database]]-1)</f>
        <v>D:\OneDrive - apollo-towers.com\Apollo Towers\00-</v>
      </c>
      <c r="BG236" s="104" t="str">
        <f ca="1">_05preva_view43[Folder Path1]&amp;"Process &amp; Database\Documentation\Colo Applications"</f>
        <v>D:\OneDrive - apollo-towers.com\Apollo Towers\00-Process &amp; Database\Documentation\Colo Applications</v>
      </c>
      <c r="BH236" s="104" t="str">
        <f ca="1">_05preva_view43[Folder Path2]&amp;"\Colo App "&amp;_05preva_view43[[#This Row],[Operator]]&amp;"\"</f>
        <v>D:\OneDrive - apollo-towers.com\Apollo Towers\00-Process &amp; Database\Documentation\Colo Applications\Colo App MPT\</v>
      </c>
      <c r="BI236" s="63" t="str">
        <f ca="1">_05preva_view43[[#This Row],[Folder Path3]]&amp;_05preva_view43[[#This Row],[File Name]]</f>
        <v>D:\OneDrive - apollo-towers.com\Apollo Towers\00-Process &amp; Database\Documentation\Colo Applications\Colo App MPT\1-01-14001-033 (SHS00466) Application Rev 3.xlsx</v>
      </c>
      <c r="BJ236" s="104"/>
      <c r="BK236" s="3"/>
      <c r="BL236" s="3"/>
      <c r="CJ236" s="5"/>
      <c r="CK236" s="5"/>
      <c r="CL236" s="3"/>
      <c r="CN236" s="5"/>
      <c r="CR236" s="3"/>
      <c r="CS236" s="3"/>
      <c r="CT236" s="5"/>
      <c r="CV236" s="3"/>
      <c r="DR236" s="5"/>
      <c r="DT236" s="3"/>
      <c r="EF236" s="7"/>
      <c r="EG236" s="7"/>
      <c r="EJ236" s="4"/>
      <c r="EK236" s="4"/>
      <c r="EU236" s="2"/>
      <c r="EV236" s="2"/>
    </row>
    <row r="237" spans="1:152">
      <c r="A237" s="125">
        <v>3394</v>
      </c>
      <c r="B237" s="126" t="s">
        <v>1141</v>
      </c>
      <c r="C237" s="126" t="s">
        <v>331</v>
      </c>
      <c r="D237" s="126" t="s">
        <v>117</v>
      </c>
      <c r="E237" s="126" t="s">
        <v>1142</v>
      </c>
      <c r="F237" s="126" t="s">
        <v>35</v>
      </c>
      <c r="G237" s="126" t="s">
        <v>1584</v>
      </c>
      <c r="H237" s="126" t="s">
        <v>1580</v>
      </c>
      <c r="I237" s="126" t="s">
        <v>1144</v>
      </c>
      <c r="J237" s="126" t="s">
        <v>940</v>
      </c>
      <c r="K237" s="127">
        <v>43409</v>
      </c>
      <c r="L237" s="128"/>
      <c r="M237" s="128">
        <v>0.879</v>
      </c>
      <c r="N237" s="126">
        <v>3.99</v>
      </c>
      <c r="O237" s="126" t="s">
        <v>950</v>
      </c>
      <c r="P237" s="129" t="s">
        <v>1028</v>
      </c>
      <c r="Q237" s="129" t="s">
        <v>1029</v>
      </c>
      <c r="R237" s="126" t="s">
        <v>24</v>
      </c>
      <c r="S237" s="126"/>
      <c r="T237" s="130" t="s">
        <v>861</v>
      </c>
      <c r="U237" s="126"/>
      <c r="V237" s="130" t="s">
        <v>861</v>
      </c>
      <c r="W237" s="126"/>
      <c r="X237" s="130" t="s">
        <v>120</v>
      </c>
      <c r="Y237" s="126" t="s">
        <v>1145</v>
      </c>
      <c r="Z237" s="162" t="s">
        <v>120</v>
      </c>
      <c r="AA237" s="154"/>
      <c r="AB237" s="154"/>
      <c r="AC237" s="167" t="s">
        <v>123</v>
      </c>
      <c r="AD237" s="126" t="s">
        <v>1146</v>
      </c>
      <c r="AE237" s="130" t="s">
        <v>861</v>
      </c>
      <c r="AF237" s="127"/>
      <c r="AG237" s="131"/>
      <c r="AH237" s="131"/>
      <c r="AI237" s="126"/>
      <c r="AJ237" s="130"/>
      <c r="AK237" s="126"/>
      <c r="AL237" s="126"/>
      <c r="AM237" s="130"/>
      <c r="AN237" s="126"/>
      <c r="AO237" s="132"/>
      <c r="AP237" s="126" t="s">
        <v>120</v>
      </c>
      <c r="AQ237" s="126"/>
      <c r="AR237" s="130"/>
      <c r="AS237" s="126"/>
      <c r="AT237" s="127"/>
      <c r="AU237" s="127"/>
      <c r="AV237" s="127"/>
      <c r="AW237" s="127"/>
      <c r="AX237" s="127"/>
      <c r="AY237" s="127"/>
      <c r="AZ237" s="133">
        <v>43409</v>
      </c>
      <c r="BA23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37" s="135">
        <f>COUNTIFS(_05preva_view43[Site ID],_05preva_view43[[#This Row],[Site ID]],_05preva_view43[Prevalidation Status],"Under Prevalidation")</f>
        <v>0</v>
      </c>
      <c r="BC237" s="153" t="str">
        <f ca="1">HYPERLINK(CheckPath(_05preva_view43[[#This Row],[File Path]],_05preva_view43[[#This Row],[File Path]],_05preva_view43[[#This Row],[Folder Path3]]),CheckPath(_05preva_view43[[#This Row],[File Path]],"Open File","No File"))</f>
        <v>No File</v>
      </c>
      <c r="BD237" s="136" t="str">
        <f>CONCATENATE(_05preva_view43[[#This Row],[Site ID]]," (",_05preva_view43[[#This Row],[tenant id]],") Application",IF(_05preva_view43[[#This Row],[Colo Rev]]&gt;0," Rev "&amp;_05preva_view43[[#This Row],[Colo Rev]],""),".xlsx")</f>
        <v>1-01-04007-009 (CHN00225) Application Rev 0.xlsx</v>
      </c>
      <c r="BE237" s="64">
        <f t="shared" ca="1" si="5"/>
        <v>50</v>
      </c>
      <c r="BF237" s="104" t="str">
        <f ca="1">LEFT(CELL("filename",A222),_05preva_view43[[#This Row],[Find Process &amp; Database]]-1)</f>
        <v>D:\OneDrive - apollo-towers.com\Apollo Towers\00-</v>
      </c>
      <c r="BG237" s="104" t="str">
        <f ca="1">_05preva_view43[Folder Path1]&amp;"Process &amp; Database\Documentation\Colo Applications"</f>
        <v>D:\OneDrive - apollo-towers.com\Apollo Towers\00-Process &amp; Database\Documentation\Colo Applications</v>
      </c>
      <c r="BH237" s="104" t="str">
        <f ca="1">_05preva_view43[Folder Path2]&amp;"\Colo App "&amp;_05preva_view43[[#This Row],[Operator]]&amp;"\"</f>
        <v>D:\OneDrive - apollo-towers.com\Apollo Towers\00-Process &amp; Database\Documentation\Colo Applications\Colo App MPT\</v>
      </c>
      <c r="BI237" s="63" t="str">
        <f ca="1">_05preva_view43[[#This Row],[Folder Path3]]&amp;_05preva_view43[[#This Row],[File Name]]</f>
        <v>D:\OneDrive - apollo-towers.com\Apollo Towers\00-Process &amp; Database\Documentation\Colo Applications\Colo App MPT\1-01-04007-009 (CHN00225) Application Rev 0.xlsx</v>
      </c>
      <c r="BJ237" s="104"/>
      <c r="BK237" s="3"/>
      <c r="BL237" s="3"/>
      <c r="CJ237" s="5"/>
      <c r="CK237" s="5"/>
      <c r="CL237" s="3"/>
      <c r="CN237" s="5"/>
      <c r="CR237" s="3"/>
      <c r="CS237" s="3"/>
      <c r="CT237" s="5"/>
      <c r="CV237" s="3"/>
      <c r="DR237" s="5"/>
      <c r="DT237" s="3"/>
      <c r="EF237" s="7"/>
      <c r="EG237" s="7"/>
      <c r="EJ237" s="4"/>
      <c r="EK237" s="4"/>
      <c r="EU237" s="2"/>
      <c r="EV237" s="2"/>
    </row>
    <row r="238" spans="1:152">
      <c r="A238" s="125">
        <v>3395</v>
      </c>
      <c r="B238" s="126" t="s">
        <v>1036</v>
      </c>
      <c r="C238" s="126" t="s">
        <v>331</v>
      </c>
      <c r="D238" s="126" t="s">
        <v>163</v>
      </c>
      <c r="E238" s="126" t="s">
        <v>1037</v>
      </c>
      <c r="F238" s="126" t="s">
        <v>35</v>
      </c>
      <c r="G238" s="126" t="s">
        <v>1583</v>
      </c>
      <c r="H238" s="126" t="s">
        <v>1575</v>
      </c>
      <c r="I238" s="126" t="s">
        <v>1138</v>
      </c>
      <c r="J238" s="126" t="s">
        <v>990</v>
      </c>
      <c r="K238" s="127">
        <v>43409</v>
      </c>
      <c r="L238" s="128"/>
      <c r="M238" s="128">
        <v>2.1</v>
      </c>
      <c r="N238" s="126">
        <v>3.2469999999999999</v>
      </c>
      <c r="O238" s="126" t="s">
        <v>950</v>
      </c>
      <c r="P238" s="129" t="s">
        <v>1028</v>
      </c>
      <c r="Q238" s="129" t="s">
        <v>1029</v>
      </c>
      <c r="R238" s="126" t="s">
        <v>24</v>
      </c>
      <c r="S238" s="126"/>
      <c r="T238" s="130" t="s">
        <v>861</v>
      </c>
      <c r="U238" s="126"/>
      <c r="V238" s="130" t="s">
        <v>861</v>
      </c>
      <c r="W238" s="126"/>
      <c r="X238" s="130" t="s">
        <v>120</v>
      </c>
      <c r="Y238" s="126" t="s">
        <v>1147</v>
      </c>
      <c r="Z238" s="162" t="s">
        <v>120</v>
      </c>
      <c r="AA238" s="154"/>
      <c r="AB238" s="154"/>
      <c r="AC238" s="167" t="s">
        <v>123</v>
      </c>
      <c r="AD238" s="126" t="s">
        <v>1148</v>
      </c>
      <c r="AE238" s="130"/>
      <c r="AF238" s="127"/>
      <c r="AG238" s="131"/>
      <c r="AH238" s="131"/>
      <c r="AI238" s="126"/>
      <c r="AJ238" s="130"/>
      <c r="AK238" s="126"/>
      <c r="AL238" s="126"/>
      <c r="AM238" s="130"/>
      <c r="AN238" s="126"/>
      <c r="AO238" s="132"/>
      <c r="AP238" s="126"/>
      <c r="AQ238" s="126"/>
      <c r="AR238" s="130"/>
      <c r="AS238" s="126"/>
      <c r="AT238" s="127"/>
      <c r="AU238" s="127"/>
      <c r="AV238" s="127"/>
      <c r="AW238" s="127"/>
      <c r="AX238" s="127"/>
      <c r="AY238" s="127"/>
      <c r="AZ238" s="133">
        <v>43409</v>
      </c>
      <c r="BA23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38" s="135">
        <f>COUNTIFS(_05preva_view43[Site ID],_05preva_view43[[#This Row],[Site ID]],_05preva_view43[Prevalidation Status],"Under Prevalidation")</f>
        <v>0</v>
      </c>
      <c r="BC238" s="153" t="str">
        <f ca="1">HYPERLINK(CheckPath(_05preva_view43[[#This Row],[File Path]],_05preva_view43[[#This Row],[File Path]],_05preva_view43[[#This Row],[Folder Path3]]),CheckPath(_05preva_view43[[#This Row],[File Path]],"Open File","No File"))</f>
        <v>No File</v>
      </c>
      <c r="BD238" s="136" t="str">
        <f>CONCATENATE(_05preva_view43[[#This Row],[Site ID]]," (",_05preva_view43[[#This Row],[tenant id]],") Application",IF(_05preva_view43[[#This Row],[Colo Rev]]&gt;0," Rev "&amp;_05preva_view43[[#This Row],[Colo Rev]],""),".xlsx")</f>
        <v>1-01-17009-002 (AWD00481) Application Rev 3.xlsx</v>
      </c>
      <c r="BE238" s="64">
        <f t="shared" ca="1" si="5"/>
        <v>50</v>
      </c>
      <c r="BF238" s="104" t="str">
        <f ca="1">LEFT(CELL("filename",A223),_05preva_view43[[#This Row],[Find Process &amp; Database]]-1)</f>
        <v>D:\OneDrive - apollo-towers.com\Apollo Towers\00-</v>
      </c>
      <c r="BG238" s="104" t="str">
        <f ca="1">_05preva_view43[Folder Path1]&amp;"Process &amp; Database\Documentation\Colo Applications"</f>
        <v>D:\OneDrive - apollo-towers.com\Apollo Towers\00-Process &amp; Database\Documentation\Colo Applications</v>
      </c>
      <c r="BH238" s="104" t="str">
        <f ca="1">_05preva_view43[Folder Path2]&amp;"\Colo App "&amp;_05preva_view43[[#This Row],[Operator]]&amp;"\"</f>
        <v>D:\OneDrive - apollo-towers.com\Apollo Towers\00-Process &amp; Database\Documentation\Colo Applications\Colo App MPT\</v>
      </c>
      <c r="BI238" s="63" t="str">
        <f ca="1">_05preva_view43[[#This Row],[Folder Path3]]&amp;_05preva_view43[[#This Row],[File Name]]</f>
        <v>D:\OneDrive - apollo-towers.com\Apollo Towers\00-Process &amp; Database\Documentation\Colo Applications\Colo App MPT\1-01-17009-002 (AWD00481) Application Rev 3.xlsx</v>
      </c>
      <c r="BJ238" s="104"/>
      <c r="BK238" s="3"/>
      <c r="BL238" s="3"/>
      <c r="CJ238" s="5"/>
      <c r="CK238" s="5"/>
      <c r="CL238" s="3"/>
      <c r="CN238" s="5"/>
      <c r="CR238" s="3"/>
      <c r="CS238" s="3"/>
      <c r="CT238" s="5"/>
      <c r="CV238" s="3"/>
      <c r="DR238" s="5"/>
      <c r="DT238" s="3"/>
      <c r="EF238" s="7"/>
      <c r="EG238" s="7"/>
      <c r="EJ238" s="4"/>
      <c r="EK238" s="4"/>
      <c r="EU238" s="2"/>
      <c r="EV238" s="2"/>
    </row>
    <row r="239" spans="1:152">
      <c r="A239" s="125">
        <v>3396</v>
      </c>
      <c r="B239" s="126" t="s">
        <v>946</v>
      </c>
      <c r="C239" s="126" t="s">
        <v>331</v>
      </c>
      <c r="D239" s="126" t="s">
        <v>127</v>
      </c>
      <c r="E239" s="126" t="s">
        <v>947</v>
      </c>
      <c r="F239" s="126" t="s">
        <v>35</v>
      </c>
      <c r="G239" s="126" t="s">
        <v>1583</v>
      </c>
      <c r="H239" s="126" t="s">
        <v>1575</v>
      </c>
      <c r="I239" s="126" t="s">
        <v>1053</v>
      </c>
      <c r="J239" s="126" t="s">
        <v>990</v>
      </c>
      <c r="K239" s="127">
        <v>43409</v>
      </c>
      <c r="L239" s="128"/>
      <c r="M239" s="128">
        <v>5.1470000000000002</v>
      </c>
      <c r="N239" s="126">
        <v>4.3600000000000003</v>
      </c>
      <c r="O239" s="126" t="s">
        <v>950</v>
      </c>
      <c r="P239" s="129" t="s">
        <v>833</v>
      </c>
      <c r="Q239" s="129" t="s">
        <v>951</v>
      </c>
      <c r="R239" s="126" t="s">
        <v>24</v>
      </c>
      <c r="S239" s="126"/>
      <c r="T239" s="130" t="s">
        <v>861</v>
      </c>
      <c r="U239" s="126"/>
      <c r="V239" s="130" t="s">
        <v>861</v>
      </c>
      <c r="W239" s="126"/>
      <c r="X239" s="130" t="s">
        <v>120</v>
      </c>
      <c r="Y239" s="126" t="s">
        <v>1149</v>
      </c>
      <c r="Z239" s="162" t="s">
        <v>120</v>
      </c>
      <c r="AA239" s="154"/>
      <c r="AB239" s="154"/>
      <c r="AC239" s="167" t="s">
        <v>123</v>
      </c>
      <c r="AD239" s="126" t="s">
        <v>1150</v>
      </c>
      <c r="AE239" s="130"/>
      <c r="AF239" s="127"/>
      <c r="AG239" s="131"/>
      <c r="AH239" s="131"/>
      <c r="AI239" s="126"/>
      <c r="AJ239" s="130"/>
      <c r="AK239" s="126"/>
      <c r="AL239" s="126"/>
      <c r="AM239" s="130"/>
      <c r="AN239" s="126"/>
      <c r="AO239" s="132"/>
      <c r="AP239" s="126"/>
      <c r="AQ239" s="126"/>
      <c r="AR239" s="130"/>
      <c r="AS239" s="126"/>
      <c r="AT239" s="127"/>
      <c r="AU239" s="127"/>
      <c r="AV239" s="127"/>
      <c r="AW239" s="127"/>
      <c r="AX239" s="127"/>
      <c r="AY239" s="127"/>
      <c r="AZ239" s="133">
        <v>43409</v>
      </c>
      <c r="BA23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39" s="135">
        <f>COUNTIFS(_05preva_view43[Site ID],_05preva_view43[[#This Row],[Site ID]],_05preva_view43[Prevalidation Status],"Under Prevalidation")</f>
        <v>0</v>
      </c>
      <c r="BC239" s="153" t="str">
        <f ca="1">HYPERLINK(CheckPath(_05preva_view43[[#This Row],[File Path]],_05preva_view43[[#This Row],[File Path]],_05preva_view43[[#This Row],[Folder Path3]]),CheckPath(_05preva_view43[[#This Row],[File Path]],"Open File","No File"))</f>
        <v>No File</v>
      </c>
      <c r="BD239" s="136" t="str">
        <f>CONCATENATE(_05preva_view43[[#This Row],[Site ID]]," (",_05preva_view43[[#This Row],[tenant id]],") Application",IF(_05preva_view43[[#This Row],[Colo Rev]]&gt;0," Rev "&amp;_05preva_view43[[#This Row],[Colo Rev]],""),".xlsx")</f>
        <v>1-01-05027-002 (SGG00113) Application Rev 3.xlsx</v>
      </c>
      <c r="BE239" s="64">
        <f t="shared" ca="1" si="5"/>
        <v>50</v>
      </c>
      <c r="BF239" s="104" t="str">
        <f ca="1">LEFT(CELL("filename",A224),_05preva_view43[[#This Row],[Find Process &amp; Database]]-1)</f>
        <v>D:\OneDrive - apollo-towers.com\Apollo Towers\00-</v>
      </c>
      <c r="BG239" s="104" t="str">
        <f ca="1">_05preva_view43[Folder Path1]&amp;"Process &amp; Database\Documentation\Colo Applications"</f>
        <v>D:\OneDrive - apollo-towers.com\Apollo Towers\00-Process &amp; Database\Documentation\Colo Applications</v>
      </c>
      <c r="BH239" s="104" t="str">
        <f ca="1">_05preva_view43[Folder Path2]&amp;"\Colo App "&amp;_05preva_view43[[#This Row],[Operator]]&amp;"\"</f>
        <v>D:\OneDrive - apollo-towers.com\Apollo Towers\00-Process &amp; Database\Documentation\Colo Applications\Colo App MPT\</v>
      </c>
      <c r="BI239" s="63" t="str">
        <f ca="1">_05preva_view43[[#This Row],[Folder Path3]]&amp;_05preva_view43[[#This Row],[File Name]]</f>
        <v>D:\OneDrive - apollo-towers.com\Apollo Towers\00-Process &amp; Database\Documentation\Colo Applications\Colo App MPT\1-01-05027-002 (SGG00113) Application Rev 3.xlsx</v>
      </c>
      <c r="BJ239" s="104"/>
      <c r="BK239" s="3"/>
      <c r="BL239" s="3"/>
      <c r="CJ239" s="5"/>
      <c r="CK239" s="5"/>
      <c r="CL239" s="3"/>
      <c r="CN239" s="5"/>
      <c r="CR239" s="3"/>
      <c r="CS239" s="3"/>
      <c r="CT239" s="5"/>
      <c r="CV239" s="3"/>
      <c r="DR239" s="5"/>
      <c r="DT239" s="3"/>
      <c r="EF239" s="7"/>
      <c r="EG239" s="7"/>
      <c r="EJ239" s="4"/>
      <c r="EK239" s="4"/>
      <c r="EU239" s="2"/>
      <c r="EV239" s="2"/>
    </row>
    <row r="240" spans="1:152">
      <c r="A240" s="125">
        <v>3397</v>
      </c>
      <c r="B240" s="126" t="s">
        <v>997</v>
      </c>
      <c r="C240" s="126" t="s">
        <v>331</v>
      </c>
      <c r="D240" s="126" t="s">
        <v>117</v>
      </c>
      <c r="E240" s="126" t="s">
        <v>998</v>
      </c>
      <c r="F240" s="126" t="s">
        <v>35</v>
      </c>
      <c r="G240" s="126" t="s">
        <v>1583</v>
      </c>
      <c r="H240" s="126" t="s">
        <v>1575</v>
      </c>
      <c r="I240" s="126" t="s">
        <v>1151</v>
      </c>
      <c r="J240" s="126" t="s">
        <v>990</v>
      </c>
      <c r="K240" s="127">
        <v>43409</v>
      </c>
      <c r="L240" s="128"/>
      <c r="M240" s="128">
        <v>2.7</v>
      </c>
      <c r="N240" s="126">
        <v>3.5920000000000001</v>
      </c>
      <c r="O240" s="126" t="s">
        <v>950</v>
      </c>
      <c r="P240" s="129" t="s">
        <v>704</v>
      </c>
      <c r="Q240" s="129" t="s">
        <v>705</v>
      </c>
      <c r="R240" s="126" t="s">
        <v>24</v>
      </c>
      <c r="S240" s="126"/>
      <c r="T240" s="130" t="s">
        <v>861</v>
      </c>
      <c r="U240" s="126"/>
      <c r="V240" s="130" t="s">
        <v>861</v>
      </c>
      <c r="W240" s="126"/>
      <c r="X240" s="130" t="s">
        <v>120</v>
      </c>
      <c r="Y240" s="126" t="s">
        <v>1152</v>
      </c>
      <c r="Z240" s="162" t="s">
        <v>120</v>
      </c>
      <c r="AA240" s="154"/>
      <c r="AB240" s="154"/>
      <c r="AC240" s="167" t="s">
        <v>123</v>
      </c>
      <c r="AD240" s="126" t="s">
        <v>1153</v>
      </c>
      <c r="AE240" s="130" t="s">
        <v>861</v>
      </c>
      <c r="AF240" s="127"/>
      <c r="AG240" s="131"/>
      <c r="AH240" s="131"/>
      <c r="AI240" s="126"/>
      <c r="AJ240" s="130"/>
      <c r="AK240" s="126"/>
      <c r="AL240" s="126"/>
      <c r="AM240" s="130"/>
      <c r="AN240" s="126"/>
      <c r="AO240" s="132"/>
      <c r="AP240" s="126"/>
      <c r="AQ240" s="126"/>
      <c r="AR240" s="130"/>
      <c r="AS240" s="126"/>
      <c r="AT240" s="127"/>
      <c r="AU240" s="127"/>
      <c r="AV240" s="127"/>
      <c r="AW240" s="127"/>
      <c r="AX240" s="127"/>
      <c r="AY240" s="127"/>
      <c r="AZ240" s="133">
        <v>43409</v>
      </c>
      <c r="BA24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40" s="135">
        <f>COUNTIFS(_05preva_view43[Site ID],_05preva_view43[[#This Row],[Site ID]],_05preva_view43[Prevalidation Status],"Under Prevalidation")</f>
        <v>0</v>
      </c>
      <c r="BC240" s="153" t="str">
        <f ca="1">HYPERLINK(CheckPath(_05preva_view43[[#This Row],[File Path]],_05preva_view43[[#This Row],[File Path]],_05preva_view43[[#This Row],[Folder Path3]]),CheckPath(_05preva_view43[[#This Row],[File Path]],"Open File","No File"))</f>
        <v>No File</v>
      </c>
      <c r="BD240" s="136" t="str">
        <f>CONCATENATE(_05preva_view43[[#This Row],[Site ID]]," (",_05preva_view43[[#This Row],[tenant id]],") Application",IF(_05preva_view43[[#This Row],[Colo Rev]]&gt;0," Rev "&amp;_05preva_view43[[#This Row],[Colo Rev]],""),".xlsx")</f>
        <v>1-01-16001-003 (SHE00021) Application Rev 3.xlsx</v>
      </c>
      <c r="BE240" s="64">
        <f t="shared" ca="1" si="5"/>
        <v>50</v>
      </c>
      <c r="BF240" s="104" t="str">
        <f ca="1">LEFT(CELL("filename",A225),_05preva_view43[[#This Row],[Find Process &amp; Database]]-1)</f>
        <v>D:\OneDrive - apollo-towers.com\Apollo Towers\00-</v>
      </c>
      <c r="BG240" s="104" t="str">
        <f ca="1">_05preva_view43[Folder Path1]&amp;"Process &amp; Database\Documentation\Colo Applications"</f>
        <v>D:\OneDrive - apollo-towers.com\Apollo Towers\00-Process &amp; Database\Documentation\Colo Applications</v>
      </c>
      <c r="BH240" s="104" t="str">
        <f ca="1">_05preva_view43[Folder Path2]&amp;"\Colo App "&amp;_05preva_view43[[#This Row],[Operator]]&amp;"\"</f>
        <v>D:\OneDrive - apollo-towers.com\Apollo Towers\00-Process &amp; Database\Documentation\Colo Applications\Colo App MPT\</v>
      </c>
      <c r="BI240" s="63" t="str">
        <f ca="1">_05preva_view43[[#This Row],[Folder Path3]]&amp;_05preva_view43[[#This Row],[File Name]]</f>
        <v>D:\OneDrive - apollo-towers.com\Apollo Towers\00-Process &amp; Database\Documentation\Colo Applications\Colo App MPT\1-01-16001-003 (SHE00021) Application Rev 3.xlsx</v>
      </c>
      <c r="BJ240" s="104"/>
      <c r="BK240" s="3"/>
      <c r="BL240" s="3"/>
      <c r="CJ240" s="5"/>
      <c r="CK240" s="5"/>
      <c r="CL240" s="3"/>
      <c r="CN240" s="5"/>
      <c r="CR240" s="3"/>
      <c r="CS240" s="3"/>
      <c r="CT240" s="5"/>
      <c r="CV240" s="3"/>
      <c r="DR240" s="5"/>
      <c r="DT240" s="3"/>
      <c r="EF240" s="7"/>
      <c r="EG240" s="7"/>
      <c r="EJ240" s="4"/>
      <c r="EK240" s="4"/>
      <c r="EU240" s="2"/>
      <c r="EV240" s="2"/>
    </row>
    <row r="241" spans="1:152">
      <c r="A241" s="125">
        <v>3398</v>
      </c>
      <c r="B241" s="126" t="s">
        <v>1154</v>
      </c>
      <c r="C241" s="126" t="s">
        <v>331</v>
      </c>
      <c r="D241" s="126" t="s">
        <v>127</v>
      </c>
      <c r="E241" s="126" t="s">
        <v>1155</v>
      </c>
      <c r="F241" s="126" t="s">
        <v>35</v>
      </c>
      <c r="G241" s="126" t="s">
        <v>1583</v>
      </c>
      <c r="H241" s="126" t="s">
        <v>1575</v>
      </c>
      <c r="I241" s="126" t="s">
        <v>1053</v>
      </c>
      <c r="J241" s="126" t="s">
        <v>949</v>
      </c>
      <c r="K241" s="127">
        <v>43409</v>
      </c>
      <c r="L241" s="128"/>
      <c r="M241" s="128">
        <v>3.5489999999999999</v>
      </c>
      <c r="N241" s="126">
        <v>7.0659999999999998</v>
      </c>
      <c r="O241" s="126" t="s">
        <v>950</v>
      </c>
      <c r="P241" s="129" t="s">
        <v>958</v>
      </c>
      <c r="Q241" s="129" t="s">
        <v>959</v>
      </c>
      <c r="R241" s="126" t="s">
        <v>24</v>
      </c>
      <c r="S241" s="126"/>
      <c r="T241" s="130" t="s">
        <v>861</v>
      </c>
      <c r="U241" s="126"/>
      <c r="V241" s="130" t="s">
        <v>861</v>
      </c>
      <c r="W241" s="126"/>
      <c r="X241" s="130" t="s">
        <v>120</v>
      </c>
      <c r="Y241" s="126" t="s">
        <v>1156</v>
      </c>
      <c r="Z241" s="162" t="s">
        <v>120</v>
      </c>
      <c r="AA241" s="154"/>
      <c r="AB241" s="154"/>
      <c r="AC241" s="167" t="s">
        <v>123</v>
      </c>
      <c r="AD241" s="126" t="s">
        <v>1157</v>
      </c>
      <c r="AE241" s="130" t="s">
        <v>861</v>
      </c>
      <c r="AF241" s="127"/>
      <c r="AG241" s="131"/>
      <c r="AH241" s="131"/>
      <c r="AI241" s="126"/>
      <c r="AJ241" s="130"/>
      <c r="AK241" s="126"/>
      <c r="AL241" s="126"/>
      <c r="AM241" s="130"/>
      <c r="AN241" s="126"/>
      <c r="AO241" s="132"/>
      <c r="AP241" s="126"/>
      <c r="AQ241" s="126"/>
      <c r="AR241" s="130"/>
      <c r="AS241" s="126"/>
      <c r="AT241" s="127"/>
      <c r="AU241" s="127"/>
      <c r="AV241" s="127"/>
      <c r="AW241" s="127"/>
      <c r="AX241" s="127"/>
      <c r="AY241" s="127"/>
      <c r="AZ241" s="133">
        <v>43409</v>
      </c>
      <c r="BA24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41" s="135">
        <f>COUNTIFS(_05preva_view43[Site ID],_05preva_view43[[#This Row],[Site ID]],_05preva_view43[Prevalidation Status],"Under Prevalidation")</f>
        <v>0</v>
      </c>
      <c r="BC241" s="153" t="str">
        <f ca="1">HYPERLINK(CheckPath(_05preva_view43[[#This Row],[File Path]],_05preva_view43[[#This Row],[File Path]],_05preva_view43[[#This Row],[Folder Path3]]),CheckPath(_05preva_view43[[#This Row],[File Path]],"Open File","No File"))</f>
        <v>No File</v>
      </c>
      <c r="BD241" s="136" t="str">
        <f>CONCATENATE(_05preva_view43[[#This Row],[Site ID]]," (",_05preva_view43[[#This Row],[tenant id]],") Application",IF(_05preva_view43[[#This Row],[Colo Rev]]&gt;0," Rev "&amp;_05preva_view43[[#This Row],[Colo Rev]],""),".xlsx")</f>
        <v>1-01-10015-003 (MDY00347) Application Rev 2.xlsx</v>
      </c>
      <c r="BE241" s="64">
        <f t="shared" ca="1" si="5"/>
        <v>50</v>
      </c>
      <c r="BF241" s="104" t="str">
        <f ca="1">LEFT(CELL("filename",A226),_05preva_view43[[#This Row],[Find Process &amp; Database]]-1)</f>
        <v>D:\OneDrive - apollo-towers.com\Apollo Towers\00-</v>
      </c>
      <c r="BG241" s="104" t="str">
        <f ca="1">_05preva_view43[Folder Path1]&amp;"Process &amp; Database\Documentation\Colo Applications"</f>
        <v>D:\OneDrive - apollo-towers.com\Apollo Towers\00-Process &amp; Database\Documentation\Colo Applications</v>
      </c>
      <c r="BH241" s="104" t="str">
        <f ca="1">_05preva_view43[Folder Path2]&amp;"\Colo App "&amp;_05preva_view43[[#This Row],[Operator]]&amp;"\"</f>
        <v>D:\OneDrive - apollo-towers.com\Apollo Towers\00-Process &amp; Database\Documentation\Colo Applications\Colo App MPT\</v>
      </c>
      <c r="BI241" s="63" t="str">
        <f ca="1">_05preva_view43[[#This Row],[Folder Path3]]&amp;_05preva_view43[[#This Row],[File Name]]</f>
        <v>D:\OneDrive - apollo-towers.com\Apollo Towers\00-Process &amp; Database\Documentation\Colo Applications\Colo App MPT\1-01-10015-003 (MDY00347) Application Rev 2.xlsx</v>
      </c>
      <c r="BJ241" s="104"/>
      <c r="BK241" s="3"/>
      <c r="BL241" s="3"/>
      <c r="CJ241" s="5"/>
      <c r="CK241" s="5"/>
      <c r="CL241" s="3"/>
      <c r="CN241" s="5"/>
      <c r="CR241" s="3"/>
      <c r="CS241" s="3"/>
      <c r="CT241" s="5"/>
      <c r="CV241" s="3"/>
      <c r="DR241" s="5"/>
      <c r="DT241" s="3"/>
      <c r="EF241" s="7"/>
      <c r="EG241" s="7"/>
      <c r="EJ241" s="4"/>
      <c r="EK241" s="4"/>
      <c r="EU241" s="2"/>
      <c r="EV241" s="2"/>
    </row>
    <row r="242" spans="1:152">
      <c r="A242" s="125">
        <v>3399</v>
      </c>
      <c r="B242" s="126" t="s">
        <v>1158</v>
      </c>
      <c r="C242" s="126" t="s">
        <v>331</v>
      </c>
      <c r="D242" s="126" t="s">
        <v>127</v>
      </c>
      <c r="E242" s="126" t="s">
        <v>1159</v>
      </c>
      <c r="F242" s="126" t="s">
        <v>35</v>
      </c>
      <c r="G242" s="126" t="s">
        <v>1583</v>
      </c>
      <c r="H242" s="126" t="s">
        <v>1575</v>
      </c>
      <c r="I242" s="126" t="s">
        <v>1053</v>
      </c>
      <c r="J242" s="126" t="s">
        <v>931</v>
      </c>
      <c r="K242" s="127">
        <v>43409</v>
      </c>
      <c r="L242" s="128"/>
      <c r="M242" s="128">
        <v>3.649</v>
      </c>
      <c r="N242" s="126">
        <v>7</v>
      </c>
      <c r="O242" s="126" t="s">
        <v>950</v>
      </c>
      <c r="P242" s="129" t="s">
        <v>958</v>
      </c>
      <c r="Q242" s="129" t="s">
        <v>959</v>
      </c>
      <c r="R242" s="126" t="s">
        <v>24</v>
      </c>
      <c r="S242" s="126"/>
      <c r="T242" s="130" t="s">
        <v>861</v>
      </c>
      <c r="U242" s="126"/>
      <c r="V242" s="130" t="s">
        <v>861</v>
      </c>
      <c r="W242" s="126"/>
      <c r="X242" s="130" t="s">
        <v>120</v>
      </c>
      <c r="Y242" s="126" t="s">
        <v>1160</v>
      </c>
      <c r="Z242" s="162" t="s">
        <v>120</v>
      </c>
      <c r="AA242" s="154"/>
      <c r="AB242" s="154"/>
      <c r="AC242" s="167" t="s">
        <v>123</v>
      </c>
      <c r="AD242" s="126" t="s">
        <v>1161</v>
      </c>
      <c r="AE242" s="130" t="s">
        <v>861</v>
      </c>
      <c r="AF242" s="127"/>
      <c r="AG242" s="131"/>
      <c r="AH242" s="131"/>
      <c r="AI242" s="126"/>
      <c r="AJ242" s="130"/>
      <c r="AK242" s="126"/>
      <c r="AL242" s="126"/>
      <c r="AM242" s="130"/>
      <c r="AN242" s="126"/>
      <c r="AO242" s="132"/>
      <c r="AP242" s="126"/>
      <c r="AQ242" s="126"/>
      <c r="AR242" s="130"/>
      <c r="AS242" s="126"/>
      <c r="AT242" s="127"/>
      <c r="AU242" s="127"/>
      <c r="AV242" s="127"/>
      <c r="AW242" s="127"/>
      <c r="AX242" s="127"/>
      <c r="AY242" s="127"/>
      <c r="AZ242" s="133">
        <v>43409</v>
      </c>
      <c r="BA24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42" s="135">
        <f>COUNTIFS(_05preva_view43[Site ID],_05preva_view43[[#This Row],[Site ID]],_05preva_view43[Prevalidation Status],"Under Prevalidation")</f>
        <v>0</v>
      </c>
      <c r="BC242" s="153" t="str">
        <f ca="1">HYPERLINK(CheckPath(_05preva_view43[[#This Row],[File Path]],_05preva_view43[[#This Row],[File Path]],_05preva_view43[[#This Row],[Folder Path3]]),CheckPath(_05preva_view43[[#This Row],[File Path]],"Open File","No File"))</f>
        <v>No File</v>
      </c>
      <c r="BD242" s="136" t="str">
        <f>CONCATENATE(_05preva_view43[[#This Row],[Site ID]]," (",_05preva_view43[[#This Row],[tenant id]],") Application",IF(_05preva_view43[[#This Row],[Colo Rev]]&gt;0," Rev "&amp;_05preva_view43[[#This Row],[Colo Rev]],""),".xlsx")</f>
        <v>1-01-05027-006 (SGG00225) Application Rev 1.xlsx</v>
      </c>
      <c r="BE242" s="64">
        <f t="shared" ca="1" si="5"/>
        <v>50</v>
      </c>
      <c r="BF242" s="104" t="str">
        <f ca="1">LEFT(CELL("filename",A227),_05preva_view43[[#This Row],[Find Process &amp; Database]]-1)</f>
        <v>D:\OneDrive - apollo-towers.com\Apollo Towers\00-</v>
      </c>
      <c r="BG242" s="104" t="str">
        <f ca="1">_05preva_view43[Folder Path1]&amp;"Process &amp; Database\Documentation\Colo Applications"</f>
        <v>D:\OneDrive - apollo-towers.com\Apollo Towers\00-Process &amp; Database\Documentation\Colo Applications</v>
      </c>
      <c r="BH242" s="104" t="str">
        <f ca="1">_05preva_view43[Folder Path2]&amp;"\Colo App "&amp;_05preva_view43[[#This Row],[Operator]]&amp;"\"</f>
        <v>D:\OneDrive - apollo-towers.com\Apollo Towers\00-Process &amp; Database\Documentation\Colo Applications\Colo App MPT\</v>
      </c>
      <c r="BI242" s="63" t="str">
        <f ca="1">_05preva_view43[[#This Row],[Folder Path3]]&amp;_05preva_view43[[#This Row],[File Name]]</f>
        <v>D:\OneDrive - apollo-towers.com\Apollo Towers\00-Process &amp; Database\Documentation\Colo Applications\Colo App MPT\1-01-05027-006 (SGG00225) Application Rev 1.xlsx</v>
      </c>
      <c r="BJ242" s="104"/>
      <c r="BK242" s="3"/>
      <c r="BL242" s="3"/>
      <c r="CJ242" s="5"/>
      <c r="CK242" s="5"/>
      <c r="CL242" s="3"/>
      <c r="CN242" s="5"/>
      <c r="CR242" s="3"/>
      <c r="CS242" s="3"/>
      <c r="CT242" s="5"/>
      <c r="CV242" s="3"/>
      <c r="DR242" s="5"/>
      <c r="DT242" s="3"/>
      <c r="EF242" s="7"/>
      <c r="EG242" s="7"/>
      <c r="EJ242" s="4"/>
      <c r="EK242" s="4"/>
      <c r="EU242" s="2"/>
      <c r="EV242" s="2"/>
    </row>
    <row r="243" spans="1:152">
      <c r="A243" s="125">
        <v>3400</v>
      </c>
      <c r="B243" s="126" t="s">
        <v>1118</v>
      </c>
      <c r="C243" s="126" t="s">
        <v>331</v>
      </c>
      <c r="D243" s="126" t="s">
        <v>127</v>
      </c>
      <c r="E243" s="126" t="s">
        <v>1119</v>
      </c>
      <c r="F243" s="126" t="s">
        <v>35</v>
      </c>
      <c r="G243" s="126" t="s">
        <v>1583</v>
      </c>
      <c r="H243" s="126" t="s">
        <v>1575</v>
      </c>
      <c r="I243" s="126" t="s">
        <v>1053</v>
      </c>
      <c r="J243" s="126" t="s">
        <v>990</v>
      </c>
      <c r="K243" s="127">
        <v>43409</v>
      </c>
      <c r="L243" s="128"/>
      <c r="M243" s="128">
        <v>3.6110000000000002</v>
      </c>
      <c r="N243" s="126">
        <v>5.5419999999999998</v>
      </c>
      <c r="O243" s="126" t="s">
        <v>950</v>
      </c>
      <c r="P243" s="129" t="s">
        <v>1121</v>
      </c>
      <c r="Q243" s="129" t="s">
        <v>1122</v>
      </c>
      <c r="R243" s="126" t="s">
        <v>24</v>
      </c>
      <c r="S243" s="126"/>
      <c r="T243" s="130" t="s">
        <v>861</v>
      </c>
      <c r="U243" s="126"/>
      <c r="V243" s="130" t="s">
        <v>861</v>
      </c>
      <c r="W243" s="126"/>
      <c r="X243" s="130" t="s">
        <v>120</v>
      </c>
      <c r="Y243" s="126" t="s">
        <v>1162</v>
      </c>
      <c r="Z243" s="162" t="s">
        <v>120</v>
      </c>
      <c r="AA243" s="154"/>
      <c r="AB243" s="154"/>
      <c r="AC243" s="167" t="s">
        <v>123</v>
      </c>
      <c r="AD243" s="126" t="s">
        <v>1163</v>
      </c>
      <c r="AE243" s="130"/>
      <c r="AF243" s="127"/>
      <c r="AG243" s="131"/>
      <c r="AH243" s="131"/>
      <c r="AI243" s="126"/>
      <c r="AJ243" s="130"/>
      <c r="AK243" s="126"/>
      <c r="AL243" s="126"/>
      <c r="AM243" s="130"/>
      <c r="AN243" s="126"/>
      <c r="AO243" s="132"/>
      <c r="AP243" s="126"/>
      <c r="AQ243" s="126"/>
      <c r="AR243" s="130"/>
      <c r="AS243" s="126"/>
      <c r="AT243" s="127"/>
      <c r="AU243" s="127"/>
      <c r="AV243" s="127"/>
      <c r="AW243" s="127"/>
      <c r="AX243" s="127"/>
      <c r="AY243" s="127"/>
      <c r="AZ243" s="133">
        <v>43409</v>
      </c>
      <c r="BA24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43" s="135">
        <f>COUNTIFS(_05preva_view43[Site ID],_05preva_view43[[#This Row],[Site ID]],_05preva_view43[Prevalidation Status],"Under Prevalidation")</f>
        <v>0</v>
      </c>
      <c r="BC243" s="153" t="str">
        <f ca="1">HYPERLINK(CheckPath(_05preva_view43[[#This Row],[File Path]],_05preva_view43[[#This Row],[File Path]],_05preva_view43[[#This Row],[Folder Path3]]),CheckPath(_05preva_view43[[#This Row],[File Path]],"Open File","No File"))</f>
        <v>No File</v>
      </c>
      <c r="BD243" s="136" t="str">
        <f>CONCATENATE(_05preva_view43[[#This Row],[Site ID]]," (",_05preva_view43[[#This Row],[tenant id]],") Application",IF(_05preva_view43[[#This Row],[Colo Rev]]&gt;0," Rev "&amp;_05preva_view43[[#This Row],[Colo Rev]],""),".xlsx")</f>
        <v>1-01-05018-006 (SGG00198) Application Rev 3.xlsx</v>
      </c>
      <c r="BE243" s="64">
        <f t="shared" ca="1" si="5"/>
        <v>50</v>
      </c>
      <c r="BF243" s="104" t="str">
        <f ca="1">LEFT(CELL("filename",A228),_05preva_view43[[#This Row],[Find Process &amp; Database]]-1)</f>
        <v>D:\OneDrive - apollo-towers.com\Apollo Towers\00-</v>
      </c>
      <c r="BG243" s="104" t="str">
        <f ca="1">_05preva_view43[Folder Path1]&amp;"Process &amp; Database\Documentation\Colo Applications"</f>
        <v>D:\OneDrive - apollo-towers.com\Apollo Towers\00-Process &amp; Database\Documentation\Colo Applications</v>
      </c>
      <c r="BH243" s="104" t="str">
        <f ca="1">_05preva_view43[Folder Path2]&amp;"\Colo App "&amp;_05preva_view43[[#This Row],[Operator]]&amp;"\"</f>
        <v>D:\OneDrive - apollo-towers.com\Apollo Towers\00-Process &amp; Database\Documentation\Colo Applications\Colo App MPT\</v>
      </c>
      <c r="BI243" s="63" t="str">
        <f ca="1">_05preva_view43[[#This Row],[Folder Path3]]&amp;_05preva_view43[[#This Row],[File Name]]</f>
        <v>D:\OneDrive - apollo-towers.com\Apollo Towers\00-Process &amp; Database\Documentation\Colo Applications\Colo App MPT\1-01-05018-006 (SGG00198) Application Rev 3.xlsx</v>
      </c>
      <c r="BJ243" s="104"/>
      <c r="BK243" s="3"/>
      <c r="BL243" s="3"/>
      <c r="CJ243" s="5"/>
      <c r="CK243" s="5"/>
      <c r="CL243" s="3"/>
      <c r="CN243" s="5"/>
      <c r="CR243" s="3"/>
      <c r="CS243" s="3"/>
      <c r="CT243" s="5"/>
      <c r="CV243" s="3"/>
      <c r="DR243" s="5"/>
      <c r="DT243" s="3"/>
      <c r="EF243" s="7"/>
      <c r="EG243" s="7"/>
      <c r="EJ243" s="4"/>
      <c r="EK243" s="4"/>
      <c r="EU243" s="2"/>
      <c r="EV243" s="2"/>
    </row>
    <row r="244" spans="1:152">
      <c r="A244" s="125">
        <v>3401</v>
      </c>
      <c r="B244" s="126" t="s">
        <v>1164</v>
      </c>
      <c r="C244" s="126" t="s">
        <v>331</v>
      </c>
      <c r="D244" s="126" t="s">
        <v>127</v>
      </c>
      <c r="E244" s="126" t="s">
        <v>1165</v>
      </c>
      <c r="F244" s="126" t="s">
        <v>35</v>
      </c>
      <c r="G244" s="126" t="s">
        <v>1583</v>
      </c>
      <c r="H244" s="126" t="s">
        <v>1575</v>
      </c>
      <c r="I244" s="126" t="s">
        <v>1053</v>
      </c>
      <c r="J244" s="126" t="s">
        <v>931</v>
      </c>
      <c r="K244" s="127">
        <v>43409</v>
      </c>
      <c r="L244" s="128"/>
      <c r="M244" s="128">
        <v>3.5489999999999999</v>
      </c>
      <c r="N244" s="126">
        <v>7.5</v>
      </c>
      <c r="O244" s="126" t="s">
        <v>950</v>
      </c>
      <c r="P244" s="129" t="s">
        <v>958</v>
      </c>
      <c r="Q244" s="129" t="s">
        <v>959</v>
      </c>
      <c r="R244" s="126" t="s">
        <v>24</v>
      </c>
      <c r="S244" s="126"/>
      <c r="T244" s="130" t="s">
        <v>861</v>
      </c>
      <c r="U244" s="126"/>
      <c r="V244" s="130" t="s">
        <v>861</v>
      </c>
      <c r="W244" s="126"/>
      <c r="X244" s="130" t="s">
        <v>120</v>
      </c>
      <c r="Y244" s="126" t="s">
        <v>1166</v>
      </c>
      <c r="Z244" s="162" t="s">
        <v>120</v>
      </c>
      <c r="AA244" s="154"/>
      <c r="AB244" s="154"/>
      <c r="AC244" s="167" t="s">
        <v>123</v>
      </c>
      <c r="AD244" s="126" t="s">
        <v>1320</v>
      </c>
      <c r="AE244" s="130" t="s">
        <v>120</v>
      </c>
      <c r="AF244" s="127" t="s">
        <v>1167</v>
      </c>
      <c r="AG244" s="131"/>
      <c r="AH244" s="131">
        <v>1.6</v>
      </c>
      <c r="AI244" s="126" t="s">
        <v>1168</v>
      </c>
      <c r="AJ244" s="130" t="s">
        <v>120</v>
      </c>
      <c r="AK244" s="126"/>
      <c r="AL244" s="126"/>
      <c r="AM244" s="130"/>
      <c r="AN244" s="126"/>
      <c r="AO244" s="132"/>
      <c r="AP244" s="126"/>
      <c r="AQ244" s="126"/>
      <c r="AR244" s="130"/>
      <c r="AS244" s="126"/>
      <c r="AT244" s="127">
        <v>43417.622366782402</v>
      </c>
      <c r="AU244" s="127">
        <v>43419.752466435202</v>
      </c>
      <c r="AV244" s="127">
        <v>43444.480745023102</v>
      </c>
      <c r="AW244" s="127">
        <v>43431.631280439797</v>
      </c>
      <c r="AX244" s="127"/>
      <c r="AY244" s="127"/>
      <c r="AZ244" s="133">
        <v>43444.489957175902</v>
      </c>
      <c r="BA244" s="134">
        <f ca="1">IF(_05preva_view43[[#This Row],[Prevalidation Status]]="Under Prevalidation",NOW()-_05preva_view43[[#This Row],[Request Date]],IF(_05preva_view43[[#This Row],[Close Date]]&gt;_05preva_view43[[#This Row],[Request Date]],_05preva_view43[[#This Row],[Close Date]]-_05preva_view43[[#This Row],[Request Date]],"Not  Calculated"))</f>
        <v>35.489957175901509</v>
      </c>
      <c r="BB244" s="135">
        <f>COUNTIFS(_05preva_view43[Site ID],_05preva_view43[[#This Row],[Site ID]],_05preva_view43[Prevalidation Status],"Under Prevalidation")</f>
        <v>0</v>
      </c>
      <c r="BC244" s="153" t="str">
        <f ca="1">HYPERLINK(CheckPath(_05preva_view43[[#This Row],[File Path]],_05preva_view43[[#This Row],[File Path]],_05preva_view43[[#This Row],[Folder Path3]]),CheckPath(_05preva_view43[[#This Row],[File Path]],"Open File","No File"))</f>
        <v>No File</v>
      </c>
      <c r="BD244" s="136" t="str">
        <f>CONCATENATE(_05preva_view43[[#This Row],[Site ID]]," (",_05preva_view43[[#This Row],[tenant id]],") Application",IF(_05preva_view43[[#This Row],[Colo Rev]]&gt;0," Rev "&amp;_05preva_view43[[#This Row],[Colo Rev]],""),".xlsx")</f>
        <v>1-01-05030-010 (SGG00149) Application Rev 1.xlsx</v>
      </c>
      <c r="BE244" s="64">
        <f t="shared" ca="1" si="5"/>
        <v>50</v>
      </c>
      <c r="BF244" s="104" t="str">
        <f ca="1">LEFT(CELL("filename",A229),_05preva_view43[[#This Row],[Find Process &amp; Database]]-1)</f>
        <v>D:\OneDrive - apollo-towers.com\Apollo Towers\00-</v>
      </c>
      <c r="BG244" s="104" t="str">
        <f ca="1">_05preva_view43[Folder Path1]&amp;"Process &amp; Database\Documentation\Colo Applications"</f>
        <v>D:\OneDrive - apollo-towers.com\Apollo Towers\00-Process &amp; Database\Documentation\Colo Applications</v>
      </c>
      <c r="BH244" s="104" t="str">
        <f ca="1">_05preva_view43[Folder Path2]&amp;"\Colo App "&amp;_05preva_view43[[#This Row],[Operator]]&amp;"\"</f>
        <v>D:\OneDrive - apollo-towers.com\Apollo Towers\00-Process &amp; Database\Documentation\Colo Applications\Colo App MPT\</v>
      </c>
      <c r="BI244" s="63" t="str">
        <f ca="1">_05preva_view43[[#This Row],[Folder Path3]]&amp;_05preva_view43[[#This Row],[File Name]]</f>
        <v>D:\OneDrive - apollo-towers.com\Apollo Towers\00-Process &amp; Database\Documentation\Colo Applications\Colo App MPT\1-01-05030-010 (SGG00149) Application Rev 1.xlsx</v>
      </c>
      <c r="BJ244" s="104"/>
      <c r="BK244" s="3"/>
      <c r="BL244" s="3"/>
      <c r="CJ244" s="5"/>
      <c r="CK244" s="5"/>
      <c r="CL244" s="3"/>
      <c r="CN244" s="5"/>
      <c r="CR244" s="3"/>
      <c r="CS244" s="3"/>
      <c r="CT244" s="5"/>
      <c r="CV244" s="3"/>
      <c r="DR244" s="5"/>
      <c r="DT244" s="3"/>
      <c r="EF244" s="7"/>
      <c r="EG244" s="7"/>
      <c r="EJ244" s="4"/>
      <c r="EK244" s="4"/>
      <c r="EU244" s="2"/>
      <c r="EV244" s="2"/>
    </row>
    <row r="245" spans="1:152">
      <c r="A245" s="125">
        <v>3402</v>
      </c>
      <c r="B245" s="126" t="s">
        <v>1169</v>
      </c>
      <c r="C245" s="126" t="s">
        <v>331</v>
      </c>
      <c r="D245" s="126" t="s">
        <v>163</v>
      </c>
      <c r="E245" s="126" t="s">
        <v>1170</v>
      </c>
      <c r="F245" s="126" t="s">
        <v>35</v>
      </c>
      <c r="G245" s="126" t="s">
        <v>1584</v>
      </c>
      <c r="H245" s="126" t="s">
        <v>1580</v>
      </c>
      <c r="I245" s="126" t="s">
        <v>1144</v>
      </c>
      <c r="J245" s="126" t="s">
        <v>940</v>
      </c>
      <c r="K245" s="127">
        <v>43409</v>
      </c>
      <c r="L245" s="128"/>
      <c r="M245" s="128">
        <v>3.3</v>
      </c>
      <c r="N245" s="126">
        <v>4.4400000000000004</v>
      </c>
      <c r="O245" s="126" t="s">
        <v>950</v>
      </c>
      <c r="P245" s="129" t="s">
        <v>958</v>
      </c>
      <c r="Q245" s="129" t="s">
        <v>959</v>
      </c>
      <c r="R245" s="126" t="s">
        <v>24</v>
      </c>
      <c r="S245" s="126"/>
      <c r="T245" s="130" t="s">
        <v>861</v>
      </c>
      <c r="U245" s="126"/>
      <c r="V245" s="130" t="s">
        <v>861</v>
      </c>
      <c r="W245" s="126"/>
      <c r="X245" s="130" t="s">
        <v>120</v>
      </c>
      <c r="Y245" s="126" t="s">
        <v>1171</v>
      </c>
      <c r="Z245" s="162" t="s">
        <v>120</v>
      </c>
      <c r="AA245" s="154"/>
      <c r="AB245" s="154"/>
      <c r="AC245" s="167" t="s">
        <v>123</v>
      </c>
      <c r="AD245" s="126" t="s">
        <v>1172</v>
      </c>
      <c r="AE245" s="130" t="s">
        <v>861</v>
      </c>
      <c r="AF245" s="127"/>
      <c r="AG245" s="131"/>
      <c r="AH245" s="131"/>
      <c r="AI245" s="126"/>
      <c r="AJ245" s="130"/>
      <c r="AK245" s="126"/>
      <c r="AL245" s="126"/>
      <c r="AM245" s="130"/>
      <c r="AN245" s="126"/>
      <c r="AO245" s="132"/>
      <c r="AP245" s="126" t="s">
        <v>120</v>
      </c>
      <c r="AQ245" s="126"/>
      <c r="AR245" s="130"/>
      <c r="AS245" s="126"/>
      <c r="AT245" s="127"/>
      <c r="AU245" s="127"/>
      <c r="AV245" s="127"/>
      <c r="AW245" s="127"/>
      <c r="AX245" s="127"/>
      <c r="AY245" s="127"/>
      <c r="AZ245" s="133">
        <v>43409</v>
      </c>
      <c r="BA24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45" s="135">
        <f>COUNTIFS(_05preva_view43[Site ID],_05preva_view43[[#This Row],[Site ID]],_05preva_view43[Prevalidation Status],"Under Prevalidation")</f>
        <v>0</v>
      </c>
      <c r="BC245" s="153" t="str">
        <f ca="1">HYPERLINK(CheckPath(_05preva_view43[[#This Row],[File Path]],_05preva_view43[[#This Row],[File Path]],_05preva_view43[[#This Row],[Folder Path3]]),CheckPath(_05preva_view43[[#This Row],[File Path]],"Open File","No File"))</f>
        <v>No File</v>
      </c>
      <c r="BD245" s="136" t="str">
        <f>CONCATENATE(_05preva_view43[[#This Row],[Site ID]]," (",_05preva_view43[[#This Row],[tenant id]],") Application",IF(_05preva_view43[[#This Row],[Colo Rev]]&gt;0," Rev "&amp;_05preva_view43[[#This Row],[Colo Rev]],""),".xlsx")</f>
        <v>1-01-17023-009 (AWD01309) Application Rev 0.xlsx</v>
      </c>
      <c r="BE245" s="64">
        <f t="shared" ca="1" si="5"/>
        <v>50</v>
      </c>
      <c r="BF245" s="104" t="str">
        <f ca="1">LEFT(CELL("filename",A230),_05preva_view43[[#This Row],[Find Process &amp; Database]]-1)</f>
        <v>D:\OneDrive - apollo-towers.com\Apollo Towers\00-</v>
      </c>
      <c r="BG245" s="104" t="str">
        <f ca="1">_05preva_view43[Folder Path1]&amp;"Process &amp; Database\Documentation\Colo Applications"</f>
        <v>D:\OneDrive - apollo-towers.com\Apollo Towers\00-Process &amp; Database\Documentation\Colo Applications</v>
      </c>
      <c r="BH245" s="104" t="str">
        <f ca="1">_05preva_view43[Folder Path2]&amp;"\Colo App "&amp;_05preva_view43[[#This Row],[Operator]]&amp;"\"</f>
        <v>D:\OneDrive - apollo-towers.com\Apollo Towers\00-Process &amp; Database\Documentation\Colo Applications\Colo App MPT\</v>
      </c>
      <c r="BI245" s="63" t="str">
        <f ca="1">_05preva_view43[[#This Row],[Folder Path3]]&amp;_05preva_view43[[#This Row],[File Name]]</f>
        <v>D:\OneDrive - apollo-towers.com\Apollo Towers\00-Process &amp; Database\Documentation\Colo Applications\Colo App MPT\1-01-17023-009 (AWD01309) Application Rev 0.xlsx</v>
      </c>
      <c r="BJ245" s="104"/>
      <c r="BK245" s="3"/>
      <c r="BL245" s="3"/>
      <c r="CJ245" s="5"/>
      <c r="CK245" s="5"/>
      <c r="CL245" s="3"/>
      <c r="CN245" s="5"/>
      <c r="CR245" s="3"/>
      <c r="CS245" s="3"/>
      <c r="CT245" s="5"/>
      <c r="CV245" s="3"/>
      <c r="DR245" s="5"/>
      <c r="DT245" s="3"/>
      <c r="EF245" s="7"/>
      <c r="EG245" s="7"/>
      <c r="EJ245" s="4"/>
      <c r="EK245" s="4"/>
      <c r="EU245" s="2"/>
      <c r="EV245" s="2"/>
    </row>
    <row r="246" spans="1:152">
      <c r="A246" s="125">
        <v>3392</v>
      </c>
      <c r="B246" s="126" t="s">
        <v>1136</v>
      </c>
      <c r="C246" s="126" t="s">
        <v>331</v>
      </c>
      <c r="D246" s="126" t="s">
        <v>117</v>
      </c>
      <c r="E246" s="126" t="s">
        <v>1137</v>
      </c>
      <c r="F246" s="126" t="s">
        <v>35</v>
      </c>
      <c r="G246" s="126" t="s">
        <v>1583</v>
      </c>
      <c r="H246" s="126" t="s">
        <v>1575</v>
      </c>
      <c r="I246" s="126" t="s">
        <v>1138</v>
      </c>
      <c r="J246" s="126" t="s">
        <v>990</v>
      </c>
      <c r="K246" s="127">
        <v>43405</v>
      </c>
      <c r="L246" s="128"/>
      <c r="M246" s="128">
        <v>2.1</v>
      </c>
      <c r="N246" s="126">
        <v>2.1989999999999998</v>
      </c>
      <c r="O246" s="126" t="s">
        <v>950</v>
      </c>
      <c r="P246" s="129" t="s">
        <v>958</v>
      </c>
      <c r="Q246" s="129" t="s">
        <v>959</v>
      </c>
      <c r="R246" s="126" t="s">
        <v>24</v>
      </c>
      <c r="S246" s="126"/>
      <c r="T246" s="130" t="s">
        <v>861</v>
      </c>
      <c r="U246" s="126"/>
      <c r="V246" s="130" t="s">
        <v>861</v>
      </c>
      <c r="W246" s="126"/>
      <c r="X246" s="130" t="s">
        <v>120</v>
      </c>
      <c r="Y246" s="126" t="s">
        <v>1139</v>
      </c>
      <c r="Z246" s="162" t="s">
        <v>120</v>
      </c>
      <c r="AA246" s="154"/>
      <c r="AB246" s="154"/>
      <c r="AC246" s="167" t="s">
        <v>123</v>
      </c>
      <c r="AD246" s="126" t="s">
        <v>1140</v>
      </c>
      <c r="AE246" s="130" t="s">
        <v>125</v>
      </c>
      <c r="AF246" s="127"/>
      <c r="AG246" s="131"/>
      <c r="AH246" s="131"/>
      <c r="AI246" s="126" t="s">
        <v>1098</v>
      </c>
      <c r="AJ246" s="130"/>
      <c r="AK246" s="126"/>
      <c r="AL246" s="126"/>
      <c r="AM246" s="130"/>
      <c r="AN246" s="126"/>
      <c r="AO246" s="132"/>
      <c r="AP246" s="126"/>
      <c r="AQ246" s="126"/>
      <c r="AR246" s="130"/>
      <c r="AS246" s="126"/>
      <c r="AT246" s="127"/>
      <c r="AU246" s="127"/>
      <c r="AV246" s="127"/>
      <c r="AW246" s="127"/>
      <c r="AX246" s="127"/>
      <c r="AY246" s="127"/>
      <c r="AZ246" s="133">
        <v>43405</v>
      </c>
      <c r="BA24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46" s="135">
        <f>COUNTIFS(_05preva_view43[Site ID],_05preva_view43[[#This Row],[Site ID]],_05preva_view43[Prevalidation Status],"Under Prevalidation")</f>
        <v>0</v>
      </c>
      <c r="BC246" s="153" t="str">
        <f ca="1">HYPERLINK(CheckPath(_05preva_view43[[#This Row],[File Path]],_05preva_view43[[#This Row],[File Path]],_05preva_view43[[#This Row],[Folder Path3]]),CheckPath(_05preva_view43[[#This Row],[File Path]],"Open File","No File"))</f>
        <v>No File</v>
      </c>
      <c r="BD246" s="136" t="str">
        <f>CONCATENATE(_05preva_view43[[#This Row],[Site ID]]," (",_05preva_view43[[#This Row],[tenant id]],") Application",IF(_05preva_view43[[#This Row],[Colo Rev]]&gt;0," Rev "&amp;_05preva_view43[[#This Row],[Colo Rev]],""),".xlsx")</f>
        <v>1-01-14001-026 (SHS00070) Application Rev 3.xlsx</v>
      </c>
      <c r="BE246" s="64">
        <f t="shared" ca="1" si="5"/>
        <v>50</v>
      </c>
      <c r="BF246" s="104" t="str">
        <f ca="1">LEFT(CELL("filename",A231),_05preva_view43[[#This Row],[Find Process &amp; Database]]-1)</f>
        <v>D:\OneDrive - apollo-towers.com\Apollo Towers\00-</v>
      </c>
      <c r="BG246" s="104" t="str">
        <f ca="1">_05preva_view43[Folder Path1]&amp;"Process &amp; Database\Documentation\Colo Applications"</f>
        <v>D:\OneDrive - apollo-towers.com\Apollo Towers\00-Process &amp; Database\Documentation\Colo Applications</v>
      </c>
      <c r="BH246" s="104" t="str">
        <f ca="1">_05preva_view43[Folder Path2]&amp;"\Colo App "&amp;_05preva_view43[[#This Row],[Operator]]&amp;"\"</f>
        <v>D:\OneDrive - apollo-towers.com\Apollo Towers\00-Process &amp; Database\Documentation\Colo Applications\Colo App MPT\</v>
      </c>
      <c r="BI246" s="63" t="str">
        <f ca="1">_05preva_view43[[#This Row],[Folder Path3]]&amp;_05preva_view43[[#This Row],[File Name]]</f>
        <v>D:\OneDrive - apollo-towers.com\Apollo Towers\00-Process &amp; Database\Documentation\Colo Applications\Colo App MPT\1-01-14001-026 (SHS00070) Application Rev 3.xlsx</v>
      </c>
      <c r="BJ246" s="104"/>
      <c r="BK246" s="3"/>
      <c r="BL246" s="3"/>
      <c r="CJ246" s="5"/>
      <c r="CK246" s="5"/>
      <c r="CL246" s="3"/>
      <c r="CN246" s="5"/>
      <c r="CR246" s="3"/>
      <c r="CS246" s="3"/>
      <c r="CT246" s="5"/>
      <c r="CV246" s="3"/>
      <c r="DR246" s="5"/>
      <c r="DT246" s="3"/>
      <c r="EF246" s="7"/>
      <c r="EG246" s="7"/>
      <c r="EJ246" s="4"/>
      <c r="EK246" s="4"/>
      <c r="EU246" s="2"/>
      <c r="EV246" s="2"/>
    </row>
    <row r="247" spans="1:152">
      <c r="A247" s="125">
        <v>3390</v>
      </c>
      <c r="B247" s="126" t="s">
        <v>1125</v>
      </c>
      <c r="C247" s="126" t="s">
        <v>331</v>
      </c>
      <c r="D247" s="126" t="s">
        <v>117</v>
      </c>
      <c r="E247" s="126" t="s">
        <v>1126</v>
      </c>
      <c r="F247" s="126" t="s">
        <v>35</v>
      </c>
      <c r="G247" s="126" t="s">
        <v>1583</v>
      </c>
      <c r="H247" s="126" t="s">
        <v>1575</v>
      </c>
      <c r="I247" s="126" t="s">
        <v>1127</v>
      </c>
      <c r="J247" s="126" t="s">
        <v>957</v>
      </c>
      <c r="K247" s="127">
        <v>43404</v>
      </c>
      <c r="L247" s="128"/>
      <c r="M247" s="128">
        <v>2.1</v>
      </c>
      <c r="N247" s="126">
        <v>2.66</v>
      </c>
      <c r="O247" s="126" t="s">
        <v>950</v>
      </c>
      <c r="P247" s="129" t="s">
        <v>958</v>
      </c>
      <c r="Q247" s="129" t="s">
        <v>959</v>
      </c>
      <c r="R247" s="126" t="s">
        <v>24</v>
      </c>
      <c r="S247" s="126"/>
      <c r="T247" s="130" t="s">
        <v>861</v>
      </c>
      <c r="U247" s="126"/>
      <c r="V247" s="130" t="s">
        <v>861</v>
      </c>
      <c r="W247" s="126"/>
      <c r="X247" s="130" t="s">
        <v>120</v>
      </c>
      <c r="Y247" s="126" t="s">
        <v>1128</v>
      </c>
      <c r="Z247" s="162" t="s">
        <v>120</v>
      </c>
      <c r="AA247" s="154"/>
      <c r="AB247" s="154"/>
      <c r="AC247" s="167" t="s">
        <v>123</v>
      </c>
      <c r="AD247" s="126" t="s">
        <v>1129</v>
      </c>
      <c r="AE247" s="130" t="s">
        <v>125</v>
      </c>
      <c r="AF247" s="127"/>
      <c r="AG247" s="131"/>
      <c r="AH247" s="131"/>
      <c r="AI247" s="126" t="s">
        <v>1098</v>
      </c>
      <c r="AJ247" s="130" t="s">
        <v>861</v>
      </c>
      <c r="AK247" s="126"/>
      <c r="AL247" s="126"/>
      <c r="AM247" s="130"/>
      <c r="AN247" s="126"/>
      <c r="AO247" s="132"/>
      <c r="AP247" s="126"/>
      <c r="AQ247" s="126"/>
      <c r="AR247" s="130"/>
      <c r="AS247" s="126"/>
      <c r="AT247" s="127"/>
      <c r="AU247" s="127"/>
      <c r="AV247" s="127"/>
      <c r="AW247" s="127"/>
      <c r="AX247" s="127"/>
      <c r="AY247" s="127"/>
      <c r="AZ247" s="133">
        <v>43404</v>
      </c>
      <c r="BA24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47" s="135">
        <f>COUNTIFS(_05preva_view43[Site ID],_05preva_view43[[#This Row],[Site ID]],_05preva_view43[Prevalidation Status],"Under Prevalidation")</f>
        <v>0</v>
      </c>
      <c r="BC247" s="153" t="str">
        <f ca="1">HYPERLINK(CheckPath(_05preva_view43[[#This Row],[File Path]],_05preva_view43[[#This Row],[File Path]],_05preva_view43[[#This Row],[Folder Path3]]),CheckPath(_05preva_view43[[#This Row],[File Path]],"Open File","No File"))</f>
        <v>No File</v>
      </c>
      <c r="BD247" s="136" t="str">
        <f>CONCATENATE(_05preva_view43[[#This Row],[Site ID]]," (",_05preva_view43[[#This Row],[tenant id]],") Application",IF(_05preva_view43[[#This Row],[Colo Rev]]&gt;0," Rev "&amp;_05preva_view43[[#This Row],[Colo Rev]],""),".xlsx")</f>
        <v>1-01-14007-007 (SHS00221) Application Rev 4.xlsx</v>
      </c>
      <c r="BE247" s="64">
        <f t="shared" ca="1" si="5"/>
        <v>50</v>
      </c>
      <c r="BF247" s="104" t="str">
        <f ca="1">LEFT(CELL("filename",A232),_05preva_view43[[#This Row],[Find Process &amp; Database]]-1)</f>
        <v>D:\OneDrive - apollo-towers.com\Apollo Towers\00-</v>
      </c>
      <c r="BG247" s="104" t="str">
        <f ca="1">_05preva_view43[Folder Path1]&amp;"Process &amp; Database\Documentation\Colo Applications"</f>
        <v>D:\OneDrive - apollo-towers.com\Apollo Towers\00-Process &amp; Database\Documentation\Colo Applications</v>
      </c>
      <c r="BH247" s="104" t="str">
        <f ca="1">_05preva_view43[Folder Path2]&amp;"\Colo App "&amp;_05preva_view43[[#This Row],[Operator]]&amp;"\"</f>
        <v>D:\OneDrive - apollo-towers.com\Apollo Towers\00-Process &amp; Database\Documentation\Colo Applications\Colo App MPT\</v>
      </c>
      <c r="BI247" s="63" t="str">
        <f ca="1">_05preva_view43[[#This Row],[Folder Path3]]&amp;_05preva_view43[[#This Row],[File Name]]</f>
        <v>D:\OneDrive - apollo-towers.com\Apollo Towers\00-Process &amp; Database\Documentation\Colo Applications\Colo App MPT\1-01-14007-007 (SHS00221) Application Rev 4.xlsx</v>
      </c>
      <c r="BJ247" s="104"/>
      <c r="BK247" s="3"/>
      <c r="BL247" s="3"/>
      <c r="CJ247" s="5"/>
      <c r="CK247" s="5"/>
      <c r="CL247" s="3"/>
      <c r="CN247" s="5"/>
      <c r="CR247" s="3"/>
      <c r="CS247" s="3"/>
      <c r="CT247" s="5"/>
      <c r="CV247" s="3"/>
      <c r="DR247" s="5"/>
      <c r="DT247" s="3"/>
      <c r="EF247" s="7"/>
      <c r="EG247" s="7"/>
      <c r="EJ247" s="4"/>
      <c r="EK247" s="4"/>
      <c r="EU247" s="2"/>
      <c r="EV247" s="2"/>
    </row>
    <row r="248" spans="1:152">
      <c r="A248" s="125">
        <v>3391</v>
      </c>
      <c r="B248" s="126" t="s">
        <v>1130</v>
      </c>
      <c r="C248" s="126" t="s">
        <v>116</v>
      </c>
      <c r="D248" s="126" t="s">
        <v>163</v>
      </c>
      <c r="E248" s="126" t="s">
        <v>1131</v>
      </c>
      <c r="F248" s="126" t="s">
        <v>35</v>
      </c>
      <c r="G248" s="126" t="s">
        <v>1577</v>
      </c>
      <c r="H248" s="126" t="s">
        <v>1575</v>
      </c>
      <c r="I248" s="126" t="s">
        <v>1120</v>
      </c>
      <c r="J248" s="126" t="s">
        <v>931</v>
      </c>
      <c r="K248" s="127">
        <v>43404</v>
      </c>
      <c r="L248" s="128"/>
      <c r="M248" s="128">
        <v>1.8</v>
      </c>
      <c r="N248" s="126">
        <v>3.66</v>
      </c>
      <c r="O248" s="126" t="s">
        <v>119</v>
      </c>
      <c r="P248" s="129" t="s">
        <v>1132</v>
      </c>
      <c r="Q248" s="129" t="s">
        <v>1133</v>
      </c>
      <c r="R248" s="126" t="s">
        <v>24</v>
      </c>
      <c r="S248" s="126"/>
      <c r="T248" s="130" t="s">
        <v>861</v>
      </c>
      <c r="U248" s="126"/>
      <c r="V248" s="130" t="s">
        <v>861</v>
      </c>
      <c r="W248" s="126"/>
      <c r="X248" s="130" t="s">
        <v>120</v>
      </c>
      <c r="Y248" s="126" t="s">
        <v>1134</v>
      </c>
      <c r="Z248" s="162" t="s">
        <v>120</v>
      </c>
      <c r="AA248" s="154"/>
      <c r="AB248" s="154"/>
      <c r="AC248" s="167" t="s">
        <v>240</v>
      </c>
      <c r="AD248" s="126" t="s">
        <v>1318</v>
      </c>
      <c r="AE248" s="130" t="s">
        <v>120</v>
      </c>
      <c r="AF248" s="127" t="s">
        <v>895</v>
      </c>
      <c r="AG248" s="131"/>
      <c r="AH248" s="131"/>
      <c r="AI248" s="126" t="s">
        <v>1135</v>
      </c>
      <c r="AJ248" s="130" t="s">
        <v>120</v>
      </c>
      <c r="AK248" s="126"/>
      <c r="AL248" s="126"/>
      <c r="AM248" s="130"/>
      <c r="AN248" s="126"/>
      <c r="AO248" s="132"/>
      <c r="AP248" s="126"/>
      <c r="AQ248" s="126"/>
      <c r="AR248" s="130"/>
      <c r="AS248" s="126"/>
      <c r="AT248" s="127">
        <v>43417.622365740703</v>
      </c>
      <c r="AU248" s="127">
        <v>43417.673062731497</v>
      </c>
      <c r="AV248" s="127">
        <v>43434.411177314803</v>
      </c>
      <c r="AW248" s="127">
        <v>43431.631279050896</v>
      </c>
      <c r="AX248" s="127"/>
      <c r="AY248" s="127"/>
      <c r="AZ248" s="133">
        <v>43434.411177314803</v>
      </c>
      <c r="BA248" s="134">
        <f ca="1">IF(_05preva_view43[[#This Row],[Prevalidation Status]]="Under Prevalidation",NOW()-_05preva_view43[[#This Row],[Request Date]],IF(_05preva_view43[[#This Row],[Close Date]]&gt;_05preva_view43[[#This Row],[Request Date]],_05preva_view43[[#This Row],[Close Date]]-_05preva_view43[[#This Row],[Request Date]],"Not  Calculated"))</f>
        <v>30.411177314803354</v>
      </c>
      <c r="BB248" s="135">
        <f>COUNTIFS(_05preva_view43[Site ID],_05preva_view43[[#This Row],[Site ID]],_05preva_view43[Prevalidation Status],"Under Prevalidation")</f>
        <v>0</v>
      </c>
      <c r="BC248" s="153" t="str">
        <f ca="1">HYPERLINK(CheckPath(_05preva_view43[[#This Row],[File Path]],_05preva_view43[[#This Row],[File Path]],_05preva_view43[[#This Row],[Folder Path3]]),CheckPath(_05preva_view43[[#This Row],[File Path]],"Open File","No File"))</f>
        <v>No File</v>
      </c>
      <c r="BD248" s="136" t="str">
        <f>CONCATENATE(_05preva_view43[[#This Row],[Site ID]]," (",_05preva_view43[[#This Row],[tenant id]],") Application",IF(_05preva_view43[[#This Row],[Colo Rev]]&gt;0," Rev "&amp;_05preva_view43[[#This Row],[Colo Rev]],""),".xlsx")</f>
        <v>AYYN_0086 (YGN00788) Application Rev 1.xlsx</v>
      </c>
      <c r="BE248" s="64">
        <f t="shared" ca="1" si="5"/>
        <v>50</v>
      </c>
      <c r="BF248" s="104" t="str">
        <f ca="1">LEFT(CELL("filename",A233),_05preva_view43[[#This Row],[Find Process &amp; Database]]-1)</f>
        <v>D:\OneDrive - apollo-towers.com\Apollo Towers\00-</v>
      </c>
      <c r="BG248" s="104" t="str">
        <f ca="1">_05preva_view43[Folder Path1]&amp;"Process &amp; Database\Documentation\Colo Applications"</f>
        <v>D:\OneDrive - apollo-towers.com\Apollo Towers\00-Process &amp; Database\Documentation\Colo Applications</v>
      </c>
      <c r="BH248" s="104" t="str">
        <f ca="1">_05preva_view43[Folder Path2]&amp;"\Colo App "&amp;_05preva_view43[[#This Row],[Operator]]&amp;"\"</f>
        <v>D:\OneDrive - apollo-towers.com\Apollo Towers\00-Process &amp; Database\Documentation\Colo Applications\Colo App MPT\</v>
      </c>
      <c r="BI248" s="63" t="str">
        <f ca="1">_05preva_view43[[#This Row],[Folder Path3]]&amp;_05preva_view43[[#This Row],[File Name]]</f>
        <v>D:\OneDrive - apollo-towers.com\Apollo Towers\00-Process &amp; Database\Documentation\Colo Applications\Colo App MPT\AYYN_0086 (YGN00788) Application Rev 1.xlsx</v>
      </c>
      <c r="BJ248" s="104"/>
      <c r="BK248" s="3"/>
      <c r="BL248" s="3"/>
      <c r="CJ248" s="5"/>
      <c r="CK248" s="5"/>
      <c r="CL248" s="3"/>
      <c r="CN248" s="5"/>
      <c r="CR248" s="3"/>
      <c r="CS248" s="3"/>
      <c r="CT248" s="5"/>
      <c r="CV248" s="3"/>
      <c r="DR248" s="5"/>
      <c r="DT248" s="3"/>
      <c r="EF248" s="7"/>
      <c r="EG248" s="7"/>
      <c r="EJ248" s="4"/>
      <c r="EK248" s="4"/>
      <c r="EU248" s="2"/>
      <c r="EV248" s="2"/>
    </row>
    <row r="249" spans="1:152">
      <c r="A249" s="125">
        <v>3382</v>
      </c>
      <c r="B249" s="126" t="s">
        <v>1089</v>
      </c>
      <c r="C249" s="126" t="s">
        <v>116</v>
      </c>
      <c r="D249" s="126" t="s">
        <v>127</v>
      </c>
      <c r="E249" s="126" t="s">
        <v>1090</v>
      </c>
      <c r="F249" s="126" t="s">
        <v>35</v>
      </c>
      <c r="G249" s="126" t="s">
        <v>1577</v>
      </c>
      <c r="H249" s="126" t="s">
        <v>1575</v>
      </c>
      <c r="I249" s="126" t="s">
        <v>1077</v>
      </c>
      <c r="J249" s="126" t="s">
        <v>1091</v>
      </c>
      <c r="K249" s="127">
        <v>43403</v>
      </c>
      <c r="L249" s="128"/>
      <c r="M249" s="128">
        <v>1.8580000000000001</v>
      </c>
      <c r="N249" s="126">
        <v>6.774</v>
      </c>
      <c r="O249" s="126" t="s">
        <v>119</v>
      </c>
      <c r="P249" s="129" t="s">
        <v>916</v>
      </c>
      <c r="Q249" s="129" t="s">
        <v>932</v>
      </c>
      <c r="R249" s="126" t="s">
        <v>24</v>
      </c>
      <c r="S249" s="126"/>
      <c r="T249" s="130" t="s">
        <v>861</v>
      </c>
      <c r="U249" s="126"/>
      <c r="V249" s="130" t="s">
        <v>861</v>
      </c>
      <c r="W249" s="126"/>
      <c r="X249" s="130" t="s">
        <v>120</v>
      </c>
      <c r="Y249" s="126" t="s">
        <v>1092</v>
      </c>
      <c r="Z249" s="162" t="s">
        <v>120</v>
      </c>
      <c r="AA249" s="154"/>
      <c r="AB249" s="154"/>
      <c r="AC249" s="167" t="s">
        <v>123</v>
      </c>
      <c r="AD249" s="126" t="s">
        <v>1093</v>
      </c>
      <c r="AE249" s="130" t="s">
        <v>125</v>
      </c>
      <c r="AF249" s="127"/>
      <c r="AG249" s="131"/>
      <c r="AH249" s="131">
        <v>1</v>
      </c>
      <c r="AI249" s="126" t="s">
        <v>1094</v>
      </c>
      <c r="AJ249" s="130"/>
      <c r="AK249" s="126"/>
      <c r="AL249" s="126"/>
      <c r="AM249" s="130"/>
      <c r="AN249" s="126"/>
      <c r="AO249" s="132"/>
      <c r="AP249" s="126"/>
      <c r="AQ249" s="126"/>
      <c r="AR249" s="130"/>
      <c r="AS249" s="126"/>
      <c r="AT249" s="127"/>
      <c r="AU249" s="127"/>
      <c r="AV249" s="127"/>
      <c r="AW249" s="127"/>
      <c r="AX249" s="127"/>
      <c r="AY249" s="127"/>
      <c r="AZ249" s="133">
        <v>43403</v>
      </c>
      <c r="BA24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49" s="135">
        <f>COUNTIFS(_05preva_view43[Site ID],_05preva_view43[[#This Row],[Site ID]],_05preva_view43[Prevalidation Status],"Under Prevalidation")</f>
        <v>0</v>
      </c>
      <c r="BC249" s="153" t="str">
        <f ca="1">HYPERLINK(CheckPath(_05preva_view43[[#This Row],[File Path]],_05preva_view43[[#This Row],[File Path]],_05preva_view43[[#This Row],[Folder Path3]]),CheckPath(_05preva_view43[[#This Row],[File Path]],"Open File","No File"))</f>
        <v>No File</v>
      </c>
      <c r="BD249" s="136" t="str">
        <f>CONCATENATE(_05preva_view43[[#This Row],[Site ID]]," (",_05preva_view43[[#This Row],[tenant id]],") Application",IF(_05preva_view43[[#This Row],[Colo Rev]]&gt;0," Rev "&amp;_05preva_view43[[#This Row],[Colo Rev]],""),".xlsx")</f>
        <v>ANSG_0454 (SGG00785) Application Rev .xlsx</v>
      </c>
      <c r="BE249" s="64">
        <f t="shared" ca="1" si="5"/>
        <v>50</v>
      </c>
      <c r="BF249" s="104" t="str">
        <f ca="1">LEFT(CELL("filename",A234),_05preva_view43[[#This Row],[Find Process &amp; Database]]-1)</f>
        <v>D:\OneDrive - apollo-towers.com\Apollo Towers\00-</v>
      </c>
      <c r="BG249" s="104" t="str">
        <f ca="1">_05preva_view43[Folder Path1]&amp;"Process &amp; Database\Documentation\Colo Applications"</f>
        <v>D:\OneDrive - apollo-towers.com\Apollo Towers\00-Process &amp; Database\Documentation\Colo Applications</v>
      </c>
      <c r="BH249" s="104" t="str">
        <f ca="1">_05preva_view43[Folder Path2]&amp;"\Colo App "&amp;_05preva_view43[[#This Row],[Operator]]&amp;"\"</f>
        <v>D:\OneDrive - apollo-towers.com\Apollo Towers\00-Process &amp; Database\Documentation\Colo Applications\Colo App MPT\</v>
      </c>
      <c r="BI249" s="63" t="str">
        <f ca="1">_05preva_view43[[#This Row],[Folder Path3]]&amp;_05preva_view43[[#This Row],[File Name]]</f>
        <v>D:\OneDrive - apollo-towers.com\Apollo Towers\00-Process &amp; Database\Documentation\Colo Applications\Colo App MPT\ANSG_0454 (SGG00785) Application Rev .xlsx</v>
      </c>
      <c r="BJ249" s="104"/>
      <c r="BK249" s="3"/>
      <c r="BL249" s="3"/>
      <c r="CJ249" s="5"/>
      <c r="CK249" s="5"/>
      <c r="CL249" s="3"/>
      <c r="CN249" s="5"/>
      <c r="CR249" s="3"/>
      <c r="CS249" s="3"/>
      <c r="CT249" s="5"/>
      <c r="CV249" s="3"/>
      <c r="DR249" s="5"/>
      <c r="DT249" s="3"/>
      <c r="EF249" s="7"/>
      <c r="EG249" s="7"/>
      <c r="EJ249" s="4"/>
      <c r="EK249" s="4"/>
      <c r="EU249" s="2"/>
      <c r="EV249" s="2"/>
    </row>
    <row r="250" spans="1:152">
      <c r="A250" s="125">
        <v>3383</v>
      </c>
      <c r="B250" s="126" t="s">
        <v>1095</v>
      </c>
      <c r="C250" s="126" t="s">
        <v>331</v>
      </c>
      <c r="D250" s="126" t="s">
        <v>163</v>
      </c>
      <c r="E250" s="126" t="s">
        <v>1096</v>
      </c>
      <c r="F250" s="126" t="s">
        <v>35</v>
      </c>
      <c r="G250" s="126" t="s">
        <v>1583</v>
      </c>
      <c r="H250" s="126" t="s">
        <v>1580</v>
      </c>
      <c r="I250" s="126" t="s">
        <v>1077</v>
      </c>
      <c r="J250" s="126" t="s">
        <v>949</v>
      </c>
      <c r="K250" s="127">
        <v>43403</v>
      </c>
      <c r="L250" s="128"/>
      <c r="M250" s="128">
        <v>2.1</v>
      </c>
      <c r="N250" s="126">
        <v>2.08</v>
      </c>
      <c r="O250" s="126" t="s">
        <v>950</v>
      </c>
      <c r="P250" s="129" t="s">
        <v>968</v>
      </c>
      <c r="Q250" s="129" t="s">
        <v>969</v>
      </c>
      <c r="R250" s="126" t="s">
        <v>24</v>
      </c>
      <c r="S250" s="126"/>
      <c r="T250" s="130" t="s">
        <v>861</v>
      </c>
      <c r="U250" s="126"/>
      <c r="V250" s="130" t="s">
        <v>861</v>
      </c>
      <c r="W250" s="126"/>
      <c r="X250" s="130" t="s">
        <v>120</v>
      </c>
      <c r="Y250" s="126" t="s">
        <v>1097</v>
      </c>
      <c r="Z250" s="162" t="s">
        <v>861</v>
      </c>
      <c r="AA250" s="154"/>
      <c r="AB250" s="154"/>
      <c r="AC250" s="167"/>
      <c r="AD250" s="126"/>
      <c r="AE250" s="130" t="s">
        <v>125</v>
      </c>
      <c r="AF250" s="127"/>
      <c r="AG250" s="131"/>
      <c r="AH250" s="131"/>
      <c r="AI250" s="126" t="s">
        <v>1098</v>
      </c>
      <c r="AJ250" s="130" t="s">
        <v>861</v>
      </c>
      <c r="AK250" s="126"/>
      <c r="AL250" s="126"/>
      <c r="AM250" s="130"/>
      <c r="AN250" s="126"/>
      <c r="AO250" s="132"/>
      <c r="AP250" s="126"/>
      <c r="AQ250" s="126"/>
      <c r="AR250" s="130"/>
      <c r="AS250" s="126"/>
      <c r="AT250" s="127"/>
      <c r="AU250" s="127"/>
      <c r="AV250" s="127"/>
      <c r="AW250" s="127"/>
      <c r="AX250" s="127"/>
      <c r="AY250" s="127"/>
      <c r="AZ250" s="133">
        <v>43403</v>
      </c>
      <c r="BA25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50" s="135">
        <f>COUNTIFS(_05preva_view43[Site ID],_05preva_view43[[#This Row],[Site ID]],_05preva_view43[Prevalidation Status],"Under Prevalidation")</f>
        <v>0</v>
      </c>
      <c r="BC250" s="153" t="str">
        <f ca="1">HYPERLINK(CheckPath(_05preva_view43[[#This Row],[File Path]],_05preva_view43[[#This Row],[File Path]],_05preva_view43[[#This Row],[Folder Path3]]),CheckPath(_05preva_view43[[#This Row],[File Path]],"Open File","No File"))</f>
        <v>No File</v>
      </c>
      <c r="BD250" s="136" t="str">
        <f>CONCATENATE(_05preva_view43[[#This Row],[Site ID]]," (",_05preva_view43[[#This Row],[tenant id]],") Application",IF(_05preva_view43[[#This Row],[Colo Rev]]&gt;0," Rev "&amp;_05preva_view43[[#This Row],[Colo Rev]],""),".xlsx")</f>
        <v>1-01-13004-003 (YGN02146) Application Rev 2.xlsx</v>
      </c>
      <c r="BE250" s="64">
        <f t="shared" ca="1" si="5"/>
        <v>50</v>
      </c>
      <c r="BF250" s="104" t="str">
        <f ca="1">LEFT(CELL("filename",A235),_05preva_view43[[#This Row],[Find Process &amp; Database]]-1)</f>
        <v>D:\OneDrive - apollo-towers.com\Apollo Towers\00-</v>
      </c>
      <c r="BG250" s="104" t="str">
        <f ca="1">_05preva_view43[Folder Path1]&amp;"Process &amp; Database\Documentation\Colo Applications"</f>
        <v>D:\OneDrive - apollo-towers.com\Apollo Towers\00-Process &amp; Database\Documentation\Colo Applications</v>
      </c>
      <c r="BH250" s="104" t="str">
        <f ca="1">_05preva_view43[Folder Path2]&amp;"\Colo App "&amp;_05preva_view43[[#This Row],[Operator]]&amp;"\"</f>
        <v>D:\OneDrive - apollo-towers.com\Apollo Towers\00-Process &amp; Database\Documentation\Colo Applications\Colo App MPT\</v>
      </c>
      <c r="BI250" s="63" t="str">
        <f ca="1">_05preva_view43[[#This Row],[Folder Path3]]&amp;_05preva_view43[[#This Row],[File Name]]</f>
        <v>D:\OneDrive - apollo-towers.com\Apollo Towers\00-Process &amp; Database\Documentation\Colo Applications\Colo App MPT\1-01-13004-003 (YGN02146) Application Rev 2.xlsx</v>
      </c>
      <c r="BJ250" s="104"/>
      <c r="BK250" s="3"/>
      <c r="BL250" s="3"/>
      <c r="CJ250" s="5"/>
      <c r="CK250" s="5"/>
      <c r="CL250" s="3"/>
      <c r="CN250" s="5"/>
      <c r="CR250" s="3"/>
      <c r="CS250" s="3"/>
      <c r="CT250" s="5"/>
      <c r="CV250" s="3"/>
      <c r="DR250" s="5"/>
      <c r="DT250" s="3"/>
      <c r="EF250" s="7"/>
      <c r="EG250" s="7"/>
      <c r="EJ250" s="4"/>
      <c r="EK250" s="4"/>
      <c r="EU250" s="2"/>
      <c r="EV250" s="2"/>
    </row>
    <row r="251" spans="1:152">
      <c r="A251" s="125">
        <v>3384</v>
      </c>
      <c r="B251" s="126" t="s">
        <v>1099</v>
      </c>
      <c r="C251" s="126" t="s">
        <v>116</v>
      </c>
      <c r="D251" s="126" t="s">
        <v>163</v>
      </c>
      <c r="E251" s="126" t="s">
        <v>1100</v>
      </c>
      <c r="F251" s="126" t="s">
        <v>35</v>
      </c>
      <c r="G251" s="126" t="s">
        <v>1577</v>
      </c>
      <c r="H251" s="126" t="s">
        <v>1575</v>
      </c>
      <c r="I251" s="126" t="s">
        <v>1061</v>
      </c>
      <c r="J251" s="126" t="s">
        <v>1091</v>
      </c>
      <c r="K251" s="127">
        <v>43403</v>
      </c>
      <c r="L251" s="128"/>
      <c r="M251" s="128">
        <v>1.8</v>
      </c>
      <c r="N251" s="126">
        <v>4.0350000000000001</v>
      </c>
      <c r="O251" s="126" t="s">
        <v>119</v>
      </c>
      <c r="P251" s="129" t="s">
        <v>276</v>
      </c>
      <c r="Q251" s="129" t="s">
        <v>277</v>
      </c>
      <c r="R251" s="126" t="s">
        <v>24</v>
      </c>
      <c r="S251" s="126"/>
      <c r="T251" s="130" t="s">
        <v>861</v>
      </c>
      <c r="U251" s="126"/>
      <c r="V251" s="130" t="s">
        <v>861</v>
      </c>
      <c r="W251" s="126"/>
      <c r="X251" s="130" t="s">
        <v>120</v>
      </c>
      <c r="Y251" s="126" t="s">
        <v>1101</v>
      </c>
      <c r="Z251" s="162" t="s">
        <v>120</v>
      </c>
      <c r="AA251" s="154"/>
      <c r="AB251" s="154"/>
      <c r="AC251" s="167" t="s">
        <v>123</v>
      </c>
      <c r="AD251" s="126" t="s">
        <v>1102</v>
      </c>
      <c r="AE251" s="130" t="s">
        <v>120</v>
      </c>
      <c r="AF251" s="127"/>
      <c r="AG251" s="131"/>
      <c r="AH251" s="131"/>
      <c r="AI251" s="126" t="s">
        <v>1103</v>
      </c>
      <c r="AJ251" s="130"/>
      <c r="AK251" s="126"/>
      <c r="AL251" s="126"/>
      <c r="AM251" s="130"/>
      <c r="AN251" s="126"/>
      <c r="AO251" s="132"/>
      <c r="AP251" s="126"/>
      <c r="AQ251" s="126"/>
      <c r="AR251" s="130"/>
      <c r="AS251" s="126"/>
      <c r="AT251" s="127"/>
      <c r="AU251" s="127">
        <v>43453.3791269676</v>
      </c>
      <c r="AV251" s="127"/>
      <c r="AW251" s="127"/>
      <c r="AX251" s="127"/>
      <c r="AY251" s="127"/>
      <c r="AZ251" s="133">
        <v>43403</v>
      </c>
      <c r="BA25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51" s="135">
        <f>COUNTIFS(_05preva_view43[Site ID],_05preva_view43[[#This Row],[Site ID]],_05preva_view43[Prevalidation Status],"Under Prevalidation")</f>
        <v>0</v>
      </c>
      <c r="BC251" s="153" t="str">
        <f ca="1">HYPERLINK(CheckPath(_05preva_view43[[#This Row],[File Path]],_05preva_view43[[#This Row],[File Path]],_05preva_view43[[#This Row],[Folder Path3]]),CheckPath(_05preva_view43[[#This Row],[File Path]],"Open File","No File"))</f>
        <v>No File</v>
      </c>
      <c r="BD251" s="136" t="str">
        <f>CONCATENATE(_05preva_view43[[#This Row],[Site ID]]," (",_05preva_view43[[#This Row],[tenant id]],") Application",IF(_05preva_view43[[#This Row],[Colo Rev]]&gt;0," Rev "&amp;_05preva_view43[[#This Row],[Colo Rev]],""),".xlsx")</f>
        <v>ACBA_0053 (YGN00594) Application Rev .xlsx</v>
      </c>
      <c r="BE251" s="64">
        <f t="shared" ca="1" si="5"/>
        <v>50</v>
      </c>
      <c r="BF251" s="104" t="str">
        <f ca="1">LEFT(CELL("filename",A236),_05preva_view43[[#This Row],[Find Process &amp; Database]]-1)</f>
        <v>D:\OneDrive - apollo-towers.com\Apollo Towers\00-</v>
      </c>
      <c r="BG251" s="104" t="str">
        <f ca="1">_05preva_view43[Folder Path1]&amp;"Process &amp; Database\Documentation\Colo Applications"</f>
        <v>D:\OneDrive - apollo-towers.com\Apollo Towers\00-Process &amp; Database\Documentation\Colo Applications</v>
      </c>
      <c r="BH251" s="104" t="str">
        <f ca="1">_05preva_view43[Folder Path2]&amp;"\Colo App "&amp;_05preva_view43[[#This Row],[Operator]]&amp;"\"</f>
        <v>D:\OneDrive - apollo-towers.com\Apollo Towers\00-Process &amp; Database\Documentation\Colo Applications\Colo App MPT\</v>
      </c>
      <c r="BI251" s="63" t="str">
        <f ca="1">_05preva_view43[[#This Row],[Folder Path3]]&amp;_05preva_view43[[#This Row],[File Name]]</f>
        <v>D:\OneDrive - apollo-towers.com\Apollo Towers\00-Process &amp; Database\Documentation\Colo Applications\Colo App MPT\ACBA_0053 (YGN00594) Application Rev .xlsx</v>
      </c>
      <c r="BJ251" s="104"/>
      <c r="BK251" s="3"/>
      <c r="BL251" s="3"/>
      <c r="CJ251" s="5"/>
      <c r="CK251" s="5"/>
      <c r="CL251" s="3"/>
      <c r="CN251" s="5"/>
      <c r="CR251" s="3"/>
      <c r="CS251" s="3"/>
      <c r="CT251" s="5"/>
      <c r="CV251" s="3"/>
      <c r="DR251" s="5"/>
      <c r="DT251" s="3"/>
      <c r="EF251" s="7"/>
      <c r="EG251" s="7"/>
      <c r="EJ251" s="4"/>
      <c r="EK251" s="4"/>
      <c r="EU251" s="2"/>
      <c r="EV251" s="2"/>
    </row>
    <row r="252" spans="1:152">
      <c r="A252" s="125">
        <v>3386</v>
      </c>
      <c r="B252" s="126" t="s">
        <v>1104</v>
      </c>
      <c r="C252" s="126" t="s">
        <v>116</v>
      </c>
      <c r="D252" s="126" t="s">
        <v>127</v>
      </c>
      <c r="E252" s="126" t="s">
        <v>1105</v>
      </c>
      <c r="F252" s="126" t="s">
        <v>35</v>
      </c>
      <c r="G252" s="126" t="s">
        <v>1577</v>
      </c>
      <c r="H252" s="126" t="s">
        <v>1575</v>
      </c>
      <c r="I252" s="126" t="s">
        <v>1053</v>
      </c>
      <c r="J252" s="126" t="s">
        <v>1091</v>
      </c>
      <c r="K252" s="127">
        <v>43403</v>
      </c>
      <c r="L252" s="128"/>
      <c r="M252" s="128">
        <v>3.7669999999999999</v>
      </c>
      <c r="N252" s="126">
        <v>7.3760000000000003</v>
      </c>
      <c r="O252" s="126" t="s">
        <v>119</v>
      </c>
      <c r="P252" s="129" t="s">
        <v>916</v>
      </c>
      <c r="Q252" s="129" t="s">
        <v>932</v>
      </c>
      <c r="R252" s="126" t="s">
        <v>24</v>
      </c>
      <c r="S252" s="126"/>
      <c r="T252" s="130" t="s">
        <v>861</v>
      </c>
      <c r="U252" s="126"/>
      <c r="V252" s="130" t="s">
        <v>125</v>
      </c>
      <c r="W252" s="126" t="s">
        <v>1317</v>
      </c>
      <c r="X252" s="130" t="s">
        <v>120</v>
      </c>
      <c r="Y252" s="126" t="s">
        <v>1106</v>
      </c>
      <c r="Z252" s="162" t="s">
        <v>120</v>
      </c>
      <c r="AA252" s="154"/>
      <c r="AB252" s="154"/>
      <c r="AC252" s="167" t="s">
        <v>123</v>
      </c>
      <c r="AD252" s="126" t="s">
        <v>1107</v>
      </c>
      <c r="AE252" s="130" t="s">
        <v>120</v>
      </c>
      <c r="AF252" s="127" t="s">
        <v>1740</v>
      </c>
      <c r="AG252" s="131"/>
      <c r="AH252" s="131">
        <v>2</v>
      </c>
      <c r="AI252" s="126" t="s">
        <v>1108</v>
      </c>
      <c r="AJ252" s="130" t="s">
        <v>120</v>
      </c>
      <c r="AK252" s="126"/>
      <c r="AL252" s="126"/>
      <c r="AM252" s="130"/>
      <c r="AN252" s="126"/>
      <c r="AO252" s="132"/>
      <c r="AP252" s="126"/>
      <c r="AQ252" s="126"/>
      <c r="AR252" s="130"/>
      <c r="AS252" s="126"/>
      <c r="AT252" s="127">
        <v>43417.622362962997</v>
      </c>
      <c r="AU252" s="127">
        <v>43451.370448148104</v>
      </c>
      <c r="AV252" s="127">
        <v>43417.6800903935</v>
      </c>
      <c r="AW252" s="127">
        <v>43431.631276157401</v>
      </c>
      <c r="AX252" s="127"/>
      <c r="AY252" s="127"/>
      <c r="AZ252" s="133">
        <v>43452.7045149306</v>
      </c>
      <c r="BA252" s="134">
        <f ca="1">IF(_05preva_view43[[#This Row],[Prevalidation Status]]="Under Prevalidation",NOW()-_05preva_view43[[#This Row],[Request Date]],IF(_05preva_view43[[#This Row],[Close Date]]&gt;_05preva_view43[[#This Row],[Request Date]],_05preva_view43[[#This Row],[Close Date]]-_05preva_view43[[#This Row],[Request Date]],"Not  Calculated"))</f>
        <v>49.704514930599544</v>
      </c>
      <c r="BB252" s="135">
        <f>COUNTIFS(_05preva_view43[Site ID],_05preva_view43[[#This Row],[Site ID]],_05preva_view43[Prevalidation Status],"Under Prevalidation")</f>
        <v>0</v>
      </c>
      <c r="BC252" s="153" t="str">
        <f ca="1">HYPERLINK(CheckPath(_05preva_view43[[#This Row],[File Path]],_05preva_view43[[#This Row],[File Path]],_05preva_view43[[#This Row],[Folder Path3]]),CheckPath(_05preva_view43[[#This Row],[File Path]],"Open File","No File"))</f>
        <v>No File</v>
      </c>
      <c r="BD252" s="136" t="str">
        <f>CONCATENATE(_05preva_view43[[#This Row],[Site ID]]," (",_05preva_view43[[#This Row],[tenant id]],") Application",IF(_05preva_view43[[#This Row],[Colo Rev]]&gt;0," Rev "&amp;_05preva_view43[[#This Row],[Colo Rev]],""),".xlsx")</f>
        <v>ANSG_0463 (SGG00730) Application Rev .xlsx</v>
      </c>
      <c r="BE252" s="64">
        <f t="shared" ca="1" si="5"/>
        <v>50</v>
      </c>
      <c r="BF252" s="104" t="str">
        <f ca="1">LEFT(CELL("filename",A237),_05preva_view43[[#This Row],[Find Process &amp; Database]]-1)</f>
        <v>D:\OneDrive - apollo-towers.com\Apollo Towers\00-</v>
      </c>
      <c r="BG252" s="104" t="str">
        <f ca="1">_05preva_view43[Folder Path1]&amp;"Process &amp; Database\Documentation\Colo Applications"</f>
        <v>D:\OneDrive - apollo-towers.com\Apollo Towers\00-Process &amp; Database\Documentation\Colo Applications</v>
      </c>
      <c r="BH252" s="104" t="str">
        <f ca="1">_05preva_view43[Folder Path2]&amp;"\Colo App "&amp;_05preva_view43[[#This Row],[Operator]]&amp;"\"</f>
        <v>D:\OneDrive - apollo-towers.com\Apollo Towers\00-Process &amp; Database\Documentation\Colo Applications\Colo App MPT\</v>
      </c>
      <c r="BI252" s="63" t="str">
        <f ca="1">_05preva_view43[[#This Row],[Folder Path3]]&amp;_05preva_view43[[#This Row],[File Name]]</f>
        <v>D:\OneDrive - apollo-towers.com\Apollo Towers\00-Process &amp; Database\Documentation\Colo Applications\Colo App MPT\ANSG_0463 (SGG00730) Application Rev .xlsx</v>
      </c>
      <c r="BJ252" s="104"/>
      <c r="BK252" s="3"/>
      <c r="BL252" s="3"/>
      <c r="CJ252" s="5"/>
      <c r="CK252" s="5"/>
      <c r="CL252" s="3"/>
      <c r="CN252" s="5"/>
      <c r="CR252" s="3"/>
      <c r="CS252" s="3"/>
      <c r="CT252" s="5"/>
      <c r="CV252" s="3"/>
      <c r="DR252" s="5"/>
      <c r="DT252" s="3"/>
      <c r="EF252" s="7"/>
      <c r="EG252" s="7"/>
      <c r="EJ252" s="4"/>
      <c r="EK252" s="4"/>
      <c r="EU252" s="2"/>
      <c r="EV252" s="2"/>
    </row>
    <row r="253" spans="1:152">
      <c r="A253" s="125">
        <v>3387</v>
      </c>
      <c r="B253" s="126" t="s">
        <v>1109</v>
      </c>
      <c r="C253" s="126" t="s">
        <v>116</v>
      </c>
      <c r="D253" s="126" t="s">
        <v>127</v>
      </c>
      <c r="E253" s="126" t="s">
        <v>1110</v>
      </c>
      <c r="F253" s="126" t="s">
        <v>35</v>
      </c>
      <c r="G253" s="126" t="s">
        <v>1577</v>
      </c>
      <c r="H253" s="126" t="s">
        <v>1575</v>
      </c>
      <c r="I253" s="126" t="s">
        <v>1053</v>
      </c>
      <c r="J253" s="126" t="s">
        <v>1091</v>
      </c>
      <c r="K253" s="127">
        <v>43403</v>
      </c>
      <c r="L253" s="128"/>
      <c r="M253" s="128">
        <v>3.9470000000000001</v>
      </c>
      <c r="N253" s="126">
        <v>8.8360000000000003</v>
      </c>
      <c r="O253" s="126" t="s">
        <v>119</v>
      </c>
      <c r="P253" s="129" t="s">
        <v>916</v>
      </c>
      <c r="Q253" s="129" t="s">
        <v>932</v>
      </c>
      <c r="R253" s="126" t="s">
        <v>24</v>
      </c>
      <c r="S253" s="126"/>
      <c r="T253" s="130" t="s">
        <v>861</v>
      </c>
      <c r="U253" s="126"/>
      <c r="V253" s="130" t="s">
        <v>120</v>
      </c>
      <c r="W253" s="126"/>
      <c r="X253" s="130" t="s">
        <v>120</v>
      </c>
      <c r="Y253" s="126" t="s">
        <v>1111</v>
      </c>
      <c r="Z253" s="162" t="s">
        <v>120</v>
      </c>
      <c r="AA253" s="154"/>
      <c r="AB253" s="154"/>
      <c r="AC253" s="167" t="s">
        <v>123</v>
      </c>
      <c r="AD253" s="126" t="s">
        <v>1112</v>
      </c>
      <c r="AE253" s="130" t="s">
        <v>120</v>
      </c>
      <c r="AF253" s="127" t="s">
        <v>1765</v>
      </c>
      <c r="AG253" s="131"/>
      <c r="AH253" s="131">
        <v>1</v>
      </c>
      <c r="AI253" s="126" t="s">
        <v>1113</v>
      </c>
      <c r="AJ253" s="130" t="s">
        <v>120</v>
      </c>
      <c r="AK253" s="126"/>
      <c r="AL253" s="126"/>
      <c r="AM253" s="130"/>
      <c r="AN253" s="126"/>
      <c r="AO253" s="132"/>
      <c r="AP253" s="126"/>
      <c r="AQ253" s="126"/>
      <c r="AR253" s="130"/>
      <c r="AS253" s="126"/>
      <c r="AT253" s="127">
        <v>43417.622364004601</v>
      </c>
      <c r="AU253" s="127">
        <v>43451.370448958303</v>
      </c>
      <c r="AV253" s="127">
        <v>43417.680090972201</v>
      </c>
      <c r="AW253" s="127">
        <v>43431.631277662003</v>
      </c>
      <c r="AX253" s="127"/>
      <c r="AY253" s="127">
        <v>43417.684614814803</v>
      </c>
      <c r="AZ253" s="133">
        <v>43451.389656018502</v>
      </c>
      <c r="BA253" s="134">
        <f ca="1">IF(_05preva_view43[[#This Row],[Prevalidation Status]]="Under Prevalidation",NOW()-_05preva_view43[[#This Row],[Request Date]],IF(_05preva_view43[[#This Row],[Close Date]]&gt;_05preva_view43[[#This Row],[Request Date]],_05preva_view43[[#This Row],[Close Date]]-_05preva_view43[[#This Row],[Request Date]],"Not  Calculated"))</f>
        <v>48.389656018502137</v>
      </c>
      <c r="BB253" s="135">
        <f>COUNTIFS(_05preva_view43[Site ID],_05preva_view43[[#This Row],[Site ID]],_05preva_view43[Prevalidation Status],"Under Prevalidation")</f>
        <v>0</v>
      </c>
      <c r="BC253" s="153" t="str">
        <f ca="1">HYPERLINK(CheckPath(_05preva_view43[[#This Row],[File Path]],_05preva_view43[[#This Row],[File Path]],_05preva_view43[[#This Row],[Folder Path3]]),CheckPath(_05preva_view43[[#This Row],[File Path]],"Open File","No File"))</f>
        <v>No File</v>
      </c>
      <c r="BD253" s="136" t="str">
        <f>CONCATENATE(_05preva_view43[[#This Row],[Site ID]]," (",_05preva_view43[[#This Row],[tenant id]],") Application",IF(_05preva_view43[[#This Row],[Colo Rev]]&gt;0," Rev "&amp;_05preva_view43[[#This Row],[Colo Rev]],""),".xlsx")</f>
        <v>ANSG_0485 (SGG00698) Application Rev .xlsx</v>
      </c>
      <c r="BE253" s="64">
        <f t="shared" ca="1" si="5"/>
        <v>50</v>
      </c>
      <c r="BF253" s="104" t="str">
        <f ca="1">LEFT(CELL("filename",A238),_05preva_view43[[#This Row],[Find Process &amp; Database]]-1)</f>
        <v>D:\OneDrive - apollo-towers.com\Apollo Towers\00-</v>
      </c>
      <c r="BG253" s="104" t="str">
        <f ca="1">_05preva_view43[Folder Path1]&amp;"Process &amp; Database\Documentation\Colo Applications"</f>
        <v>D:\OneDrive - apollo-towers.com\Apollo Towers\00-Process &amp; Database\Documentation\Colo Applications</v>
      </c>
      <c r="BH253" s="104" t="str">
        <f ca="1">_05preva_view43[Folder Path2]&amp;"\Colo App "&amp;_05preva_view43[[#This Row],[Operator]]&amp;"\"</f>
        <v>D:\OneDrive - apollo-towers.com\Apollo Towers\00-Process &amp; Database\Documentation\Colo Applications\Colo App MPT\</v>
      </c>
      <c r="BI253" s="63" t="str">
        <f ca="1">_05preva_view43[[#This Row],[Folder Path3]]&amp;_05preva_view43[[#This Row],[File Name]]</f>
        <v>D:\OneDrive - apollo-towers.com\Apollo Towers\00-Process &amp; Database\Documentation\Colo Applications\Colo App MPT\ANSG_0485 (SGG00698) Application Rev .xlsx</v>
      </c>
      <c r="BJ253" s="104"/>
      <c r="BK253" s="3"/>
      <c r="BL253" s="3"/>
      <c r="CJ253" s="5"/>
      <c r="CK253" s="5"/>
      <c r="CL253" s="3"/>
      <c r="CN253" s="5"/>
      <c r="CR253" s="3"/>
      <c r="CS253" s="3"/>
      <c r="CT253" s="5"/>
      <c r="CV253" s="3"/>
      <c r="DR253" s="5"/>
      <c r="DT253" s="3"/>
      <c r="EF253" s="7"/>
      <c r="EG253" s="7"/>
      <c r="EJ253" s="4"/>
      <c r="EK253" s="4"/>
      <c r="EU253" s="2"/>
      <c r="EV253" s="2"/>
    </row>
    <row r="254" spans="1:152">
      <c r="A254" s="125">
        <v>3388</v>
      </c>
      <c r="B254" s="126" t="s">
        <v>928</v>
      </c>
      <c r="C254" s="126" t="s">
        <v>116</v>
      </c>
      <c r="D254" s="126" t="s">
        <v>127</v>
      </c>
      <c r="E254" s="126" t="s">
        <v>929</v>
      </c>
      <c r="F254" s="126" t="s">
        <v>35</v>
      </c>
      <c r="G254" s="126" t="s">
        <v>1577</v>
      </c>
      <c r="H254" s="126" t="s">
        <v>1575</v>
      </c>
      <c r="I254" s="126" t="s">
        <v>1061</v>
      </c>
      <c r="J254" s="126" t="s">
        <v>1091</v>
      </c>
      <c r="K254" s="127">
        <v>43403</v>
      </c>
      <c r="L254" s="128"/>
      <c r="M254" s="128">
        <v>1.653</v>
      </c>
      <c r="N254" s="126">
        <v>7.9</v>
      </c>
      <c r="O254" s="126" t="s">
        <v>119</v>
      </c>
      <c r="P254" s="129" t="s">
        <v>916</v>
      </c>
      <c r="Q254" s="129" t="s">
        <v>932</v>
      </c>
      <c r="R254" s="126" t="s">
        <v>24</v>
      </c>
      <c r="S254" s="126"/>
      <c r="T254" s="130" t="s">
        <v>861</v>
      </c>
      <c r="U254" s="126"/>
      <c r="V254" s="130" t="s">
        <v>861</v>
      </c>
      <c r="W254" s="126"/>
      <c r="X254" s="130" t="s">
        <v>120</v>
      </c>
      <c r="Y254" s="126" t="s">
        <v>1114</v>
      </c>
      <c r="Z254" s="162" t="s">
        <v>120</v>
      </c>
      <c r="AA254" s="154"/>
      <c r="AB254" s="154"/>
      <c r="AC254" s="167" t="s">
        <v>123</v>
      </c>
      <c r="AD254" s="126" t="s">
        <v>1115</v>
      </c>
      <c r="AE254" s="130" t="s">
        <v>120</v>
      </c>
      <c r="AF254" s="127" t="s">
        <v>1116</v>
      </c>
      <c r="AG254" s="131"/>
      <c r="AH254" s="131"/>
      <c r="AI254" s="126" t="s">
        <v>1117</v>
      </c>
      <c r="AJ254" s="130"/>
      <c r="AK254" s="126"/>
      <c r="AL254" s="126"/>
      <c r="AM254" s="130"/>
      <c r="AN254" s="126"/>
      <c r="AO254" s="132"/>
      <c r="AP254" s="126"/>
      <c r="AQ254" s="126"/>
      <c r="AR254" s="130"/>
      <c r="AS254" s="126"/>
      <c r="AT254" s="127"/>
      <c r="AU254" s="127">
        <v>43453.379129629597</v>
      </c>
      <c r="AV254" s="127"/>
      <c r="AW254" s="127"/>
      <c r="AX254" s="127"/>
      <c r="AY254" s="127"/>
      <c r="AZ254" s="133">
        <v>43403</v>
      </c>
      <c r="BA25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54" s="135">
        <f>COUNTIFS(_05preva_view43[Site ID],_05preva_view43[[#This Row],[Site ID]],_05preva_view43[Prevalidation Status],"Under Prevalidation")</f>
        <v>0</v>
      </c>
      <c r="BC254" s="153" t="str">
        <f ca="1">HYPERLINK(CheckPath(_05preva_view43[[#This Row],[File Path]],_05preva_view43[[#This Row],[File Path]],_05preva_view43[[#This Row],[Folder Path3]]),CheckPath(_05preva_view43[[#This Row],[File Path]],"Open File","No File"))</f>
        <v>No File</v>
      </c>
      <c r="BD254" s="136" t="str">
        <f>CONCATENATE(_05preva_view43[[#This Row],[Site ID]]," (",_05preva_view43[[#This Row],[tenant id]],") Application",IF(_05preva_view43[[#This Row],[Colo Rev]]&gt;0," Rev "&amp;_05preva_view43[[#This Row],[Colo Rev]],""),".xlsx")</f>
        <v>ANSG_0483 (SGG00406) Application Rev .xlsx</v>
      </c>
      <c r="BE254" s="64">
        <f t="shared" ca="1" si="5"/>
        <v>50</v>
      </c>
      <c r="BF254" s="104" t="str">
        <f ca="1">LEFT(CELL("filename",A239),_05preva_view43[[#This Row],[Find Process &amp; Database]]-1)</f>
        <v>D:\OneDrive - apollo-towers.com\Apollo Towers\00-</v>
      </c>
      <c r="BG254" s="104" t="str">
        <f ca="1">_05preva_view43[Folder Path1]&amp;"Process &amp; Database\Documentation\Colo Applications"</f>
        <v>D:\OneDrive - apollo-towers.com\Apollo Towers\00-Process &amp; Database\Documentation\Colo Applications</v>
      </c>
      <c r="BH254" s="104" t="str">
        <f ca="1">_05preva_view43[Folder Path2]&amp;"\Colo App "&amp;_05preva_view43[[#This Row],[Operator]]&amp;"\"</f>
        <v>D:\OneDrive - apollo-towers.com\Apollo Towers\00-Process &amp; Database\Documentation\Colo Applications\Colo App MPT\</v>
      </c>
      <c r="BI254" s="63" t="str">
        <f ca="1">_05preva_view43[[#This Row],[Folder Path3]]&amp;_05preva_view43[[#This Row],[File Name]]</f>
        <v>D:\OneDrive - apollo-towers.com\Apollo Towers\00-Process &amp; Database\Documentation\Colo Applications\Colo App MPT\ANSG_0483 (SGG00406) Application Rev .xlsx</v>
      </c>
      <c r="BJ254" s="104"/>
      <c r="BK254" s="3"/>
      <c r="BL254" s="3"/>
      <c r="CJ254" s="5"/>
      <c r="CK254" s="5"/>
      <c r="CL254" s="3"/>
      <c r="CN254" s="5"/>
      <c r="CR254" s="3"/>
      <c r="CS254" s="3"/>
      <c r="CT254" s="5"/>
      <c r="CV254" s="3"/>
      <c r="DR254" s="5"/>
      <c r="DT254" s="3"/>
      <c r="EF254" s="7"/>
      <c r="EG254" s="7"/>
      <c r="EJ254" s="4"/>
      <c r="EK254" s="4"/>
      <c r="EU254" s="2"/>
      <c r="EV254" s="2"/>
    </row>
    <row r="255" spans="1:152">
      <c r="A255" s="125">
        <v>3389</v>
      </c>
      <c r="B255" s="126" t="s">
        <v>1118</v>
      </c>
      <c r="C255" s="126" t="s">
        <v>331</v>
      </c>
      <c r="D255" s="126" t="s">
        <v>127</v>
      </c>
      <c r="E255" s="126" t="s">
        <v>1119</v>
      </c>
      <c r="F255" s="126" t="s">
        <v>35</v>
      </c>
      <c r="G255" s="126" t="s">
        <v>1583</v>
      </c>
      <c r="H255" s="126" t="s">
        <v>1575</v>
      </c>
      <c r="I255" s="126" t="s">
        <v>1120</v>
      </c>
      <c r="J255" s="126" t="s">
        <v>949</v>
      </c>
      <c r="K255" s="127">
        <v>43403</v>
      </c>
      <c r="L255" s="128"/>
      <c r="M255" s="128">
        <v>1.9119999999999999</v>
      </c>
      <c r="N255" s="126">
        <v>3.88</v>
      </c>
      <c r="O255" s="126" t="s">
        <v>950</v>
      </c>
      <c r="P255" s="129" t="s">
        <v>1121</v>
      </c>
      <c r="Q255" s="129" t="s">
        <v>1122</v>
      </c>
      <c r="R255" s="126" t="s">
        <v>24</v>
      </c>
      <c r="S255" s="126"/>
      <c r="T255" s="130" t="s">
        <v>861</v>
      </c>
      <c r="U255" s="126"/>
      <c r="V255" s="130" t="s">
        <v>861</v>
      </c>
      <c r="W255" s="126"/>
      <c r="X255" s="130" t="s">
        <v>120</v>
      </c>
      <c r="Y255" s="126" t="s">
        <v>1123</v>
      </c>
      <c r="Z255" s="162" t="s">
        <v>120</v>
      </c>
      <c r="AA255" s="154"/>
      <c r="AB255" s="154"/>
      <c r="AC255" s="167" t="s">
        <v>123</v>
      </c>
      <c r="AD255" s="126" t="s">
        <v>1124</v>
      </c>
      <c r="AE255" s="130" t="s">
        <v>125</v>
      </c>
      <c r="AF255" s="127"/>
      <c r="AG255" s="131"/>
      <c r="AH255" s="131"/>
      <c r="AI255" s="126" t="s">
        <v>1098</v>
      </c>
      <c r="AJ255" s="130" t="s">
        <v>861</v>
      </c>
      <c r="AK255" s="126"/>
      <c r="AL255" s="126"/>
      <c r="AM255" s="130"/>
      <c r="AN255" s="126"/>
      <c r="AO255" s="132"/>
      <c r="AP255" s="126"/>
      <c r="AQ255" s="126"/>
      <c r="AR255" s="130"/>
      <c r="AS255" s="126"/>
      <c r="AT255" s="127"/>
      <c r="AU255" s="127"/>
      <c r="AV255" s="127"/>
      <c r="AW255" s="127"/>
      <c r="AX255" s="127"/>
      <c r="AY255" s="127"/>
      <c r="AZ255" s="133">
        <v>43403</v>
      </c>
      <c r="BA25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55" s="135">
        <f>COUNTIFS(_05preva_view43[Site ID],_05preva_view43[[#This Row],[Site ID]],_05preva_view43[Prevalidation Status],"Under Prevalidation")</f>
        <v>0</v>
      </c>
      <c r="BC255" s="153" t="str">
        <f ca="1">HYPERLINK(CheckPath(_05preva_view43[[#This Row],[File Path]],_05preva_view43[[#This Row],[File Path]],_05preva_view43[[#This Row],[Folder Path3]]),CheckPath(_05preva_view43[[#This Row],[File Path]],"Open File","No File"))</f>
        <v>No File</v>
      </c>
      <c r="BD255" s="136" t="str">
        <f>CONCATENATE(_05preva_view43[[#This Row],[Site ID]]," (",_05preva_view43[[#This Row],[tenant id]],") Application",IF(_05preva_view43[[#This Row],[Colo Rev]]&gt;0," Rev "&amp;_05preva_view43[[#This Row],[Colo Rev]],""),".xlsx")</f>
        <v>1-01-05018-006 (SGG00198) Application Rev 2.xlsx</v>
      </c>
      <c r="BE255" s="64">
        <f t="shared" ca="1" si="5"/>
        <v>50</v>
      </c>
      <c r="BF255" s="104" t="str">
        <f ca="1">LEFT(CELL("filename",A240),_05preva_view43[[#This Row],[Find Process &amp; Database]]-1)</f>
        <v>D:\OneDrive - apollo-towers.com\Apollo Towers\00-</v>
      </c>
      <c r="BG255" s="104" t="str">
        <f ca="1">_05preva_view43[Folder Path1]&amp;"Process &amp; Database\Documentation\Colo Applications"</f>
        <v>D:\OneDrive - apollo-towers.com\Apollo Towers\00-Process &amp; Database\Documentation\Colo Applications</v>
      </c>
      <c r="BH255" s="104" t="str">
        <f ca="1">_05preva_view43[Folder Path2]&amp;"\Colo App "&amp;_05preva_view43[[#This Row],[Operator]]&amp;"\"</f>
        <v>D:\OneDrive - apollo-towers.com\Apollo Towers\00-Process &amp; Database\Documentation\Colo Applications\Colo App MPT\</v>
      </c>
      <c r="BI255" s="63" t="str">
        <f ca="1">_05preva_view43[[#This Row],[Folder Path3]]&amp;_05preva_view43[[#This Row],[File Name]]</f>
        <v>D:\OneDrive - apollo-towers.com\Apollo Towers\00-Process &amp; Database\Documentation\Colo Applications\Colo App MPT\1-01-05018-006 (SGG00198) Application Rev 2.xlsx</v>
      </c>
      <c r="BJ255" s="104"/>
      <c r="BK255" s="3"/>
      <c r="BL255" s="3"/>
      <c r="CJ255" s="5"/>
      <c r="CK255" s="5"/>
      <c r="CL255" s="3"/>
      <c r="CN255" s="5"/>
      <c r="CR255" s="3"/>
      <c r="CS255" s="3"/>
      <c r="CT255" s="5"/>
      <c r="CV255" s="3"/>
      <c r="DR255" s="5"/>
      <c r="DT255" s="3"/>
      <c r="EF255" s="7"/>
      <c r="EG255" s="7"/>
      <c r="EJ255" s="4"/>
      <c r="EK255" s="4"/>
      <c r="EU255" s="2"/>
      <c r="EV255" s="2"/>
    </row>
    <row r="256" spans="1:152">
      <c r="A256" s="125">
        <v>3381</v>
      </c>
      <c r="B256" s="126" t="s">
        <v>1085</v>
      </c>
      <c r="C256" s="126" t="s">
        <v>331</v>
      </c>
      <c r="D256" s="126" t="s">
        <v>117</v>
      </c>
      <c r="E256" s="126" t="s">
        <v>1086</v>
      </c>
      <c r="F256" s="126" t="s">
        <v>35</v>
      </c>
      <c r="G256" s="126" t="s">
        <v>1583</v>
      </c>
      <c r="H256" s="126" t="s">
        <v>1575</v>
      </c>
      <c r="I256" s="126" t="s">
        <v>1061</v>
      </c>
      <c r="J256" s="126" t="s">
        <v>931</v>
      </c>
      <c r="K256" s="127">
        <v>43402</v>
      </c>
      <c r="L256" s="128"/>
      <c r="M256" s="128">
        <v>2.5</v>
      </c>
      <c r="N256" s="126">
        <v>3.52</v>
      </c>
      <c r="O256" s="126" t="s">
        <v>950</v>
      </c>
      <c r="P256" s="129" t="s">
        <v>958</v>
      </c>
      <c r="Q256" s="129" t="s">
        <v>959</v>
      </c>
      <c r="R256" s="126" t="s">
        <v>24</v>
      </c>
      <c r="S256" s="126"/>
      <c r="T256" s="130" t="s">
        <v>861</v>
      </c>
      <c r="U256" s="126"/>
      <c r="V256" s="130" t="s">
        <v>861</v>
      </c>
      <c r="W256" s="126"/>
      <c r="X256" s="130" t="s">
        <v>120</v>
      </c>
      <c r="Y256" s="126" t="s">
        <v>1087</v>
      </c>
      <c r="Z256" s="162" t="s">
        <v>120</v>
      </c>
      <c r="AA256" s="154"/>
      <c r="AB256" s="154"/>
      <c r="AC256" s="167" t="s">
        <v>123</v>
      </c>
      <c r="AD256" s="126" t="s">
        <v>1088</v>
      </c>
      <c r="AE256" s="130" t="s">
        <v>861</v>
      </c>
      <c r="AF256" s="127"/>
      <c r="AG256" s="131"/>
      <c r="AH256" s="131"/>
      <c r="AI256" s="126"/>
      <c r="AJ256" s="130" t="s">
        <v>861</v>
      </c>
      <c r="AK256" s="126"/>
      <c r="AL256" s="126"/>
      <c r="AM256" s="130"/>
      <c r="AN256" s="126"/>
      <c r="AO256" s="132"/>
      <c r="AP256" s="126"/>
      <c r="AQ256" s="126"/>
      <c r="AR256" s="130"/>
      <c r="AS256" s="126"/>
      <c r="AT256" s="127"/>
      <c r="AU256" s="127"/>
      <c r="AV256" s="127"/>
      <c r="AW256" s="127"/>
      <c r="AX256" s="127"/>
      <c r="AY256" s="127"/>
      <c r="AZ256" s="133">
        <v>43402</v>
      </c>
      <c r="BA25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56" s="135">
        <f>COUNTIFS(_05preva_view43[Site ID],_05preva_view43[[#This Row],[Site ID]],_05preva_view43[Prevalidation Status],"Under Prevalidation")</f>
        <v>0</v>
      </c>
      <c r="BC256" s="153" t="str">
        <f ca="1">HYPERLINK(CheckPath(_05preva_view43[[#This Row],[File Path]],_05preva_view43[[#This Row],[File Path]],_05preva_view43[[#This Row],[Folder Path3]]),CheckPath(_05preva_view43[[#This Row],[File Path]],"Open File","No File"))</f>
        <v>No File</v>
      </c>
      <c r="BD256" s="136" t="str">
        <f>CONCATENATE(_05preva_view43[[#This Row],[Site ID]]," (",_05preva_view43[[#This Row],[tenant id]],") Application",IF(_05preva_view43[[#This Row],[Colo Rev]]&gt;0," Rev "&amp;_05preva_view43[[#This Row],[Colo Rev]],""),".xlsx")</f>
        <v>1-01-09008-001 (MGW00412) Application Rev 1.xlsx</v>
      </c>
      <c r="BE256" s="64">
        <f t="shared" ca="1" si="5"/>
        <v>50</v>
      </c>
      <c r="BF256" s="104" t="str">
        <f ca="1">LEFT(CELL("filename",A241),_05preva_view43[[#This Row],[Find Process &amp; Database]]-1)</f>
        <v>D:\OneDrive - apollo-towers.com\Apollo Towers\00-</v>
      </c>
      <c r="BG256" s="104" t="str">
        <f ca="1">_05preva_view43[Folder Path1]&amp;"Process &amp; Database\Documentation\Colo Applications"</f>
        <v>D:\OneDrive - apollo-towers.com\Apollo Towers\00-Process &amp; Database\Documentation\Colo Applications</v>
      </c>
      <c r="BH256" s="104" t="str">
        <f ca="1">_05preva_view43[Folder Path2]&amp;"\Colo App "&amp;_05preva_view43[[#This Row],[Operator]]&amp;"\"</f>
        <v>D:\OneDrive - apollo-towers.com\Apollo Towers\00-Process &amp; Database\Documentation\Colo Applications\Colo App MPT\</v>
      </c>
      <c r="BI256" s="63" t="str">
        <f ca="1">_05preva_view43[[#This Row],[Folder Path3]]&amp;_05preva_view43[[#This Row],[File Name]]</f>
        <v>D:\OneDrive - apollo-towers.com\Apollo Towers\00-Process &amp; Database\Documentation\Colo Applications\Colo App MPT\1-01-09008-001 (MGW00412) Application Rev 1.xlsx</v>
      </c>
      <c r="BJ256" s="104"/>
      <c r="BK256" s="3"/>
      <c r="BL256" s="3"/>
      <c r="CJ256" s="5"/>
      <c r="CK256" s="5"/>
      <c r="CL256" s="3"/>
      <c r="CN256" s="5"/>
      <c r="CR256" s="3"/>
      <c r="CS256" s="3"/>
      <c r="CT256" s="5"/>
      <c r="CV256" s="3"/>
      <c r="DR256" s="5"/>
      <c r="DT256" s="3"/>
      <c r="EF256" s="7"/>
      <c r="EG256" s="7"/>
      <c r="EJ256" s="4"/>
      <c r="EK256" s="4"/>
      <c r="EU256" s="2"/>
      <c r="EV256" s="2"/>
    </row>
    <row r="257" spans="1:152">
      <c r="A257" s="125">
        <v>3375</v>
      </c>
      <c r="B257" s="126" t="s">
        <v>1059</v>
      </c>
      <c r="C257" s="126" t="s">
        <v>331</v>
      </c>
      <c r="D257" s="126" t="s">
        <v>163</v>
      </c>
      <c r="E257" s="126" t="s">
        <v>1060</v>
      </c>
      <c r="F257" s="126" t="s">
        <v>35</v>
      </c>
      <c r="G257" s="126" t="s">
        <v>1583</v>
      </c>
      <c r="H257" s="126" t="s">
        <v>1575</v>
      </c>
      <c r="I257" s="126" t="s">
        <v>1061</v>
      </c>
      <c r="J257" s="126" t="s">
        <v>949</v>
      </c>
      <c r="K257" s="127">
        <v>43391</v>
      </c>
      <c r="L257" s="128"/>
      <c r="M257" s="128">
        <v>2.1</v>
      </c>
      <c r="N257" s="126">
        <v>2.5590000000000002</v>
      </c>
      <c r="O257" s="126" t="s">
        <v>950</v>
      </c>
      <c r="P257" s="129" t="s">
        <v>1062</v>
      </c>
      <c r="Q257" s="129" t="s">
        <v>958</v>
      </c>
      <c r="R257" s="126" t="s">
        <v>24</v>
      </c>
      <c r="S257" s="126"/>
      <c r="T257" s="130" t="s">
        <v>861</v>
      </c>
      <c r="U257" s="126"/>
      <c r="V257" s="130" t="s">
        <v>861</v>
      </c>
      <c r="W257" s="126"/>
      <c r="X257" s="130" t="s">
        <v>120</v>
      </c>
      <c r="Y257" s="126" t="s">
        <v>1063</v>
      </c>
      <c r="Z257" s="162" t="s">
        <v>120</v>
      </c>
      <c r="AA257" s="154"/>
      <c r="AB257" s="154"/>
      <c r="AC257" s="167" t="s">
        <v>123</v>
      </c>
      <c r="AD257" s="126" t="s">
        <v>1064</v>
      </c>
      <c r="AE257" s="130" t="s">
        <v>861</v>
      </c>
      <c r="AF257" s="127"/>
      <c r="AG257" s="131"/>
      <c r="AH257" s="131"/>
      <c r="AI257" s="126"/>
      <c r="AJ257" s="130" t="s">
        <v>861</v>
      </c>
      <c r="AK257" s="126"/>
      <c r="AL257" s="126"/>
      <c r="AM257" s="130"/>
      <c r="AN257" s="126"/>
      <c r="AO257" s="132"/>
      <c r="AP257" s="126"/>
      <c r="AQ257" s="126"/>
      <c r="AR257" s="130"/>
      <c r="AS257" s="126"/>
      <c r="AT257" s="127"/>
      <c r="AU257" s="127"/>
      <c r="AV257" s="127"/>
      <c r="AW257" s="127"/>
      <c r="AX257" s="127"/>
      <c r="AY257" s="127"/>
      <c r="AZ257" s="133">
        <v>43391</v>
      </c>
      <c r="BA25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57" s="135">
        <f>COUNTIFS(_05preva_view43[Site ID],_05preva_view43[[#This Row],[Site ID]],_05preva_view43[Prevalidation Status],"Under Prevalidation")</f>
        <v>0</v>
      </c>
      <c r="BC257" s="153" t="str">
        <f ca="1">HYPERLINK(CheckPath(_05preva_view43[[#This Row],[File Path]],_05preva_view43[[#This Row],[File Path]],_05preva_view43[[#This Row],[Folder Path3]]),CheckPath(_05preva_view43[[#This Row],[File Path]],"Open File","No File"))</f>
        <v>No File</v>
      </c>
      <c r="BD257" s="136" t="str">
        <f>CONCATENATE(_05preva_view43[[#This Row],[Site ID]]," (",_05preva_view43[[#This Row],[tenant id]],") Application",IF(_05preva_view43[[#This Row],[Colo Rev]]&gt;0," Rev "&amp;_05preva_view43[[#This Row],[Colo Rev]],""),".xlsx")</f>
        <v>1-01-11003-002 (MON00212) Application Rev 2.xlsx</v>
      </c>
      <c r="BE257" s="64">
        <f t="shared" ca="1" si="5"/>
        <v>50</v>
      </c>
      <c r="BF257" s="104" t="str">
        <f ca="1">LEFT(CELL("filename",A242),_05preva_view43[[#This Row],[Find Process &amp; Database]]-1)</f>
        <v>D:\OneDrive - apollo-towers.com\Apollo Towers\00-</v>
      </c>
      <c r="BG257" s="104" t="str">
        <f ca="1">_05preva_view43[Folder Path1]&amp;"Process &amp; Database\Documentation\Colo Applications"</f>
        <v>D:\OneDrive - apollo-towers.com\Apollo Towers\00-Process &amp; Database\Documentation\Colo Applications</v>
      </c>
      <c r="BH257" s="104" t="str">
        <f ca="1">_05preva_view43[Folder Path2]&amp;"\Colo App "&amp;_05preva_view43[[#This Row],[Operator]]&amp;"\"</f>
        <v>D:\OneDrive - apollo-towers.com\Apollo Towers\00-Process &amp; Database\Documentation\Colo Applications\Colo App MPT\</v>
      </c>
      <c r="BI257" s="63" t="str">
        <f ca="1">_05preva_view43[[#This Row],[Folder Path3]]&amp;_05preva_view43[[#This Row],[File Name]]</f>
        <v>D:\OneDrive - apollo-towers.com\Apollo Towers\00-Process &amp; Database\Documentation\Colo Applications\Colo App MPT\1-01-11003-002 (MON00212) Application Rev 2.xlsx</v>
      </c>
      <c r="BJ257" s="104"/>
      <c r="BK257" s="3"/>
      <c r="BL257" s="3"/>
      <c r="CJ257" s="5"/>
      <c r="CK257" s="5"/>
      <c r="CL257" s="3"/>
      <c r="CN257" s="5"/>
      <c r="CR257" s="3"/>
      <c r="CS257" s="3"/>
      <c r="CT257" s="5"/>
      <c r="CV257" s="3"/>
      <c r="DR257" s="5"/>
      <c r="DT257" s="3"/>
      <c r="EF257" s="7"/>
      <c r="EG257" s="7"/>
      <c r="EJ257" s="4"/>
      <c r="EK257" s="4"/>
      <c r="EU257" s="2"/>
      <c r="EV257" s="2"/>
    </row>
    <row r="258" spans="1:152">
      <c r="A258" s="125">
        <v>3377</v>
      </c>
      <c r="B258" s="126" t="s">
        <v>1065</v>
      </c>
      <c r="C258" s="126" t="s">
        <v>331</v>
      </c>
      <c r="D258" s="126" t="s">
        <v>117</v>
      </c>
      <c r="E258" s="126" t="s">
        <v>1066</v>
      </c>
      <c r="F258" s="126" t="s">
        <v>35</v>
      </c>
      <c r="G258" s="126" t="s">
        <v>1583</v>
      </c>
      <c r="H258" s="126" t="s">
        <v>1575</v>
      </c>
      <c r="I258" s="126" t="s">
        <v>1048</v>
      </c>
      <c r="J258" s="126" t="s">
        <v>990</v>
      </c>
      <c r="K258" s="127">
        <v>43391</v>
      </c>
      <c r="L258" s="128"/>
      <c r="M258" s="128">
        <v>2.7</v>
      </c>
      <c r="N258" s="126">
        <v>3.5030000000000001</v>
      </c>
      <c r="O258" s="126" t="s">
        <v>950</v>
      </c>
      <c r="P258" s="129" t="s">
        <v>704</v>
      </c>
      <c r="Q258" s="129" t="s">
        <v>705</v>
      </c>
      <c r="R258" s="126" t="s">
        <v>24</v>
      </c>
      <c r="S258" s="126"/>
      <c r="T258" s="130" t="s">
        <v>861</v>
      </c>
      <c r="U258" s="126"/>
      <c r="V258" s="130" t="s">
        <v>861</v>
      </c>
      <c r="W258" s="126"/>
      <c r="X258" s="130" t="s">
        <v>120</v>
      </c>
      <c r="Y258" s="126" t="s">
        <v>1067</v>
      </c>
      <c r="Z258" s="162" t="s">
        <v>120</v>
      </c>
      <c r="AA258" s="154"/>
      <c r="AB258" s="154"/>
      <c r="AC258" s="167" t="s">
        <v>123</v>
      </c>
      <c r="AD258" s="126" t="s">
        <v>1068</v>
      </c>
      <c r="AE258" s="130" t="s">
        <v>861</v>
      </c>
      <c r="AF258" s="127"/>
      <c r="AG258" s="131"/>
      <c r="AH258" s="131"/>
      <c r="AI258" s="126"/>
      <c r="AJ258" s="130" t="s">
        <v>861</v>
      </c>
      <c r="AK258" s="126"/>
      <c r="AL258" s="126"/>
      <c r="AM258" s="130"/>
      <c r="AN258" s="126"/>
      <c r="AO258" s="132"/>
      <c r="AP258" s="126"/>
      <c r="AQ258" s="126"/>
      <c r="AR258" s="130"/>
      <c r="AS258" s="126"/>
      <c r="AT258" s="127"/>
      <c r="AU258" s="127"/>
      <c r="AV258" s="127"/>
      <c r="AW258" s="127"/>
      <c r="AX258" s="127"/>
      <c r="AY258" s="127"/>
      <c r="AZ258" s="133">
        <v>43391</v>
      </c>
      <c r="BA25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58" s="135">
        <f>COUNTIFS(_05preva_view43[Site ID],_05preva_view43[[#This Row],[Site ID]],_05preva_view43[Prevalidation Status],"Under Prevalidation")</f>
        <v>0</v>
      </c>
      <c r="BC258" s="153" t="str">
        <f ca="1">HYPERLINK(CheckPath(_05preva_view43[[#This Row],[File Path]],_05preva_view43[[#This Row],[File Path]],_05preva_view43[[#This Row],[Folder Path3]]),CheckPath(_05preva_view43[[#This Row],[File Path]],"Open File","No File"))</f>
        <v>No File</v>
      </c>
      <c r="BD258" s="136" t="str">
        <f>CONCATENATE(_05preva_view43[[#This Row],[Site ID]]," (",_05preva_view43[[#This Row],[tenant id]],") Application",IF(_05preva_view43[[#This Row],[Colo Rev]]&gt;0," Rev "&amp;_05preva_view43[[#This Row],[Colo Rev]],""),".xlsx")</f>
        <v>1-01-14001-015 (SHS00057) Application Rev 3.xlsx</v>
      </c>
      <c r="BE258" s="64">
        <f t="shared" ca="1" si="5"/>
        <v>50</v>
      </c>
      <c r="BF258" s="104" t="str">
        <f ca="1">LEFT(CELL("filename",A243),_05preva_view43[[#This Row],[Find Process &amp; Database]]-1)</f>
        <v>D:\OneDrive - apollo-towers.com\Apollo Towers\00-</v>
      </c>
      <c r="BG258" s="104" t="str">
        <f ca="1">_05preva_view43[Folder Path1]&amp;"Process &amp; Database\Documentation\Colo Applications"</f>
        <v>D:\OneDrive - apollo-towers.com\Apollo Towers\00-Process &amp; Database\Documentation\Colo Applications</v>
      </c>
      <c r="BH258" s="104" t="str">
        <f ca="1">_05preva_view43[Folder Path2]&amp;"\Colo App "&amp;_05preva_view43[[#This Row],[Operator]]&amp;"\"</f>
        <v>D:\OneDrive - apollo-towers.com\Apollo Towers\00-Process &amp; Database\Documentation\Colo Applications\Colo App MPT\</v>
      </c>
      <c r="BI258" s="63" t="str">
        <f ca="1">_05preva_view43[[#This Row],[Folder Path3]]&amp;_05preva_view43[[#This Row],[File Name]]</f>
        <v>D:\OneDrive - apollo-towers.com\Apollo Towers\00-Process &amp; Database\Documentation\Colo Applications\Colo App MPT\1-01-14001-015 (SHS00057) Application Rev 3.xlsx</v>
      </c>
      <c r="BJ258" s="104"/>
      <c r="BK258" s="3"/>
      <c r="BL258" s="3"/>
      <c r="CJ258" s="5"/>
      <c r="CK258" s="5"/>
      <c r="CL258" s="3"/>
      <c r="CN258" s="5"/>
      <c r="CR258" s="3"/>
      <c r="CS258" s="3"/>
      <c r="CT258" s="5"/>
      <c r="CV258" s="3"/>
      <c r="DR258" s="5"/>
      <c r="DT258" s="3"/>
      <c r="EF258" s="7"/>
      <c r="EG258" s="7"/>
      <c r="EJ258" s="4"/>
      <c r="EK258" s="4"/>
      <c r="EU258" s="2"/>
      <c r="EV258" s="2"/>
    </row>
    <row r="259" spans="1:152">
      <c r="A259" s="125">
        <v>3378</v>
      </c>
      <c r="B259" s="126" t="s">
        <v>1069</v>
      </c>
      <c r="C259" s="126" t="s">
        <v>331</v>
      </c>
      <c r="D259" s="126" t="s">
        <v>163</v>
      </c>
      <c r="E259" s="126" t="s">
        <v>1070</v>
      </c>
      <c r="F259" s="126" t="s">
        <v>35</v>
      </c>
      <c r="G259" s="126" t="s">
        <v>1583</v>
      </c>
      <c r="H259" s="126" t="s">
        <v>1575</v>
      </c>
      <c r="I259" s="126" t="s">
        <v>1048</v>
      </c>
      <c r="J259" s="126" t="s">
        <v>990</v>
      </c>
      <c r="K259" s="127">
        <v>43391</v>
      </c>
      <c r="L259" s="128"/>
      <c r="M259" s="128">
        <v>2.7</v>
      </c>
      <c r="N259" s="126">
        <v>3.141</v>
      </c>
      <c r="O259" s="126" t="s">
        <v>950</v>
      </c>
      <c r="P259" s="129" t="s">
        <v>1071</v>
      </c>
      <c r="Q259" s="129" t="s">
        <v>1072</v>
      </c>
      <c r="R259" s="126" t="s">
        <v>24</v>
      </c>
      <c r="S259" s="126"/>
      <c r="T259" s="130" t="s">
        <v>861</v>
      </c>
      <c r="U259" s="126"/>
      <c r="V259" s="130" t="s">
        <v>861</v>
      </c>
      <c r="W259" s="126"/>
      <c r="X259" s="130" t="s">
        <v>120</v>
      </c>
      <c r="Y259" s="126" t="s">
        <v>1073</v>
      </c>
      <c r="Z259" s="162" t="s">
        <v>120</v>
      </c>
      <c r="AA259" s="154"/>
      <c r="AB259" s="154"/>
      <c r="AC259" s="167" t="s">
        <v>123</v>
      </c>
      <c r="AD259" s="126" t="s">
        <v>1074</v>
      </c>
      <c r="AE259" s="130" t="s">
        <v>861</v>
      </c>
      <c r="AF259" s="127"/>
      <c r="AG259" s="131"/>
      <c r="AH259" s="131"/>
      <c r="AI259" s="126"/>
      <c r="AJ259" s="130" t="s">
        <v>861</v>
      </c>
      <c r="AK259" s="126"/>
      <c r="AL259" s="126"/>
      <c r="AM259" s="130"/>
      <c r="AN259" s="126"/>
      <c r="AO259" s="132"/>
      <c r="AP259" s="126"/>
      <c r="AQ259" s="126"/>
      <c r="AR259" s="130"/>
      <c r="AS259" s="126"/>
      <c r="AT259" s="127"/>
      <c r="AU259" s="127"/>
      <c r="AV259" s="127"/>
      <c r="AW259" s="127"/>
      <c r="AX259" s="127"/>
      <c r="AY259" s="127"/>
      <c r="AZ259" s="133">
        <v>43391</v>
      </c>
      <c r="BA25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59" s="135">
        <f>COUNTIFS(_05preva_view43[Site ID],_05preva_view43[[#This Row],[Site ID]],_05preva_view43[Prevalidation Status],"Under Prevalidation")</f>
        <v>0</v>
      </c>
      <c r="BC259" s="153" t="str">
        <f ca="1">HYPERLINK(CheckPath(_05preva_view43[[#This Row],[File Path]],_05preva_view43[[#This Row],[File Path]],_05preva_view43[[#This Row],[Folder Path3]]),CheckPath(_05preva_view43[[#This Row],[File Path]],"Open File","No File"))</f>
        <v>No File</v>
      </c>
      <c r="BD259" s="136" t="str">
        <f>CONCATENATE(_05preva_view43[[#This Row],[Site ID]]," (",_05preva_view43[[#This Row],[tenant id]],") Application",IF(_05preva_view43[[#This Row],[Colo Rev]]&gt;0," Rev "&amp;_05preva_view43[[#This Row],[Colo Rev]],""),".xlsx")</f>
        <v>1-01-06002-003 (TNY00206) Application Rev 3.xlsx</v>
      </c>
      <c r="BE259" s="64">
        <f t="shared" ca="1" si="5"/>
        <v>50</v>
      </c>
      <c r="BF259" s="104" t="str">
        <f ca="1">LEFT(CELL("filename",A244),_05preva_view43[[#This Row],[Find Process &amp; Database]]-1)</f>
        <v>D:\OneDrive - apollo-towers.com\Apollo Towers\00-</v>
      </c>
      <c r="BG259" s="104" t="str">
        <f ca="1">_05preva_view43[Folder Path1]&amp;"Process &amp; Database\Documentation\Colo Applications"</f>
        <v>D:\OneDrive - apollo-towers.com\Apollo Towers\00-Process &amp; Database\Documentation\Colo Applications</v>
      </c>
      <c r="BH259" s="104" t="str">
        <f ca="1">_05preva_view43[Folder Path2]&amp;"\Colo App "&amp;_05preva_view43[[#This Row],[Operator]]&amp;"\"</f>
        <v>D:\OneDrive - apollo-towers.com\Apollo Towers\00-Process &amp; Database\Documentation\Colo Applications\Colo App MPT\</v>
      </c>
      <c r="BI259" s="63" t="str">
        <f ca="1">_05preva_view43[[#This Row],[Folder Path3]]&amp;_05preva_view43[[#This Row],[File Name]]</f>
        <v>D:\OneDrive - apollo-towers.com\Apollo Towers\00-Process &amp; Database\Documentation\Colo Applications\Colo App MPT\1-01-06002-003 (TNY00206) Application Rev 3.xlsx</v>
      </c>
      <c r="BJ259" s="104"/>
      <c r="BK259" s="3"/>
      <c r="BL259" s="3"/>
      <c r="CJ259" s="5"/>
      <c r="CK259" s="5"/>
      <c r="CL259" s="3"/>
      <c r="CN259" s="5"/>
      <c r="CR259" s="3"/>
      <c r="CS259" s="3"/>
      <c r="CT259" s="5"/>
      <c r="CV259" s="3"/>
      <c r="DR259" s="5"/>
      <c r="DT259" s="3"/>
      <c r="EF259" s="7"/>
      <c r="EG259" s="7"/>
      <c r="EJ259" s="4"/>
      <c r="EK259" s="4"/>
      <c r="EU259" s="2"/>
      <c r="EV259" s="2"/>
    </row>
    <row r="260" spans="1:152">
      <c r="A260" s="125">
        <v>3379</v>
      </c>
      <c r="B260" s="126" t="s">
        <v>1075</v>
      </c>
      <c r="C260" s="126" t="s">
        <v>116</v>
      </c>
      <c r="D260" s="126" t="s">
        <v>127</v>
      </c>
      <c r="E260" s="126" t="s">
        <v>1076</v>
      </c>
      <c r="F260" s="126" t="s">
        <v>35</v>
      </c>
      <c r="G260" s="126" t="s">
        <v>1577</v>
      </c>
      <c r="H260" s="126" t="s">
        <v>1575</v>
      </c>
      <c r="I260" s="126" t="s">
        <v>1077</v>
      </c>
      <c r="J260" s="126" t="s">
        <v>949</v>
      </c>
      <c r="K260" s="127">
        <v>43391</v>
      </c>
      <c r="L260" s="128"/>
      <c r="M260" s="128">
        <v>1.4</v>
      </c>
      <c r="N260" s="126">
        <v>2.746</v>
      </c>
      <c r="O260" s="126" t="s">
        <v>950</v>
      </c>
      <c r="P260" s="129" t="s">
        <v>363</v>
      </c>
      <c r="Q260" s="129" t="s">
        <v>270</v>
      </c>
      <c r="R260" s="126" t="s">
        <v>24</v>
      </c>
      <c r="S260" s="126"/>
      <c r="T260" s="130" t="s">
        <v>861</v>
      </c>
      <c r="U260" s="126"/>
      <c r="V260" s="130" t="s">
        <v>861</v>
      </c>
      <c r="W260" s="126"/>
      <c r="X260" s="130" t="s">
        <v>120</v>
      </c>
      <c r="Y260" s="126" t="s">
        <v>1078</v>
      </c>
      <c r="Z260" s="162" t="s">
        <v>120</v>
      </c>
      <c r="AA260" s="154"/>
      <c r="AB260" s="154"/>
      <c r="AC260" s="167" t="s">
        <v>123</v>
      </c>
      <c r="AD260" s="126" t="s">
        <v>1079</v>
      </c>
      <c r="AE260" s="130" t="s">
        <v>125</v>
      </c>
      <c r="AF260" s="127" t="s">
        <v>715</v>
      </c>
      <c r="AG260" s="131"/>
      <c r="AH260" s="131"/>
      <c r="AI260" s="126" t="s">
        <v>1080</v>
      </c>
      <c r="AJ260" s="130"/>
      <c r="AK260" s="126"/>
      <c r="AL260" s="126"/>
      <c r="AM260" s="130"/>
      <c r="AN260" s="126"/>
      <c r="AO260" s="132"/>
      <c r="AP260" s="126"/>
      <c r="AQ260" s="126"/>
      <c r="AR260" s="130"/>
      <c r="AS260" s="126"/>
      <c r="AT260" s="127"/>
      <c r="AU260" s="127"/>
      <c r="AV260" s="127"/>
      <c r="AW260" s="127"/>
      <c r="AX260" s="127"/>
      <c r="AY260" s="127"/>
      <c r="AZ260" s="133">
        <v>43391</v>
      </c>
      <c r="BA26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0" s="135">
        <f>COUNTIFS(_05preva_view43[Site ID],_05preva_view43[[#This Row],[Site ID]],_05preva_view43[Prevalidation Status],"Under Prevalidation")</f>
        <v>0</v>
      </c>
      <c r="BC260" s="153" t="str">
        <f ca="1">HYPERLINK(CheckPath(_05preva_view43[[#This Row],[File Path]],_05preva_view43[[#This Row],[File Path]],_05preva_view43[[#This Row],[Folder Path3]]),CheckPath(_05preva_view43[[#This Row],[File Path]],"Open File","No File"))</f>
        <v>No File</v>
      </c>
      <c r="BD260" s="136" t="str">
        <f>CONCATENATE(_05preva_view43[[#This Row],[Site ID]]," (",_05preva_view43[[#This Row],[tenant id]],") Application",IF(_05preva_view43[[#This Row],[Colo Rev]]&gt;0," Rev "&amp;_05preva_view43[[#This Row],[Colo Rev]],""),".xlsx")</f>
        <v>ANMD_0132 (MDY00422) Application Rev 2.xlsx</v>
      </c>
      <c r="BE260" s="64">
        <f t="shared" ca="1" si="5"/>
        <v>50</v>
      </c>
      <c r="BF260" s="104" t="str">
        <f ca="1">LEFT(CELL("filename",A245),_05preva_view43[[#This Row],[Find Process &amp; Database]]-1)</f>
        <v>D:\OneDrive - apollo-towers.com\Apollo Towers\00-</v>
      </c>
      <c r="BG260" s="104" t="str">
        <f ca="1">_05preva_view43[Folder Path1]&amp;"Process &amp; Database\Documentation\Colo Applications"</f>
        <v>D:\OneDrive - apollo-towers.com\Apollo Towers\00-Process &amp; Database\Documentation\Colo Applications</v>
      </c>
      <c r="BH260" s="104" t="str">
        <f ca="1">_05preva_view43[Folder Path2]&amp;"\Colo App "&amp;_05preva_view43[[#This Row],[Operator]]&amp;"\"</f>
        <v>D:\OneDrive - apollo-towers.com\Apollo Towers\00-Process &amp; Database\Documentation\Colo Applications\Colo App MPT\</v>
      </c>
      <c r="BI260" s="63" t="str">
        <f ca="1">_05preva_view43[[#This Row],[Folder Path3]]&amp;_05preva_view43[[#This Row],[File Name]]</f>
        <v>D:\OneDrive - apollo-towers.com\Apollo Towers\00-Process &amp; Database\Documentation\Colo Applications\Colo App MPT\ANMD_0132 (MDY00422) Application Rev 2.xlsx</v>
      </c>
      <c r="BJ260" s="104"/>
      <c r="BK260" s="3"/>
      <c r="BL260" s="3"/>
      <c r="CJ260" s="5"/>
      <c r="CK260" s="5"/>
      <c r="CL260" s="3"/>
      <c r="CN260" s="5"/>
      <c r="CR260" s="3"/>
      <c r="CS260" s="3"/>
      <c r="CT260" s="5"/>
      <c r="CV260" s="3"/>
      <c r="DR260" s="5"/>
      <c r="DT260" s="3"/>
      <c r="EF260" s="7"/>
      <c r="EG260" s="7"/>
      <c r="EJ260" s="4"/>
      <c r="EK260" s="4"/>
      <c r="EU260" s="2"/>
      <c r="EV260" s="2"/>
    </row>
    <row r="261" spans="1:152">
      <c r="A261" s="125">
        <v>3380</v>
      </c>
      <c r="B261" s="126" t="s">
        <v>254</v>
      </c>
      <c r="C261" s="126" t="s">
        <v>116</v>
      </c>
      <c r="D261" s="126" t="s">
        <v>127</v>
      </c>
      <c r="E261" s="126" t="s">
        <v>1081</v>
      </c>
      <c r="F261" s="126" t="s">
        <v>35</v>
      </c>
      <c r="G261" s="126" t="s">
        <v>1577</v>
      </c>
      <c r="H261" s="126" t="s">
        <v>1575</v>
      </c>
      <c r="I261" s="126" t="s">
        <v>1053</v>
      </c>
      <c r="J261" s="126" t="s">
        <v>949</v>
      </c>
      <c r="K261" s="127">
        <v>43391</v>
      </c>
      <c r="L261" s="128"/>
      <c r="M261" s="128">
        <v>3.86</v>
      </c>
      <c r="N261" s="126">
        <v>6.2549999999999999</v>
      </c>
      <c r="O261" s="126" t="s">
        <v>950</v>
      </c>
      <c r="P261" s="129" t="s">
        <v>257</v>
      </c>
      <c r="Q261" s="129" t="s">
        <v>968</v>
      </c>
      <c r="R261" s="126" t="s">
        <v>24</v>
      </c>
      <c r="S261" s="126"/>
      <c r="T261" s="130" t="s">
        <v>861</v>
      </c>
      <c r="U261" s="126"/>
      <c r="V261" s="130" t="s">
        <v>861</v>
      </c>
      <c r="W261" s="126"/>
      <c r="X261" s="130" t="s">
        <v>120</v>
      </c>
      <c r="Y261" s="126" t="s">
        <v>1082</v>
      </c>
      <c r="Z261" s="162" t="s">
        <v>120</v>
      </c>
      <c r="AA261" s="154"/>
      <c r="AB261" s="154"/>
      <c r="AC261" s="167" t="s">
        <v>123</v>
      </c>
      <c r="AD261" s="126" t="s">
        <v>1083</v>
      </c>
      <c r="AE261" s="130" t="s">
        <v>120</v>
      </c>
      <c r="AF261" s="127"/>
      <c r="AG261" s="131"/>
      <c r="AH261" s="131">
        <v>2</v>
      </c>
      <c r="AI261" s="126" t="s">
        <v>1084</v>
      </c>
      <c r="AJ261" s="130"/>
      <c r="AK261" s="126"/>
      <c r="AL261" s="126"/>
      <c r="AM261" s="130"/>
      <c r="AN261" s="126"/>
      <c r="AO261" s="132"/>
      <c r="AP261" s="126"/>
      <c r="AQ261" s="126"/>
      <c r="AR261" s="130"/>
      <c r="AS261" s="126"/>
      <c r="AT261" s="127"/>
      <c r="AU261" s="127">
        <v>43453.379123958301</v>
      </c>
      <c r="AV261" s="127"/>
      <c r="AW261" s="127"/>
      <c r="AX261" s="127"/>
      <c r="AY261" s="127"/>
      <c r="AZ261" s="133">
        <v>43391</v>
      </c>
      <c r="BA26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1" s="135">
        <f>COUNTIFS(_05preva_view43[Site ID],_05preva_view43[[#This Row],[Site ID]],_05preva_view43[Prevalidation Status],"Under Prevalidation")</f>
        <v>0</v>
      </c>
      <c r="BC261" s="153" t="str">
        <f ca="1">HYPERLINK(CheckPath(_05preva_view43[[#This Row],[File Path]],_05preva_view43[[#This Row],[File Path]],_05preva_view43[[#This Row],[Folder Path3]]),CheckPath(_05preva_view43[[#This Row],[File Path]],"Open File","No File"))</f>
        <v>No File</v>
      </c>
      <c r="BD261" s="136" t="str">
        <f>CONCATENATE(_05preva_view43[[#This Row],[Site ID]]," (",_05preva_view43[[#This Row],[tenant id]],") Application",IF(_05preva_view43[[#This Row],[Colo Rev]]&gt;0," Rev "&amp;_05preva_view43[[#This Row],[Colo Rev]],""),".xlsx")</f>
        <v>ANSG_0343 (SGG00692) Application Rev 2.xlsx</v>
      </c>
      <c r="BE261" s="64">
        <f t="shared" ca="1" si="5"/>
        <v>50</v>
      </c>
      <c r="BF261" s="104" t="str">
        <f ca="1">LEFT(CELL("filename",A246),_05preva_view43[[#This Row],[Find Process &amp; Database]]-1)</f>
        <v>D:\OneDrive - apollo-towers.com\Apollo Towers\00-</v>
      </c>
      <c r="BG261" s="104" t="str">
        <f ca="1">_05preva_view43[Folder Path1]&amp;"Process &amp; Database\Documentation\Colo Applications"</f>
        <v>D:\OneDrive - apollo-towers.com\Apollo Towers\00-Process &amp; Database\Documentation\Colo Applications</v>
      </c>
      <c r="BH261" s="104" t="str">
        <f ca="1">_05preva_view43[Folder Path2]&amp;"\Colo App "&amp;_05preva_view43[[#This Row],[Operator]]&amp;"\"</f>
        <v>D:\OneDrive - apollo-towers.com\Apollo Towers\00-Process &amp; Database\Documentation\Colo Applications\Colo App MPT\</v>
      </c>
      <c r="BI261" s="63" t="str">
        <f ca="1">_05preva_view43[[#This Row],[Folder Path3]]&amp;_05preva_view43[[#This Row],[File Name]]</f>
        <v>D:\OneDrive - apollo-towers.com\Apollo Towers\00-Process &amp; Database\Documentation\Colo Applications\Colo App MPT\ANSG_0343 (SGG00692) Application Rev 2.xlsx</v>
      </c>
      <c r="BJ261" s="104"/>
      <c r="BK261" s="3"/>
      <c r="BL261" s="3"/>
      <c r="CJ261" s="5"/>
      <c r="CK261" s="5"/>
      <c r="CL261" s="3"/>
      <c r="CN261" s="5"/>
      <c r="CR261" s="3"/>
      <c r="CS261" s="3"/>
      <c r="CT261" s="5"/>
      <c r="CV261" s="3"/>
      <c r="DR261" s="5"/>
      <c r="DT261" s="3"/>
      <c r="EF261" s="7"/>
      <c r="EG261" s="7"/>
      <c r="EJ261" s="4"/>
      <c r="EK261" s="4"/>
      <c r="EU261" s="2"/>
      <c r="EV261" s="2"/>
    </row>
    <row r="262" spans="1:152">
      <c r="A262" s="125">
        <v>3372</v>
      </c>
      <c r="B262" s="126" t="s">
        <v>1046</v>
      </c>
      <c r="C262" s="126" t="s">
        <v>331</v>
      </c>
      <c r="D262" s="126" t="s">
        <v>127</v>
      </c>
      <c r="E262" s="126" t="s">
        <v>1047</v>
      </c>
      <c r="F262" s="126" t="s">
        <v>35</v>
      </c>
      <c r="G262" s="126" t="s">
        <v>1583</v>
      </c>
      <c r="H262" s="126" t="s">
        <v>1575</v>
      </c>
      <c r="I262" s="126" t="s">
        <v>1048</v>
      </c>
      <c r="J262" s="126" t="s">
        <v>949</v>
      </c>
      <c r="K262" s="127">
        <v>43389</v>
      </c>
      <c r="L262" s="128"/>
      <c r="M262" s="128">
        <v>4.0149999999999997</v>
      </c>
      <c r="N262" s="126">
        <v>3.3119999999999998</v>
      </c>
      <c r="O262" s="126" t="s">
        <v>950</v>
      </c>
      <c r="P262" s="129" t="s">
        <v>704</v>
      </c>
      <c r="Q262" s="129" t="s">
        <v>705</v>
      </c>
      <c r="R262" s="126" t="s">
        <v>24</v>
      </c>
      <c r="S262" s="126"/>
      <c r="T262" s="130" t="s">
        <v>861</v>
      </c>
      <c r="U262" s="126"/>
      <c r="V262" s="130" t="s">
        <v>861</v>
      </c>
      <c r="W262" s="126"/>
      <c r="X262" s="130" t="s">
        <v>120</v>
      </c>
      <c r="Y262" s="126" t="s">
        <v>1049</v>
      </c>
      <c r="Z262" s="162" t="s">
        <v>120</v>
      </c>
      <c r="AA262" s="154"/>
      <c r="AB262" s="154"/>
      <c r="AC262" s="167" t="s">
        <v>123</v>
      </c>
      <c r="AD262" s="126" t="s">
        <v>1050</v>
      </c>
      <c r="AE262" s="130" t="s">
        <v>861</v>
      </c>
      <c r="AF262" s="127"/>
      <c r="AG262" s="131"/>
      <c r="AH262" s="131"/>
      <c r="AI262" s="126"/>
      <c r="AJ262" s="130" t="s">
        <v>861</v>
      </c>
      <c r="AK262" s="126"/>
      <c r="AL262" s="126"/>
      <c r="AM262" s="130"/>
      <c r="AN262" s="126"/>
      <c r="AO262" s="132"/>
      <c r="AP262" s="126"/>
      <c r="AQ262" s="126"/>
      <c r="AR262" s="130"/>
      <c r="AS262" s="126"/>
      <c r="AT262" s="127"/>
      <c r="AU262" s="127"/>
      <c r="AV262" s="127"/>
      <c r="AW262" s="127"/>
      <c r="AX262" s="127"/>
      <c r="AY262" s="127"/>
      <c r="AZ262" s="133">
        <v>43389</v>
      </c>
      <c r="BA26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2" s="135">
        <f>COUNTIFS(_05preva_view43[Site ID],_05preva_view43[[#This Row],[Site ID]],_05preva_view43[Prevalidation Status],"Under Prevalidation")</f>
        <v>0</v>
      </c>
      <c r="BC262" s="153" t="str">
        <f ca="1">HYPERLINK(CheckPath(_05preva_view43[[#This Row],[File Path]],_05preva_view43[[#This Row],[File Path]],_05preva_view43[[#This Row],[Folder Path3]]),CheckPath(_05preva_view43[[#This Row],[File Path]],"Open File","No File"))</f>
        <v>No File</v>
      </c>
      <c r="BD262" s="136" t="str">
        <f>CONCATENATE(_05preva_view43[[#This Row],[Site ID]]," (",_05preva_view43[[#This Row],[tenant id]],") Application",IF(_05preva_view43[[#This Row],[Colo Rev]]&gt;0," Rev "&amp;_05preva_view43[[#This Row],[Colo Rev]],""),".xlsx")</f>
        <v>1-01-05027-009 (SGG00227) Application Rev 2.xlsx</v>
      </c>
      <c r="BE262" s="64">
        <f t="shared" ca="1" si="5"/>
        <v>50</v>
      </c>
      <c r="BF262" s="104" t="str">
        <f ca="1">LEFT(CELL("filename",A247),_05preva_view43[[#This Row],[Find Process &amp; Database]]-1)</f>
        <v>D:\OneDrive - apollo-towers.com\Apollo Towers\00-</v>
      </c>
      <c r="BG262" s="104" t="str">
        <f ca="1">_05preva_view43[Folder Path1]&amp;"Process &amp; Database\Documentation\Colo Applications"</f>
        <v>D:\OneDrive - apollo-towers.com\Apollo Towers\00-Process &amp; Database\Documentation\Colo Applications</v>
      </c>
      <c r="BH262" s="104" t="str">
        <f ca="1">_05preva_view43[Folder Path2]&amp;"\Colo App "&amp;_05preva_view43[[#This Row],[Operator]]&amp;"\"</f>
        <v>D:\OneDrive - apollo-towers.com\Apollo Towers\00-Process &amp; Database\Documentation\Colo Applications\Colo App MPT\</v>
      </c>
      <c r="BI262" s="63" t="str">
        <f ca="1">_05preva_view43[[#This Row],[Folder Path3]]&amp;_05preva_view43[[#This Row],[File Name]]</f>
        <v>D:\OneDrive - apollo-towers.com\Apollo Towers\00-Process &amp; Database\Documentation\Colo Applications\Colo App MPT\1-01-05027-009 (SGG00227) Application Rev 2.xlsx</v>
      </c>
      <c r="BJ262" s="104"/>
      <c r="BK262" s="3"/>
      <c r="BL262" s="3"/>
      <c r="CJ262" s="5"/>
      <c r="CK262" s="5"/>
      <c r="CL262" s="3"/>
      <c r="CN262" s="5"/>
      <c r="CR262" s="3"/>
      <c r="CS262" s="3"/>
      <c r="CT262" s="5"/>
      <c r="CV262" s="3"/>
      <c r="DR262" s="5"/>
      <c r="DT262" s="3"/>
      <c r="EF262" s="7"/>
      <c r="EG262" s="7"/>
      <c r="EJ262" s="4"/>
      <c r="EK262" s="4"/>
      <c r="EU262" s="2"/>
      <c r="EV262" s="2"/>
    </row>
    <row r="263" spans="1:152">
      <c r="A263" s="125">
        <v>3373</v>
      </c>
      <c r="B263" s="126" t="s">
        <v>1051</v>
      </c>
      <c r="C263" s="126" t="s">
        <v>331</v>
      </c>
      <c r="D263" s="126" t="s">
        <v>117</v>
      </c>
      <c r="E263" s="126" t="s">
        <v>1052</v>
      </c>
      <c r="F263" s="126" t="s">
        <v>35</v>
      </c>
      <c r="G263" s="126" t="s">
        <v>1583</v>
      </c>
      <c r="H263" s="126" t="s">
        <v>1575</v>
      </c>
      <c r="I263" s="126" t="s">
        <v>1053</v>
      </c>
      <c r="J263" s="126" t="s">
        <v>957</v>
      </c>
      <c r="K263" s="127">
        <v>43389</v>
      </c>
      <c r="L263" s="128"/>
      <c r="M263" s="128">
        <v>3.4</v>
      </c>
      <c r="N263" s="126">
        <v>4.1859999999999999</v>
      </c>
      <c r="O263" s="126" t="s">
        <v>950</v>
      </c>
      <c r="P263" s="129" t="s">
        <v>958</v>
      </c>
      <c r="Q263" s="129" t="s">
        <v>959</v>
      </c>
      <c r="R263" s="126" t="s">
        <v>24</v>
      </c>
      <c r="S263" s="126"/>
      <c r="T263" s="130" t="s">
        <v>861</v>
      </c>
      <c r="U263" s="126"/>
      <c r="V263" s="130" t="s">
        <v>861</v>
      </c>
      <c r="W263" s="126"/>
      <c r="X263" s="130" t="s">
        <v>120</v>
      </c>
      <c r="Y263" s="126" t="s">
        <v>1054</v>
      </c>
      <c r="Z263" s="162" t="s">
        <v>120</v>
      </c>
      <c r="AA263" s="154"/>
      <c r="AB263" s="154"/>
      <c r="AC263" s="167" t="s">
        <v>123</v>
      </c>
      <c r="AD263" s="126" t="s">
        <v>1055</v>
      </c>
      <c r="AE263" s="130" t="s">
        <v>861</v>
      </c>
      <c r="AF263" s="127"/>
      <c r="AG263" s="131"/>
      <c r="AH263" s="131"/>
      <c r="AI263" s="126"/>
      <c r="AJ263" s="130" t="s">
        <v>861</v>
      </c>
      <c r="AK263" s="126"/>
      <c r="AL263" s="126"/>
      <c r="AM263" s="130"/>
      <c r="AN263" s="126"/>
      <c r="AO263" s="132"/>
      <c r="AP263" s="126"/>
      <c r="AQ263" s="126"/>
      <c r="AR263" s="130"/>
      <c r="AS263" s="126"/>
      <c r="AT263" s="127"/>
      <c r="AU263" s="127"/>
      <c r="AV263" s="127"/>
      <c r="AW263" s="127"/>
      <c r="AX263" s="127"/>
      <c r="AY263" s="127"/>
      <c r="AZ263" s="133">
        <v>43389</v>
      </c>
      <c r="BA26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3" s="135">
        <f>COUNTIFS(_05preva_view43[Site ID],_05preva_view43[[#This Row],[Site ID]],_05preva_view43[Prevalidation Status],"Under Prevalidation")</f>
        <v>0</v>
      </c>
      <c r="BC263" s="153" t="str">
        <f ca="1">HYPERLINK(CheckPath(_05preva_view43[[#This Row],[File Path]],_05preva_view43[[#This Row],[File Path]],_05preva_view43[[#This Row],[Folder Path3]]),CheckPath(_05preva_view43[[#This Row],[File Path]],"Open File","No File"))</f>
        <v>No File</v>
      </c>
      <c r="BD263" s="136" t="str">
        <f>CONCATENATE(_05preva_view43[[#This Row],[Site ID]]," (",_05preva_view43[[#This Row],[tenant id]],") Application",IF(_05preva_view43[[#This Row],[Colo Rev]]&gt;0," Rev "&amp;_05preva_view43[[#This Row],[Colo Rev]],""),".xlsx")</f>
        <v>1-01-14001-005 (SHS00183) Application Rev 4.xlsx</v>
      </c>
      <c r="BE263" s="64">
        <f t="shared" ca="1" si="5"/>
        <v>50</v>
      </c>
      <c r="BF263" s="104" t="str">
        <f ca="1">LEFT(CELL("filename",A248),_05preva_view43[[#This Row],[Find Process &amp; Database]]-1)</f>
        <v>D:\OneDrive - apollo-towers.com\Apollo Towers\00-</v>
      </c>
      <c r="BG263" s="104" t="str">
        <f ca="1">_05preva_view43[Folder Path1]&amp;"Process &amp; Database\Documentation\Colo Applications"</f>
        <v>D:\OneDrive - apollo-towers.com\Apollo Towers\00-Process &amp; Database\Documentation\Colo Applications</v>
      </c>
      <c r="BH263" s="104" t="str">
        <f ca="1">_05preva_view43[Folder Path2]&amp;"\Colo App "&amp;_05preva_view43[[#This Row],[Operator]]&amp;"\"</f>
        <v>D:\OneDrive - apollo-towers.com\Apollo Towers\00-Process &amp; Database\Documentation\Colo Applications\Colo App MPT\</v>
      </c>
      <c r="BI263" s="63" t="str">
        <f ca="1">_05preva_view43[[#This Row],[Folder Path3]]&amp;_05preva_view43[[#This Row],[File Name]]</f>
        <v>D:\OneDrive - apollo-towers.com\Apollo Towers\00-Process &amp; Database\Documentation\Colo Applications\Colo App MPT\1-01-14001-005 (SHS00183) Application Rev 4.xlsx</v>
      </c>
      <c r="BJ263" s="104"/>
      <c r="BK263" s="3"/>
      <c r="BL263" s="3"/>
      <c r="CJ263" s="5"/>
      <c r="CK263" s="5"/>
      <c r="CL263" s="3"/>
      <c r="CN263" s="5"/>
      <c r="CR263" s="3"/>
      <c r="CS263" s="3"/>
      <c r="CT263" s="5"/>
      <c r="CV263" s="3"/>
      <c r="DR263" s="5"/>
      <c r="DT263" s="3"/>
      <c r="EF263" s="7"/>
      <c r="EG263" s="7"/>
      <c r="EJ263" s="4"/>
      <c r="EK263" s="4"/>
      <c r="EU263" s="2"/>
      <c r="EV263" s="2"/>
    </row>
    <row r="264" spans="1:152">
      <c r="A264" s="125">
        <v>3374</v>
      </c>
      <c r="B264" s="126" t="s">
        <v>1056</v>
      </c>
      <c r="C264" s="126" t="s">
        <v>331</v>
      </c>
      <c r="D264" s="126" t="s">
        <v>127</v>
      </c>
      <c r="E264" s="126" t="s">
        <v>1057</v>
      </c>
      <c r="F264" s="126" t="s">
        <v>35</v>
      </c>
      <c r="G264" s="126" t="s">
        <v>1583</v>
      </c>
      <c r="H264" s="126" t="s">
        <v>1575</v>
      </c>
      <c r="I264" s="126" t="s">
        <v>1053</v>
      </c>
      <c r="J264" s="126" t="s">
        <v>990</v>
      </c>
      <c r="K264" s="127">
        <v>43389</v>
      </c>
      <c r="L264" s="128"/>
      <c r="M264" s="128">
        <v>3.7</v>
      </c>
      <c r="N264" s="126">
        <v>5.1020000000000003</v>
      </c>
      <c r="O264" s="126" t="s">
        <v>950</v>
      </c>
      <c r="P264" s="129" t="s">
        <v>958</v>
      </c>
      <c r="Q264" s="129" t="s">
        <v>959</v>
      </c>
      <c r="R264" s="126" t="s">
        <v>24</v>
      </c>
      <c r="S264" s="126"/>
      <c r="T264" s="130" t="s">
        <v>861</v>
      </c>
      <c r="U264" s="126"/>
      <c r="V264" s="130" t="s">
        <v>861</v>
      </c>
      <c r="W264" s="126"/>
      <c r="X264" s="130" t="s">
        <v>120</v>
      </c>
      <c r="Y264" s="126" t="s">
        <v>1058</v>
      </c>
      <c r="Z264" s="162" t="s">
        <v>861</v>
      </c>
      <c r="AA264" s="154"/>
      <c r="AB264" s="154"/>
      <c r="AC264" s="167"/>
      <c r="AD264" s="126"/>
      <c r="AE264" s="130" t="s">
        <v>861</v>
      </c>
      <c r="AF264" s="127"/>
      <c r="AG264" s="131"/>
      <c r="AH264" s="131"/>
      <c r="AI264" s="126"/>
      <c r="AJ264" s="130" t="s">
        <v>861</v>
      </c>
      <c r="AK264" s="126"/>
      <c r="AL264" s="126"/>
      <c r="AM264" s="130"/>
      <c r="AN264" s="126"/>
      <c r="AO264" s="132"/>
      <c r="AP264" s="126"/>
      <c r="AQ264" s="126"/>
      <c r="AR264" s="130"/>
      <c r="AS264" s="126"/>
      <c r="AT264" s="127">
        <v>43420.4857730324</v>
      </c>
      <c r="AU264" s="127"/>
      <c r="AV264" s="127"/>
      <c r="AW264" s="127"/>
      <c r="AX264" s="127"/>
      <c r="AY264" s="127"/>
      <c r="AZ264" s="133">
        <v>43420.4857730324</v>
      </c>
      <c r="BA264" s="134">
        <f ca="1">IF(_05preva_view43[[#This Row],[Prevalidation Status]]="Under Prevalidation",NOW()-_05preva_view43[[#This Row],[Request Date]],IF(_05preva_view43[[#This Row],[Close Date]]&gt;_05preva_view43[[#This Row],[Request Date]],_05preva_view43[[#This Row],[Close Date]]-_05preva_view43[[#This Row],[Request Date]],"Not  Calculated"))</f>
        <v>31.485773032400175</v>
      </c>
      <c r="BB264" s="135">
        <f>COUNTIFS(_05preva_view43[Site ID],_05preva_view43[[#This Row],[Site ID]],_05preva_view43[Prevalidation Status],"Under Prevalidation")</f>
        <v>0</v>
      </c>
      <c r="BC264" s="153" t="str">
        <f ca="1">HYPERLINK(CheckPath(_05preva_view43[[#This Row],[File Path]],_05preva_view43[[#This Row],[File Path]],_05preva_view43[[#This Row],[Folder Path3]]),CheckPath(_05preva_view43[[#This Row],[File Path]],"Open File","No File"))</f>
        <v>No File</v>
      </c>
      <c r="BD264" s="136" t="str">
        <f>CONCATENATE(_05preva_view43[[#This Row],[Site ID]]," (",_05preva_view43[[#This Row],[tenant id]],") Application",IF(_05preva_view43[[#This Row],[Colo Rev]]&gt;0," Rev "&amp;_05preva_view43[[#This Row],[Colo Rev]],""),".xlsx")</f>
        <v>1-01-01009-013 (KCN00152) Application Rev 3.xlsx</v>
      </c>
      <c r="BE264" s="64">
        <f t="shared" ca="1" si="5"/>
        <v>50</v>
      </c>
      <c r="BF264" s="104" t="str">
        <f ca="1">LEFT(CELL("filename",A249),_05preva_view43[[#This Row],[Find Process &amp; Database]]-1)</f>
        <v>D:\OneDrive - apollo-towers.com\Apollo Towers\00-</v>
      </c>
      <c r="BG264" s="104" t="str">
        <f ca="1">_05preva_view43[Folder Path1]&amp;"Process &amp; Database\Documentation\Colo Applications"</f>
        <v>D:\OneDrive - apollo-towers.com\Apollo Towers\00-Process &amp; Database\Documentation\Colo Applications</v>
      </c>
      <c r="BH264" s="104" t="str">
        <f ca="1">_05preva_view43[Folder Path2]&amp;"\Colo App "&amp;_05preva_view43[[#This Row],[Operator]]&amp;"\"</f>
        <v>D:\OneDrive - apollo-towers.com\Apollo Towers\00-Process &amp; Database\Documentation\Colo Applications\Colo App MPT\</v>
      </c>
      <c r="BI264" s="63" t="str">
        <f ca="1">_05preva_view43[[#This Row],[Folder Path3]]&amp;_05preva_view43[[#This Row],[File Name]]</f>
        <v>D:\OneDrive - apollo-towers.com\Apollo Towers\00-Process &amp; Database\Documentation\Colo Applications\Colo App MPT\1-01-01009-013 (KCN00152) Application Rev 3.xlsx</v>
      </c>
      <c r="BJ264" s="104"/>
      <c r="BK264" s="3"/>
      <c r="BL264" s="3"/>
      <c r="CJ264" s="5"/>
      <c r="CK264" s="5"/>
      <c r="CL264" s="3"/>
      <c r="CN264" s="5"/>
      <c r="CR264" s="3"/>
      <c r="CS264" s="3"/>
      <c r="CT264" s="5"/>
      <c r="CV264" s="3"/>
      <c r="DR264" s="5"/>
      <c r="DT264" s="3"/>
      <c r="EF264" s="7"/>
      <c r="EG264" s="7"/>
      <c r="EJ264" s="4"/>
      <c r="EK264" s="4"/>
      <c r="EU264" s="2"/>
      <c r="EV264" s="2"/>
    </row>
    <row r="265" spans="1:152">
      <c r="A265" s="125">
        <v>3352</v>
      </c>
      <c r="B265" s="126" t="s">
        <v>946</v>
      </c>
      <c r="C265" s="126" t="s">
        <v>331</v>
      </c>
      <c r="D265" s="126" t="s">
        <v>127</v>
      </c>
      <c r="E265" s="126" t="s">
        <v>947</v>
      </c>
      <c r="F265" s="126" t="s">
        <v>35</v>
      </c>
      <c r="G265" s="126" t="s">
        <v>1583</v>
      </c>
      <c r="H265" s="126" t="s">
        <v>1575</v>
      </c>
      <c r="I265" s="126" t="s">
        <v>948</v>
      </c>
      <c r="J265" s="126" t="s">
        <v>949</v>
      </c>
      <c r="K265" s="127">
        <v>43388</v>
      </c>
      <c r="L265" s="128"/>
      <c r="M265" s="128">
        <v>1.4</v>
      </c>
      <c r="N265" s="126">
        <v>5.24</v>
      </c>
      <c r="O265" s="126" t="s">
        <v>950</v>
      </c>
      <c r="P265" s="129" t="s">
        <v>833</v>
      </c>
      <c r="Q265" s="129" t="s">
        <v>951</v>
      </c>
      <c r="R265" s="126" t="s">
        <v>24</v>
      </c>
      <c r="S265" s="126"/>
      <c r="T265" s="130" t="s">
        <v>861</v>
      </c>
      <c r="U265" s="126"/>
      <c r="V265" s="130" t="s">
        <v>861</v>
      </c>
      <c r="W265" s="126"/>
      <c r="X265" s="130" t="s">
        <v>120</v>
      </c>
      <c r="Y265" s="126" t="s">
        <v>952</v>
      </c>
      <c r="Z265" s="162" t="s">
        <v>120</v>
      </c>
      <c r="AA265" s="154"/>
      <c r="AB265" s="154"/>
      <c r="AC265" s="167" t="s">
        <v>123</v>
      </c>
      <c r="AD265" s="126" t="s">
        <v>953</v>
      </c>
      <c r="AE265" s="130" t="s">
        <v>861</v>
      </c>
      <c r="AF265" s="127"/>
      <c r="AG265" s="131"/>
      <c r="AH265" s="131"/>
      <c r="AI265" s="126"/>
      <c r="AJ265" s="130" t="s">
        <v>861</v>
      </c>
      <c r="AK265" s="126"/>
      <c r="AL265" s="126"/>
      <c r="AM265" s="130"/>
      <c r="AN265" s="126"/>
      <c r="AO265" s="132"/>
      <c r="AP265" s="126"/>
      <c r="AQ265" s="126"/>
      <c r="AR265" s="130"/>
      <c r="AS265" s="126"/>
      <c r="AT265" s="127"/>
      <c r="AU265" s="127"/>
      <c r="AV265" s="127"/>
      <c r="AW265" s="127"/>
      <c r="AX265" s="127"/>
      <c r="AY265" s="127"/>
      <c r="AZ265" s="133">
        <v>43388</v>
      </c>
      <c r="BA26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5" s="135">
        <f>COUNTIFS(_05preva_view43[Site ID],_05preva_view43[[#This Row],[Site ID]],_05preva_view43[Prevalidation Status],"Under Prevalidation")</f>
        <v>0</v>
      </c>
      <c r="BC265" s="153" t="str">
        <f ca="1">HYPERLINK(CheckPath(_05preva_view43[[#This Row],[File Path]],_05preva_view43[[#This Row],[File Path]],_05preva_view43[[#This Row],[Folder Path3]]),CheckPath(_05preva_view43[[#This Row],[File Path]],"Open File","No File"))</f>
        <v>No File</v>
      </c>
      <c r="BD265" s="136" t="str">
        <f>CONCATENATE(_05preva_view43[[#This Row],[Site ID]]," (",_05preva_view43[[#This Row],[tenant id]],") Application",IF(_05preva_view43[[#This Row],[Colo Rev]]&gt;0," Rev "&amp;_05preva_view43[[#This Row],[Colo Rev]],""),".xlsx")</f>
        <v>1-01-05027-002 (SGG00113) Application Rev 2.xlsx</v>
      </c>
      <c r="BE265" s="64">
        <f t="shared" ca="1" si="5"/>
        <v>50</v>
      </c>
      <c r="BF265" s="104" t="str">
        <f ca="1">LEFT(CELL("filename",A250),_05preva_view43[[#This Row],[Find Process &amp; Database]]-1)</f>
        <v>D:\OneDrive - apollo-towers.com\Apollo Towers\00-</v>
      </c>
      <c r="BG265" s="104" t="str">
        <f ca="1">_05preva_view43[Folder Path1]&amp;"Process &amp; Database\Documentation\Colo Applications"</f>
        <v>D:\OneDrive - apollo-towers.com\Apollo Towers\00-Process &amp; Database\Documentation\Colo Applications</v>
      </c>
      <c r="BH265" s="104" t="str">
        <f ca="1">_05preva_view43[Folder Path2]&amp;"\Colo App "&amp;_05preva_view43[[#This Row],[Operator]]&amp;"\"</f>
        <v>D:\OneDrive - apollo-towers.com\Apollo Towers\00-Process &amp; Database\Documentation\Colo Applications\Colo App MPT\</v>
      </c>
      <c r="BI265" s="63" t="str">
        <f ca="1">_05preva_view43[[#This Row],[Folder Path3]]&amp;_05preva_view43[[#This Row],[File Name]]</f>
        <v>D:\OneDrive - apollo-towers.com\Apollo Towers\00-Process &amp; Database\Documentation\Colo Applications\Colo App MPT\1-01-05027-002 (SGG00113) Application Rev 2.xlsx</v>
      </c>
      <c r="BJ265" s="104"/>
      <c r="BK265" s="3"/>
      <c r="BL265" s="3"/>
      <c r="CJ265" s="5"/>
      <c r="CK265" s="5"/>
      <c r="CL265" s="3"/>
      <c r="CN265" s="5"/>
      <c r="CR265" s="3"/>
      <c r="CS265" s="3"/>
      <c r="CT265" s="5"/>
      <c r="CV265" s="3"/>
      <c r="DR265" s="5"/>
      <c r="DT265" s="3"/>
      <c r="EF265" s="7"/>
      <c r="EG265" s="7"/>
      <c r="EJ265" s="4"/>
      <c r="EK265" s="4"/>
      <c r="EU265" s="2"/>
      <c r="EV265" s="2"/>
    </row>
    <row r="266" spans="1:152">
      <c r="A266" s="125">
        <v>3353</v>
      </c>
      <c r="B266" s="126" t="s">
        <v>954</v>
      </c>
      <c r="C266" s="126" t="s">
        <v>331</v>
      </c>
      <c r="D266" s="126" t="s">
        <v>117</v>
      </c>
      <c r="E266" s="126" t="s">
        <v>955</v>
      </c>
      <c r="F266" s="126" t="s">
        <v>35</v>
      </c>
      <c r="G266" s="126" t="s">
        <v>1583</v>
      </c>
      <c r="H266" s="126" t="s">
        <v>1575</v>
      </c>
      <c r="I266" s="126" t="s">
        <v>956</v>
      </c>
      <c r="J266" s="126" t="s">
        <v>957</v>
      </c>
      <c r="K266" s="127">
        <v>43388</v>
      </c>
      <c r="L266" s="128"/>
      <c r="M266" s="128">
        <v>4.3</v>
      </c>
      <c r="N266" s="126">
        <v>4.55</v>
      </c>
      <c r="O266" s="126" t="s">
        <v>950</v>
      </c>
      <c r="P266" s="129" t="s">
        <v>958</v>
      </c>
      <c r="Q266" s="129" t="s">
        <v>959</v>
      </c>
      <c r="R266" s="126" t="s">
        <v>24</v>
      </c>
      <c r="S266" s="126"/>
      <c r="T266" s="130" t="s">
        <v>861</v>
      </c>
      <c r="U266" s="126"/>
      <c r="V266" s="130" t="s">
        <v>861</v>
      </c>
      <c r="W266" s="126"/>
      <c r="X266" s="130" t="s">
        <v>120</v>
      </c>
      <c r="Y266" s="126" t="s">
        <v>960</v>
      </c>
      <c r="Z266" s="162" t="s">
        <v>120</v>
      </c>
      <c r="AA266" s="154"/>
      <c r="AB266" s="154"/>
      <c r="AC266" s="167" t="s">
        <v>123</v>
      </c>
      <c r="AD266" s="126" t="s">
        <v>961</v>
      </c>
      <c r="AE266" s="130" t="s">
        <v>861</v>
      </c>
      <c r="AF266" s="127"/>
      <c r="AG266" s="131"/>
      <c r="AH266" s="131"/>
      <c r="AI266" s="126"/>
      <c r="AJ266" s="130" t="s">
        <v>861</v>
      </c>
      <c r="AK266" s="126"/>
      <c r="AL266" s="126"/>
      <c r="AM266" s="130"/>
      <c r="AN266" s="126"/>
      <c r="AO266" s="132"/>
      <c r="AP266" s="126"/>
      <c r="AQ266" s="126"/>
      <c r="AR266" s="130"/>
      <c r="AS266" s="126"/>
      <c r="AT266" s="127"/>
      <c r="AU266" s="127"/>
      <c r="AV266" s="127"/>
      <c r="AW266" s="127"/>
      <c r="AX266" s="127"/>
      <c r="AY266" s="127"/>
      <c r="AZ266" s="133">
        <v>43388</v>
      </c>
      <c r="BA26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6" s="135">
        <f>COUNTIFS(_05preva_view43[Site ID],_05preva_view43[[#This Row],[Site ID]],_05preva_view43[Prevalidation Status],"Under Prevalidation")</f>
        <v>0</v>
      </c>
      <c r="BC266" s="153" t="str">
        <f ca="1">HYPERLINK(CheckPath(_05preva_view43[[#This Row],[File Path]],_05preva_view43[[#This Row],[File Path]],_05preva_view43[[#This Row],[Folder Path3]]),CheckPath(_05preva_view43[[#This Row],[File Path]],"Open File","No File"))</f>
        <v>No File</v>
      </c>
      <c r="BD266" s="136" t="str">
        <f>CONCATENATE(_05preva_view43[[#This Row],[Site ID]]," (",_05preva_view43[[#This Row],[tenant id]],") Application",IF(_05preva_view43[[#This Row],[Colo Rev]]&gt;0," Rev "&amp;_05preva_view43[[#This Row],[Colo Rev]],""),".xlsx")</f>
        <v>1-01-16011-001 (SHE00089) Application Rev 4.xlsx</v>
      </c>
      <c r="BE266" s="64">
        <f t="shared" ca="1" si="5"/>
        <v>50</v>
      </c>
      <c r="BF266" s="104" t="str">
        <f ca="1">LEFT(CELL("filename",A251),_05preva_view43[[#This Row],[Find Process &amp; Database]]-1)</f>
        <v>D:\OneDrive - apollo-towers.com\Apollo Towers\00-</v>
      </c>
      <c r="BG266" s="104" t="str">
        <f ca="1">_05preva_view43[Folder Path1]&amp;"Process &amp; Database\Documentation\Colo Applications"</f>
        <v>D:\OneDrive - apollo-towers.com\Apollo Towers\00-Process &amp; Database\Documentation\Colo Applications</v>
      </c>
      <c r="BH266" s="104" t="str">
        <f ca="1">_05preva_view43[Folder Path2]&amp;"\Colo App "&amp;_05preva_view43[[#This Row],[Operator]]&amp;"\"</f>
        <v>D:\OneDrive - apollo-towers.com\Apollo Towers\00-Process &amp; Database\Documentation\Colo Applications\Colo App MPT\</v>
      </c>
      <c r="BI266" s="63" t="str">
        <f ca="1">_05preva_view43[[#This Row],[Folder Path3]]&amp;_05preva_view43[[#This Row],[File Name]]</f>
        <v>D:\OneDrive - apollo-towers.com\Apollo Towers\00-Process &amp; Database\Documentation\Colo Applications\Colo App MPT\1-01-16011-001 (SHE00089) Application Rev 4.xlsx</v>
      </c>
      <c r="BJ266" s="104"/>
      <c r="BK266" s="3"/>
      <c r="BL266" s="3"/>
      <c r="CJ266" s="5"/>
      <c r="CK266" s="5"/>
      <c r="CL266" s="3"/>
      <c r="CN266" s="5"/>
      <c r="CR266" s="3"/>
      <c r="CS266" s="3"/>
      <c r="CT266" s="5"/>
      <c r="CV266" s="3"/>
      <c r="DR266" s="5"/>
      <c r="DT266" s="3"/>
      <c r="EF266" s="7"/>
      <c r="EG266" s="7"/>
      <c r="EJ266" s="4"/>
      <c r="EK266" s="4"/>
      <c r="EU266" s="2"/>
      <c r="EV266" s="2"/>
    </row>
    <row r="267" spans="1:152">
      <c r="A267" s="125">
        <v>3354</v>
      </c>
      <c r="B267" s="126" t="s">
        <v>962</v>
      </c>
      <c r="C267" s="126" t="s">
        <v>331</v>
      </c>
      <c r="D267" s="126" t="s">
        <v>117</v>
      </c>
      <c r="E267" s="126" t="s">
        <v>963</v>
      </c>
      <c r="F267" s="126" t="s">
        <v>35</v>
      </c>
      <c r="G267" s="126" t="s">
        <v>1583</v>
      </c>
      <c r="H267" s="126" t="s">
        <v>1575</v>
      </c>
      <c r="I267" s="126" t="s">
        <v>956</v>
      </c>
      <c r="J267" s="126" t="s">
        <v>957</v>
      </c>
      <c r="K267" s="127">
        <v>43388</v>
      </c>
      <c r="L267" s="128"/>
      <c r="M267" s="128">
        <v>3.4</v>
      </c>
      <c r="N267" s="126">
        <v>3.59</v>
      </c>
      <c r="O267" s="126" t="s">
        <v>950</v>
      </c>
      <c r="P267" s="129" t="s">
        <v>958</v>
      </c>
      <c r="Q267" s="129" t="s">
        <v>959</v>
      </c>
      <c r="R267" s="126" t="s">
        <v>24</v>
      </c>
      <c r="S267" s="126"/>
      <c r="T267" s="130" t="s">
        <v>861</v>
      </c>
      <c r="U267" s="126"/>
      <c r="V267" s="130" t="s">
        <v>861</v>
      </c>
      <c r="W267" s="126"/>
      <c r="X267" s="130" t="s">
        <v>120</v>
      </c>
      <c r="Y267" s="126" t="s">
        <v>964</v>
      </c>
      <c r="Z267" s="162" t="s">
        <v>120</v>
      </c>
      <c r="AA267" s="154"/>
      <c r="AB267" s="154"/>
      <c r="AC267" s="167" t="s">
        <v>123</v>
      </c>
      <c r="AD267" s="126" t="s">
        <v>965</v>
      </c>
      <c r="AE267" s="130" t="s">
        <v>861</v>
      </c>
      <c r="AF267" s="127"/>
      <c r="AG267" s="131"/>
      <c r="AH267" s="131"/>
      <c r="AI267" s="126"/>
      <c r="AJ267" s="130" t="s">
        <v>861</v>
      </c>
      <c r="AK267" s="126"/>
      <c r="AL267" s="126"/>
      <c r="AM267" s="130"/>
      <c r="AN267" s="126"/>
      <c r="AO267" s="132"/>
      <c r="AP267" s="126"/>
      <c r="AQ267" s="126"/>
      <c r="AR267" s="130"/>
      <c r="AS267" s="126"/>
      <c r="AT267" s="127"/>
      <c r="AU267" s="127"/>
      <c r="AV267" s="127"/>
      <c r="AW267" s="127"/>
      <c r="AX267" s="127"/>
      <c r="AY267" s="127"/>
      <c r="AZ267" s="133">
        <v>43388</v>
      </c>
      <c r="BA26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7" s="135">
        <f>COUNTIFS(_05preva_view43[Site ID],_05preva_view43[[#This Row],[Site ID]],_05preva_view43[Prevalidation Status],"Under Prevalidation")</f>
        <v>0</v>
      </c>
      <c r="BC267" s="153" t="str">
        <f ca="1">HYPERLINK(CheckPath(_05preva_view43[[#This Row],[File Path]],_05preva_view43[[#This Row],[File Path]],_05preva_view43[[#This Row],[Folder Path3]]),CheckPath(_05preva_view43[[#This Row],[File Path]],"Open File","No File"))</f>
        <v>No File</v>
      </c>
      <c r="BD267" s="136" t="str">
        <f>CONCATENATE(_05preva_view43[[#This Row],[Site ID]]," (",_05preva_view43[[#This Row],[tenant id]],") Application",IF(_05preva_view43[[#This Row],[Colo Rev]]&gt;0," Rev "&amp;_05preva_view43[[#This Row],[Colo Rev]],""),".xlsx")</f>
        <v>1-01-14003-002 (SHS00117) Application Rev 4.xlsx</v>
      </c>
      <c r="BE267" s="64">
        <f t="shared" ca="1" si="5"/>
        <v>50</v>
      </c>
      <c r="BF267" s="104" t="str">
        <f ca="1">LEFT(CELL("filename",A252),_05preva_view43[[#This Row],[Find Process &amp; Database]]-1)</f>
        <v>D:\OneDrive - apollo-towers.com\Apollo Towers\00-</v>
      </c>
      <c r="BG267" s="104" t="str">
        <f ca="1">_05preva_view43[Folder Path1]&amp;"Process &amp; Database\Documentation\Colo Applications"</f>
        <v>D:\OneDrive - apollo-towers.com\Apollo Towers\00-Process &amp; Database\Documentation\Colo Applications</v>
      </c>
      <c r="BH267" s="104" t="str">
        <f ca="1">_05preva_view43[Folder Path2]&amp;"\Colo App "&amp;_05preva_view43[[#This Row],[Operator]]&amp;"\"</f>
        <v>D:\OneDrive - apollo-towers.com\Apollo Towers\00-Process &amp; Database\Documentation\Colo Applications\Colo App MPT\</v>
      </c>
      <c r="BI267" s="63" t="str">
        <f ca="1">_05preva_view43[[#This Row],[Folder Path3]]&amp;_05preva_view43[[#This Row],[File Name]]</f>
        <v>D:\OneDrive - apollo-towers.com\Apollo Towers\00-Process &amp; Database\Documentation\Colo Applications\Colo App MPT\1-01-14003-002 (SHS00117) Application Rev 4.xlsx</v>
      </c>
      <c r="BJ267" s="104"/>
      <c r="BK267" s="3"/>
      <c r="BL267" s="3"/>
      <c r="CJ267" s="5"/>
      <c r="CK267" s="5"/>
      <c r="CL267" s="3"/>
      <c r="CN267" s="5"/>
      <c r="CR267" s="3"/>
      <c r="CS267" s="3"/>
      <c r="CT267" s="5"/>
      <c r="CV267" s="3"/>
      <c r="DR267" s="5"/>
      <c r="DT267" s="3"/>
      <c r="EF267" s="7"/>
      <c r="EG267" s="7"/>
      <c r="EJ267" s="4"/>
      <c r="EK267" s="4"/>
      <c r="EU267" s="2"/>
      <c r="EV267" s="2"/>
    </row>
    <row r="268" spans="1:152">
      <c r="A268" s="125">
        <v>3355</v>
      </c>
      <c r="B268" s="126" t="s">
        <v>966</v>
      </c>
      <c r="C268" s="126" t="s">
        <v>331</v>
      </c>
      <c r="D268" s="126" t="s">
        <v>117</v>
      </c>
      <c r="E268" s="126" t="s">
        <v>967</v>
      </c>
      <c r="F268" s="126" t="s">
        <v>35</v>
      </c>
      <c r="G268" s="126" t="s">
        <v>1583</v>
      </c>
      <c r="H268" s="126" t="s">
        <v>1575</v>
      </c>
      <c r="I268" s="126" t="s">
        <v>956</v>
      </c>
      <c r="J268" s="126" t="s">
        <v>949</v>
      </c>
      <c r="K268" s="127">
        <v>43388</v>
      </c>
      <c r="L268" s="128"/>
      <c r="M268" s="128">
        <v>3.9</v>
      </c>
      <c r="N268" s="126">
        <v>3.37</v>
      </c>
      <c r="O268" s="126" t="s">
        <v>950</v>
      </c>
      <c r="P268" s="129" t="s">
        <v>968</v>
      </c>
      <c r="Q268" s="129" t="s">
        <v>969</v>
      </c>
      <c r="R268" s="126" t="s">
        <v>24</v>
      </c>
      <c r="S268" s="126"/>
      <c r="T268" s="130" t="s">
        <v>861</v>
      </c>
      <c r="U268" s="126"/>
      <c r="V268" s="130" t="s">
        <v>861</v>
      </c>
      <c r="W268" s="126"/>
      <c r="X268" s="130" t="s">
        <v>120</v>
      </c>
      <c r="Y268" s="126" t="s">
        <v>970</v>
      </c>
      <c r="Z268" s="162" t="s">
        <v>120</v>
      </c>
      <c r="AA268" s="154"/>
      <c r="AB268" s="154"/>
      <c r="AC268" s="167" t="s">
        <v>123</v>
      </c>
      <c r="AD268" s="126" t="s">
        <v>971</v>
      </c>
      <c r="AE268" s="130" t="s">
        <v>861</v>
      </c>
      <c r="AF268" s="127"/>
      <c r="AG268" s="131"/>
      <c r="AH268" s="131"/>
      <c r="AI268" s="126"/>
      <c r="AJ268" s="130" t="s">
        <v>861</v>
      </c>
      <c r="AK268" s="126"/>
      <c r="AL268" s="126"/>
      <c r="AM268" s="130"/>
      <c r="AN268" s="126"/>
      <c r="AO268" s="132"/>
      <c r="AP268" s="126"/>
      <c r="AQ268" s="126"/>
      <c r="AR268" s="130"/>
      <c r="AS268" s="126"/>
      <c r="AT268" s="127"/>
      <c r="AU268" s="127"/>
      <c r="AV268" s="127"/>
      <c r="AW268" s="127"/>
      <c r="AX268" s="127"/>
      <c r="AY268" s="127"/>
      <c r="AZ268" s="133">
        <v>43388</v>
      </c>
      <c r="BA26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8" s="135">
        <f>COUNTIFS(_05preva_view43[Site ID],_05preva_view43[[#This Row],[Site ID]],_05preva_view43[Prevalidation Status],"Under Prevalidation")</f>
        <v>0</v>
      </c>
      <c r="BC268" s="153" t="str">
        <f ca="1">HYPERLINK(CheckPath(_05preva_view43[[#This Row],[File Path]],_05preva_view43[[#This Row],[File Path]],_05preva_view43[[#This Row],[Folder Path3]]),CheckPath(_05preva_view43[[#This Row],[File Path]],"Open File","No File"))</f>
        <v>No File</v>
      </c>
      <c r="BD268" s="136" t="str">
        <f>CONCATENATE(_05preva_view43[[#This Row],[Site ID]]," (",_05preva_view43[[#This Row],[tenant id]],") Application",IF(_05preva_view43[[#This Row],[Colo Rev]]&gt;0," Rev "&amp;_05preva_view43[[#This Row],[Colo Rev]],""),".xlsx")</f>
        <v>1-01-14013-002 (SHS00185) Application Rev 2.xlsx</v>
      </c>
      <c r="BE268" s="64">
        <f t="shared" ca="1" si="5"/>
        <v>50</v>
      </c>
      <c r="BF268" s="104" t="str">
        <f ca="1">LEFT(CELL("filename",A253),_05preva_view43[[#This Row],[Find Process &amp; Database]]-1)</f>
        <v>D:\OneDrive - apollo-towers.com\Apollo Towers\00-</v>
      </c>
      <c r="BG268" s="104" t="str">
        <f ca="1">_05preva_view43[Folder Path1]&amp;"Process &amp; Database\Documentation\Colo Applications"</f>
        <v>D:\OneDrive - apollo-towers.com\Apollo Towers\00-Process &amp; Database\Documentation\Colo Applications</v>
      </c>
      <c r="BH268" s="104" t="str">
        <f ca="1">_05preva_view43[Folder Path2]&amp;"\Colo App "&amp;_05preva_view43[[#This Row],[Operator]]&amp;"\"</f>
        <v>D:\OneDrive - apollo-towers.com\Apollo Towers\00-Process &amp; Database\Documentation\Colo Applications\Colo App MPT\</v>
      </c>
      <c r="BI268" s="63" t="str">
        <f ca="1">_05preva_view43[[#This Row],[Folder Path3]]&amp;_05preva_view43[[#This Row],[File Name]]</f>
        <v>D:\OneDrive - apollo-towers.com\Apollo Towers\00-Process &amp; Database\Documentation\Colo Applications\Colo App MPT\1-01-14013-002 (SHS00185) Application Rev 2.xlsx</v>
      </c>
      <c r="BJ268" s="104"/>
      <c r="BK268" s="3"/>
      <c r="BL268" s="3"/>
      <c r="CJ268" s="5"/>
      <c r="CK268" s="5"/>
      <c r="CL268" s="3"/>
      <c r="CN268" s="5"/>
      <c r="CR268" s="3"/>
      <c r="CS268" s="3"/>
      <c r="CT268" s="5"/>
      <c r="CV268" s="3"/>
      <c r="DR268" s="5"/>
      <c r="DT268" s="3"/>
      <c r="EF268" s="7"/>
      <c r="EG268" s="7"/>
      <c r="EJ268" s="4"/>
      <c r="EK268" s="4"/>
      <c r="EU268" s="2"/>
      <c r="EV268" s="2"/>
    </row>
    <row r="269" spans="1:152">
      <c r="A269" s="125">
        <v>3356</v>
      </c>
      <c r="B269" s="126" t="s">
        <v>972</v>
      </c>
      <c r="C269" s="126" t="s">
        <v>331</v>
      </c>
      <c r="D269" s="126" t="s">
        <v>163</v>
      </c>
      <c r="E269" s="126" t="s">
        <v>973</v>
      </c>
      <c r="F269" s="126" t="s">
        <v>35</v>
      </c>
      <c r="G269" s="126" t="s">
        <v>1583</v>
      </c>
      <c r="H269" s="126" t="s">
        <v>1575</v>
      </c>
      <c r="I269" s="126" t="s">
        <v>956</v>
      </c>
      <c r="J269" s="126" t="s">
        <v>957</v>
      </c>
      <c r="K269" s="127">
        <v>43388</v>
      </c>
      <c r="L269" s="128"/>
      <c r="M269" s="128">
        <v>3.3</v>
      </c>
      <c r="N269" s="126">
        <v>4.3099999999999996</v>
      </c>
      <c r="O269" s="126" t="s">
        <v>950</v>
      </c>
      <c r="P269" s="129" t="s">
        <v>958</v>
      </c>
      <c r="Q269" s="129" t="s">
        <v>959</v>
      </c>
      <c r="R269" s="126" t="s">
        <v>24</v>
      </c>
      <c r="S269" s="126"/>
      <c r="T269" s="130" t="s">
        <v>861</v>
      </c>
      <c r="U269" s="126"/>
      <c r="V269" s="130" t="s">
        <v>861</v>
      </c>
      <c r="W269" s="126"/>
      <c r="X269" s="130" t="s">
        <v>120</v>
      </c>
      <c r="Y269" s="126" t="s">
        <v>974</v>
      </c>
      <c r="Z269" s="162" t="s">
        <v>120</v>
      </c>
      <c r="AA269" s="154"/>
      <c r="AB269" s="154"/>
      <c r="AC269" s="167" t="s">
        <v>123</v>
      </c>
      <c r="AD269" s="126" t="s">
        <v>975</v>
      </c>
      <c r="AE269" s="130" t="s">
        <v>861</v>
      </c>
      <c r="AF269" s="127"/>
      <c r="AG269" s="131"/>
      <c r="AH269" s="131"/>
      <c r="AI269" s="126"/>
      <c r="AJ269" s="130" t="s">
        <v>861</v>
      </c>
      <c r="AK269" s="126"/>
      <c r="AL269" s="126"/>
      <c r="AM269" s="130"/>
      <c r="AN269" s="126"/>
      <c r="AO269" s="132"/>
      <c r="AP269" s="126"/>
      <c r="AQ269" s="126"/>
      <c r="AR269" s="130"/>
      <c r="AS269" s="126"/>
      <c r="AT269" s="127"/>
      <c r="AU269" s="127"/>
      <c r="AV269" s="127"/>
      <c r="AW269" s="127"/>
      <c r="AX269" s="127"/>
      <c r="AY269" s="127"/>
      <c r="AZ269" s="133">
        <v>43388</v>
      </c>
      <c r="BA26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9" s="135">
        <f>COUNTIFS(_05preva_view43[Site ID],_05preva_view43[[#This Row],[Site ID]],_05preva_view43[Prevalidation Status],"Under Prevalidation")</f>
        <v>0</v>
      </c>
      <c r="BC269" s="153" t="str">
        <f ca="1">HYPERLINK(CheckPath(_05preva_view43[[#This Row],[File Path]],_05preva_view43[[#This Row],[File Path]],_05preva_view43[[#This Row],[Folder Path3]]),CheckPath(_05preva_view43[[#This Row],[File Path]],"Open File","No File"))</f>
        <v>No File</v>
      </c>
      <c r="BD269" s="136" t="str">
        <f>CONCATENATE(_05preva_view43[[#This Row],[Site ID]]," (",_05preva_view43[[#This Row],[tenant id]],") Application",IF(_05preva_view43[[#This Row],[Colo Rev]]&gt;0," Rev "&amp;_05preva_view43[[#This Row],[Colo Rev]],""),".xlsx")</f>
        <v>1-01-06008-002 (TNY00033) Application Rev 4.xlsx</v>
      </c>
      <c r="BE269" s="64">
        <f t="shared" ca="1" si="5"/>
        <v>50</v>
      </c>
      <c r="BF269" s="104" t="str">
        <f ca="1">LEFT(CELL("filename",A254),_05preva_view43[[#This Row],[Find Process &amp; Database]]-1)</f>
        <v>D:\OneDrive - apollo-towers.com\Apollo Towers\00-</v>
      </c>
      <c r="BG269" s="104" t="str">
        <f ca="1">_05preva_view43[Folder Path1]&amp;"Process &amp; Database\Documentation\Colo Applications"</f>
        <v>D:\OneDrive - apollo-towers.com\Apollo Towers\00-Process &amp; Database\Documentation\Colo Applications</v>
      </c>
      <c r="BH269" s="104" t="str">
        <f ca="1">_05preva_view43[Folder Path2]&amp;"\Colo App "&amp;_05preva_view43[[#This Row],[Operator]]&amp;"\"</f>
        <v>D:\OneDrive - apollo-towers.com\Apollo Towers\00-Process &amp; Database\Documentation\Colo Applications\Colo App MPT\</v>
      </c>
      <c r="BI269" s="63" t="str">
        <f ca="1">_05preva_view43[[#This Row],[Folder Path3]]&amp;_05preva_view43[[#This Row],[File Name]]</f>
        <v>D:\OneDrive - apollo-towers.com\Apollo Towers\00-Process &amp; Database\Documentation\Colo Applications\Colo App MPT\1-01-06008-002 (TNY00033) Application Rev 4.xlsx</v>
      </c>
      <c r="BJ269" s="104"/>
      <c r="BK269" s="3"/>
      <c r="BL269" s="3"/>
      <c r="CJ269" s="5"/>
      <c r="CK269" s="5"/>
      <c r="CL269" s="3"/>
      <c r="CN269" s="5"/>
      <c r="CR269" s="3"/>
      <c r="CS269" s="3"/>
      <c r="CT269" s="5"/>
      <c r="CV269" s="3"/>
      <c r="DR269" s="5"/>
      <c r="DT269" s="3"/>
      <c r="EF269" s="7"/>
      <c r="EG269" s="7"/>
      <c r="EJ269" s="4"/>
      <c r="EK269" s="4"/>
      <c r="EU269" s="2"/>
      <c r="EV269" s="2"/>
    </row>
    <row r="270" spans="1:152">
      <c r="A270" s="125">
        <v>3357</v>
      </c>
      <c r="B270" s="126" t="s">
        <v>976</v>
      </c>
      <c r="C270" s="126" t="s">
        <v>331</v>
      </c>
      <c r="D270" s="126" t="s">
        <v>127</v>
      </c>
      <c r="E270" s="126" t="s">
        <v>977</v>
      </c>
      <c r="F270" s="126" t="s">
        <v>35</v>
      </c>
      <c r="G270" s="126" t="s">
        <v>1583</v>
      </c>
      <c r="H270" s="126" t="s">
        <v>1575</v>
      </c>
      <c r="I270" s="126" t="s">
        <v>956</v>
      </c>
      <c r="J270" s="126" t="s">
        <v>949</v>
      </c>
      <c r="K270" s="127">
        <v>43388</v>
      </c>
      <c r="L270" s="128"/>
      <c r="M270" s="128">
        <v>3.5</v>
      </c>
      <c r="N270" s="126">
        <v>4.25</v>
      </c>
      <c r="O270" s="126" t="s">
        <v>950</v>
      </c>
      <c r="P270" s="129" t="s">
        <v>704</v>
      </c>
      <c r="Q270" s="129" t="s">
        <v>705</v>
      </c>
      <c r="R270" s="126" t="s">
        <v>24</v>
      </c>
      <c r="S270" s="126"/>
      <c r="T270" s="130" t="s">
        <v>861</v>
      </c>
      <c r="U270" s="126"/>
      <c r="V270" s="130" t="s">
        <v>861</v>
      </c>
      <c r="W270" s="126"/>
      <c r="X270" s="130" t="s">
        <v>120</v>
      </c>
      <c r="Y270" s="126" t="s">
        <v>978</v>
      </c>
      <c r="Z270" s="162" t="s">
        <v>120</v>
      </c>
      <c r="AA270" s="154"/>
      <c r="AB270" s="154"/>
      <c r="AC270" s="167" t="s">
        <v>123</v>
      </c>
      <c r="AD270" s="126" t="s">
        <v>979</v>
      </c>
      <c r="AE270" s="130" t="s">
        <v>861</v>
      </c>
      <c r="AF270" s="127"/>
      <c r="AG270" s="131"/>
      <c r="AH270" s="131"/>
      <c r="AI270" s="126"/>
      <c r="AJ270" s="130" t="s">
        <v>861</v>
      </c>
      <c r="AK270" s="126"/>
      <c r="AL270" s="126"/>
      <c r="AM270" s="130"/>
      <c r="AN270" s="126"/>
      <c r="AO270" s="132"/>
      <c r="AP270" s="126"/>
      <c r="AQ270" s="126"/>
      <c r="AR270" s="130"/>
      <c r="AS270" s="126"/>
      <c r="AT270" s="127"/>
      <c r="AU270" s="127"/>
      <c r="AV270" s="127"/>
      <c r="AW270" s="127"/>
      <c r="AX270" s="127"/>
      <c r="AY270" s="127"/>
      <c r="AZ270" s="133">
        <v>43388</v>
      </c>
      <c r="BA27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0" s="135">
        <f>COUNTIFS(_05preva_view43[Site ID],_05preva_view43[[#This Row],[Site ID]],_05preva_view43[Prevalidation Status],"Under Prevalidation")</f>
        <v>0</v>
      </c>
      <c r="BC270" s="153" t="str">
        <f ca="1">HYPERLINK(CheckPath(_05preva_view43[[#This Row],[File Path]],_05preva_view43[[#This Row],[File Path]],_05preva_view43[[#This Row],[Folder Path3]]),CheckPath(_05preva_view43[[#This Row],[File Path]],"Open File","No File"))</f>
        <v>No File</v>
      </c>
      <c r="BD270" s="136" t="str">
        <f>CONCATENATE(_05preva_view43[[#This Row],[Site ID]]," (",_05preva_view43[[#This Row],[tenant id]],") Application",IF(_05preva_view43[[#This Row],[Colo Rev]]&gt;0," Rev "&amp;_05preva_view43[[#This Row],[Colo Rev]],""),".xlsx")</f>
        <v>1-01-01002-007 (KCN00293) Application Rev 2.xlsx</v>
      </c>
      <c r="BE270" s="64">
        <f t="shared" ca="1" si="5"/>
        <v>50</v>
      </c>
      <c r="BF270" s="104" t="str">
        <f ca="1">LEFT(CELL("filename",A255),_05preva_view43[[#This Row],[Find Process &amp; Database]]-1)</f>
        <v>D:\OneDrive - apollo-towers.com\Apollo Towers\00-</v>
      </c>
      <c r="BG270" s="104" t="str">
        <f ca="1">_05preva_view43[Folder Path1]&amp;"Process &amp; Database\Documentation\Colo Applications"</f>
        <v>D:\OneDrive - apollo-towers.com\Apollo Towers\00-Process &amp; Database\Documentation\Colo Applications</v>
      </c>
      <c r="BH270" s="104" t="str">
        <f ca="1">_05preva_view43[Folder Path2]&amp;"\Colo App "&amp;_05preva_view43[[#This Row],[Operator]]&amp;"\"</f>
        <v>D:\OneDrive - apollo-towers.com\Apollo Towers\00-Process &amp; Database\Documentation\Colo Applications\Colo App MPT\</v>
      </c>
      <c r="BI270" s="63" t="str">
        <f ca="1">_05preva_view43[[#This Row],[Folder Path3]]&amp;_05preva_view43[[#This Row],[File Name]]</f>
        <v>D:\OneDrive - apollo-towers.com\Apollo Towers\00-Process &amp; Database\Documentation\Colo Applications\Colo App MPT\1-01-01002-007 (KCN00293) Application Rev 2.xlsx</v>
      </c>
      <c r="BJ270" s="104"/>
      <c r="BK270" s="3"/>
      <c r="BL270" s="3"/>
      <c r="CJ270" s="5"/>
      <c r="CK270" s="5"/>
      <c r="CL270" s="3"/>
      <c r="CN270" s="5"/>
      <c r="CR270" s="3"/>
      <c r="CS270" s="3"/>
      <c r="CT270" s="5"/>
      <c r="CV270" s="3"/>
      <c r="DR270" s="5"/>
      <c r="DT270" s="3"/>
      <c r="EF270" s="7"/>
      <c r="EG270" s="7"/>
      <c r="EJ270" s="4"/>
      <c r="EK270" s="4"/>
      <c r="EU270" s="2"/>
      <c r="EV270" s="2"/>
    </row>
    <row r="271" spans="1:152">
      <c r="A271" s="125">
        <v>3358</v>
      </c>
      <c r="B271" s="126" t="s">
        <v>980</v>
      </c>
      <c r="C271" s="126" t="s">
        <v>331</v>
      </c>
      <c r="D271" s="126" t="s">
        <v>163</v>
      </c>
      <c r="E271" s="126" t="s">
        <v>981</v>
      </c>
      <c r="F271" s="126" t="s">
        <v>35</v>
      </c>
      <c r="G271" s="126" t="s">
        <v>1583</v>
      </c>
      <c r="H271" s="126" t="s">
        <v>1575</v>
      </c>
      <c r="I271" s="126" t="s">
        <v>956</v>
      </c>
      <c r="J271" s="126" t="s">
        <v>949</v>
      </c>
      <c r="K271" s="127">
        <v>43388</v>
      </c>
      <c r="L271" s="128"/>
      <c r="M271" s="128">
        <v>2.7</v>
      </c>
      <c r="N271" s="126">
        <v>4.97</v>
      </c>
      <c r="O271" s="126" t="s">
        <v>950</v>
      </c>
      <c r="P271" s="129" t="s">
        <v>704</v>
      </c>
      <c r="Q271" s="129" t="s">
        <v>705</v>
      </c>
      <c r="R271" s="126" t="s">
        <v>24</v>
      </c>
      <c r="S271" s="126"/>
      <c r="T271" s="130" t="s">
        <v>861</v>
      </c>
      <c r="U271" s="126"/>
      <c r="V271" s="130" t="s">
        <v>861</v>
      </c>
      <c r="W271" s="126"/>
      <c r="X271" s="130" t="s">
        <v>120</v>
      </c>
      <c r="Y271" s="126" t="s">
        <v>982</v>
      </c>
      <c r="Z271" s="162" t="s">
        <v>120</v>
      </c>
      <c r="AA271" s="154"/>
      <c r="AB271" s="154"/>
      <c r="AC271" s="167" t="s">
        <v>123</v>
      </c>
      <c r="AD271" s="126" t="s">
        <v>983</v>
      </c>
      <c r="AE271" s="130" t="s">
        <v>861</v>
      </c>
      <c r="AF271" s="127"/>
      <c r="AG271" s="131"/>
      <c r="AH271" s="131"/>
      <c r="AI271" s="126"/>
      <c r="AJ271" s="130" t="s">
        <v>861</v>
      </c>
      <c r="AK271" s="126"/>
      <c r="AL271" s="126"/>
      <c r="AM271" s="130"/>
      <c r="AN271" s="126"/>
      <c r="AO271" s="132"/>
      <c r="AP271" s="126"/>
      <c r="AQ271" s="126"/>
      <c r="AR271" s="130"/>
      <c r="AS271" s="126"/>
      <c r="AT271" s="127"/>
      <c r="AU271" s="127"/>
      <c r="AV271" s="127"/>
      <c r="AW271" s="127"/>
      <c r="AX271" s="127"/>
      <c r="AY271" s="127"/>
      <c r="AZ271" s="133">
        <v>43388</v>
      </c>
      <c r="BA27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1" s="135">
        <f>COUNTIFS(_05preva_view43[Site ID],_05preva_view43[[#This Row],[Site ID]],_05preva_view43[Prevalidation Status],"Under Prevalidation")</f>
        <v>0</v>
      </c>
      <c r="BC271" s="153" t="str">
        <f ca="1">HYPERLINK(CheckPath(_05preva_view43[[#This Row],[File Path]],_05preva_view43[[#This Row],[File Path]],_05preva_view43[[#This Row],[Folder Path3]]),CheckPath(_05preva_view43[[#This Row],[File Path]],"Open File","No File"))</f>
        <v>No File</v>
      </c>
      <c r="BD271" s="136" t="str">
        <f>CONCATENATE(_05preva_view43[[#This Row],[Site ID]]," (",_05preva_view43[[#This Row],[tenant id]],") Application",IF(_05preva_view43[[#This Row],[Colo Rev]]&gt;0," Rev "&amp;_05preva_view43[[#This Row],[Colo Rev]],""),".xlsx")</f>
        <v>1-01-17019-003 (AWD00111) Application Rev 2.xlsx</v>
      </c>
      <c r="BE271" s="64">
        <f t="shared" ca="1" si="5"/>
        <v>50</v>
      </c>
      <c r="BF271" s="104" t="str">
        <f ca="1">LEFT(CELL("filename",A256),_05preva_view43[[#This Row],[Find Process &amp; Database]]-1)</f>
        <v>D:\OneDrive - apollo-towers.com\Apollo Towers\00-</v>
      </c>
      <c r="BG271" s="104" t="str">
        <f ca="1">_05preva_view43[Folder Path1]&amp;"Process &amp; Database\Documentation\Colo Applications"</f>
        <v>D:\OneDrive - apollo-towers.com\Apollo Towers\00-Process &amp; Database\Documentation\Colo Applications</v>
      </c>
      <c r="BH271" s="104" t="str">
        <f ca="1">_05preva_view43[Folder Path2]&amp;"\Colo App "&amp;_05preva_view43[[#This Row],[Operator]]&amp;"\"</f>
        <v>D:\OneDrive - apollo-towers.com\Apollo Towers\00-Process &amp; Database\Documentation\Colo Applications\Colo App MPT\</v>
      </c>
      <c r="BI271" s="63" t="str">
        <f ca="1">_05preva_view43[[#This Row],[Folder Path3]]&amp;_05preva_view43[[#This Row],[File Name]]</f>
        <v>D:\OneDrive - apollo-towers.com\Apollo Towers\00-Process &amp; Database\Documentation\Colo Applications\Colo App MPT\1-01-17019-003 (AWD00111) Application Rev 2.xlsx</v>
      </c>
      <c r="BJ271" s="104"/>
      <c r="BK271" s="3"/>
      <c r="BL271" s="3"/>
      <c r="CJ271" s="5"/>
      <c r="CK271" s="5"/>
      <c r="CL271" s="3"/>
      <c r="CN271" s="5"/>
      <c r="CR271" s="3"/>
      <c r="CS271" s="3"/>
      <c r="CT271" s="5"/>
      <c r="CV271" s="3"/>
      <c r="DR271" s="5"/>
      <c r="DT271" s="3"/>
      <c r="EF271" s="7"/>
      <c r="EG271" s="7"/>
      <c r="EJ271" s="4"/>
      <c r="EK271" s="4"/>
      <c r="EU271" s="2"/>
      <c r="EV271" s="2"/>
    </row>
    <row r="272" spans="1:152">
      <c r="A272" s="125">
        <v>3359</v>
      </c>
      <c r="B272" s="126" t="s">
        <v>984</v>
      </c>
      <c r="C272" s="126" t="s">
        <v>331</v>
      </c>
      <c r="D272" s="126" t="s">
        <v>127</v>
      </c>
      <c r="E272" s="126" t="s">
        <v>985</v>
      </c>
      <c r="F272" s="126" t="s">
        <v>35</v>
      </c>
      <c r="G272" s="126" t="s">
        <v>1583</v>
      </c>
      <c r="H272" s="126" t="s">
        <v>1575</v>
      </c>
      <c r="I272" s="126" t="s">
        <v>956</v>
      </c>
      <c r="J272" s="126" t="s">
        <v>949</v>
      </c>
      <c r="K272" s="127">
        <v>43388</v>
      </c>
      <c r="L272" s="128"/>
      <c r="M272" s="128">
        <v>2.2999999999999998</v>
      </c>
      <c r="N272" s="126">
        <v>3.11</v>
      </c>
      <c r="O272" s="126" t="s">
        <v>950</v>
      </c>
      <c r="P272" s="129" t="s">
        <v>334</v>
      </c>
      <c r="Q272" s="129" t="s">
        <v>736</v>
      </c>
      <c r="R272" s="126" t="s">
        <v>24</v>
      </c>
      <c r="S272" s="126"/>
      <c r="T272" s="130" t="s">
        <v>861</v>
      </c>
      <c r="U272" s="126"/>
      <c r="V272" s="130" t="s">
        <v>861</v>
      </c>
      <c r="W272" s="126"/>
      <c r="X272" s="130" t="s">
        <v>120</v>
      </c>
      <c r="Y272" s="126" t="s">
        <v>986</v>
      </c>
      <c r="Z272" s="162" t="s">
        <v>120</v>
      </c>
      <c r="AA272" s="154"/>
      <c r="AB272" s="154"/>
      <c r="AC272" s="167" t="s">
        <v>123</v>
      </c>
      <c r="AD272" s="126" t="s">
        <v>987</v>
      </c>
      <c r="AE272" s="130" t="s">
        <v>861</v>
      </c>
      <c r="AF272" s="127"/>
      <c r="AG272" s="131"/>
      <c r="AH272" s="131"/>
      <c r="AI272" s="126"/>
      <c r="AJ272" s="130" t="s">
        <v>861</v>
      </c>
      <c r="AK272" s="126"/>
      <c r="AL272" s="126"/>
      <c r="AM272" s="130"/>
      <c r="AN272" s="126"/>
      <c r="AO272" s="132"/>
      <c r="AP272" s="126"/>
      <c r="AQ272" s="126"/>
      <c r="AR272" s="130"/>
      <c r="AS272" s="126"/>
      <c r="AT272" s="127"/>
      <c r="AU272" s="127"/>
      <c r="AV272" s="127"/>
      <c r="AW272" s="127"/>
      <c r="AX272" s="127"/>
      <c r="AY272" s="127"/>
      <c r="AZ272" s="133">
        <v>43388</v>
      </c>
      <c r="BA27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2" s="135">
        <f>COUNTIFS(_05preva_view43[Site ID],_05preva_view43[[#This Row],[Site ID]],_05preva_view43[Prevalidation Status],"Under Prevalidation")</f>
        <v>0</v>
      </c>
      <c r="BC272" s="153" t="str">
        <f ca="1">HYPERLINK(CheckPath(_05preva_view43[[#This Row],[File Path]],_05preva_view43[[#This Row],[File Path]],_05preva_view43[[#This Row],[Folder Path3]]),CheckPath(_05preva_view43[[#This Row],[File Path]],"Open File","No File"))</f>
        <v>No File</v>
      </c>
      <c r="BD272" s="136" t="str">
        <f>CONCATENATE(_05preva_view43[[#This Row],[Site ID]]," (",_05preva_view43[[#This Row],[tenant id]],") Application",IF(_05preva_view43[[#This Row],[Colo Rev]]&gt;0," Rev "&amp;_05preva_view43[[#This Row],[Colo Rev]],""),".xlsx")</f>
        <v>1-01-05027-008 (SGG00158) Application Rev 2.xlsx</v>
      </c>
      <c r="BE272" s="64">
        <f t="shared" ref="BE272:BE335" ca="1" si="6">FIND("Process &amp; Database\",CELL("filename",$A$1))</f>
        <v>50</v>
      </c>
      <c r="BF272" s="104" t="str">
        <f ca="1">LEFT(CELL("filename",A257),_05preva_view43[[#This Row],[Find Process &amp; Database]]-1)</f>
        <v>D:\OneDrive - apollo-towers.com\Apollo Towers\00-</v>
      </c>
      <c r="BG272" s="104" t="str">
        <f ca="1">_05preva_view43[Folder Path1]&amp;"Process &amp; Database\Documentation\Colo Applications"</f>
        <v>D:\OneDrive - apollo-towers.com\Apollo Towers\00-Process &amp; Database\Documentation\Colo Applications</v>
      </c>
      <c r="BH272" s="104" t="str">
        <f ca="1">_05preva_view43[Folder Path2]&amp;"\Colo App "&amp;_05preva_view43[[#This Row],[Operator]]&amp;"\"</f>
        <v>D:\OneDrive - apollo-towers.com\Apollo Towers\00-Process &amp; Database\Documentation\Colo Applications\Colo App MPT\</v>
      </c>
      <c r="BI272" s="63" t="str">
        <f ca="1">_05preva_view43[[#This Row],[Folder Path3]]&amp;_05preva_view43[[#This Row],[File Name]]</f>
        <v>D:\OneDrive - apollo-towers.com\Apollo Towers\00-Process &amp; Database\Documentation\Colo Applications\Colo App MPT\1-01-05027-008 (SGG00158) Application Rev 2.xlsx</v>
      </c>
      <c r="BJ272" s="104"/>
      <c r="BK272" s="3"/>
      <c r="BL272" s="3"/>
      <c r="CJ272" s="5"/>
      <c r="CK272" s="5"/>
      <c r="CL272" s="3"/>
      <c r="CN272" s="5"/>
      <c r="CR272" s="3"/>
      <c r="CS272" s="3"/>
      <c r="CT272" s="5"/>
      <c r="CV272" s="3"/>
      <c r="DR272" s="5"/>
      <c r="DT272" s="3"/>
      <c r="EF272" s="7"/>
      <c r="EG272" s="7"/>
      <c r="EJ272" s="4"/>
      <c r="EK272" s="4"/>
      <c r="EU272" s="2"/>
      <c r="EV272" s="2"/>
    </row>
    <row r="273" spans="1:152">
      <c r="A273" s="125">
        <v>3360</v>
      </c>
      <c r="B273" s="126" t="s">
        <v>988</v>
      </c>
      <c r="C273" s="126" t="s">
        <v>331</v>
      </c>
      <c r="D273" s="126" t="s">
        <v>127</v>
      </c>
      <c r="E273" s="126" t="s">
        <v>989</v>
      </c>
      <c r="F273" s="126" t="s">
        <v>35</v>
      </c>
      <c r="G273" s="126" t="s">
        <v>1583</v>
      </c>
      <c r="H273" s="126" t="s">
        <v>1575</v>
      </c>
      <c r="I273" s="126" t="s">
        <v>956</v>
      </c>
      <c r="J273" s="126" t="s">
        <v>990</v>
      </c>
      <c r="K273" s="127">
        <v>43388</v>
      </c>
      <c r="L273" s="128"/>
      <c r="M273" s="128">
        <v>2.64</v>
      </c>
      <c r="N273" s="126">
        <v>6.53</v>
      </c>
      <c r="O273" s="126" t="s">
        <v>950</v>
      </c>
      <c r="P273" s="129" t="s">
        <v>958</v>
      </c>
      <c r="Q273" s="129" t="s">
        <v>959</v>
      </c>
      <c r="R273" s="126" t="s">
        <v>24</v>
      </c>
      <c r="S273" s="126"/>
      <c r="T273" s="130" t="s">
        <v>861</v>
      </c>
      <c r="U273" s="126"/>
      <c r="V273" s="130" t="s">
        <v>861</v>
      </c>
      <c r="W273" s="126"/>
      <c r="X273" s="130" t="s">
        <v>120</v>
      </c>
      <c r="Y273" s="126" t="s">
        <v>991</v>
      </c>
      <c r="Z273" s="162" t="s">
        <v>120</v>
      </c>
      <c r="AA273" s="154"/>
      <c r="AB273" s="154"/>
      <c r="AC273" s="167" t="s">
        <v>123</v>
      </c>
      <c r="AD273" s="126" t="s">
        <v>992</v>
      </c>
      <c r="AE273" s="130" t="s">
        <v>861</v>
      </c>
      <c r="AF273" s="127"/>
      <c r="AG273" s="131"/>
      <c r="AH273" s="131"/>
      <c r="AI273" s="126"/>
      <c r="AJ273" s="130" t="s">
        <v>861</v>
      </c>
      <c r="AK273" s="126"/>
      <c r="AL273" s="126"/>
      <c r="AM273" s="130"/>
      <c r="AN273" s="126"/>
      <c r="AO273" s="132"/>
      <c r="AP273" s="126"/>
      <c r="AQ273" s="126"/>
      <c r="AR273" s="130"/>
      <c r="AS273" s="126"/>
      <c r="AT273" s="127"/>
      <c r="AU273" s="127"/>
      <c r="AV273" s="127"/>
      <c r="AW273" s="127"/>
      <c r="AX273" s="127"/>
      <c r="AY273" s="127"/>
      <c r="AZ273" s="133">
        <v>43388</v>
      </c>
      <c r="BA27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3" s="135">
        <f>COUNTIFS(_05preva_view43[Site ID],_05preva_view43[[#This Row],[Site ID]],_05preva_view43[Prevalidation Status],"Under Prevalidation")</f>
        <v>0</v>
      </c>
      <c r="BC273" s="153" t="str">
        <f ca="1">HYPERLINK(CheckPath(_05preva_view43[[#This Row],[File Path]],_05preva_view43[[#This Row],[File Path]],_05preva_view43[[#This Row],[Folder Path3]]),CheckPath(_05preva_view43[[#This Row],[File Path]],"Open File","No File"))</f>
        <v>No File</v>
      </c>
      <c r="BD273" s="136" t="str">
        <f>CONCATENATE(_05preva_view43[[#This Row],[Site ID]]," (",_05preva_view43[[#This Row],[tenant id]],") Application",IF(_05preva_view43[[#This Row],[Colo Rev]]&gt;0," Rev "&amp;_05preva_view43[[#This Row],[Colo Rev]],""),".xlsx")</f>
        <v>1-01-05011-006 (SGG00544) Application Rev 3.xlsx</v>
      </c>
      <c r="BE273" s="64">
        <f t="shared" ca="1" si="6"/>
        <v>50</v>
      </c>
      <c r="BF273" s="104" t="str">
        <f ca="1">LEFT(CELL("filename",A258),_05preva_view43[[#This Row],[Find Process &amp; Database]]-1)</f>
        <v>D:\OneDrive - apollo-towers.com\Apollo Towers\00-</v>
      </c>
      <c r="BG273" s="104" t="str">
        <f ca="1">_05preva_view43[Folder Path1]&amp;"Process &amp; Database\Documentation\Colo Applications"</f>
        <v>D:\OneDrive - apollo-towers.com\Apollo Towers\00-Process &amp; Database\Documentation\Colo Applications</v>
      </c>
      <c r="BH273" s="104" t="str">
        <f ca="1">_05preva_view43[Folder Path2]&amp;"\Colo App "&amp;_05preva_view43[[#This Row],[Operator]]&amp;"\"</f>
        <v>D:\OneDrive - apollo-towers.com\Apollo Towers\00-Process &amp; Database\Documentation\Colo Applications\Colo App MPT\</v>
      </c>
      <c r="BI273" s="63" t="str">
        <f ca="1">_05preva_view43[[#This Row],[Folder Path3]]&amp;_05preva_view43[[#This Row],[File Name]]</f>
        <v>D:\OneDrive - apollo-towers.com\Apollo Towers\00-Process &amp; Database\Documentation\Colo Applications\Colo App MPT\1-01-05011-006 (SGG00544) Application Rev 3.xlsx</v>
      </c>
      <c r="BJ273" s="104"/>
      <c r="BK273" s="3"/>
      <c r="BL273" s="3"/>
      <c r="CJ273" s="5"/>
      <c r="CK273" s="5"/>
      <c r="CL273" s="3"/>
      <c r="CN273" s="5"/>
      <c r="CR273" s="3"/>
      <c r="CS273" s="3"/>
      <c r="CT273" s="5"/>
      <c r="CV273" s="3"/>
      <c r="DR273" s="5"/>
      <c r="DT273" s="3"/>
      <c r="EF273" s="7"/>
      <c r="EG273" s="7"/>
      <c r="EJ273" s="4"/>
      <c r="EK273" s="4"/>
      <c r="EU273" s="2"/>
      <c r="EV273" s="2"/>
    </row>
    <row r="274" spans="1:152">
      <c r="A274" s="125">
        <v>3361</v>
      </c>
      <c r="B274" s="126" t="s">
        <v>993</v>
      </c>
      <c r="C274" s="126" t="s">
        <v>331</v>
      </c>
      <c r="D274" s="126" t="s">
        <v>117</v>
      </c>
      <c r="E274" s="126" t="s">
        <v>994</v>
      </c>
      <c r="F274" s="126" t="s">
        <v>35</v>
      </c>
      <c r="G274" s="126" t="s">
        <v>1583</v>
      </c>
      <c r="H274" s="126" t="s">
        <v>1575</v>
      </c>
      <c r="I274" s="126" t="s">
        <v>956</v>
      </c>
      <c r="J274" s="126" t="s">
        <v>949</v>
      </c>
      <c r="K274" s="127">
        <v>43388</v>
      </c>
      <c r="L274" s="128"/>
      <c r="M274" s="128">
        <v>2.1</v>
      </c>
      <c r="N274" s="126">
        <v>1.74</v>
      </c>
      <c r="O274" s="126" t="s">
        <v>950</v>
      </c>
      <c r="P274" s="129" t="s">
        <v>958</v>
      </c>
      <c r="Q274" s="129" t="s">
        <v>959</v>
      </c>
      <c r="R274" s="126" t="s">
        <v>24</v>
      </c>
      <c r="S274" s="126"/>
      <c r="T274" s="130" t="s">
        <v>861</v>
      </c>
      <c r="U274" s="126"/>
      <c r="V274" s="130" t="s">
        <v>861</v>
      </c>
      <c r="W274" s="126"/>
      <c r="X274" s="130" t="s">
        <v>120</v>
      </c>
      <c r="Y274" s="126" t="s">
        <v>995</v>
      </c>
      <c r="Z274" s="162" t="s">
        <v>120</v>
      </c>
      <c r="AA274" s="154"/>
      <c r="AB274" s="154"/>
      <c r="AC274" s="167" t="s">
        <v>123</v>
      </c>
      <c r="AD274" s="126" t="s">
        <v>996</v>
      </c>
      <c r="AE274" s="130" t="s">
        <v>861</v>
      </c>
      <c r="AF274" s="127"/>
      <c r="AG274" s="131"/>
      <c r="AH274" s="131"/>
      <c r="AI274" s="126"/>
      <c r="AJ274" s="130" t="s">
        <v>861</v>
      </c>
      <c r="AK274" s="126"/>
      <c r="AL274" s="126"/>
      <c r="AM274" s="130"/>
      <c r="AN274" s="126"/>
      <c r="AO274" s="132"/>
      <c r="AP274" s="126"/>
      <c r="AQ274" s="126"/>
      <c r="AR274" s="130"/>
      <c r="AS274" s="126"/>
      <c r="AT274" s="127"/>
      <c r="AU274" s="127"/>
      <c r="AV274" s="127"/>
      <c r="AW274" s="127"/>
      <c r="AX274" s="127"/>
      <c r="AY274" s="127"/>
      <c r="AZ274" s="133">
        <v>43388</v>
      </c>
      <c r="BA27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4" s="135">
        <f>COUNTIFS(_05preva_view43[Site ID],_05preva_view43[[#This Row],[Site ID]],_05preva_view43[Prevalidation Status],"Under Prevalidation")</f>
        <v>0</v>
      </c>
      <c r="BC274" s="153" t="str">
        <f ca="1">HYPERLINK(CheckPath(_05preva_view43[[#This Row],[File Path]],_05preva_view43[[#This Row],[File Path]],_05preva_view43[[#This Row],[Folder Path3]]),CheckPath(_05preva_view43[[#This Row],[File Path]],"Open File","No File"))</f>
        <v>No File</v>
      </c>
      <c r="BD274" s="136" t="str">
        <f>CONCATENATE(_05preva_view43[[#This Row],[Site ID]]," (",_05preva_view43[[#This Row],[tenant id]],") Application",IF(_05preva_view43[[#This Row],[Colo Rev]]&gt;0," Rev "&amp;_05preva_view43[[#This Row],[Colo Rev]],""),".xlsx")</f>
        <v>1-01-14008-002 (SHS00382) Application Rev 2.xlsx</v>
      </c>
      <c r="BE274" s="64">
        <f t="shared" ca="1" si="6"/>
        <v>50</v>
      </c>
      <c r="BF274" s="104" t="str">
        <f ca="1">LEFT(CELL("filename",A259),_05preva_view43[[#This Row],[Find Process &amp; Database]]-1)</f>
        <v>D:\OneDrive - apollo-towers.com\Apollo Towers\00-</v>
      </c>
      <c r="BG274" s="104" t="str">
        <f ca="1">_05preva_view43[Folder Path1]&amp;"Process &amp; Database\Documentation\Colo Applications"</f>
        <v>D:\OneDrive - apollo-towers.com\Apollo Towers\00-Process &amp; Database\Documentation\Colo Applications</v>
      </c>
      <c r="BH274" s="104" t="str">
        <f ca="1">_05preva_view43[Folder Path2]&amp;"\Colo App "&amp;_05preva_view43[[#This Row],[Operator]]&amp;"\"</f>
        <v>D:\OneDrive - apollo-towers.com\Apollo Towers\00-Process &amp; Database\Documentation\Colo Applications\Colo App MPT\</v>
      </c>
      <c r="BI274" s="63" t="str">
        <f ca="1">_05preva_view43[[#This Row],[Folder Path3]]&amp;_05preva_view43[[#This Row],[File Name]]</f>
        <v>D:\OneDrive - apollo-towers.com\Apollo Towers\00-Process &amp; Database\Documentation\Colo Applications\Colo App MPT\1-01-14008-002 (SHS00382) Application Rev 2.xlsx</v>
      </c>
      <c r="BJ274" s="104"/>
      <c r="BK274" s="3"/>
      <c r="BL274" s="3"/>
      <c r="CJ274" s="5"/>
      <c r="CK274" s="5"/>
      <c r="CL274" s="3"/>
      <c r="CN274" s="5"/>
      <c r="CR274" s="3"/>
      <c r="CS274" s="3"/>
      <c r="CT274" s="5"/>
      <c r="CV274" s="3"/>
      <c r="DR274" s="5"/>
      <c r="DT274" s="3"/>
      <c r="EF274" s="7"/>
      <c r="EG274" s="7"/>
      <c r="EJ274" s="4"/>
      <c r="EK274" s="4"/>
      <c r="EU274" s="2"/>
      <c r="EV274" s="2"/>
    </row>
    <row r="275" spans="1:152">
      <c r="A275" s="125">
        <v>3362</v>
      </c>
      <c r="B275" s="126" t="s">
        <v>997</v>
      </c>
      <c r="C275" s="126" t="s">
        <v>331</v>
      </c>
      <c r="D275" s="126" t="s">
        <v>117</v>
      </c>
      <c r="E275" s="126" t="s">
        <v>998</v>
      </c>
      <c r="F275" s="126" t="s">
        <v>35</v>
      </c>
      <c r="G275" s="126" t="s">
        <v>1583</v>
      </c>
      <c r="H275" s="126" t="s">
        <v>1575</v>
      </c>
      <c r="I275" s="126" t="s">
        <v>956</v>
      </c>
      <c r="J275" s="126" t="s">
        <v>931</v>
      </c>
      <c r="K275" s="127">
        <v>43388</v>
      </c>
      <c r="L275" s="128"/>
      <c r="M275" s="128">
        <v>1.8</v>
      </c>
      <c r="N275" s="126">
        <v>3.024</v>
      </c>
      <c r="O275" s="126" t="s">
        <v>950</v>
      </c>
      <c r="P275" s="129" t="s">
        <v>704</v>
      </c>
      <c r="Q275" s="129" t="s">
        <v>705</v>
      </c>
      <c r="R275" s="126" t="s">
        <v>24</v>
      </c>
      <c r="S275" s="126"/>
      <c r="T275" s="130" t="s">
        <v>861</v>
      </c>
      <c r="U275" s="126"/>
      <c r="V275" s="130" t="s">
        <v>861</v>
      </c>
      <c r="W275" s="126"/>
      <c r="X275" s="130" t="s">
        <v>120</v>
      </c>
      <c r="Y275" s="126" t="s">
        <v>999</v>
      </c>
      <c r="Z275" s="162" t="s">
        <v>120</v>
      </c>
      <c r="AA275" s="154"/>
      <c r="AB275" s="154"/>
      <c r="AC275" s="167" t="s">
        <v>123</v>
      </c>
      <c r="AD275" s="126" t="s">
        <v>1000</v>
      </c>
      <c r="AE275" s="130" t="s">
        <v>861</v>
      </c>
      <c r="AF275" s="127"/>
      <c r="AG275" s="131"/>
      <c r="AH275" s="131"/>
      <c r="AI275" s="126"/>
      <c r="AJ275" s="130" t="s">
        <v>861</v>
      </c>
      <c r="AK275" s="126"/>
      <c r="AL275" s="126"/>
      <c r="AM275" s="130"/>
      <c r="AN275" s="126"/>
      <c r="AO275" s="132"/>
      <c r="AP275" s="126"/>
      <c r="AQ275" s="126"/>
      <c r="AR275" s="130"/>
      <c r="AS275" s="126"/>
      <c r="AT275" s="127"/>
      <c r="AU275" s="127"/>
      <c r="AV275" s="127"/>
      <c r="AW275" s="127"/>
      <c r="AX275" s="127"/>
      <c r="AY275" s="127"/>
      <c r="AZ275" s="133">
        <v>43388</v>
      </c>
      <c r="BA27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5" s="135">
        <f>COUNTIFS(_05preva_view43[Site ID],_05preva_view43[[#This Row],[Site ID]],_05preva_view43[Prevalidation Status],"Under Prevalidation")</f>
        <v>0</v>
      </c>
      <c r="BC275" s="153" t="str">
        <f ca="1">HYPERLINK(CheckPath(_05preva_view43[[#This Row],[File Path]],_05preva_view43[[#This Row],[File Path]],_05preva_view43[[#This Row],[Folder Path3]]),CheckPath(_05preva_view43[[#This Row],[File Path]],"Open File","No File"))</f>
        <v>No File</v>
      </c>
      <c r="BD275" s="136" t="str">
        <f>CONCATENATE(_05preva_view43[[#This Row],[Site ID]]," (",_05preva_view43[[#This Row],[tenant id]],") Application",IF(_05preva_view43[[#This Row],[Colo Rev]]&gt;0," Rev "&amp;_05preva_view43[[#This Row],[Colo Rev]],""),".xlsx")</f>
        <v>1-01-16001-003 (SHE00021) Application Rev 1.xlsx</v>
      </c>
      <c r="BE275" s="64">
        <f t="shared" ca="1" si="6"/>
        <v>50</v>
      </c>
      <c r="BF275" s="104" t="str">
        <f ca="1">LEFT(CELL("filename",A260),_05preva_view43[[#This Row],[Find Process &amp; Database]]-1)</f>
        <v>D:\OneDrive - apollo-towers.com\Apollo Towers\00-</v>
      </c>
      <c r="BG275" s="104" t="str">
        <f ca="1">_05preva_view43[Folder Path1]&amp;"Process &amp; Database\Documentation\Colo Applications"</f>
        <v>D:\OneDrive - apollo-towers.com\Apollo Towers\00-Process &amp; Database\Documentation\Colo Applications</v>
      </c>
      <c r="BH275" s="104" t="str">
        <f ca="1">_05preva_view43[Folder Path2]&amp;"\Colo App "&amp;_05preva_view43[[#This Row],[Operator]]&amp;"\"</f>
        <v>D:\OneDrive - apollo-towers.com\Apollo Towers\00-Process &amp; Database\Documentation\Colo Applications\Colo App MPT\</v>
      </c>
      <c r="BI275" s="63" t="str">
        <f ca="1">_05preva_view43[[#This Row],[Folder Path3]]&amp;_05preva_view43[[#This Row],[File Name]]</f>
        <v>D:\OneDrive - apollo-towers.com\Apollo Towers\00-Process &amp; Database\Documentation\Colo Applications\Colo App MPT\1-01-16001-003 (SHE00021) Application Rev 1.xlsx</v>
      </c>
      <c r="BJ275" s="104"/>
      <c r="BK275" s="3"/>
      <c r="BL275" s="3"/>
      <c r="CJ275" s="5"/>
      <c r="CK275" s="5"/>
      <c r="CL275" s="3"/>
      <c r="CN275" s="5"/>
      <c r="CR275" s="3"/>
      <c r="CS275" s="3"/>
      <c r="CT275" s="5"/>
      <c r="CV275" s="3"/>
      <c r="DR275" s="5"/>
      <c r="DT275" s="3"/>
      <c r="EF275" s="7"/>
      <c r="EG275" s="7"/>
      <c r="EJ275" s="4"/>
      <c r="EK275" s="4"/>
      <c r="EU275" s="2"/>
      <c r="EV275" s="2"/>
    </row>
    <row r="276" spans="1:152">
      <c r="A276" s="125">
        <v>3363</v>
      </c>
      <c r="B276" s="126" t="s">
        <v>1001</v>
      </c>
      <c r="C276" s="126" t="s">
        <v>331</v>
      </c>
      <c r="D276" s="126" t="s">
        <v>117</v>
      </c>
      <c r="E276" s="126" t="s">
        <v>1002</v>
      </c>
      <c r="F276" s="126" t="s">
        <v>35</v>
      </c>
      <c r="G276" s="126" t="s">
        <v>1583</v>
      </c>
      <c r="H276" s="126" t="s">
        <v>1575</v>
      </c>
      <c r="I276" s="126" t="s">
        <v>956</v>
      </c>
      <c r="J276" s="126" t="s">
        <v>990</v>
      </c>
      <c r="K276" s="127">
        <v>43388</v>
      </c>
      <c r="L276" s="128"/>
      <c r="M276" s="128">
        <v>4.8</v>
      </c>
      <c r="N276" s="126">
        <v>5.9880000000000004</v>
      </c>
      <c r="O276" s="126" t="s">
        <v>950</v>
      </c>
      <c r="P276" s="129" t="s">
        <v>1003</v>
      </c>
      <c r="Q276" s="129" t="s">
        <v>833</v>
      </c>
      <c r="R276" s="126" t="s">
        <v>24</v>
      </c>
      <c r="S276" s="126"/>
      <c r="T276" s="130" t="s">
        <v>861</v>
      </c>
      <c r="U276" s="126"/>
      <c r="V276" s="130" t="s">
        <v>861</v>
      </c>
      <c r="W276" s="126"/>
      <c r="X276" s="130" t="s">
        <v>120</v>
      </c>
      <c r="Y276" s="126" t="s">
        <v>1004</v>
      </c>
      <c r="Z276" s="162" t="s">
        <v>120</v>
      </c>
      <c r="AA276" s="154"/>
      <c r="AB276" s="154"/>
      <c r="AC276" s="167" t="s">
        <v>123</v>
      </c>
      <c r="AD276" s="126" t="s">
        <v>1005</v>
      </c>
      <c r="AE276" s="130" t="s">
        <v>861</v>
      </c>
      <c r="AF276" s="127"/>
      <c r="AG276" s="131"/>
      <c r="AH276" s="131"/>
      <c r="AI276" s="126"/>
      <c r="AJ276" s="130" t="s">
        <v>861</v>
      </c>
      <c r="AK276" s="126"/>
      <c r="AL276" s="126"/>
      <c r="AM276" s="130"/>
      <c r="AN276" s="126"/>
      <c r="AO276" s="132"/>
      <c r="AP276" s="126"/>
      <c r="AQ276" s="126"/>
      <c r="AR276" s="130"/>
      <c r="AS276" s="126"/>
      <c r="AT276" s="127">
        <v>43423.505113310202</v>
      </c>
      <c r="AU276" s="127"/>
      <c r="AV276" s="127">
        <v>43423.468237731497</v>
      </c>
      <c r="AW276" s="127"/>
      <c r="AX276" s="127"/>
      <c r="AY276" s="127"/>
      <c r="AZ276" s="133">
        <v>43423.505113310202</v>
      </c>
      <c r="BA276" s="134">
        <f ca="1">IF(_05preva_view43[[#This Row],[Prevalidation Status]]="Under Prevalidation",NOW()-_05preva_view43[[#This Row],[Request Date]],IF(_05preva_view43[[#This Row],[Close Date]]&gt;_05preva_view43[[#This Row],[Request Date]],_05preva_view43[[#This Row],[Close Date]]-_05preva_view43[[#This Row],[Request Date]],"Not  Calculated"))</f>
        <v>35.505113310202432</v>
      </c>
      <c r="BB276" s="135">
        <f>COUNTIFS(_05preva_view43[Site ID],_05preva_view43[[#This Row],[Site ID]],_05preva_view43[Prevalidation Status],"Under Prevalidation")</f>
        <v>0</v>
      </c>
      <c r="BC276" s="153" t="str">
        <f ca="1">HYPERLINK(CheckPath(_05preva_view43[[#This Row],[File Path]],_05preva_view43[[#This Row],[File Path]],_05preva_view43[[#This Row],[Folder Path3]]),CheckPath(_05preva_view43[[#This Row],[File Path]],"Open File","No File"))</f>
        <v>No File</v>
      </c>
      <c r="BD276" s="136" t="str">
        <f>CONCATENATE(_05preva_view43[[#This Row],[Site ID]]," (",_05preva_view43[[#This Row],[tenant id]],") Application",IF(_05preva_view43[[#This Row],[Colo Rev]]&gt;0," Rev "&amp;_05preva_view43[[#This Row],[Colo Rev]],""),".xlsx")</f>
        <v>1-01-14001-019 (SHS00259) Application Rev 3.xlsx</v>
      </c>
      <c r="BE276" s="64">
        <f t="shared" ca="1" si="6"/>
        <v>50</v>
      </c>
      <c r="BF276" s="104" t="str">
        <f ca="1">LEFT(CELL("filename",A261),_05preva_view43[[#This Row],[Find Process &amp; Database]]-1)</f>
        <v>D:\OneDrive - apollo-towers.com\Apollo Towers\00-</v>
      </c>
      <c r="BG276" s="104" t="str">
        <f ca="1">_05preva_view43[Folder Path1]&amp;"Process &amp; Database\Documentation\Colo Applications"</f>
        <v>D:\OneDrive - apollo-towers.com\Apollo Towers\00-Process &amp; Database\Documentation\Colo Applications</v>
      </c>
      <c r="BH276" s="104" t="str">
        <f ca="1">_05preva_view43[Folder Path2]&amp;"\Colo App "&amp;_05preva_view43[[#This Row],[Operator]]&amp;"\"</f>
        <v>D:\OneDrive - apollo-towers.com\Apollo Towers\00-Process &amp; Database\Documentation\Colo Applications\Colo App MPT\</v>
      </c>
      <c r="BI276" s="63" t="str">
        <f ca="1">_05preva_view43[[#This Row],[Folder Path3]]&amp;_05preva_view43[[#This Row],[File Name]]</f>
        <v>D:\OneDrive - apollo-towers.com\Apollo Towers\00-Process &amp; Database\Documentation\Colo Applications\Colo App MPT\1-01-14001-019 (SHS00259) Application Rev 3.xlsx</v>
      </c>
      <c r="BJ276" s="104"/>
      <c r="BK276" s="3"/>
      <c r="BL276" s="3"/>
      <c r="CJ276" s="5"/>
      <c r="CK276" s="5"/>
      <c r="CL276" s="3"/>
      <c r="CN276" s="5"/>
      <c r="CR276" s="3"/>
      <c r="CS276" s="3"/>
      <c r="CT276" s="5"/>
      <c r="CV276" s="3"/>
      <c r="DR276" s="5"/>
      <c r="DT276" s="3"/>
      <c r="EF276" s="7"/>
      <c r="EG276" s="7"/>
      <c r="EJ276" s="4"/>
      <c r="EK276" s="4"/>
      <c r="EU276" s="2"/>
      <c r="EV276" s="2"/>
    </row>
    <row r="277" spans="1:152">
      <c r="A277" s="125">
        <v>3364</v>
      </c>
      <c r="B277" s="126" t="s">
        <v>1006</v>
      </c>
      <c r="C277" s="126" t="s">
        <v>331</v>
      </c>
      <c r="D277" s="126" t="s">
        <v>127</v>
      </c>
      <c r="E277" s="126" t="s">
        <v>1007</v>
      </c>
      <c r="F277" s="126" t="s">
        <v>35</v>
      </c>
      <c r="G277" s="126" t="s">
        <v>1583</v>
      </c>
      <c r="H277" s="126" t="s">
        <v>1575</v>
      </c>
      <c r="I277" s="126" t="s">
        <v>956</v>
      </c>
      <c r="J277" s="126" t="s">
        <v>990</v>
      </c>
      <c r="K277" s="127">
        <v>43388</v>
      </c>
      <c r="L277" s="128"/>
      <c r="M277" s="128">
        <v>3.88</v>
      </c>
      <c r="N277" s="126">
        <v>7.4580000000000002</v>
      </c>
      <c r="O277" s="126" t="s">
        <v>950</v>
      </c>
      <c r="P277" s="129" t="s">
        <v>704</v>
      </c>
      <c r="Q277" s="129" t="s">
        <v>705</v>
      </c>
      <c r="R277" s="126" t="s">
        <v>24</v>
      </c>
      <c r="S277" s="126"/>
      <c r="T277" s="130" t="s">
        <v>861</v>
      </c>
      <c r="U277" s="126"/>
      <c r="V277" s="130" t="s">
        <v>861</v>
      </c>
      <c r="W277" s="126"/>
      <c r="X277" s="130" t="s">
        <v>120</v>
      </c>
      <c r="Y277" s="126" t="s">
        <v>1008</v>
      </c>
      <c r="Z277" s="162" t="s">
        <v>120</v>
      </c>
      <c r="AA277" s="154"/>
      <c r="AB277" s="154"/>
      <c r="AC277" s="167" t="s">
        <v>123</v>
      </c>
      <c r="AD277" s="126" t="s">
        <v>1009</v>
      </c>
      <c r="AE277" s="130" t="s">
        <v>861</v>
      </c>
      <c r="AF277" s="127"/>
      <c r="AG277" s="131"/>
      <c r="AH277" s="131"/>
      <c r="AI277" s="126"/>
      <c r="AJ277" s="130" t="s">
        <v>861</v>
      </c>
      <c r="AK277" s="126"/>
      <c r="AL277" s="126"/>
      <c r="AM277" s="130"/>
      <c r="AN277" s="126"/>
      <c r="AO277" s="132"/>
      <c r="AP277" s="126"/>
      <c r="AQ277" s="126"/>
      <c r="AR277" s="130"/>
      <c r="AS277" s="126"/>
      <c r="AT277" s="127"/>
      <c r="AU277" s="127"/>
      <c r="AV277" s="127"/>
      <c r="AW277" s="127"/>
      <c r="AX277" s="127"/>
      <c r="AY277" s="127"/>
      <c r="AZ277" s="133">
        <v>43388</v>
      </c>
      <c r="BA27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7" s="135">
        <f>COUNTIFS(_05preva_view43[Site ID],_05preva_view43[[#This Row],[Site ID]],_05preva_view43[Prevalidation Status],"Under Prevalidation")</f>
        <v>0</v>
      </c>
      <c r="BC277" s="153" t="str">
        <f ca="1">HYPERLINK(CheckPath(_05preva_view43[[#This Row],[File Path]],_05preva_view43[[#This Row],[File Path]],_05preva_view43[[#This Row],[Folder Path3]]),CheckPath(_05preva_view43[[#This Row],[File Path]],"Open File","No File"))</f>
        <v>No File</v>
      </c>
      <c r="BD277" s="136" t="str">
        <f>CONCATENATE(_05preva_view43[[#This Row],[Site ID]]," (",_05preva_view43[[#This Row],[tenant id]],") Application",IF(_05preva_view43[[#This Row],[Colo Rev]]&gt;0," Rev "&amp;_05preva_view43[[#This Row],[Colo Rev]],""),".xlsx")</f>
        <v>1-01-15010-002 (SHN00092) Application Rev 3.xlsx</v>
      </c>
      <c r="BE277" s="64">
        <f t="shared" ca="1" si="6"/>
        <v>50</v>
      </c>
      <c r="BF277" s="104" t="str">
        <f ca="1">LEFT(CELL("filename",A262),_05preva_view43[[#This Row],[Find Process &amp; Database]]-1)</f>
        <v>D:\OneDrive - apollo-towers.com\Apollo Towers\00-</v>
      </c>
      <c r="BG277" s="104" t="str">
        <f ca="1">_05preva_view43[Folder Path1]&amp;"Process &amp; Database\Documentation\Colo Applications"</f>
        <v>D:\OneDrive - apollo-towers.com\Apollo Towers\00-Process &amp; Database\Documentation\Colo Applications</v>
      </c>
      <c r="BH277" s="104" t="str">
        <f ca="1">_05preva_view43[Folder Path2]&amp;"\Colo App "&amp;_05preva_view43[[#This Row],[Operator]]&amp;"\"</f>
        <v>D:\OneDrive - apollo-towers.com\Apollo Towers\00-Process &amp; Database\Documentation\Colo Applications\Colo App MPT\</v>
      </c>
      <c r="BI277" s="63" t="str">
        <f ca="1">_05preva_view43[[#This Row],[Folder Path3]]&amp;_05preva_view43[[#This Row],[File Name]]</f>
        <v>D:\OneDrive - apollo-towers.com\Apollo Towers\00-Process &amp; Database\Documentation\Colo Applications\Colo App MPT\1-01-15010-002 (SHN00092) Application Rev 3.xlsx</v>
      </c>
      <c r="BJ277" s="104"/>
      <c r="BK277" s="3"/>
      <c r="BL277" s="3"/>
      <c r="CJ277" s="5"/>
      <c r="CK277" s="5"/>
      <c r="CL277" s="3"/>
      <c r="CN277" s="5"/>
      <c r="CR277" s="3"/>
      <c r="CS277" s="3"/>
      <c r="CT277" s="5"/>
      <c r="CV277" s="3"/>
      <c r="DR277" s="5"/>
      <c r="DT277" s="3"/>
      <c r="EF277" s="7"/>
      <c r="EG277" s="7"/>
      <c r="EJ277" s="4"/>
      <c r="EK277" s="4"/>
      <c r="EU277" s="2"/>
      <c r="EV277" s="2"/>
    </row>
    <row r="278" spans="1:152">
      <c r="A278" s="125">
        <v>3365</v>
      </c>
      <c r="B278" s="126" t="s">
        <v>1010</v>
      </c>
      <c r="C278" s="126" t="s">
        <v>331</v>
      </c>
      <c r="D278" s="126" t="s">
        <v>117</v>
      </c>
      <c r="E278" s="126" t="s">
        <v>1011</v>
      </c>
      <c r="F278" s="126" t="s">
        <v>35</v>
      </c>
      <c r="G278" s="126" t="s">
        <v>1583</v>
      </c>
      <c r="H278" s="126" t="s">
        <v>1575</v>
      </c>
      <c r="I278" s="126" t="s">
        <v>956</v>
      </c>
      <c r="J278" s="126" t="s">
        <v>949</v>
      </c>
      <c r="K278" s="127">
        <v>43388</v>
      </c>
      <c r="L278" s="128"/>
      <c r="M278" s="128">
        <v>3.3</v>
      </c>
      <c r="N278" s="126">
        <v>2.7519999999999998</v>
      </c>
      <c r="O278" s="126" t="s">
        <v>950</v>
      </c>
      <c r="P278" s="129" t="s">
        <v>1012</v>
      </c>
      <c r="Q278" s="129" t="s">
        <v>1013</v>
      </c>
      <c r="R278" s="126" t="s">
        <v>24</v>
      </c>
      <c r="S278" s="126"/>
      <c r="T278" s="130" t="s">
        <v>861</v>
      </c>
      <c r="U278" s="126"/>
      <c r="V278" s="130" t="s">
        <v>861</v>
      </c>
      <c r="W278" s="126"/>
      <c r="X278" s="130" t="s">
        <v>120</v>
      </c>
      <c r="Y278" s="126" t="s">
        <v>1014</v>
      </c>
      <c r="Z278" s="162" t="s">
        <v>120</v>
      </c>
      <c r="AA278" s="154"/>
      <c r="AB278" s="154"/>
      <c r="AC278" s="167" t="s">
        <v>123</v>
      </c>
      <c r="AD278" s="126" t="s">
        <v>1015</v>
      </c>
      <c r="AE278" s="130" t="s">
        <v>861</v>
      </c>
      <c r="AF278" s="127"/>
      <c r="AG278" s="131"/>
      <c r="AH278" s="131"/>
      <c r="AI278" s="126"/>
      <c r="AJ278" s="130" t="s">
        <v>861</v>
      </c>
      <c r="AK278" s="126"/>
      <c r="AL278" s="126"/>
      <c r="AM278" s="130"/>
      <c r="AN278" s="126"/>
      <c r="AO278" s="132"/>
      <c r="AP278" s="126"/>
      <c r="AQ278" s="126"/>
      <c r="AR278" s="130"/>
      <c r="AS278" s="126"/>
      <c r="AT278" s="127"/>
      <c r="AU278" s="127"/>
      <c r="AV278" s="127"/>
      <c r="AW278" s="127"/>
      <c r="AX278" s="127"/>
      <c r="AY278" s="127"/>
      <c r="AZ278" s="133">
        <v>43388</v>
      </c>
      <c r="BA27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8" s="135">
        <f>COUNTIFS(_05preva_view43[Site ID],_05preva_view43[[#This Row],[Site ID]],_05preva_view43[Prevalidation Status],"Under Prevalidation")</f>
        <v>0</v>
      </c>
      <c r="BC278" s="153" t="str">
        <f ca="1">HYPERLINK(CheckPath(_05preva_view43[[#This Row],[File Path]],_05preva_view43[[#This Row],[File Path]],_05preva_view43[[#This Row],[Folder Path3]]),CheckPath(_05preva_view43[[#This Row],[File Path]],"Open File","No File"))</f>
        <v>No File</v>
      </c>
      <c r="BD278" s="136" t="str">
        <f>CONCATENATE(_05preva_view43[[#This Row],[Site ID]]," (",_05preva_view43[[#This Row],[tenant id]],") Application",IF(_05preva_view43[[#This Row],[Colo Rev]]&gt;0," Rev "&amp;_05preva_view43[[#This Row],[Colo Rev]],""),".xlsx")</f>
        <v>1-01-08002-005 (BGW00115) Application Rev 2.xlsx</v>
      </c>
      <c r="BE278" s="64">
        <f t="shared" ca="1" si="6"/>
        <v>50</v>
      </c>
      <c r="BF278" s="104" t="str">
        <f ca="1">LEFT(CELL("filename",A263),_05preva_view43[[#This Row],[Find Process &amp; Database]]-1)</f>
        <v>D:\OneDrive - apollo-towers.com\Apollo Towers\00-</v>
      </c>
      <c r="BG278" s="104" t="str">
        <f ca="1">_05preva_view43[Folder Path1]&amp;"Process &amp; Database\Documentation\Colo Applications"</f>
        <v>D:\OneDrive - apollo-towers.com\Apollo Towers\00-Process &amp; Database\Documentation\Colo Applications</v>
      </c>
      <c r="BH278" s="104" t="str">
        <f ca="1">_05preva_view43[Folder Path2]&amp;"\Colo App "&amp;_05preva_view43[[#This Row],[Operator]]&amp;"\"</f>
        <v>D:\OneDrive - apollo-towers.com\Apollo Towers\00-Process &amp; Database\Documentation\Colo Applications\Colo App MPT\</v>
      </c>
      <c r="BI278" s="63" t="str">
        <f ca="1">_05preva_view43[[#This Row],[Folder Path3]]&amp;_05preva_view43[[#This Row],[File Name]]</f>
        <v>D:\OneDrive - apollo-towers.com\Apollo Towers\00-Process &amp; Database\Documentation\Colo Applications\Colo App MPT\1-01-08002-005 (BGW00115) Application Rev 2.xlsx</v>
      </c>
      <c r="BJ278" s="104"/>
      <c r="BK278" s="3"/>
      <c r="BL278" s="3"/>
      <c r="CJ278" s="5"/>
      <c r="CK278" s="5"/>
      <c r="CL278" s="3"/>
      <c r="CN278" s="5"/>
      <c r="CR278" s="3"/>
      <c r="CS278" s="3"/>
      <c r="CT278" s="5"/>
      <c r="CV278" s="3"/>
      <c r="DR278" s="5"/>
      <c r="DT278" s="3"/>
      <c r="EF278" s="7"/>
      <c r="EG278" s="7"/>
      <c r="EJ278" s="4"/>
      <c r="EK278" s="4"/>
      <c r="EU278" s="2"/>
      <c r="EV278" s="2"/>
    </row>
    <row r="279" spans="1:152">
      <c r="A279" s="125">
        <v>3366</v>
      </c>
      <c r="B279" s="126" t="s">
        <v>1016</v>
      </c>
      <c r="C279" s="126" t="s">
        <v>331</v>
      </c>
      <c r="D279" s="126" t="s">
        <v>163</v>
      </c>
      <c r="E279" s="126" t="s">
        <v>1017</v>
      </c>
      <c r="F279" s="126" t="s">
        <v>35</v>
      </c>
      <c r="G279" s="126" t="s">
        <v>1583</v>
      </c>
      <c r="H279" s="126" t="s">
        <v>1575</v>
      </c>
      <c r="I279" s="126" t="s">
        <v>956</v>
      </c>
      <c r="J279" s="126" t="s">
        <v>949</v>
      </c>
      <c r="K279" s="127">
        <v>43388</v>
      </c>
      <c r="L279" s="128"/>
      <c r="M279" s="128">
        <v>4.8</v>
      </c>
      <c r="N279" s="126">
        <v>4.4539999999999997</v>
      </c>
      <c r="O279" s="126" t="s">
        <v>950</v>
      </c>
      <c r="P279" s="129" t="s">
        <v>1018</v>
      </c>
      <c r="Q279" s="129" t="s">
        <v>1019</v>
      </c>
      <c r="R279" s="126" t="s">
        <v>24</v>
      </c>
      <c r="S279" s="126"/>
      <c r="T279" s="130" t="s">
        <v>861</v>
      </c>
      <c r="U279" s="126"/>
      <c r="V279" s="130" t="s">
        <v>861</v>
      </c>
      <c r="W279" s="126"/>
      <c r="X279" s="130" t="s">
        <v>120</v>
      </c>
      <c r="Y279" s="126" t="s">
        <v>1020</v>
      </c>
      <c r="Z279" s="162" t="s">
        <v>120</v>
      </c>
      <c r="AA279" s="154"/>
      <c r="AB279" s="154"/>
      <c r="AC279" s="167" t="s">
        <v>123</v>
      </c>
      <c r="AD279" s="126" t="s">
        <v>1021</v>
      </c>
      <c r="AE279" s="130" t="s">
        <v>861</v>
      </c>
      <c r="AF279" s="127"/>
      <c r="AG279" s="131"/>
      <c r="AH279" s="131"/>
      <c r="AI279" s="126"/>
      <c r="AJ279" s="130" t="s">
        <v>861</v>
      </c>
      <c r="AK279" s="126"/>
      <c r="AL279" s="126"/>
      <c r="AM279" s="130"/>
      <c r="AN279" s="126"/>
      <c r="AO279" s="132"/>
      <c r="AP279" s="126"/>
      <c r="AQ279" s="126"/>
      <c r="AR279" s="130"/>
      <c r="AS279" s="126"/>
      <c r="AT279" s="127"/>
      <c r="AU279" s="127"/>
      <c r="AV279" s="127"/>
      <c r="AW279" s="127"/>
      <c r="AX279" s="127"/>
      <c r="AY279" s="127"/>
      <c r="AZ279" s="133">
        <v>43388</v>
      </c>
      <c r="BA27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9" s="135">
        <f>COUNTIFS(_05preva_view43[Site ID],_05preva_view43[[#This Row],[Site ID]],_05preva_view43[Prevalidation Status],"Under Prevalidation")</f>
        <v>0</v>
      </c>
      <c r="BC279" s="153" t="str">
        <f ca="1">HYPERLINK(CheckPath(_05preva_view43[[#This Row],[File Path]],_05preva_view43[[#This Row],[File Path]],_05preva_view43[[#This Row],[Folder Path3]]),CheckPath(_05preva_view43[[#This Row],[File Path]],"Open File","No File"))</f>
        <v>No File</v>
      </c>
      <c r="BD279" s="136" t="str">
        <f>CONCATENATE(_05preva_view43[[#This Row],[Site ID]]," (",_05preva_view43[[#This Row],[tenant id]],") Application",IF(_05preva_view43[[#This Row],[Colo Rev]]&gt;0," Rev "&amp;_05preva_view43[[#This Row],[Colo Rev]],""),".xlsx")</f>
        <v>1-01-11009-003 (MON00160) Application Rev 2.xlsx</v>
      </c>
      <c r="BE279" s="64">
        <f t="shared" ca="1" si="6"/>
        <v>50</v>
      </c>
      <c r="BF279" s="104" t="str">
        <f ca="1">LEFT(CELL("filename",A264),_05preva_view43[[#This Row],[Find Process &amp; Database]]-1)</f>
        <v>D:\OneDrive - apollo-towers.com\Apollo Towers\00-</v>
      </c>
      <c r="BG279" s="104" t="str">
        <f ca="1">_05preva_view43[Folder Path1]&amp;"Process &amp; Database\Documentation\Colo Applications"</f>
        <v>D:\OneDrive - apollo-towers.com\Apollo Towers\00-Process &amp; Database\Documentation\Colo Applications</v>
      </c>
      <c r="BH279" s="104" t="str">
        <f ca="1">_05preva_view43[Folder Path2]&amp;"\Colo App "&amp;_05preva_view43[[#This Row],[Operator]]&amp;"\"</f>
        <v>D:\OneDrive - apollo-towers.com\Apollo Towers\00-Process &amp; Database\Documentation\Colo Applications\Colo App MPT\</v>
      </c>
      <c r="BI279" s="63" t="str">
        <f ca="1">_05preva_view43[[#This Row],[Folder Path3]]&amp;_05preva_view43[[#This Row],[File Name]]</f>
        <v>D:\OneDrive - apollo-towers.com\Apollo Towers\00-Process &amp; Database\Documentation\Colo Applications\Colo App MPT\1-01-11009-003 (MON00160) Application Rev 2.xlsx</v>
      </c>
      <c r="BJ279" s="104"/>
      <c r="BK279" s="3"/>
      <c r="BL279" s="3"/>
      <c r="CJ279" s="5"/>
      <c r="CK279" s="5"/>
      <c r="CL279" s="3"/>
      <c r="CN279" s="5"/>
      <c r="CR279" s="3"/>
      <c r="CS279" s="3"/>
      <c r="CT279" s="5"/>
      <c r="CV279" s="3"/>
      <c r="DR279" s="5"/>
      <c r="DT279" s="3"/>
      <c r="EF279" s="7"/>
      <c r="EG279" s="7"/>
      <c r="EJ279" s="4"/>
      <c r="EK279" s="4"/>
      <c r="EU279" s="2"/>
      <c r="EV279" s="2"/>
    </row>
    <row r="280" spans="1:152">
      <c r="A280" s="125">
        <v>3367</v>
      </c>
      <c r="B280" s="126" t="s">
        <v>1022</v>
      </c>
      <c r="C280" s="126" t="s">
        <v>331</v>
      </c>
      <c r="D280" s="126" t="s">
        <v>117</v>
      </c>
      <c r="E280" s="126" t="s">
        <v>1023</v>
      </c>
      <c r="F280" s="126" t="s">
        <v>35</v>
      </c>
      <c r="G280" s="126" t="s">
        <v>1583</v>
      </c>
      <c r="H280" s="126" t="s">
        <v>1575</v>
      </c>
      <c r="I280" s="126" t="s">
        <v>956</v>
      </c>
      <c r="J280" s="126" t="s">
        <v>957</v>
      </c>
      <c r="K280" s="127">
        <v>43388</v>
      </c>
      <c r="L280" s="128"/>
      <c r="M280" s="128">
        <v>3.3</v>
      </c>
      <c r="N280" s="126">
        <v>3.9460000000000002</v>
      </c>
      <c r="O280" s="126" t="s">
        <v>950</v>
      </c>
      <c r="P280" s="129" t="s">
        <v>958</v>
      </c>
      <c r="Q280" s="129" t="s">
        <v>959</v>
      </c>
      <c r="R280" s="126" t="s">
        <v>24</v>
      </c>
      <c r="S280" s="126"/>
      <c r="T280" s="130" t="s">
        <v>861</v>
      </c>
      <c r="U280" s="126"/>
      <c r="V280" s="130" t="s">
        <v>861</v>
      </c>
      <c r="W280" s="126"/>
      <c r="X280" s="130" t="s">
        <v>120</v>
      </c>
      <c r="Y280" s="126" t="s">
        <v>1024</v>
      </c>
      <c r="Z280" s="162" t="s">
        <v>120</v>
      </c>
      <c r="AA280" s="154"/>
      <c r="AB280" s="154"/>
      <c r="AC280" s="167" t="s">
        <v>123</v>
      </c>
      <c r="AD280" s="126" t="s">
        <v>1025</v>
      </c>
      <c r="AE280" s="130" t="s">
        <v>861</v>
      </c>
      <c r="AF280" s="127"/>
      <c r="AG280" s="131"/>
      <c r="AH280" s="131"/>
      <c r="AI280" s="126"/>
      <c r="AJ280" s="130" t="s">
        <v>861</v>
      </c>
      <c r="AK280" s="126"/>
      <c r="AL280" s="126"/>
      <c r="AM280" s="130"/>
      <c r="AN280" s="126"/>
      <c r="AO280" s="132"/>
      <c r="AP280" s="126"/>
      <c r="AQ280" s="126"/>
      <c r="AR280" s="130"/>
      <c r="AS280" s="126"/>
      <c r="AT280" s="127"/>
      <c r="AU280" s="127"/>
      <c r="AV280" s="127"/>
      <c r="AW280" s="127"/>
      <c r="AX280" s="127"/>
      <c r="AY280" s="127"/>
      <c r="AZ280" s="133">
        <v>43388</v>
      </c>
      <c r="BA28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0" s="135">
        <f>COUNTIFS(_05preva_view43[Site ID],_05preva_view43[[#This Row],[Site ID]],_05preva_view43[Prevalidation Status],"Under Prevalidation")</f>
        <v>0</v>
      </c>
      <c r="BC280" s="153" t="str">
        <f ca="1">HYPERLINK(CheckPath(_05preva_view43[[#This Row],[File Path]],_05preva_view43[[#This Row],[File Path]],_05preva_view43[[#This Row],[Folder Path3]]),CheckPath(_05preva_view43[[#This Row],[File Path]],"Open File","No File"))</f>
        <v>No File</v>
      </c>
      <c r="BD280" s="136" t="str">
        <f>CONCATENATE(_05preva_view43[[#This Row],[Site ID]]," (",_05preva_view43[[#This Row],[tenant id]],") Application",IF(_05preva_view43[[#This Row],[Colo Rev]]&gt;0," Rev "&amp;_05preva_view43[[#This Row],[Colo Rev]],""),".xlsx")</f>
        <v>1-01-14005-005 (SHS00349) Application Rev 4.xlsx</v>
      </c>
      <c r="BE280" s="64">
        <f t="shared" ca="1" si="6"/>
        <v>50</v>
      </c>
      <c r="BF280" s="104" t="str">
        <f ca="1">LEFT(CELL("filename",A265),_05preva_view43[[#This Row],[Find Process &amp; Database]]-1)</f>
        <v>D:\OneDrive - apollo-towers.com\Apollo Towers\00-</v>
      </c>
      <c r="BG280" s="104" t="str">
        <f ca="1">_05preva_view43[Folder Path1]&amp;"Process &amp; Database\Documentation\Colo Applications"</f>
        <v>D:\OneDrive - apollo-towers.com\Apollo Towers\00-Process &amp; Database\Documentation\Colo Applications</v>
      </c>
      <c r="BH280" s="104" t="str">
        <f ca="1">_05preva_view43[Folder Path2]&amp;"\Colo App "&amp;_05preva_view43[[#This Row],[Operator]]&amp;"\"</f>
        <v>D:\OneDrive - apollo-towers.com\Apollo Towers\00-Process &amp; Database\Documentation\Colo Applications\Colo App MPT\</v>
      </c>
      <c r="BI280" s="63" t="str">
        <f ca="1">_05preva_view43[[#This Row],[Folder Path3]]&amp;_05preva_view43[[#This Row],[File Name]]</f>
        <v>D:\OneDrive - apollo-towers.com\Apollo Towers\00-Process &amp; Database\Documentation\Colo Applications\Colo App MPT\1-01-14005-005 (SHS00349) Application Rev 4.xlsx</v>
      </c>
      <c r="BJ280" s="104"/>
      <c r="BK280" s="3"/>
      <c r="BL280" s="3"/>
      <c r="CJ280" s="5"/>
      <c r="CK280" s="5"/>
      <c r="CL280" s="3"/>
      <c r="CN280" s="5"/>
      <c r="CR280" s="3"/>
      <c r="CS280" s="3"/>
      <c r="CT280" s="5"/>
      <c r="CV280" s="3"/>
      <c r="DR280" s="5"/>
      <c r="DT280" s="3"/>
      <c r="EF280" s="7"/>
      <c r="EG280" s="7"/>
      <c r="EJ280" s="4"/>
      <c r="EK280" s="4"/>
      <c r="EU280" s="2"/>
      <c r="EV280" s="2"/>
    </row>
    <row r="281" spans="1:152">
      <c r="A281" s="125">
        <v>3368</v>
      </c>
      <c r="B281" s="126" t="s">
        <v>1026</v>
      </c>
      <c r="C281" s="126" t="s">
        <v>331</v>
      </c>
      <c r="D281" s="126" t="s">
        <v>163</v>
      </c>
      <c r="E281" s="126" t="s">
        <v>1027</v>
      </c>
      <c r="F281" s="126" t="s">
        <v>35</v>
      </c>
      <c r="G281" s="126" t="s">
        <v>1583</v>
      </c>
      <c r="H281" s="126" t="s">
        <v>1575</v>
      </c>
      <c r="I281" s="126" t="s">
        <v>956</v>
      </c>
      <c r="J281" s="126" t="s">
        <v>949</v>
      </c>
      <c r="K281" s="127">
        <v>43388</v>
      </c>
      <c r="L281" s="128"/>
      <c r="M281" s="128">
        <v>2.1</v>
      </c>
      <c r="N281" s="126">
        <v>3.5750000000000002</v>
      </c>
      <c r="O281" s="126" t="s">
        <v>950</v>
      </c>
      <c r="P281" s="129" t="s">
        <v>1028</v>
      </c>
      <c r="Q281" s="129" t="s">
        <v>1029</v>
      </c>
      <c r="R281" s="126" t="s">
        <v>24</v>
      </c>
      <c r="S281" s="126"/>
      <c r="T281" s="130" t="s">
        <v>861</v>
      </c>
      <c r="U281" s="126"/>
      <c r="V281" s="130" t="s">
        <v>861</v>
      </c>
      <c r="W281" s="126"/>
      <c r="X281" s="130" t="s">
        <v>120</v>
      </c>
      <c r="Y281" s="126" t="s">
        <v>1030</v>
      </c>
      <c r="Z281" s="162" t="s">
        <v>120</v>
      </c>
      <c r="AA281" s="154"/>
      <c r="AB281" s="154"/>
      <c r="AC281" s="167" t="s">
        <v>123</v>
      </c>
      <c r="AD281" s="126" t="s">
        <v>1031</v>
      </c>
      <c r="AE281" s="130" t="s">
        <v>861</v>
      </c>
      <c r="AF281" s="127"/>
      <c r="AG281" s="131"/>
      <c r="AH281" s="131"/>
      <c r="AI281" s="126"/>
      <c r="AJ281" s="130" t="s">
        <v>861</v>
      </c>
      <c r="AK281" s="126"/>
      <c r="AL281" s="126"/>
      <c r="AM281" s="130"/>
      <c r="AN281" s="126"/>
      <c r="AO281" s="132"/>
      <c r="AP281" s="126"/>
      <c r="AQ281" s="126"/>
      <c r="AR281" s="130"/>
      <c r="AS281" s="126"/>
      <c r="AT281" s="127"/>
      <c r="AU281" s="127"/>
      <c r="AV281" s="127"/>
      <c r="AW281" s="127"/>
      <c r="AX281" s="127"/>
      <c r="AY281" s="127"/>
      <c r="AZ281" s="133">
        <v>43388</v>
      </c>
      <c r="BA28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1" s="135">
        <f>COUNTIFS(_05preva_view43[Site ID],_05preva_view43[[#This Row],[Site ID]],_05preva_view43[Prevalidation Status],"Under Prevalidation")</f>
        <v>0</v>
      </c>
      <c r="BC281" s="153" t="str">
        <f ca="1">HYPERLINK(CheckPath(_05preva_view43[[#This Row],[File Path]],_05preva_view43[[#This Row],[File Path]],_05preva_view43[[#This Row],[Folder Path3]]),CheckPath(_05preva_view43[[#This Row],[File Path]],"Open File","No File"))</f>
        <v>No File</v>
      </c>
      <c r="BD281" s="136" t="str">
        <f>CONCATENATE(_05preva_view43[[#This Row],[Site ID]]," (",_05preva_view43[[#This Row],[tenant id]],") Application",IF(_05preva_view43[[#This Row],[Colo Rev]]&gt;0," Rev "&amp;_05preva_view43[[#This Row],[Colo Rev]],""),".xlsx")</f>
        <v>1-01-17016-004 (AWD00498) Application Rev 2.xlsx</v>
      </c>
      <c r="BE281" s="64">
        <f t="shared" ca="1" si="6"/>
        <v>50</v>
      </c>
      <c r="BF281" s="104" t="str">
        <f ca="1">LEFT(CELL("filename",A266),_05preva_view43[[#This Row],[Find Process &amp; Database]]-1)</f>
        <v>D:\OneDrive - apollo-towers.com\Apollo Towers\00-</v>
      </c>
      <c r="BG281" s="104" t="str">
        <f ca="1">_05preva_view43[Folder Path1]&amp;"Process &amp; Database\Documentation\Colo Applications"</f>
        <v>D:\OneDrive - apollo-towers.com\Apollo Towers\00-Process &amp; Database\Documentation\Colo Applications</v>
      </c>
      <c r="BH281" s="104" t="str">
        <f ca="1">_05preva_view43[Folder Path2]&amp;"\Colo App "&amp;_05preva_view43[[#This Row],[Operator]]&amp;"\"</f>
        <v>D:\OneDrive - apollo-towers.com\Apollo Towers\00-Process &amp; Database\Documentation\Colo Applications\Colo App MPT\</v>
      </c>
      <c r="BI281" s="63" t="str">
        <f ca="1">_05preva_view43[[#This Row],[Folder Path3]]&amp;_05preva_view43[[#This Row],[File Name]]</f>
        <v>D:\OneDrive - apollo-towers.com\Apollo Towers\00-Process &amp; Database\Documentation\Colo Applications\Colo App MPT\1-01-17016-004 (AWD00498) Application Rev 2.xlsx</v>
      </c>
      <c r="BJ281" s="104"/>
      <c r="BK281" s="3"/>
      <c r="BL281" s="3"/>
      <c r="CJ281" s="5"/>
      <c r="CK281" s="5"/>
      <c r="CL281" s="3"/>
      <c r="CN281" s="5"/>
      <c r="CR281" s="3"/>
      <c r="CS281" s="3"/>
      <c r="CT281" s="5"/>
      <c r="CV281" s="3"/>
      <c r="DR281" s="5"/>
      <c r="DT281" s="3"/>
      <c r="EF281" s="7"/>
      <c r="EG281" s="7"/>
      <c r="EJ281" s="4"/>
      <c r="EK281" s="4"/>
      <c r="EU281" s="2"/>
      <c r="EV281" s="2"/>
    </row>
    <row r="282" spans="1:152">
      <c r="A282" s="125">
        <v>3369</v>
      </c>
      <c r="B282" s="126" t="s">
        <v>1032</v>
      </c>
      <c r="C282" s="126" t="s">
        <v>331</v>
      </c>
      <c r="D282" s="126" t="s">
        <v>163</v>
      </c>
      <c r="E282" s="126" t="s">
        <v>1033</v>
      </c>
      <c r="F282" s="126" t="s">
        <v>35</v>
      </c>
      <c r="G282" s="126" t="s">
        <v>1583</v>
      </c>
      <c r="H282" s="126" t="s">
        <v>1575</v>
      </c>
      <c r="I282" s="126" t="s">
        <v>956</v>
      </c>
      <c r="J282" s="126" t="s">
        <v>949</v>
      </c>
      <c r="K282" s="127">
        <v>43388</v>
      </c>
      <c r="L282" s="128"/>
      <c r="M282" s="128">
        <v>2.4</v>
      </c>
      <c r="N282" s="126">
        <v>3.5150000000000001</v>
      </c>
      <c r="O282" s="126" t="s">
        <v>950</v>
      </c>
      <c r="P282" s="129" t="s">
        <v>704</v>
      </c>
      <c r="Q282" s="129" t="s">
        <v>705</v>
      </c>
      <c r="R282" s="126" t="s">
        <v>24</v>
      </c>
      <c r="S282" s="126"/>
      <c r="T282" s="130" t="s">
        <v>861</v>
      </c>
      <c r="U282" s="126"/>
      <c r="V282" s="130" t="s">
        <v>861</v>
      </c>
      <c r="W282" s="126"/>
      <c r="X282" s="130" t="s">
        <v>120</v>
      </c>
      <c r="Y282" s="126" t="s">
        <v>1034</v>
      </c>
      <c r="Z282" s="162" t="s">
        <v>120</v>
      </c>
      <c r="AA282" s="154"/>
      <c r="AB282" s="154"/>
      <c r="AC282" s="167" t="s">
        <v>123</v>
      </c>
      <c r="AD282" s="126" t="s">
        <v>1035</v>
      </c>
      <c r="AE282" s="130" t="s">
        <v>861</v>
      </c>
      <c r="AF282" s="127"/>
      <c r="AG282" s="131"/>
      <c r="AH282" s="131"/>
      <c r="AI282" s="126"/>
      <c r="AJ282" s="130" t="s">
        <v>861</v>
      </c>
      <c r="AK282" s="126"/>
      <c r="AL282" s="126"/>
      <c r="AM282" s="130"/>
      <c r="AN282" s="126"/>
      <c r="AO282" s="132"/>
      <c r="AP282" s="126"/>
      <c r="AQ282" s="126"/>
      <c r="AR282" s="130"/>
      <c r="AS282" s="126"/>
      <c r="AT282" s="127"/>
      <c r="AU282" s="127"/>
      <c r="AV282" s="127"/>
      <c r="AW282" s="127"/>
      <c r="AX282" s="127"/>
      <c r="AY282" s="127"/>
      <c r="AZ282" s="133">
        <v>43388</v>
      </c>
      <c r="BA28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2" s="135">
        <f>COUNTIFS(_05preva_view43[Site ID],_05preva_view43[[#This Row],[Site ID]],_05preva_view43[Prevalidation Status],"Under Prevalidation")</f>
        <v>0</v>
      </c>
      <c r="BC282" s="153" t="str">
        <f ca="1">HYPERLINK(CheckPath(_05preva_view43[[#This Row],[File Path]],_05preva_view43[[#This Row],[File Path]],_05preva_view43[[#This Row],[Folder Path3]]),CheckPath(_05preva_view43[[#This Row],[File Path]],"Open File","No File"))</f>
        <v>No File</v>
      </c>
      <c r="BD282" s="136" t="str">
        <f>CONCATENATE(_05preva_view43[[#This Row],[Site ID]]," (",_05preva_view43[[#This Row],[tenant id]],") Application",IF(_05preva_view43[[#This Row],[Colo Rev]]&gt;0," Rev "&amp;_05preva_view43[[#This Row],[Colo Rev]],""),".xlsx")</f>
        <v>1-01-13004-002 (YGN00555) Application Rev 2.xlsx</v>
      </c>
      <c r="BE282" s="64">
        <f t="shared" ca="1" si="6"/>
        <v>50</v>
      </c>
      <c r="BF282" s="104" t="str">
        <f ca="1">LEFT(CELL("filename",A267),_05preva_view43[[#This Row],[Find Process &amp; Database]]-1)</f>
        <v>D:\OneDrive - apollo-towers.com\Apollo Towers\00-</v>
      </c>
      <c r="BG282" s="104" t="str">
        <f ca="1">_05preva_view43[Folder Path1]&amp;"Process &amp; Database\Documentation\Colo Applications"</f>
        <v>D:\OneDrive - apollo-towers.com\Apollo Towers\00-Process &amp; Database\Documentation\Colo Applications</v>
      </c>
      <c r="BH282" s="104" t="str">
        <f ca="1">_05preva_view43[Folder Path2]&amp;"\Colo App "&amp;_05preva_view43[[#This Row],[Operator]]&amp;"\"</f>
        <v>D:\OneDrive - apollo-towers.com\Apollo Towers\00-Process &amp; Database\Documentation\Colo Applications\Colo App MPT\</v>
      </c>
      <c r="BI282" s="63" t="str">
        <f ca="1">_05preva_view43[[#This Row],[Folder Path3]]&amp;_05preva_view43[[#This Row],[File Name]]</f>
        <v>D:\OneDrive - apollo-towers.com\Apollo Towers\00-Process &amp; Database\Documentation\Colo Applications\Colo App MPT\1-01-13004-002 (YGN00555) Application Rev 2.xlsx</v>
      </c>
      <c r="BJ282" s="104"/>
      <c r="BK282" s="3"/>
      <c r="BL282" s="3"/>
      <c r="CJ282" s="5"/>
      <c r="CK282" s="5"/>
      <c r="CL282" s="3"/>
      <c r="CN282" s="5"/>
      <c r="CR282" s="3"/>
      <c r="CS282" s="3"/>
      <c r="CT282" s="5"/>
      <c r="CV282" s="3"/>
      <c r="DR282" s="5"/>
      <c r="DT282" s="3"/>
      <c r="EF282" s="7"/>
      <c r="EG282" s="7"/>
      <c r="EJ282" s="4"/>
      <c r="EK282" s="4"/>
      <c r="EU282" s="2"/>
      <c r="EV282" s="2"/>
    </row>
    <row r="283" spans="1:152">
      <c r="A283" s="125">
        <v>3370</v>
      </c>
      <c r="B283" s="126" t="s">
        <v>1036</v>
      </c>
      <c r="C283" s="126" t="s">
        <v>331</v>
      </c>
      <c r="D283" s="126" t="s">
        <v>163</v>
      </c>
      <c r="E283" s="126" t="s">
        <v>1037</v>
      </c>
      <c r="F283" s="126" t="s">
        <v>35</v>
      </c>
      <c r="G283" s="126" t="s">
        <v>1583</v>
      </c>
      <c r="H283" s="126" t="s">
        <v>1575</v>
      </c>
      <c r="I283" s="126" t="s">
        <v>1038</v>
      </c>
      <c r="J283" s="126" t="s">
        <v>949</v>
      </c>
      <c r="K283" s="127">
        <v>43388</v>
      </c>
      <c r="L283" s="128"/>
      <c r="M283" s="128">
        <v>0.9</v>
      </c>
      <c r="N283" s="126">
        <v>2.887</v>
      </c>
      <c r="O283" s="126" t="s">
        <v>950</v>
      </c>
      <c r="P283" s="129" t="s">
        <v>1028</v>
      </c>
      <c r="Q283" s="129" t="s">
        <v>1029</v>
      </c>
      <c r="R283" s="126" t="s">
        <v>24</v>
      </c>
      <c r="S283" s="126"/>
      <c r="T283" s="130" t="s">
        <v>861</v>
      </c>
      <c r="U283" s="126"/>
      <c r="V283" s="130" t="s">
        <v>861</v>
      </c>
      <c r="W283" s="126"/>
      <c r="X283" s="130" t="s">
        <v>120</v>
      </c>
      <c r="Y283" s="126" t="s">
        <v>1039</v>
      </c>
      <c r="Z283" s="162" t="s">
        <v>120</v>
      </c>
      <c r="AA283" s="154"/>
      <c r="AB283" s="154"/>
      <c r="AC283" s="167" t="s">
        <v>123</v>
      </c>
      <c r="AD283" s="126" t="s">
        <v>1040</v>
      </c>
      <c r="AE283" s="130" t="s">
        <v>861</v>
      </c>
      <c r="AF283" s="127"/>
      <c r="AG283" s="131"/>
      <c r="AH283" s="131"/>
      <c r="AI283" s="126"/>
      <c r="AJ283" s="130" t="s">
        <v>861</v>
      </c>
      <c r="AK283" s="126"/>
      <c r="AL283" s="126"/>
      <c r="AM283" s="130"/>
      <c r="AN283" s="126"/>
      <c r="AO283" s="132"/>
      <c r="AP283" s="126"/>
      <c r="AQ283" s="126"/>
      <c r="AR283" s="130"/>
      <c r="AS283" s="126"/>
      <c r="AT283" s="127"/>
      <c r="AU283" s="127"/>
      <c r="AV283" s="127"/>
      <c r="AW283" s="127"/>
      <c r="AX283" s="127"/>
      <c r="AY283" s="127"/>
      <c r="AZ283" s="133">
        <v>43388</v>
      </c>
      <c r="BA28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3" s="135">
        <f>COUNTIFS(_05preva_view43[Site ID],_05preva_view43[[#This Row],[Site ID]],_05preva_view43[Prevalidation Status],"Under Prevalidation")</f>
        <v>0</v>
      </c>
      <c r="BC283" s="153" t="str">
        <f ca="1">HYPERLINK(CheckPath(_05preva_view43[[#This Row],[File Path]],_05preva_view43[[#This Row],[File Path]],_05preva_view43[[#This Row],[Folder Path3]]),CheckPath(_05preva_view43[[#This Row],[File Path]],"Open File","No File"))</f>
        <v>No File</v>
      </c>
      <c r="BD283" s="136" t="str">
        <f>CONCATENATE(_05preva_view43[[#This Row],[Site ID]]," (",_05preva_view43[[#This Row],[tenant id]],") Application",IF(_05preva_view43[[#This Row],[Colo Rev]]&gt;0," Rev "&amp;_05preva_view43[[#This Row],[Colo Rev]],""),".xlsx")</f>
        <v>1-01-17009-002 (AWD00481) Application Rev 2.xlsx</v>
      </c>
      <c r="BE283" s="64">
        <f t="shared" ca="1" si="6"/>
        <v>50</v>
      </c>
      <c r="BF283" s="104" t="str">
        <f ca="1">LEFT(CELL("filename",A268),_05preva_view43[[#This Row],[Find Process &amp; Database]]-1)</f>
        <v>D:\OneDrive - apollo-towers.com\Apollo Towers\00-</v>
      </c>
      <c r="BG283" s="104" t="str">
        <f ca="1">_05preva_view43[Folder Path1]&amp;"Process &amp; Database\Documentation\Colo Applications"</f>
        <v>D:\OneDrive - apollo-towers.com\Apollo Towers\00-Process &amp; Database\Documentation\Colo Applications</v>
      </c>
      <c r="BH283" s="104" t="str">
        <f ca="1">_05preva_view43[Folder Path2]&amp;"\Colo App "&amp;_05preva_view43[[#This Row],[Operator]]&amp;"\"</f>
        <v>D:\OneDrive - apollo-towers.com\Apollo Towers\00-Process &amp; Database\Documentation\Colo Applications\Colo App MPT\</v>
      </c>
      <c r="BI283" s="63" t="str">
        <f ca="1">_05preva_view43[[#This Row],[Folder Path3]]&amp;_05preva_view43[[#This Row],[File Name]]</f>
        <v>D:\OneDrive - apollo-towers.com\Apollo Towers\00-Process &amp; Database\Documentation\Colo Applications\Colo App MPT\1-01-17009-002 (AWD00481) Application Rev 2.xlsx</v>
      </c>
      <c r="BJ283" s="104"/>
      <c r="BK283" s="3"/>
      <c r="BL283" s="3"/>
      <c r="CJ283" s="5"/>
      <c r="CK283" s="5"/>
      <c r="CL283" s="3"/>
      <c r="CN283" s="5"/>
      <c r="CR283" s="3"/>
      <c r="CS283" s="3"/>
      <c r="CT283" s="5"/>
      <c r="CV283" s="3"/>
      <c r="DR283" s="5"/>
      <c r="DT283" s="3"/>
      <c r="EF283" s="7"/>
      <c r="EG283" s="7"/>
      <c r="EJ283" s="4"/>
      <c r="EK283" s="4"/>
      <c r="EU283" s="2"/>
      <c r="EV283" s="2"/>
    </row>
    <row r="284" spans="1:152">
      <c r="A284" s="125">
        <v>3371</v>
      </c>
      <c r="B284" s="126" t="s">
        <v>1041</v>
      </c>
      <c r="C284" s="126" t="s">
        <v>331</v>
      </c>
      <c r="D284" s="126" t="s">
        <v>163</v>
      </c>
      <c r="E284" s="126" t="s">
        <v>1042</v>
      </c>
      <c r="F284" s="126" t="s">
        <v>35</v>
      </c>
      <c r="G284" s="126" t="s">
        <v>1583</v>
      </c>
      <c r="H284" s="126" t="s">
        <v>1575</v>
      </c>
      <c r="I284" s="126" t="s">
        <v>1038</v>
      </c>
      <c r="J284" s="126" t="s">
        <v>949</v>
      </c>
      <c r="K284" s="127">
        <v>43388</v>
      </c>
      <c r="L284" s="128"/>
      <c r="M284" s="128">
        <v>1.5</v>
      </c>
      <c r="N284" s="126">
        <v>2.9119999999999999</v>
      </c>
      <c r="O284" s="126" t="s">
        <v>950</v>
      </c>
      <c r="P284" s="129" t="s">
        <v>747</v>
      </c>
      <c r="Q284" s="129" t="s">
        <v>1043</v>
      </c>
      <c r="R284" s="126" t="s">
        <v>24</v>
      </c>
      <c r="S284" s="126"/>
      <c r="T284" s="130" t="s">
        <v>861</v>
      </c>
      <c r="U284" s="126"/>
      <c r="V284" s="130" t="s">
        <v>861</v>
      </c>
      <c r="W284" s="126"/>
      <c r="X284" s="130" t="s">
        <v>120</v>
      </c>
      <c r="Y284" s="126" t="s">
        <v>1044</v>
      </c>
      <c r="Z284" s="162" t="s">
        <v>120</v>
      </c>
      <c r="AA284" s="154"/>
      <c r="AB284" s="154"/>
      <c r="AC284" s="167" t="s">
        <v>123</v>
      </c>
      <c r="AD284" s="126" t="s">
        <v>1045</v>
      </c>
      <c r="AE284" s="130" t="s">
        <v>861</v>
      </c>
      <c r="AF284" s="127"/>
      <c r="AG284" s="131"/>
      <c r="AH284" s="131"/>
      <c r="AI284" s="126"/>
      <c r="AJ284" s="130" t="s">
        <v>861</v>
      </c>
      <c r="AK284" s="126"/>
      <c r="AL284" s="126"/>
      <c r="AM284" s="130"/>
      <c r="AN284" s="126"/>
      <c r="AO284" s="132"/>
      <c r="AP284" s="126"/>
      <c r="AQ284" s="126"/>
      <c r="AR284" s="130"/>
      <c r="AS284" s="126"/>
      <c r="AT284" s="127"/>
      <c r="AU284" s="127"/>
      <c r="AV284" s="127"/>
      <c r="AW284" s="127"/>
      <c r="AX284" s="127"/>
      <c r="AY284" s="127"/>
      <c r="AZ284" s="133">
        <v>43388</v>
      </c>
      <c r="BA28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4" s="135">
        <f>COUNTIFS(_05preva_view43[Site ID],_05preva_view43[[#This Row],[Site ID]],_05preva_view43[Prevalidation Status],"Under Prevalidation")</f>
        <v>0</v>
      </c>
      <c r="BC284" s="153" t="str">
        <f ca="1">HYPERLINK(CheckPath(_05preva_view43[[#This Row],[File Path]],_05preva_view43[[#This Row],[File Path]],_05preva_view43[[#This Row],[Folder Path3]]),CheckPath(_05preva_view43[[#This Row],[File Path]],"Open File","No File"))</f>
        <v>No File</v>
      </c>
      <c r="BD284" s="136" t="str">
        <f>CONCATENATE(_05preva_view43[[#This Row],[Site ID]]," (",_05preva_view43[[#This Row],[tenant id]],") Application",IF(_05preva_view43[[#This Row],[Colo Rev]]&gt;0," Rev "&amp;_05preva_view43[[#This Row],[Colo Rev]],""),".xlsx")</f>
        <v>1-01-17008-022 (AWD00548) Application Rev 2.xlsx</v>
      </c>
      <c r="BE284" s="64">
        <f t="shared" ca="1" si="6"/>
        <v>50</v>
      </c>
      <c r="BF284" s="104" t="str">
        <f ca="1">LEFT(CELL("filename",A269),_05preva_view43[[#This Row],[Find Process &amp; Database]]-1)</f>
        <v>D:\OneDrive - apollo-towers.com\Apollo Towers\00-</v>
      </c>
      <c r="BG284" s="104" t="str">
        <f ca="1">_05preva_view43[Folder Path1]&amp;"Process &amp; Database\Documentation\Colo Applications"</f>
        <v>D:\OneDrive - apollo-towers.com\Apollo Towers\00-Process &amp; Database\Documentation\Colo Applications</v>
      </c>
      <c r="BH284" s="104" t="str">
        <f ca="1">_05preva_view43[Folder Path2]&amp;"\Colo App "&amp;_05preva_view43[[#This Row],[Operator]]&amp;"\"</f>
        <v>D:\OneDrive - apollo-towers.com\Apollo Towers\00-Process &amp; Database\Documentation\Colo Applications\Colo App MPT\</v>
      </c>
      <c r="BI284" s="63" t="str">
        <f ca="1">_05preva_view43[[#This Row],[Folder Path3]]&amp;_05preva_view43[[#This Row],[File Name]]</f>
        <v>D:\OneDrive - apollo-towers.com\Apollo Towers\00-Process &amp; Database\Documentation\Colo Applications\Colo App MPT\1-01-17008-022 (AWD00548) Application Rev 2.xlsx</v>
      </c>
      <c r="BJ284" s="104"/>
      <c r="BK284" s="3"/>
      <c r="BL284" s="3"/>
      <c r="CJ284" s="5"/>
      <c r="CK284" s="5"/>
      <c r="CL284" s="3"/>
      <c r="CN284" s="5"/>
      <c r="CR284" s="3"/>
      <c r="CS284" s="3"/>
      <c r="CT284" s="5"/>
      <c r="CV284" s="3"/>
      <c r="DR284" s="5"/>
      <c r="DT284" s="3"/>
      <c r="EF284" s="7"/>
      <c r="EG284" s="7"/>
      <c r="EJ284" s="4"/>
      <c r="EK284" s="4"/>
      <c r="EU284" s="2"/>
      <c r="EV284" s="2"/>
    </row>
    <row r="285" spans="1:152">
      <c r="A285" s="125">
        <v>3348</v>
      </c>
      <c r="B285" s="126" t="s">
        <v>928</v>
      </c>
      <c r="C285" s="126" t="s">
        <v>116</v>
      </c>
      <c r="D285" s="126" t="s">
        <v>127</v>
      </c>
      <c r="E285" s="126" t="s">
        <v>929</v>
      </c>
      <c r="F285" s="126" t="s">
        <v>35</v>
      </c>
      <c r="G285" s="126" t="s">
        <v>1577</v>
      </c>
      <c r="H285" s="126" t="s">
        <v>1575</v>
      </c>
      <c r="I285" s="126" t="s">
        <v>930</v>
      </c>
      <c r="J285" s="126" t="s">
        <v>931</v>
      </c>
      <c r="K285" s="127">
        <v>43384</v>
      </c>
      <c r="L285" s="128"/>
      <c r="M285" s="128">
        <v>1.4</v>
      </c>
      <c r="N285" s="126">
        <v>5</v>
      </c>
      <c r="O285" s="126" t="s">
        <v>119</v>
      </c>
      <c r="P285" s="129" t="s">
        <v>916</v>
      </c>
      <c r="Q285" s="129" t="s">
        <v>932</v>
      </c>
      <c r="R285" s="126" t="s">
        <v>24</v>
      </c>
      <c r="S285" s="126"/>
      <c r="T285" s="130" t="s">
        <v>861</v>
      </c>
      <c r="U285" s="126"/>
      <c r="V285" s="130" t="s">
        <v>144</v>
      </c>
      <c r="W285" s="126" t="s">
        <v>935</v>
      </c>
      <c r="X285" s="130" t="s">
        <v>120</v>
      </c>
      <c r="Y285" s="126" t="s">
        <v>933</v>
      </c>
      <c r="Z285" s="162" t="s">
        <v>120</v>
      </c>
      <c r="AA285" s="154"/>
      <c r="AB285" s="154"/>
      <c r="AC285" s="167"/>
      <c r="AD285" s="126"/>
      <c r="AE285" s="130" t="s">
        <v>861</v>
      </c>
      <c r="AF285" s="127"/>
      <c r="AG285" s="131"/>
      <c r="AH285" s="131"/>
      <c r="AI285" s="126" t="s">
        <v>934</v>
      </c>
      <c r="AJ285" s="130" t="s">
        <v>861</v>
      </c>
      <c r="AK285" s="126"/>
      <c r="AL285" s="126"/>
      <c r="AM285" s="130"/>
      <c r="AN285" s="126"/>
      <c r="AO285" s="132"/>
      <c r="AP285" s="126"/>
      <c r="AQ285" s="126"/>
      <c r="AR285" s="130"/>
      <c r="AS285" s="126"/>
      <c r="AT285" s="127"/>
      <c r="AU285" s="127"/>
      <c r="AV285" s="127"/>
      <c r="AW285" s="127"/>
      <c r="AX285" s="127"/>
      <c r="AY285" s="127"/>
      <c r="AZ285" s="133">
        <v>43384</v>
      </c>
      <c r="BA28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5" s="135">
        <f>COUNTIFS(_05preva_view43[Site ID],_05preva_view43[[#This Row],[Site ID]],_05preva_view43[Prevalidation Status],"Under Prevalidation")</f>
        <v>0</v>
      </c>
      <c r="BC285" s="153" t="str">
        <f ca="1">HYPERLINK(CheckPath(_05preva_view43[[#This Row],[File Path]],_05preva_view43[[#This Row],[File Path]],_05preva_view43[[#This Row],[Folder Path3]]),CheckPath(_05preva_view43[[#This Row],[File Path]],"Open File","No File"))</f>
        <v>No File</v>
      </c>
      <c r="BD285" s="136" t="str">
        <f>CONCATENATE(_05preva_view43[[#This Row],[Site ID]]," (",_05preva_view43[[#This Row],[tenant id]],") Application",IF(_05preva_view43[[#This Row],[Colo Rev]]&gt;0," Rev "&amp;_05preva_view43[[#This Row],[Colo Rev]],""),".xlsx")</f>
        <v>ANSG_0483 (SGG00406) Application Rev 1.xlsx</v>
      </c>
      <c r="BE285" s="64">
        <f t="shared" ca="1" si="6"/>
        <v>50</v>
      </c>
      <c r="BF285" s="104" t="str">
        <f ca="1">LEFT(CELL("filename",A270),_05preva_view43[[#This Row],[Find Process &amp; Database]]-1)</f>
        <v>D:\OneDrive - apollo-towers.com\Apollo Towers\00-</v>
      </c>
      <c r="BG285" s="104" t="str">
        <f ca="1">_05preva_view43[Folder Path1]&amp;"Process &amp; Database\Documentation\Colo Applications"</f>
        <v>D:\OneDrive - apollo-towers.com\Apollo Towers\00-Process &amp; Database\Documentation\Colo Applications</v>
      </c>
      <c r="BH285" s="104" t="str">
        <f ca="1">_05preva_view43[Folder Path2]&amp;"\Colo App "&amp;_05preva_view43[[#This Row],[Operator]]&amp;"\"</f>
        <v>D:\OneDrive - apollo-towers.com\Apollo Towers\00-Process &amp; Database\Documentation\Colo Applications\Colo App MPT\</v>
      </c>
      <c r="BI285" s="63" t="str">
        <f ca="1">_05preva_view43[[#This Row],[Folder Path3]]&amp;_05preva_view43[[#This Row],[File Name]]</f>
        <v>D:\OneDrive - apollo-towers.com\Apollo Towers\00-Process &amp; Database\Documentation\Colo Applications\Colo App MPT\ANSG_0483 (SGG00406) Application Rev 1.xlsx</v>
      </c>
      <c r="BJ285" s="104"/>
      <c r="BK285" s="3"/>
      <c r="BL285" s="3"/>
      <c r="CJ285" s="5"/>
      <c r="CK285" s="5"/>
      <c r="CL285" s="3"/>
      <c r="CN285" s="5"/>
      <c r="CR285" s="3"/>
      <c r="CS285" s="3"/>
      <c r="CT285" s="5"/>
      <c r="CV285" s="3"/>
      <c r="DR285" s="5"/>
      <c r="DT285" s="3"/>
      <c r="EF285" s="7"/>
      <c r="EG285" s="7"/>
      <c r="EJ285" s="4"/>
      <c r="EK285" s="4"/>
      <c r="EU285" s="2"/>
      <c r="EV285" s="2"/>
    </row>
    <row r="286" spans="1:152">
      <c r="A286" s="125">
        <v>3349</v>
      </c>
      <c r="B286" s="126" t="s">
        <v>936</v>
      </c>
      <c r="C286" s="126" t="s">
        <v>116</v>
      </c>
      <c r="D286" s="126" t="s">
        <v>163</v>
      </c>
      <c r="E286" s="126" t="s">
        <v>937</v>
      </c>
      <c r="F286" s="126" t="s">
        <v>35</v>
      </c>
      <c r="G286" s="126" t="s">
        <v>938</v>
      </c>
      <c r="H286" s="126" t="s">
        <v>939</v>
      </c>
      <c r="I286" s="126" t="s">
        <v>930</v>
      </c>
      <c r="J286" s="126" t="s">
        <v>940</v>
      </c>
      <c r="K286" s="127">
        <v>43384</v>
      </c>
      <c r="L286" s="128"/>
      <c r="M286" s="128">
        <v>2.1</v>
      </c>
      <c r="N286" s="126">
        <v>5</v>
      </c>
      <c r="O286" s="126" t="s">
        <v>119</v>
      </c>
      <c r="P286" s="129" t="s">
        <v>285</v>
      </c>
      <c r="Q286" s="129" t="s">
        <v>263</v>
      </c>
      <c r="R286" s="126" t="s">
        <v>24</v>
      </c>
      <c r="S286" s="126"/>
      <c r="T286" s="130" t="s">
        <v>861</v>
      </c>
      <c r="U286" s="126"/>
      <c r="V286" s="130" t="s">
        <v>144</v>
      </c>
      <c r="W286" s="126" t="s">
        <v>943</v>
      </c>
      <c r="X286" s="130" t="s">
        <v>120</v>
      </c>
      <c r="Y286" s="126" t="s">
        <v>941</v>
      </c>
      <c r="Z286" s="162"/>
      <c r="AA286" s="154"/>
      <c r="AB286" s="154"/>
      <c r="AC286" s="167"/>
      <c r="AD286" s="126"/>
      <c r="AE286" s="130" t="s">
        <v>120</v>
      </c>
      <c r="AF286" s="127" t="s">
        <v>715</v>
      </c>
      <c r="AG286" s="131"/>
      <c r="AH286" s="131"/>
      <c r="AI286" s="126" t="s">
        <v>942</v>
      </c>
      <c r="AJ286" s="130" t="s">
        <v>861</v>
      </c>
      <c r="AK286" s="126"/>
      <c r="AL286" s="126"/>
      <c r="AM286" s="130"/>
      <c r="AN286" s="126"/>
      <c r="AO286" s="132"/>
      <c r="AP286" s="126"/>
      <c r="AQ286" s="126"/>
      <c r="AR286" s="130"/>
      <c r="AS286" s="126"/>
      <c r="AT286" s="127"/>
      <c r="AU286" s="127">
        <v>43453.379108564797</v>
      </c>
      <c r="AV286" s="127"/>
      <c r="AW286" s="127"/>
      <c r="AX286" s="127"/>
      <c r="AY286" s="127"/>
      <c r="AZ286" s="133">
        <v>43384</v>
      </c>
      <c r="BA28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6" s="135">
        <f>COUNTIFS(_05preva_view43[Site ID],_05preva_view43[[#This Row],[Site ID]],_05preva_view43[Prevalidation Status],"Under Prevalidation")</f>
        <v>0</v>
      </c>
      <c r="BC286" s="153" t="str">
        <f ca="1">HYPERLINK(CheckPath(_05preva_view43[[#This Row],[File Path]],_05preva_view43[[#This Row],[File Path]],_05preva_view43[[#This Row],[Folder Path3]]),CheckPath(_05preva_view43[[#This Row],[File Path]],"Open File","No File"))</f>
        <v>No File</v>
      </c>
      <c r="BD286" s="136" t="str">
        <f>CONCATENATE(_05preva_view43[[#This Row],[Site ID]]," (",_05preva_view43[[#This Row],[tenant id]],") Application",IF(_05preva_view43[[#This Row],[Colo Rev]]&gt;0," Rev "&amp;_05preva_view43[[#This Row],[Colo Rev]],""),".xlsx")</f>
        <v>AYYN_0609 (BGE00472) Application Rev 0.xlsx</v>
      </c>
      <c r="BE286" s="64">
        <f t="shared" ca="1" si="6"/>
        <v>50</v>
      </c>
      <c r="BF286" s="104" t="str">
        <f ca="1">LEFT(CELL("filename",A271),_05preva_view43[[#This Row],[Find Process &amp; Database]]-1)</f>
        <v>D:\OneDrive - apollo-towers.com\Apollo Towers\00-</v>
      </c>
      <c r="BG286" s="104" t="str">
        <f ca="1">_05preva_view43[Folder Path1]&amp;"Process &amp; Database\Documentation\Colo Applications"</f>
        <v>D:\OneDrive - apollo-towers.com\Apollo Towers\00-Process &amp; Database\Documentation\Colo Applications</v>
      </c>
      <c r="BH286" s="104" t="str">
        <f ca="1">_05preva_view43[Folder Path2]&amp;"\Colo App "&amp;_05preva_view43[[#This Row],[Operator]]&amp;"\"</f>
        <v>D:\OneDrive - apollo-towers.com\Apollo Towers\00-Process &amp; Database\Documentation\Colo Applications\Colo App MPT\</v>
      </c>
      <c r="BI286" s="63" t="str">
        <f ca="1">_05preva_view43[[#This Row],[Folder Path3]]&amp;_05preva_view43[[#This Row],[File Name]]</f>
        <v>D:\OneDrive - apollo-towers.com\Apollo Towers\00-Process &amp; Database\Documentation\Colo Applications\Colo App MPT\AYYN_0609 (BGE00472) Application Rev 0.xlsx</v>
      </c>
      <c r="BJ286" s="104"/>
      <c r="BK286" s="3"/>
      <c r="BL286" s="3"/>
      <c r="CJ286" s="5"/>
      <c r="CK286" s="5"/>
      <c r="CL286" s="3"/>
      <c r="CN286" s="5"/>
      <c r="CR286" s="3"/>
      <c r="CS286" s="3"/>
      <c r="CT286" s="5"/>
      <c r="CV286" s="3"/>
      <c r="DR286" s="5"/>
      <c r="DT286" s="3"/>
      <c r="EF286" s="7"/>
      <c r="EG286" s="7"/>
      <c r="EJ286" s="4"/>
      <c r="EK286" s="4"/>
      <c r="EU286" s="2"/>
      <c r="EV286" s="2"/>
    </row>
    <row r="287" spans="1:152">
      <c r="A287" s="125">
        <v>3351</v>
      </c>
      <c r="B287" s="126" t="s">
        <v>247</v>
      </c>
      <c r="C287" s="126" t="s">
        <v>116</v>
      </c>
      <c r="D287" s="126" t="s">
        <v>163</v>
      </c>
      <c r="E287" s="126" t="s">
        <v>944</v>
      </c>
      <c r="F287" s="126" t="s">
        <v>35</v>
      </c>
      <c r="G287" s="126" t="s">
        <v>1577</v>
      </c>
      <c r="H287" s="126" t="s">
        <v>1575</v>
      </c>
      <c r="I287" s="126" t="s">
        <v>930</v>
      </c>
      <c r="J287" s="126" t="s">
        <v>940</v>
      </c>
      <c r="K287" s="127">
        <v>43384</v>
      </c>
      <c r="L287" s="128"/>
      <c r="M287" s="128">
        <v>2.1</v>
      </c>
      <c r="N287" s="126"/>
      <c r="O287" s="126" t="s">
        <v>119</v>
      </c>
      <c r="P287" s="129" t="s">
        <v>285</v>
      </c>
      <c r="Q287" s="129" t="s">
        <v>263</v>
      </c>
      <c r="R287" s="126" t="s">
        <v>24</v>
      </c>
      <c r="S287" s="126"/>
      <c r="T287" s="130" t="s">
        <v>861</v>
      </c>
      <c r="U287" s="126"/>
      <c r="V287" s="130" t="s">
        <v>120</v>
      </c>
      <c r="W287" s="126"/>
      <c r="X287" s="130" t="s">
        <v>120</v>
      </c>
      <c r="Y287" s="126" t="s">
        <v>945</v>
      </c>
      <c r="Z287" s="162"/>
      <c r="AA287" s="154"/>
      <c r="AB287" s="154"/>
      <c r="AC287" s="167"/>
      <c r="AD287" s="126"/>
      <c r="AE287" s="130" t="s">
        <v>120</v>
      </c>
      <c r="AF287" s="127" t="s">
        <v>895</v>
      </c>
      <c r="AG287" s="131"/>
      <c r="AH287" s="131"/>
      <c r="AI287" s="126"/>
      <c r="AJ287" s="130" t="s">
        <v>861</v>
      </c>
      <c r="AK287" s="126"/>
      <c r="AL287" s="126"/>
      <c r="AM287" s="130"/>
      <c r="AN287" s="126"/>
      <c r="AO287" s="132"/>
      <c r="AP287" s="126"/>
      <c r="AQ287" s="126"/>
      <c r="AR287" s="130"/>
      <c r="AS287" s="126"/>
      <c r="AT287" s="127"/>
      <c r="AU287" s="127">
        <v>43453.379109722198</v>
      </c>
      <c r="AV287" s="127"/>
      <c r="AW287" s="127"/>
      <c r="AX287" s="127"/>
      <c r="AY287" s="127"/>
      <c r="AZ287" s="133">
        <v>43384</v>
      </c>
      <c r="BA28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7" s="135">
        <f>COUNTIFS(_05preva_view43[Site ID],_05preva_view43[[#This Row],[Site ID]],_05preva_view43[Prevalidation Status],"Under Prevalidation")</f>
        <v>0</v>
      </c>
      <c r="BC287" s="153" t="str">
        <f ca="1">HYPERLINK(CheckPath(_05preva_view43[[#This Row],[File Path]],_05preva_view43[[#This Row],[File Path]],_05preva_view43[[#This Row],[Folder Path3]]),CheckPath(_05preva_view43[[#This Row],[File Path]],"Open File","No File"))</f>
        <v>No File</v>
      </c>
      <c r="BD287" s="136" t="str">
        <f>CONCATENATE(_05preva_view43[[#This Row],[Site ID]]," (",_05preva_view43[[#This Row],[tenant id]],") Application",IF(_05preva_view43[[#This Row],[Colo Rev]]&gt;0," Rev "&amp;_05preva_view43[[#This Row],[Colo Rev]],""),".xlsx")</f>
        <v>AYYN_0529 (YGN00500) Application Rev 0.xlsx</v>
      </c>
      <c r="BE287" s="64">
        <f t="shared" ca="1" si="6"/>
        <v>50</v>
      </c>
      <c r="BF287" s="104" t="str">
        <f ca="1">LEFT(CELL("filename",A272),_05preva_view43[[#This Row],[Find Process &amp; Database]]-1)</f>
        <v>D:\OneDrive - apollo-towers.com\Apollo Towers\00-</v>
      </c>
      <c r="BG287" s="104" t="str">
        <f ca="1">_05preva_view43[Folder Path1]&amp;"Process &amp; Database\Documentation\Colo Applications"</f>
        <v>D:\OneDrive - apollo-towers.com\Apollo Towers\00-Process &amp; Database\Documentation\Colo Applications</v>
      </c>
      <c r="BH287" s="104" t="str">
        <f ca="1">_05preva_view43[Folder Path2]&amp;"\Colo App "&amp;_05preva_view43[[#This Row],[Operator]]&amp;"\"</f>
        <v>D:\OneDrive - apollo-towers.com\Apollo Towers\00-Process &amp; Database\Documentation\Colo Applications\Colo App MPT\</v>
      </c>
      <c r="BI287" s="63" t="str">
        <f ca="1">_05preva_view43[[#This Row],[Folder Path3]]&amp;_05preva_view43[[#This Row],[File Name]]</f>
        <v>D:\OneDrive - apollo-towers.com\Apollo Towers\00-Process &amp; Database\Documentation\Colo Applications\Colo App MPT\AYYN_0529 (YGN00500) Application Rev 0.xlsx</v>
      </c>
      <c r="BJ287" s="104"/>
      <c r="BK287" s="3"/>
      <c r="BL287" s="3"/>
      <c r="CJ287" s="5"/>
      <c r="CK287" s="5"/>
      <c r="CL287" s="3"/>
      <c r="CN287" s="5"/>
      <c r="CR287" s="3"/>
      <c r="CS287" s="3"/>
      <c r="CT287" s="5"/>
      <c r="CV287" s="3"/>
      <c r="DR287" s="5"/>
      <c r="DT287" s="3"/>
      <c r="EF287" s="7"/>
      <c r="EG287" s="7"/>
      <c r="EJ287" s="4"/>
      <c r="EK287" s="4"/>
      <c r="EU287" s="2"/>
      <c r="EV287" s="2"/>
    </row>
    <row r="288" spans="1:152">
      <c r="A288" s="125">
        <v>655</v>
      </c>
      <c r="B288" s="126" t="s">
        <v>926</v>
      </c>
      <c r="C288" s="126" t="s">
        <v>116</v>
      </c>
      <c r="D288" s="126" t="s">
        <v>117</v>
      </c>
      <c r="E288" s="126" t="s">
        <v>927</v>
      </c>
      <c r="F288" s="126" t="s">
        <v>40</v>
      </c>
      <c r="G288" s="126" t="s">
        <v>118</v>
      </c>
      <c r="H288" s="126"/>
      <c r="I288" s="126" t="s">
        <v>118</v>
      </c>
      <c r="J288" s="126"/>
      <c r="K288" s="127">
        <v>43353</v>
      </c>
      <c r="L288" s="128"/>
      <c r="M288" s="128">
        <v>3</v>
      </c>
      <c r="N288" s="126">
        <v>6</v>
      </c>
      <c r="O288" s="126" t="s">
        <v>119</v>
      </c>
      <c r="P288" s="129" t="s">
        <v>263</v>
      </c>
      <c r="Q288" s="129" t="s">
        <v>264</v>
      </c>
      <c r="R288" s="126" t="s">
        <v>27</v>
      </c>
      <c r="S288" s="126"/>
      <c r="T288" s="130" t="s">
        <v>120</v>
      </c>
      <c r="U288" s="126" t="s">
        <v>900</v>
      </c>
      <c r="V288" s="130" t="s">
        <v>120</v>
      </c>
      <c r="W288" s="126"/>
      <c r="X288" s="130"/>
      <c r="Y288" s="126"/>
      <c r="Z288" s="162"/>
      <c r="AA288" s="154"/>
      <c r="AB288" s="154"/>
      <c r="AC288" s="167"/>
      <c r="AD288" s="126"/>
      <c r="AE288" s="130" t="s">
        <v>120</v>
      </c>
      <c r="AF288" s="127" t="s">
        <v>895</v>
      </c>
      <c r="AG288" s="131"/>
      <c r="AH288" s="131"/>
      <c r="AI288" s="126"/>
      <c r="AJ288" s="130"/>
      <c r="AK288" s="126"/>
      <c r="AL288" s="126"/>
      <c r="AM288" s="130"/>
      <c r="AN288" s="126"/>
      <c r="AO288" s="132"/>
      <c r="AP288" s="126"/>
      <c r="AQ288" s="126"/>
      <c r="AR288" s="130"/>
      <c r="AS288" s="126"/>
      <c r="AT288" s="127"/>
      <c r="AU288" s="127">
        <v>43417.673058101798</v>
      </c>
      <c r="AV288" s="127"/>
      <c r="AW288" s="127"/>
      <c r="AX288" s="127">
        <v>43417.688162036997</v>
      </c>
      <c r="AY288" s="127">
        <v>43417.684590162004</v>
      </c>
      <c r="AZ288" s="133">
        <v>43353</v>
      </c>
      <c r="BA28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8" s="135">
        <f>COUNTIFS(_05preva_view43[Site ID],_05preva_view43[[#This Row],[Site ID]],_05preva_view43[Prevalidation Status],"Under Prevalidation")</f>
        <v>0</v>
      </c>
      <c r="BC288" s="153" t="str">
        <f ca="1">HYPERLINK(CheckPath(_05preva_view43[[#This Row],[File Path]],_05preva_view43[[#This Row],[File Path]],_05preva_view43[[#This Row],[Folder Path3]]),CheckPath(_05preva_view43[[#This Row],[File Path]],"Open File","No File"))</f>
        <v>No File</v>
      </c>
      <c r="BD288" s="136" t="str">
        <f>CONCATENATE(_05preva_view43[[#This Row],[Site ID]]," (",_05preva_view43[[#This Row],[tenant id]],") Application",IF(_05preva_view43[[#This Row],[Colo Rev]]&gt;0," Rev "&amp;_05preva_view43[[#This Row],[Colo Rev]],""),".xlsx")</f>
        <v>ANNP_0256 (NPW2249) Application.xlsx</v>
      </c>
      <c r="BE288" s="64">
        <f t="shared" ca="1" si="6"/>
        <v>50</v>
      </c>
      <c r="BF288" s="104" t="str">
        <f ca="1">LEFT(CELL("filename",A273),_05preva_view43[[#This Row],[Find Process &amp; Database]]-1)</f>
        <v>D:\OneDrive - apollo-towers.com\Apollo Towers\00-</v>
      </c>
      <c r="BG288" s="104" t="str">
        <f ca="1">_05preva_view43[Folder Path1]&amp;"Process &amp; Database\Documentation\Colo Applications"</f>
        <v>D:\OneDrive - apollo-towers.com\Apollo Towers\00-Process &amp; Database\Documentation\Colo Applications</v>
      </c>
      <c r="BH288" s="104" t="str">
        <f ca="1">_05preva_view43[Folder Path2]&amp;"\Colo App "&amp;_05preva_view43[[#This Row],[Operator]]&amp;"\"</f>
        <v>D:\OneDrive - apollo-towers.com\Apollo Towers\00-Process &amp; Database\Documentation\Colo Applications\Colo App OML\</v>
      </c>
      <c r="BI288" s="63" t="str">
        <f ca="1">_05preva_view43[[#This Row],[Folder Path3]]&amp;_05preva_view43[[#This Row],[File Name]]</f>
        <v>D:\OneDrive - apollo-towers.com\Apollo Towers\00-Process &amp; Database\Documentation\Colo Applications\Colo App OML\ANNP_0256 (NPW2249) Application.xlsx</v>
      </c>
      <c r="BJ288" s="104"/>
      <c r="BK288" s="3"/>
      <c r="BL288" s="3"/>
      <c r="CJ288" s="5"/>
      <c r="CK288" s="5"/>
      <c r="CL288" s="3"/>
      <c r="CN288" s="5"/>
      <c r="CR288" s="3"/>
      <c r="CS288" s="3"/>
      <c r="CT288" s="5"/>
      <c r="CV288" s="3"/>
      <c r="DR288" s="5"/>
      <c r="DT288" s="3"/>
      <c r="EF288" s="7"/>
      <c r="EG288" s="7"/>
      <c r="EJ288" s="4"/>
      <c r="EK288" s="4"/>
      <c r="EU288" s="2"/>
      <c r="EV288" s="2"/>
    </row>
    <row r="289" spans="1:152">
      <c r="A289" s="125">
        <v>648</v>
      </c>
      <c r="B289" s="126" t="s">
        <v>901</v>
      </c>
      <c r="C289" s="126" t="s">
        <v>116</v>
      </c>
      <c r="D289" s="126" t="s">
        <v>163</v>
      </c>
      <c r="E289" s="126" t="s">
        <v>902</v>
      </c>
      <c r="F289" s="126" t="s">
        <v>40</v>
      </c>
      <c r="G289" s="126" t="s">
        <v>1579</v>
      </c>
      <c r="H289" s="126" t="s">
        <v>1575</v>
      </c>
      <c r="I289" s="126" t="s">
        <v>118</v>
      </c>
      <c r="J289" s="126"/>
      <c r="K289" s="127">
        <v>43350</v>
      </c>
      <c r="L289" s="128"/>
      <c r="M289" s="128">
        <v>3</v>
      </c>
      <c r="N289" s="126">
        <v>6</v>
      </c>
      <c r="O289" s="126" t="s">
        <v>119</v>
      </c>
      <c r="P289" s="129" t="s">
        <v>339</v>
      </c>
      <c r="Q289" s="129" t="s">
        <v>903</v>
      </c>
      <c r="R289" s="126" t="s">
        <v>24</v>
      </c>
      <c r="S289" s="126"/>
      <c r="T289" s="130" t="s">
        <v>120</v>
      </c>
      <c r="U289" s="126" t="s">
        <v>900</v>
      </c>
      <c r="V289" s="130" t="s">
        <v>120</v>
      </c>
      <c r="W289" s="126"/>
      <c r="X289" s="130" t="s">
        <v>120</v>
      </c>
      <c r="Y289" s="126"/>
      <c r="Z289" s="162" t="s">
        <v>861</v>
      </c>
      <c r="AA289" s="154"/>
      <c r="AB289" s="154"/>
      <c r="AC289" s="167" t="s">
        <v>123</v>
      </c>
      <c r="AD289" s="126"/>
      <c r="AE289" s="130" t="s">
        <v>120</v>
      </c>
      <c r="AF289" s="127" t="s">
        <v>895</v>
      </c>
      <c r="AG289" s="131"/>
      <c r="AH289" s="131"/>
      <c r="AI289" s="126" t="s">
        <v>904</v>
      </c>
      <c r="AJ289" s="130" t="s">
        <v>120</v>
      </c>
      <c r="AK289" s="126" t="s">
        <v>123</v>
      </c>
      <c r="AL289" s="126"/>
      <c r="AM289" s="130"/>
      <c r="AN289" s="126"/>
      <c r="AO289" s="132"/>
      <c r="AP289" s="126"/>
      <c r="AQ289" s="126"/>
      <c r="AR289" s="130"/>
      <c r="AS289" s="126"/>
      <c r="AT289" s="127">
        <v>43417.622355671301</v>
      </c>
      <c r="AU289" s="127">
        <v>43417.673049305602</v>
      </c>
      <c r="AV289" s="127"/>
      <c r="AW289" s="127">
        <v>43417.7298373843</v>
      </c>
      <c r="AX289" s="127">
        <v>43417.688155439799</v>
      </c>
      <c r="AY289" s="127">
        <v>43417.684582291702</v>
      </c>
      <c r="AZ289" s="133">
        <v>43350</v>
      </c>
      <c r="BA28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9" s="135">
        <f>COUNTIFS(_05preva_view43[Site ID],_05preva_view43[[#This Row],[Site ID]],_05preva_view43[Prevalidation Status],"Under Prevalidation")</f>
        <v>0</v>
      </c>
      <c r="BC289" s="153" t="str">
        <f ca="1">HYPERLINK(CheckPath(_05preva_view43[[#This Row],[File Path]],_05preva_view43[[#This Row],[File Path]],_05preva_view43[[#This Row],[Folder Path3]]),CheckPath(_05preva_view43[[#This Row],[File Path]],"Open File","No File"))</f>
        <v>No File</v>
      </c>
      <c r="BD289" s="136" t="str">
        <f>CONCATENATE(_05preva_view43[[#This Row],[Site ID]]," (",_05preva_view43[[#This Row],[tenant id]],") Application",IF(_05preva_view43[[#This Row],[Colo Rev]]&gt;0," Rev "&amp;_05preva_view43[[#This Row],[Colo Rev]],""),".xlsx")</f>
        <v>ACAY_0154 (AYW5603) Application.xlsx</v>
      </c>
      <c r="BE289" s="64">
        <f t="shared" ca="1" si="6"/>
        <v>50</v>
      </c>
      <c r="BF289" s="104" t="str">
        <f ca="1">LEFT(CELL("filename",A274),_05preva_view43[[#This Row],[Find Process &amp; Database]]-1)</f>
        <v>D:\OneDrive - apollo-towers.com\Apollo Towers\00-</v>
      </c>
      <c r="BG289" s="104" t="str">
        <f ca="1">_05preva_view43[Folder Path1]&amp;"Process &amp; Database\Documentation\Colo Applications"</f>
        <v>D:\OneDrive - apollo-towers.com\Apollo Towers\00-Process &amp; Database\Documentation\Colo Applications</v>
      </c>
      <c r="BH289" s="104" t="str">
        <f ca="1">_05preva_view43[Folder Path2]&amp;"\Colo App "&amp;_05preva_view43[[#This Row],[Operator]]&amp;"\"</f>
        <v>D:\OneDrive - apollo-towers.com\Apollo Towers\00-Process &amp; Database\Documentation\Colo Applications\Colo App OML\</v>
      </c>
      <c r="BI289" s="63" t="str">
        <f ca="1">_05preva_view43[[#This Row],[Folder Path3]]&amp;_05preva_view43[[#This Row],[File Name]]</f>
        <v>D:\OneDrive - apollo-towers.com\Apollo Towers\00-Process &amp; Database\Documentation\Colo Applications\Colo App OML\ACAY_0154 (AYW5603) Application.xlsx</v>
      </c>
      <c r="BJ289" s="104"/>
      <c r="BK289" s="3"/>
      <c r="BL289" s="3"/>
      <c r="CJ289" s="5"/>
      <c r="CK289" s="5"/>
      <c r="CL289" s="3"/>
      <c r="CN289" s="5"/>
      <c r="CR289" s="3"/>
      <c r="CS289" s="3"/>
      <c r="CT289" s="5"/>
      <c r="CV289" s="3"/>
      <c r="DR289" s="5"/>
      <c r="DT289" s="3"/>
      <c r="EF289" s="7"/>
      <c r="EG289" s="7"/>
      <c r="EJ289" s="4"/>
      <c r="EK289" s="4"/>
      <c r="EU289" s="2"/>
      <c r="EV289" s="2"/>
    </row>
    <row r="290" spans="1:152">
      <c r="A290" s="125">
        <v>649</v>
      </c>
      <c r="B290" s="126" t="s">
        <v>905</v>
      </c>
      <c r="C290" s="126" t="s">
        <v>116</v>
      </c>
      <c r="D290" s="126" t="s">
        <v>163</v>
      </c>
      <c r="E290" s="126" t="s">
        <v>906</v>
      </c>
      <c r="F290" s="126" t="s">
        <v>40</v>
      </c>
      <c r="G290" s="126" t="s">
        <v>1579</v>
      </c>
      <c r="H290" s="126" t="s">
        <v>1575</v>
      </c>
      <c r="I290" s="126" t="s">
        <v>118</v>
      </c>
      <c r="J290" s="126"/>
      <c r="K290" s="127">
        <v>43350</v>
      </c>
      <c r="L290" s="128"/>
      <c r="M290" s="128">
        <v>3</v>
      </c>
      <c r="N290" s="126">
        <v>6</v>
      </c>
      <c r="O290" s="126" t="s">
        <v>119</v>
      </c>
      <c r="P290" s="129" t="s">
        <v>339</v>
      </c>
      <c r="Q290" s="129" t="s">
        <v>903</v>
      </c>
      <c r="R290" s="126" t="s">
        <v>24</v>
      </c>
      <c r="S290" s="126"/>
      <c r="T290" s="130" t="s">
        <v>120</v>
      </c>
      <c r="U290" s="126" t="s">
        <v>900</v>
      </c>
      <c r="V290" s="130" t="s">
        <v>120</v>
      </c>
      <c r="W290" s="126"/>
      <c r="X290" s="130" t="s">
        <v>120</v>
      </c>
      <c r="Y290" s="126"/>
      <c r="Z290" s="162" t="s">
        <v>861</v>
      </c>
      <c r="AA290" s="154"/>
      <c r="AB290" s="154"/>
      <c r="AC290" s="167" t="s">
        <v>123</v>
      </c>
      <c r="AD290" s="126"/>
      <c r="AE290" s="130" t="s">
        <v>120</v>
      </c>
      <c r="AF290" s="127" t="s">
        <v>715</v>
      </c>
      <c r="AG290" s="131"/>
      <c r="AH290" s="131"/>
      <c r="AI290" s="126" t="s">
        <v>907</v>
      </c>
      <c r="AJ290" s="130" t="s">
        <v>120</v>
      </c>
      <c r="AK290" s="126" t="s">
        <v>123</v>
      </c>
      <c r="AL290" s="126"/>
      <c r="AM290" s="130"/>
      <c r="AN290" s="126"/>
      <c r="AO290" s="132"/>
      <c r="AP290" s="126"/>
      <c r="AQ290" s="126"/>
      <c r="AR290" s="130"/>
      <c r="AS290" s="126"/>
      <c r="AT290" s="127">
        <v>43417.622356828702</v>
      </c>
      <c r="AU290" s="127">
        <v>43417.673049999998</v>
      </c>
      <c r="AV290" s="127"/>
      <c r="AW290" s="127">
        <v>43417.729837847197</v>
      </c>
      <c r="AX290" s="127">
        <v>43417.688155787</v>
      </c>
      <c r="AY290" s="127">
        <v>43417.684582870403</v>
      </c>
      <c r="AZ290" s="133">
        <v>43350</v>
      </c>
      <c r="BA29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0" s="135">
        <f>COUNTIFS(_05preva_view43[Site ID],_05preva_view43[[#This Row],[Site ID]],_05preva_view43[Prevalidation Status],"Under Prevalidation")</f>
        <v>0</v>
      </c>
      <c r="BC290" s="153" t="str">
        <f ca="1">HYPERLINK(CheckPath(_05preva_view43[[#This Row],[File Path]],_05preva_view43[[#This Row],[File Path]],_05preva_view43[[#This Row],[Folder Path3]]),CheckPath(_05preva_view43[[#This Row],[File Path]],"Open File","No File"))</f>
        <v>No File</v>
      </c>
      <c r="BD290" s="136" t="str">
        <f>CONCATENATE(_05preva_view43[[#This Row],[Site ID]]," (",_05preva_view43[[#This Row],[tenant id]],") Application",IF(_05preva_view43[[#This Row],[Colo Rev]]&gt;0," Rev "&amp;_05preva_view43[[#This Row],[Colo Rev]],""),".xlsx")</f>
        <v>ACAY_0056 (AYW5611) Application.xlsx</v>
      </c>
      <c r="BE290" s="64">
        <f t="shared" ca="1" si="6"/>
        <v>50</v>
      </c>
      <c r="BF290" s="104" t="str">
        <f ca="1">LEFT(CELL("filename",A275),_05preva_view43[[#This Row],[Find Process &amp; Database]]-1)</f>
        <v>D:\OneDrive - apollo-towers.com\Apollo Towers\00-</v>
      </c>
      <c r="BG290" s="104" t="str">
        <f ca="1">_05preva_view43[Folder Path1]&amp;"Process &amp; Database\Documentation\Colo Applications"</f>
        <v>D:\OneDrive - apollo-towers.com\Apollo Towers\00-Process &amp; Database\Documentation\Colo Applications</v>
      </c>
      <c r="BH290" s="104" t="str">
        <f ca="1">_05preva_view43[Folder Path2]&amp;"\Colo App "&amp;_05preva_view43[[#This Row],[Operator]]&amp;"\"</f>
        <v>D:\OneDrive - apollo-towers.com\Apollo Towers\00-Process &amp; Database\Documentation\Colo Applications\Colo App OML\</v>
      </c>
      <c r="BI290" s="63" t="str">
        <f ca="1">_05preva_view43[[#This Row],[Folder Path3]]&amp;_05preva_view43[[#This Row],[File Name]]</f>
        <v>D:\OneDrive - apollo-towers.com\Apollo Towers\00-Process &amp; Database\Documentation\Colo Applications\Colo App OML\ACAY_0056 (AYW5611) Application.xlsx</v>
      </c>
      <c r="BJ290" s="104"/>
      <c r="BK290" s="3"/>
      <c r="BL290" s="3"/>
      <c r="CJ290" s="5"/>
      <c r="CK290" s="5"/>
      <c r="CL290" s="3"/>
      <c r="CN290" s="5"/>
      <c r="CR290" s="3"/>
      <c r="CS290" s="3"/>
      <c r="CT290" s="5"/>
      <c r="CV290" s="3"/>
      <c r="DR290" s="5"/>
      <c r="DT290" s="3"/>
      <c r="EF290" s="7"/>
      <c r="EG290" s="7"/>
      <c r="EJ290" s="4"/>
      <c r="EK290" s="4"/>
      <c r="EU290" s="2"/>
      <c r="EV290" s="2"/>
    </row>
    <row r="291" spans="1:152">
      <c r="A291" s="125">
        <v>650</v>
      </c>
      <c r="B291" s="126" t="s">
        <v>908</v>
      </c>
      <c r="C291" s="126" t="s">
        <v>116</v>
      </c>
      <c r="D291" s="126" t="s">
        <v>163</v>
      </c>
      <c r="E291" s="126" t="s">
        <v>909</v>
      </c>
      <c r="F291" s="126" t="s">
        <v>40</v>
      </c>
      <c r="G291" s="126" t="s">
        <v>118</v>
      </c>
      <c r="H291" s="126"/>
      <c r="I291" s="126" t="s">
        <v>118</v>
      </c>
      <c r="J291" s="126"/>
      <c r="K291" s="127">
        <v>43350</v>
      </c>
      <c r="L291" s="128"/>
      <c r="M291" s="128">
        <v>3</v>
      </c>
      <c r="N291" s="126">
        <v>6</v>
      </c>
      <c r="O291" s="126" t="s">
        <v>119</v>
      </c>
      <c r="P291" s="129" t="s">
        <v>880</v>
      </c>
      <c r="Q291" s="129" t="s">
        <v>910</v>
      </c>
      <c r="R291" s="126" t="s">
        <v>27</v>
      </c>
      <c r="S291" s="126"/>
      <c r="T291" s="130" t="s">
        <v>120</v>
      </c>
      <c r="U291" s="126" t="s">
        <v>900</v>
      </c>
      <c r="V291" s="130" t="s">
        <v>120</v>
      </c>
      <c r="W291" s="126"/>
      <c r="X291" s="130" t="s">
        <v>120</v>
      </c>
      <c r="Y291" s="126"/>
      <c r="Z291" s="162"/>
      <c r="AA291" s="154"/>
      <c r="AB291" s="154"/>
      <c r="AC291" s="167" t="s">
        <v>123</v>
      </c>
      <c r="AD291" s="126"/>
      <c r="AE291" s="130" t="s">
        <v>120</v>
      </c>
      <c r="AF291" s="127" t="s">
        <v>715</v>
      </c>
      <c r="AG291" s="131"/>
      <c r="AH291" s="131"/>
      <c r="AI291" s="126" t="s">
        <v>911</v>
      </c>
      <c r="AJ291" s="130" t="s">
        <v>120</v>
      </c>
      <c r="AK291" s="126" t="s">
        <v>123</v>
      </c>
      <c r="AL291" s="126"/>
      <c r="AM291" s="130"/>
      <c r="AN291" s="126"/>
      <c r="AO291" s="132"/>
      <c r="AP291" s="126"/>
      <c r="AQ291" s="126"/>
      <c r="AR291" s="130"/>
      <c r="AS291" s="126"/>
      <c r="AT291" s="127">
        <v>43417.622357175896</v>
      </c>
      <c r="AU291" s="127">
        <v>43417.673051620397</v>
      </c>
      <c r="AV291" s="127"/>
      <c r="AW291" s="127">
        <v>43417.729838541702</v>
      </c>
      <c r="AX291" s="127">
        <v>43417.6881571759</v>
      </c>
      <c r="AY291" s="127">
        <v>43417.6845853009</v>
      </c>
      <c r="AZ291" s="133">
        <v>43350</v>
      </c>
      <c r="BA29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1" s="135">
        <f>COUNTIFS(_05preva_view43[Site ID],_05preva_view43[[#This Row],[Site ID]],_05preva_view43[Prevalidation Status],"Under Prevalidation")</f>
        <v>0</v>
      </c>
      <c r="BC291" s="153" t="str">
        <f ca="1">HYPERLINK(CheckPath(_05preva_view43[[#This Row],[File Path]],_05preva_view43[[#This Row],[File Path]],_05preva_view43[[#This Row],[Folder Path3]]),CheckPath(_05preva_view43[[#This Row],[File Path]],"Open File","No File"))</f>
        <v>No File</v>
      </c>
      <c r="BD291" s="136" t="str">
        <f>CONCATENATE(_05preva_view43[[#This Row],[Site ID]]," (",_05preva_view43[[#This Row],[tenant id]],") Application",IF(_05preva_view43[[#This Row],[Colo Rev]]&gt;0," Rev "&amp;_05preva_view43[[#This Row],[Colo Rev]],""),".xlsx")</f>
        <v>ACAY_0138 (AYW5612) Application.xlsx</v>
      </c>
      <c r="BE291" s="64">
        <f t="shared" ca="1" si="6"/>
        <v>50</v>
      </c>
      <c r="BF291" s="104" t="str">
        <f ca="1">LEFT(CELL("filename",A276),_05preva_view43[[#This Row],[Find Process &amp; Database]]-1)</f>
        <v>D:\OneDrive - apollo-towers.com\Apollo Towers\00-</v>
      </c>
      <c r="BG291" s="104" t="str">
        <f ca="1">_05preva_view43[Folder Path1]&amp;"Process &amp; Database\Documentation\Colo Applications"</f>
        <v>D:\OneDrive - apollo-towers.com\Apollo Towers\00-Process &amp; Database\Documentation\Colo Applications</v>
      </c>
      <c r="BH291" s="104" t="str">
        <f ca="1">_05preva_view43[Folder Path2]&amp;"\Colo App "&amp;_05preva_view43[[#This Row],[Operator]]&amp;"\"</f>
        <v>D:\OneDrive - apollo-towers.com\Apollo Towers\00-Process &amp; Database\Documentation\Colo Applications\Colo App OML\</v>
      </c>
      <c r="BI291" s="63" t="str">
        <f ca="1">_05preva_view43[[#This Row],[Folder Path3]]&amp;_05preva_view43[[#This Row],[File Name]]</f>
        <v>D:\OneDrive - apollo-towers.com\Apollo Towers\00-Process &amp; Database\Documentation\Colo Applications\Colo App OML\ACAY_0138 (AYW5612) Application.xlsx</v>
      </c>
      <c r="BJ291" s="104"/>
      <c r="BK291" s="3"/>
      <c r="BL291" s="3"/>
      <c r="CJ291" s="5"/>
      <c r="CK291" s="5"/>
      <c r="CL291" s="3"/>
      <c r="CN291" s="5"/>
      <c r="CR291" s="3"/>
      <c r="CS291" s="3"/>
      <c r="CT291" s="5"/>
      <c r="CV291" s="3"/>
      <c r="DR291" s="5"/>
      <c r="DT291" s="3"/>
      <c r="EF291" s="7"/>
      <c r="EG291" s="7"/>
      <c r="EJ291" s="4"/>
      <c r="EK291" s="4"/>
      <c r="EU291" s="2"/>
      <c r="EV291" s="2"/>
    </row>
    <row r="292" spans="1:152">
      <c r="A292" s="125">
        <v>651</v>
      </c>
      <c r="B292" s="126" t="s">
        <v>912</v>
      </c>
      <c r="C292" s="126" t="s">
        <v>116</v>
      </c>
      <c r="D292" s="126" t="s">
        <v>117</v>
      </c>
      <c r="E292" s="126" t="s">
        <v>913</v>
      </c>
      <c r="F292" s="126" t="s">
        <v>40</v>
      </c>
      <c r="G292" s="126" t="s">
        <v>118</v>
      </c>
      <c r="H292" s="126"/>
      <c r="I292" s="126" t="s">
        <v>118</v>
      </c>
      <c r="J292" s="126"/>
      <c r="K292" s="127">
        <v>43350</v>
      </c>
      <c r="L292" s="128"/>
      <c r="M292" s="128">
        <v>3</v>
      </c>
      <c r="N292" s="126">
        <v>6</v>
      </c>
      <c r="O292" s="126" t="s">
        <v>119</v>
      </c>
      <c r="P292" s="129" t="s">
        <v>256</v>
      </c>
      <c r="Q292" s="129" t="s">
        <v>257</v>
      </c>
      <c r="R292" s="126" t="s">
        <v>27</v>
      </c>
      <c r="S292" s="126"/>
      <c r="T292" s="130" t="s">
        <v>120</v>
      </c>
      <c r="U292" s="126" t="s">
        <v>900</v>
      </c>
      <c r="V292" s="130" t="s">
        <v>120</v>
      </c>
      <c r="W292" s="126"/>
      <c r="X292" s="130" t="s">
        <v>120</v>
      </c>
      <c r="Y292" s="126"/>
      <c r="Z292" s="162"/>
      <c r="AA292" s="154"/>
      <c r="AB292" s="154"/>
      <c r="AC292" s="167" t="s">
        <v>123</v>
      </c>
      <c r="AD292" s="126"/>
      <c r="AE292" s="130" t="s">
        <v>120</v>
      </c>
      <c r="AF292" s="127" t="s">
        <v>715</v>
      </c>
      <c r="AG292" s="131"/>
      <c r="AH292" s="131"/>
      <c r="AI292" s="126" t="s">
        <v>911</v>
      </c>
      <c r="AJ292" s="130" t="s">
        <v>120</v>
      </c>
      <c r="AK292" s="126" t="s">
        <v>123</v>
      </c>
      <c r="AL292" s="126"/>
      <c r="AM292" s="130"/>
      <c r="AN292" s="126"/>
      <c r="AO292" s="132"/>
      <c r="AP292" s="126"/>
      <c r="AQ292" s="126"/>
      <c r="AR292" s="130"/>
      <c r="AS292" s="126"/>
      <c r="AT292" s="127">
        <v>43417.622357523098</v>
      </c>
      <c r="AU292" s="127">
        <v>43417.6730523148</v>
      </c>
      <c r="AV292" s="127"/>
      <c r="AW292" s="127">
        <v>43417.729839236097</v>
      </c>
      <c r="AX292" s="127">
        <v>43417.688157638899</v>
      </c>
      <c r="AY292" s="127">
        <v>43417.684586921299</v>
      </c>
      <c r="AZ292" s="133">
        <v>43350</v>
      </c>
      <c r="BA29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2" s="135">
        <f>COUNTIFS(_05preva_view43[Site ID],_05preva_view43[[#This Row],[Site ID]],_05preva_view43[Prevalidation Status],"Under Prevalidation")</f>
        <v>0</v>
      </c>
      <c r="BC292" s="153" t="str">
        <f ca="1">HYPERLINK(CheckPath(_05preva_view43[[#This Row],[File Path]],_05preva_view43[[#This Row],[File Path]],_05preva_view43[[#This Row],[Folder Path3]]),CheckPath(_05preva_view43[[#This Row],[File Path]],"Open File","No File"))</f>
        <v>No File</v>
      </c>
      <c r="BD292" s="136" t="str">
        <f>CONCATENATE(_05preva_view43[[#This Row],[Site ID]]," (",_05preva_view43[[#This Row],[tenant id]],") Application",IF(_05preva_view43[[#This Row],[Colo Rev]]&gt;0," Rev "&amp;_05preva_view43[[#This Row],[Colo Rev]],""),".xlsx")</f>
        <v>ACBA_0256 (BAW5598) Application.xlsx</v>
      </c>
      <c r="BE292" s="64">
        <f t="shared" ca="1" si="6"/>
        <v>50</v>
      </c>
      <c r="BF292" s="104" t="str">
        <f ca="1">LEFT(CELL("filename",A277),_05preva_view43[[#This Row],[Find Process &amp; Database]]-1)</f>
        <v>D:\OneDrive - apollo-towers.com\Apollo Towers\00-</v>
      </c>
      <c r="BG292" s="104" t="str">
        <f ca="1">_05preva_view43[Folder Path1]&amp;"Process &amp; Database\Documentation\Colo Applications"</f>
        <v>D:\OneDrive - apollo-towers.com\Apollo Towers\00-Process &amp; Database\Documentation\Colo Applications</v>
      </c>
      <c r="BH292" s="104" t="str">
        <f ca="1">_05preva_view43[Folder Path2]&amp;"\Colo App "&amp;_05preva_view43[[#This Row],[Operator]]&amp;"\"</f>
        <v>D:\OneDrive - apollo-towers.com\Apollo Towers\00-Process &amp; Database\Documentation\Colo Applications\Colo App OML\</v>
      </c>
      <c r="BI292" s="63" t="str">
        <f ca="1">_05preva_view43[[#This Row],[Folder Path3]]&amp;_05preva_view43[[#This Row],[File Name]]</f>
        <v>D:\OneDrive - apollo-towers.com\Apollo Towers\00-Process &amp; Database\Documentation\Colo Applications\Colo App OML\ACBA_0256 (BAW5598) Application.xlsx</v>
      </c>
      <c r="BJ292" s="104"/>
      <c r="BK292" s="3"/>
      <c r="BL292" s="3"/>
      <c r="CJ292" s="5"/>
      <c r="CK292" s="5"/>
      <c r="CL292" s="3"/>
      <c r="CN292" s="5"/>
      <c r="CR292" s="3"/>
      <c r="CS292" s="3"/>
      <c r="CT292" s="5"/>
      <c r="CV292" s="3"/>
      <c r="DR292" s="5"/>
      <c r="DT292" s="3"/>
      <c r="EF292" s="7"/>
      <c r="EG292" s="7"/>
      <c r="EJ292" s="4"/>
      <c r="EK292" s="4"/>
      <c r="EU292" s="2"/>
      <c r="EV292" s="2"/>
    </row>
    <row r="293" spans="1:152">
      <c r="A293" s="125">
        <v>652</v>
      </c>
      <c r="B293" s="126" t="s">
        <v>914</v>
      </c>
      <c r="C293" s="126" t="s">
        <v>116</v>
      </c>
      <c r="D293" s="126" t="s">
        <v>163</v>
      </c>
      <c r="E293" s="126" t="s">
        <v>915</v>
      </c>
      <c r="F293" s="126" t="s">
        <v>40</v>
      </c>
      <c r="G293" s="126" t="s">
        <v>1579</v>
      </c>
      <c r="H293" s="126" t="s">
        <v>1575</v>
      </c>
      <c r="I293" s="126" t="s">
        <v>118</v>
      </c>
      <c r="J293" s="126"/>
      <c r="K293" s="127">
        <v>43350</v>
      </c>
      <c r="L293" s="128"/>
      <c r="M293" s="128">
        <v>3</v>
      </c>
      <c r="N293" s="126">
        <v>6</v>
      </c>
      <c r="O293" s="126" t="s">
        <v>119</v>
      </c>
      <c r="P293" s="129" t="s">
        <v>910</v>
      </c>
      <c r="Q293" s="129" t="s">
        <v>916</v>
      </c>
      <c r="R293" s="126" t="s">
        <v>24</v>
      </c>
      <c r="S293" s="126"/>
      <c r="T293" s="130" t="s">
        <v>120</v>
      </c>
      <c r="U293" s="126" t="s">
        <v>917</v>
      </c>
      <c r="V293" s="130" t="s">
        <v>120</v>
      </c>
      <c r="W293" s="126"/>
      <c r="X293" s="130" t="s">
        <v>120</v>
      </c>
      <c r="Y293" s="126"/>
      <c r="Z293" s="162" t="s">
        <v>861</v>
      </c>
      <c r="AA293" s="154"/>
      <c r="AB293" s="154"/>
      <c r="AC293" s="167" t="s">
        <v>123</v>
      </c>
      <c r="AD293" s="126"/>
      <c r="AE293" s="130" t="s">
        <v>120</v>
      </c>
      <c r="AF293" s="127" t="s">
        <v>715</v>
      </c>
      <c r="AG293" s="131"/>
      <c r="AH293" s="131"/>
      <c r="AI293" s="126" t="s">
        <v>918</v>
      </c>
      <c r="AJ293" s="130" t="s">
        <v>120</v>
      </c>
      <c r="AK293" s="126" t="s">
        <v>123</v>
      </c>
      <c r="AL293" s="126" t="s">
        <v>532</v>
      </c>
      <c r="AM293" s="130"/>
      <c r="AN293" s="126"/>
      <c r="AO293" s="132"/>
      <c r="AP293" s="126"/>
      <c r="AQ293" s="126"/>
      <c r="AR293" s="130"/>
      <c r="AS293" s="126"/>
      <c r="AT293" s="127">
        <v>43417.622359027802</v>
      </c>
      <c r="AU293" s="127">
        <v>43417.673053819402</v>
      </c>
      <c r="AV293" s="127"/>
      <c r="AW293" s="127">
        <v>43417.729839930602</v>
      </c>
      <c r="AX293" s="127">
        <v>43417.6881587963</v>
      </c>
      <c r="AY293" s="127">
        <v>43417.684587268501</v>
      </c>
      <c r="AZ293" s="133">
        <v>43350</v>
      </c>
      <c r="BA29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3" s="135">
        <f>COUNTIFS(_05preva_view43[Site ID],_05preva_view43[[#This Row],[Site ID]],_05preva_view43[Prevalidation Status],"Under Prevalidation")</f>
        <v>0</v>
      </c>
      <c r="BC293" s="153" t="str">
        <f ca="1">HYPERLINK(CheckPath(_05preva_view43[[#This Row],[File Path]],_05preva_view43[[#This Row],[File Path]],_05preva_view43[[#This Row],[Folder Path3]]),CheckPath(_05preva_view43[[#This Row],[File Path]],"Open File","No File"))</f>
        <v>No File</v>
      </c>
      <c r="BD293" s="136" t="str">
        <f>CONCATENATE(_05preva_view43[[#This Row],[Site ID]]," (",_05preva_view43[[#This Row],[tenant id]],") Application",IF(_05preva_view43[[#This Row],[Colo Rev]]&gt;0," Rev "&amp;_05preva_view43[[#This Row],[Colo Rev]],""),".xlsx")</f>
        <v>ASMO_0161 (MOW6321) Application.xlsx</v>
      </c>
      <c r="BE293" s="64">
        <f t="shared" ca="1" si="6"/>
        <v>50</v>
      </c>
      <c r="BF293" s="104" t="str">
        <f ca="1">LEFT(CELL("filename",A278),_05preva_view43[[#This Row],[Find Process &amp; Database]]-1)</f>
        <v>D:\OneDrive - apollo-towers.com\Apollo Towers\00-</v>
      </c>
      <c r="BG293" s="104" t="str">
        <f ca="1">_05preva_view43[Folder Path1]&amp;"Process &amp; Database\Documentation\Colo Applications"</f>
        <v>D:\OneDrive - apollo-towers.com\Apollo Towers\00-Process &amp; Database\Documentation\Colo Applications</v>
      </c>
      <c r="BH293" s="104" t="str">
        <f ca="1">_05preva_view43[Folder Path2]&amp;"\Colo App "&amp;_05preva_view43[[#This Row],[Operator]]&amp;"\"</f>
        <v>D:\OneDrive - apollo-towers.com\Apollo Towers\00-Process &amp; Database\Documentation\Colo Applications\Colo App OML\</v>
      </c>
      <c r="BI293" s="63" t="str">
        <f ca="1">_05preva_view43[[#This Row],[Folder Path3]]&amp;_05preva_view43[[#This Row],[File Name]]</f>
        <v>D:\OneDrive - apollo-towers.com\Apollo Towers\00-Process &amp; Database\Documentation\Colo Applications\Colo App OML\ASMO_0161 (MOW6321) Application.xlsx</v>
      </c>
      <c r="BJ293" s="104"/>
      <c r="BK293" s="3"/>
      <c r="BL293" s="3"/>
      <c r="CJ293" s="5"/>
      <c r="CK293" s="5"/>
      <c r="CL293" s="3"/>
      <c r="CN293" s="5"/>
      <c r="CR293" s="3"/>
      <c r="CS293" s="3"/>
      <c r="CT293" s="5"/>
      <c r="CV293" s="3"/>
      <c r="DR293" s="5"/>
      <c r="DT293" s="3"/>
      <c r="EF293" s="7"/>
      <c r="EG293" s="7"/>
      <c r="EJ293" s="4"/>
      <c r="EK293" s="4"/>
      <c r="EU293" s="2"/>
      <c r="EV293" s="2"/>
    </row>
    <row r="294" spans="1:152">
      <c r="A294" s="125">
        <v>653</v>
      </c>
      <c r="B294" s="126" t="s">
        <v>919</v>
      </c>
      <c r="C294" s="126" t="s">
        <v>116</v>
      </c>
      <c r="D294" s="126" t="s">
        <v>117</v>
      </c>
      <c r="E294" s="126" t="s">
        <v>920</v>
      </c>
      <c r="F294" s="126" t="s">
        <v>40</v>
      </c>
      <c r="G294" s="126" t="s">
        <v>1579</v>
      </c>
      <c r="H294" s="126" t="s">
        <v>1575</v>
      </c>
      <c r="I294" s="126" t="s">
        <v>118</v>
      </c>
      <c r="J294" s="126"/>
      <c r="K294" s="127">
        <v>43350</v>
      </c>
      <c r="L294" s="128"/>
      <c r="M294" s="128">
        <v>3</v>
      </c>
      <c r="N294" s="126">
        <v>6</v>
      </c>
      <c r="O294" s="126" t="s">
        <v>119</v>
      </c>
      <c r="P294" s="129" t="s">
        <v>264</v>
      </c>
      <c r="Q294" s="129" t="s">
        <v>350</v>
      </c>
      <c r="R294" s="126" t="s">
        <v>24</v>
      </c>
      <c r="S294" s="126"/>
      <c r="T294" s="130" t="s">
        <v>120</v>
      </c>
      <c r="U294" s="126" t="s">
        <v>900</v>
      </c>
      <c r="V294" s="130" t="s">
        <v>120</v>
      </c>
      <c r="W294" s="126"/>
      <c r="X294" s="130" t="s">
        <v>120</v>
      </c>
      <c r="Y294" s="126"/>
      <c r="Z294" s="162" t="s">
        <v>861</v>
      </c>
      <c r="AA294" s="154"/>
      <c r="AB294" s="154"/>
      <c r="AC294" s="167" t="s">
        <v>123</v>
      </c>
      <c r="AD294" s="126"/>
      <c r="AE294" s="130" t="s">
        <v>120</v>
      </c>
      <c r="AF294" s="127" t="s">
        <v>715</v>
      </c>
      <c r="AG294" s="131"/>
      <c r="AH294" s="131"/>
      <c r="AI294" s="126" t="s">
        <v>921</v>
      </c>
      <c r="AJ294" s="130" t="s">
        <v>861</v>
      </c>
      <c r="AK294" s="126"/>
      <c r="AL294" s="126"/>
      <c r="AM294" s="130"/>
      <c r="AN294" s="126"/>
      <c r="AO294" s="132"/>
      <c r="AP294" s="126"/>
      <c r="AQ294" s="126"/>
      <c r="AR294" s="130"/>
      <c r="AS294" s="126"/>
      <c r="AT294" s="127">
        <v>43417.622359606503</v>
      </c>
      <c r="AU294" s="127">
        <v>43417.6730545139</v>
      </c>
      <c r="AV294" s="127"/>
      <c r="AW294" s="127"/>
      <c r="AX294" s="127">
        <v>43417.6881601852</v>
      </c>
      <c r="AY294" s="127">
        <v>43417.684589236102</v>
      </c>
      <c r="AZ294" s="133">
        <v>43350</v>
      </c>
      <c r="BA29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4" s="135">
        <f>COUNTIFS(_05preva_view43[Site ID],_05preva_view43[[#This Row],[Site ID]],_05preva_view43[Prevalidation Status],"Under Prevalidation")</f>
        <v>0</v>
      </c>
      <c r="BC294" s="153" t="str">
        <f ca="1">HYPERLINK(CheckPath(_05preva_view43[[#This Row],[File Path]],_05preva_view43[[#This Row],[File Path]],_05preva_view43[[#This Row],[Folder Path3]]),CheckPath(_05preva_view43[[#This Row],[File Path]],"Open File","No File"))</f>
        <v>No File</v>
      </c>
      <c r="BD294" s="136" t="str">
        <f>CONCATENATE(_05preva_view43[[#This Row],[Site ID]]," (",_05preva_view43[[#This Row],[tenant id]],") Application",IF(_05preva_view43[[#This Row],[Colo Rev]]&gt;0," Rev "&amp;_05preva_view43[[#This Row],[Colo Rev]],""),".xlsx")</f>
        <v>ACBA_0104 (BAW5607) Application.xlsx</v>
      </c>
      <c r="BE294" s="64">
        <f t="shared" ca="1" si="6"/>
        <v>50</v>
      </c>
      <c r="BF294" s="104" t="str">
        <f ca="1">LEFT(CELL("filename",A279),_05preva_view43[[#This Row],[Find Process &amp; Database]]-1)</f>
        <v>D:\OneDrive - apollo-towers.com\Apollo Towers\00-</v>
      </c>
      <c r="BG294" s="104" t="str">
        <f ca="1">_05preva_view43[Folder Path1]&amp;"Process &amp; Database\Documentation\Colo Applications"</f>
        <v>D:\OneDrive - apollo-towers.com\Apollo Towers\00-Process &amp; Database\Documentation\Colo Applications</v>
      </c>
      <c r="BH294" s="104" t="str">
        <f ca="1">_05preva_view43[Folder Path2]&amp;"\Colo App "&amp;_05preva_view43[[#This Row],[Operator]]&amp;"\"</f>
        <v>D:\OneDrive - apollo-towers.com\Apollo Towers\00-Process &amp; Database\Documentation\Colo Applications\Colo App OML\</v>
      </c>
      <c r="BI294" s="63" t="str">
        <f ca="1">_05preva_view43[[#This Row],[Folder Path3]]&amp;_05preva_view43[[#This Row],[File Name]]</f>
        <v>D:\OneDrive - apollo-towers.com\Apollo Towers\00-Process &amp; Database\Documentation\Colo Applications\Colo App OML\ACBA_0104 (BAW5607) Application.xlsx</v>
      </c>
      <c r="BJ294" s="104"/>
      <c r="BK294" s="3"/>
      <c r="BL294" s="3"/>
      <c r="CJ294" s="5"/>
      <c r="CK294" s="5"/>
      <c r="CL294" s="3"/>
      <c r="CN294" s="5"/>
      <c r="CR294" s="3"/>
      <c r="CS294" s="3"/>
      <c r="CT294" s="5"/>
      <c r="CV294" s="3"/>
      <c r="DR294" s="5"/>
      <c r="DT294" s="3"/>
      <c r="EF294" s="7"/>
      <c r="EG294" s="7"/>
      <c r="EJ294" s="4"/>
      <c r="EK294" s="4"/>
      <c r="EU294" s="2"/>
      <c r="EV294" s="2"/>
    </row>
    <row r="295" spans="1:152">
      <c r="A295" s="125">
        <v>654</v>
      </c>
      <c r="B295" s="126" t="s">
        <v>922</v>
      </c>
      <c r="C295" s="126" t="s">
        <v>116</v>
      </c>
      <c r="D295" s="126" t="s">
        <v>117</v>
      </c>
      <c r="E295" s="126" t="s">
        <v>923</v>
      </c>
      <c r="F295" s="126" t="s">
        <v>40</v>
      </c>
      <c r="G295" s="126" t="s">
        <v>1579</v>
      </c>
      <c r="H295" s="126" t="s">
        <v>1575</v>
      </c>
      <c r="I295" s="126" t="s">
        <v>118</v>
      </c>
      <c r="J295" s="126"/>
      <c r="K295" s="127">
        <v>43350</v>
      </c>
      <c r="L295" s="128"/>
      <c r="M295" s="128">
        <v>3</v>
      </c>
      <c r="N295" s="126">
        <v>6</v>
      </c>
      <c r="O295" s="126" t="s">
        <v>119</v>
      </c>
      <c r="P295" s="129" t="s">
        <v>339</v>
      </c>
      <c r="Q295" s="129" t="s">
        <v>903</v>
      </c>
      <c r="R295" s="126" t="s">
        <v>24</v>
      </c>
      <c r="S295" s="126"/>
      <c r="T295" s="130" t="s">
        <v>120</v>
      </c>
      <c r="U295" s="126" t="s">
        <v>900</v>
      </c>
      <c r="V295" s="130" t="s">
        <v>120</v>
      </c>
      <c r="W295" s="126"/>
      <c r="X295" s="130" t="s">
        <v>120</v>
      </c>
      <c r="Y295" s="126"/>
      <c r="Z295" s="162" t="s">
        <v>861</v>
      </c>
      <c r="AA295" s="154"/>
      <c r="AB295" s="154"/>
      <c r="AC295" s="167" t="s">
        <v>123</v>
      </c>
      <c r="AD295" s="126"/>
      <c r="AE295" s="130" t="s">
        <v>120</v>
      </c>
      <c r="AF295" s="127" t="s">
        <v>924</v>
      </c>
      <c r="AG295" s="131"/>
      <c r="AH295" s="131"/>
      <c r="AI295" s="126" t="s">
        <v>925</v>
      </c>
      <c r="AJ295" s="130" t="s">
        <v>861</v>
      </c>
      <c r="AK295" s="126"/>
      <c r="AL295" s="126"/>
      <c r="AM295" s="130"/>
      <c r="AN295" s="126"/>
      <c r="AO295" s="132"/>
      <c r="AP295" s="126"/>
      <c r="AQ295" s="126"/>
      <c r="AR295" s="130"/>
      <c r="AS295" s="126"/>
      <c r="AT295" s="127">
        <v>43417.622361226902</v>
      </c>
      <c r="AU295" s="127">
        <v>43417.673056597203</v>
      </c>
      <c r="AV295" s="127"/>
      <c r="AW295" s="127"/>
      <c r="AX295" s="127">
        <v>43417.688161689803</v>
      </c>
      <c r="AY295" s="127">
        <v>43417.684589583303</v>
      </c>
      <c r="AZ295" s="133">
        <v>43350</v>
      </c>
      <c r="BA29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5" s="135">
        <f>COUNTIFS(_05preva_view43[Site ID],_05preva_view43[[#This Row],[Site ID]],_05preva_view43[Prevalidation Status],"Under Prevalidation")</f>
        <v>0</v>
      </c>
      <c r="BC295" s="153" t="str">
        <f ca="1">HYPERLINK(CheckPath(_05preva_view43[[#This Row],[File Path]],_05preva_view43[[#This Row],[File Path]],_05preva_view43[[#This Row],[Folder Path3]]),CheckPath(_05preva_view43[[#This Row],[File Path]],"Open File","No File"))</f>
        <v>No File</v>
      </c>
      <c r="BD295" s="136" t="str">
        <f>CONCATENATE(_05preva_view43[[#This Row],[Site ID]]," (",_05preva_view43[[#This Row],[tenant id]],") Application",IF(_05preva_view43[[#This Row],[Colo Rev]]&gt;0," Rev "&amp;_05preva_view43[[#This Row],[Colo Rev]],""),".xlsx")</f>
        <v>ACBA_0099 (BAW5608) Application.xlsx</v>
      </c>
      <c r="BE295" s="64">
        <f t="shared" ca="1" si="6"/>
        <v>50</v>
      </c>
      <c r="BF295" s="104" t="str">
        <f ca="1">LEFT(CELL("filename",A280),_05preva_view43[[#This Row],[Find Process &amp; Database]]-1)</f>
        <v>D:\OneDrive - apollo-towers.com\Apollo Towers\00-</v>
      </c>
      <c r="BG295" s="104" t="str">
        <f ca="1">_05preva_view43[Folder Path1]&amp;"Process &amp; Database\Documentation\Colo Applications"</f>
        <v>D:\OneDrive - apollo-towers.com\Apollo Towers\00-Process &amp; Database\Documentation\Colo Applications</v>
      </c>
      <c r="BH295" s="104" t="str">
        <f ca="1">_05preva_view43[Folder Path2]&amp;"\Colo App "&amp;_05preva_view43[[#This Row],[Operator]]&amp;"\"</f>
        <v>D:\OneDrive - apollo-towers.com\Apollo Towers\00-Process &amp; Database\Documentation\Colo Applications\Colo App OML\</v>
      </c>
      <c r="BI295" s="63" t="str">
        <f ca="1">_05preva_view43[[#This Row],[Folder Path3]]&amp;_05preva_view43[[#This Row],[File Name]]</f>
        <v>D:\OneDrive - apollo-towers.com\Apollo Towers\00-Process &amp; Database\Documentation\Colo Applications\Colo App OML\ACBA_0099 (BAW5608) Application.xlsx</v>
      </c>
      <c r="BJ295" s="104"/>
      <c r="BK295" s="3"/>
      <c r="BL295" s="3"/>
      <c r="CJ295" s="5"/>
      <c r="CK295" s="5"/>
      <c r="CL295" s="3"/>
      <c r="CN295" s="5"/>
      <c r="CR295" s="3"/>
      <c r="CS295" s="3"/>
      <c r="CT295" s="5"/>
      <c r="CV295" s="3"/>
      <c r="DR295" s="5"/>
      <c r="DT295" s="3"/>
      <c r="EF295" s="7"/>
      <c r="EG295" s="7"/>
      <c r="EJ295" s="4"/>
      <c r="EK295" s="4"/>
      <c r="EU295" s="2"/>
      <c r="EV295" s="2"/>
    </row>
    <row r="296" spans="1:152">
      <c r="A296" s="125">
        <v>275</v>
      </c>
      <c r="B296" s="126" t="s">
        <v>891</v>
      </c>
      <c r="C296" s="126" t="s">
        <v>116</v>
      </c>
      <c r="D296" s="126" t="s">
        <v>127</v>
      </c>
      <c r="E296" s="126" t="s">
        <v>892</v>
      </c>
      <c r="F296" s="126" t="s">
        <v>41</v>
      </c>
      <c r="G296" s="126" t="s">
        <v>118</v>
      </c>
      <c r="H296" s="126"/>
      <c r="I296" s="126" t="s">
        <v>118</v>
      </c>
      <c r="J296" s="126"/>
      <c r="K296" s="127">
        <v>43327</v>
      </c>
      <c r="L296" s="128"/>
      <c r="M296" s="128">
        <v>2.5</v>
      </c>
      <c r="N296" s="126">
        <v>3</v>
      </c>
      <c r="O296" s="126" t="s">
        <v>119</v>
      </c>
      <c r="P296" s="129" t="s">
        <v>893</v>
      </c>
      <c r="Q296" s="129" t="s">
        <v>894</v>
      </c>
      <c r="R296" s="126" t="s">
        <v>24</v>
      </c>
      <c r="S296" s="126"/>
      <c r="T296" s="130" t="s">
        <v>120</v>
      </c>
      <c r="U296" s="126"/>
      <c r="V296" s="130" t="s">
        <v>120</v>
      </c>
      <c r="W296" s="126"/>
      <c r="X296" s="130" t="s">
        <v>120</v>
      </c>
      <c r="Y296" s="126"/>
      <c r="Z296" s="162"/>
      <c r="AA296" s="154"/>
      <c r="AB296" s="154"/>
      <c r="AC296" s="167"/>
      <c r="AD296" s="126" t="s">
        <v>1316</v>
      </c>
      <c r="AE296" s="130" t="s">
        <v>120</v>
      </c>
      <c r="AF296" s="127" t="s">
        <v>895</v>
      </c>
      <c r="AG296" s="131"/>
      <c r="AH296" s="131"/>
      <c r="AI296" s="126" t="s">
        <v>896</v>
      </c>
      <c r="AJ296" s="130" t="s">
        <v>861</v>
      </c>
      <c r="AK296" s="126"/>
      <c r="AL296" s="126"/>
      <c r="AM296" s="130" t="s">
        <v>861</v>
      </c>
      <c r="AN296" s="126"/>
      <c r="AO296" s="132"/>
      <c r="AP296" s="126" t="s">
        <v>861</v>
      </c>
      <c r="AQ296" s="126"/>
      <c r="AR296" s="130" t="s">
        <v>1866</v>
      </c>
      <c r="AS296" s="126" t="s">
        <v>1867</v>
      </c>
      <c r="AT296" s="127">
        <v>43417.622354629602</v>
      </c>
      <c r="AU296" s="127">
        <v>43417.673047453703</v>
      </c>
      <c r="AV296" s="127"/>
      <c r="AW296" s="127"/>
      <c r="AX296" s="127">
        <v>43424.368673379598</v>
      </c>
      <c r="AY296" s="127">
        <v>43462.484713888902</v>
      </c>
      <c r="AZ296" s="133">
        <v>43462.484713888902</v>
      </c>
      <c r="BA296" s="134">
        <f ca="1">IF(_05preva_view43[[#This Row],[Prevalidation Status]]="Under Prevalidation",NOW()-_05preva_view43[[#This Row],[Request Date]],IF(_05preva_view43[[#This Row],[Close Date]]&gt;_05preva_view43[[#This Row],[Request Date]],_05preva_view43[[#This Row],[Close Date]]-_05preva_view43[[#This Row],[Request Date]],"Not  Calculated"))</f>
        <v>135.48471388890175</v>
      </c>
      <c r="BB296" s="135">
        <f>COUNTIFS(_05preva_view43[Site ID],_05preva_view43[[#This Row],[Site ID]],_05preva_view43[Prevalidation Status],"Under Prevalidation")</f>
        <v>0</v>
      </c>
      <c r="BC296" s="153" t="str">
        <f ca="1">HYPERLINK(CheckPath(_05preva_view43[[#This Row],[File Path]],_05preva_view43[[#This Row],[File Path]],_05preva_view43[[#This Row],[Folder Path3]]),CheckPath(_05preva_view43[[#This Row],[File Path]],"Open File","No File"))</f>
        <v>No File</v>
      </c>
      <c r="BD296" s="136" t="str">
        <f>CONCATENATE(_05preva_view43[[#This Row],[Site ID]]," (",_05preva_view43[[#This Row],[tenant id]],") Application",IF(_05preva_view43[[#This Row],[Colo Rev]]&gt;0," Rev "&amp;_05preva_view43[[#This Row],[Colo Rev]],""),".xlsx")</f>
        <v>ANMD_0011 (MDYAMTZ017) Application.xlsx</v>
      </c>
      <c r="BE296" s="64">
        <f t="shared" ca="1" si="6"/>
        <v>50</v>
      </c>
      <c r="BF296" s="104" t="str">
        <f ca="1">LEFT(CELL("filename",A281),_05preva_view43[[#This Row],[Find Process &amp; Database]]-1)</f>
        <v>D:\OneDrive - apollo-towers.com\Apollo Towers\00-</v>
      </c>
      <c r="BG296" s="104" t="str">
        <f ca="1">_05preva_view43[Folder Path1]&amp;"Process &amp; Database\Documentation\Colo Applications"</f>
        <v>D:\OneDrive - apollo-towers.com\Apollo Towers\00-Process &amp; Database\Documentation\Colo Applications</v>
      </c>
      <c r="BH296" s="104" t="str">
        <f ca="1">_05preva_view43[Folder Path2]&amp;"\Colo App "&amp;_05preva_view43[[#This Row],[Operator]]&amp;"\"</f>
        <v>D:\OneDrive - apollo-towers.com\Apollo Towers\00-Process &amp; Database\Documentation\Colo Applications\Colo App Amara\</v>
      </c>
      <c r="BI296" s="63" t="str">
        <f ca="1">_05preva_view43[[#This Row],[Folder Path3]]&amp;_05preva_view43[[#This Row],[File Name]]</f>
        <v>D:\OneDrive - apollo-towers.com\Apollo Towers\00-Process &amp; Database\Documentation\Colo Applications\Colo App Amara\ANMD_0011 (MDYAMTZ017) Application.xlsx</v>
      </c>
      <c r="BJ296" s="104"/>
      <c r="BK296" s="3"/>
      <c r="BL296" s="3"/>
      <c r="CJ296" s="5"/>
      <c r="CK296" s="5"/>
      <c r="CL296" s="3"/>
      <c r="CN296" s="5"/>
      <c r="CR296" s="3"/>
      <c r="CS296" s="3"/>
      <c r="CT296" s="5"/>
      <c r="CV296" s="3"/>
      <c r="DR296" s="5"/>
      <c r="DT296" s="3"/>
      <c r="EF296" s="7"/>
      <c r="EG296" s="7"/>
      <c r="EJ296" s="4"/>
      <c r="EK296" s="4"/>
      <c r="EU296" s="2"/>
      <c r="EV296" s="2"/>
    </row>
    <row r="297" spans="1:152">
      <c r="A297" s="125">
        <v>276</v>
      </c>
      <c r="B297" s="126" t="s">
        <v>897</v>
      </c>
      <c r="C297" s="126" t="s">
        <v>116</v>
      </c>
      <c r="D297" s="126" t="s">
        <v>127</v>
      </c>
      <c r="E297" s="126" t="s">
        <v>898</v>
      </c>
      <c r="F297" s="126" t="s">
        <v>41</v>
      </c>
      <c r="G297" s="126" t="s">
        <v>1576</v>
      </c>
      <c r="H297" s="126" t="s">
        <v>1580</v>
      </c>
      <c r="I297" s="126" t="s">
        <v>118</v>
      </c>
      <c r="J297" s="126"/>
      <c r="K297" s="127">
        <v>43327</v>
      </c>
      <c r="L297" s="128"/>
      <c r="M297" s="128">
        <v>2.5</v>
      </c>
      <c r="N297" s="126">
        <v>3</v>
      </c>
      <c r="O297" s="126" t="s">
        <v>119</v>
      </c>
      <c r="P297" s="129" t="s">
        <v>334</v>
      </c>
      <c r="Q297" s="129" t="s">
        <v>736</v>
      </c>
      <c r="R297" s="126" t="s">
        <v>24</v>
      </c>
      <c r="S297" s="126" t="s">
        <v>899</v>
      </c>
      <c r="T297" s="130" t="s">
        <v>120</v>
      </c>
      <c r="U297" s="126" t="s">
        <v>900</v>
      </c>
      <c r="V297" s="130" t="s">
        <v>120</v>
      </c>
      <c r="W297" s="126"/>
      <c r="X297" s="130" t="s">
        <v>120</v>
      </c>
      <c r="Y297" s="126"/>
      <c r="Z297" s="162"/>
      <c r="AA297" s="154"/>
      <c r="AB297" s="154"/>
      <c r="AC297" s="167" t="s">
        <v>123</v>
      </c>
      <c r="AD297" s="126"/>
      <c r="AE297" s="130"/>
      <c r="AF297" s="127"/>
      <c r="AG297" s="131"/>
      <c r="AH297" s="131"/>
      <c r="AI297" s="126"/>
      <c r="AJ297" s="130"/>
      <c r="AK297" s="126"/>
      <c r="AL297" s="126"/>
      <c r="AM297" s="130"/>
      <c r="AN297" s="126"/>
      <c r="AO297" s="132"/>
      <c r="AP297" s="126"/>
      <c r="AQ297" s="126"/>
      <c r="AR297" s="130"/>
      <c r="AS297" s="126"/>
      <c r="AT297" s="127"/>
      <c r="AU297" s="127"/>
      <c r="AV297" s="127"/>
      <c r="AW297" s="127"/>
      <c r="AX297" s="127"/>
      <c r="AY297" s="127"/>
      <c r="AZ297" s="133">
        <v>43327</v>
      </c>
      <c r="BA29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7" s="135">
        <f>COUNTIFS(_05preva_view43[Site ID],_05preva_view43[[#This Row],[Site ID]],_05preva_view43[Prevalidation Status],"Under Prevalidation")</f>
        <v>0</v>
      </c>
      <c r="BC297" s="153" t="str">
        <f ca="1">HYPERLINK(CheckPath(_05preva_view43[[#This Row],[File Path]],_05preva_view43[[#This Row],[File Path]],_05preva_view43[[#This Row],[Folder Path3]]),CheckPath(_05preva_view43[[#This Row],[File Path]],"Open File","No File"))</f>
        <v>No File</v>
      </c>
      <c r="BD297" s="136" t="str">
        <f>CONCATENATE(_05preva_view43[[#This Row],[Site ID]]," (",_05preva_view43[[#This Row],[tenant id]],") Application",IF(_05preva_view43[[#This Row],[Colo Rev]]&gt;0," Rev "&amp;_05preva_view43[[#This Row],[Colo Rev]],""),".xlsx")</f>
        <v>ANMD_0097 (MDYCMTZ034) Application.xlsx</v>
      </c>
      <c r="BE297" s="64">
        <f t="shared" ca="1" si="6"/>
        <v>50</v>
      </c>
      <c r="BF297" s="104" t="str">
        <f ca="1">LEFT(CELL("filename",A282),_05preva_view43[[#This Row],[Find Process &amp; Database]]-1)</f>
        <v>D:\OneDrive - apollo-towers.com\Apollo Towers\00-</v>
      </c>
      <c r="BG297" s="104" t="str">
        <f ca="1">_05preva_view43[Folder Path1]&amp;"Process &amp; Database\Documentation\Colo Applications"</f>
        <v>D:\OneDrive - apollo-towers.com\Apollo Towers\00-Process &amp; Database\Documentation\Colo Applications</v>
      </c>
      <c r="BH297" s="104" t="str">
        <f ca="1">_05preva_view43[Folder Path2]&amp;"\Colo App "&amp;_05preva_view43[[#This Row],[Operator]]&amp;"\"</f>
        <v>D:\OneDrive - apollo-towers.com\Apollo Towers\00-Process &amp; Database\Documentation\Colo Applications\Colo App Amara\</v>
      </c>
      <c r="BI297" s="63" t="str">
        <f ca="1">_05preva_view43[[#This Row],[Folder Path3]]&amp;_05preva_view43[[#This Row],[File Name]]</f>
        <v>D:\OneDrive - apollo-towers.com\Apollo Towers\00-Process &amp; Database\Documentation\Colo Applications\Colo App Amara\ANMD_0097 (MDYCMTZ034) Application.xlsx</v>
      </c>
      <c r="BJ297" s="104"/>
      <c r="BK297" s="3"/>
      <c r="BL297" s="3"/>
      <c r="CJ297" s="5"/>
      <c r="CK297" s="5"/>
      <c r="CL297" s="3"/>
      <c r="CN297" s="5"/>
      <c r="CR297" s="3"/>
      <c r="CS297" s="3"/>
      <c r="CT297" s="5"/>
      <c r="CV297" s="3"/>
      <c r="DR297" s="5"/>
      <c r="DT297" s="3"/>
      <c r="EF297" s="7"/>
      <c r="EG297" s="7"/>
      <c r="EJ297" s="4"/>
      <c r="EK297" s="4"/>
      <c r="EU297" s="2"/>
      <c r="EV297" s="2"/>
    </row>
    <row r="298" spans="1:152">
      <c r="A298" s="125">
        <v>266</v>
      </c>
      <c r="B298" s="126" t="s">
        <v>863</v>
      </c>
      <c r="C298" s="126" t="s">
        <v>116</v>
      </c>
      <c r="D298" s="126" t="s">
        <v>163</v>
      </c>
      <c r="E298" s="126" t="s">
        <v>864</v>
      </c>
      <c r="F298" s="126" t="s">
        <v>34</v>
      </c>
      <c r="G298" s="126" t="s">
        <v>1574</v>
      </c>
      <c r="H298" s="126" t="s">
        <v>1575</v>
      </c>
      <c r="I298" s="126" t="s">
        <v>118</v>
      </c>
      <c r="J298" s="126"/>
      <c r="K298" s="127">
        <v>43318</v>
      </c>
      <c r="L298" s="128"/>
      <c r="M298" s="128">
        <v>2</v>
      </c>
      <c r="N298" s="126"/>
      <c r="O298" s="126" t="s">
        <v>119</v>
      </c>
      <c r="P298" s="129" t="s">
        <v>276</v>
      </c>
      <c r="Q298" s="129" t="s">
        <v>277</v>
      </c>
      <c r="R298" s="126" t="s">
        <v>24</v>
      </c>
      <c r="S298" s="126"/>
      <c r="T298" s="130" t="s">
        <v>120</v>
      </c>
      <c r="U298" s="126" t="s">
        <v>865</v>
      </c>
      <c r="V298" s="130" t="s">
        <v>120</v>
      </c>
      <c r="W298" s="126"/>
      <c r="X298" s="130" t="s">
        <v>120</v>
      </c>
      <c r="Y298" s="126"/>
      <c r="Z298" s="162" t="s">
        <v>265</v>
      </c>
      <c r="AA298" s="154"/>
      <c r="AB298" s="154"/>
      <c r="AC298" s="167"/>
      <c r="AD298" s="126" t="s">
        <v>866</v>
      </c>
      <c r="AE298" s="130" t="s">
        <v>120</v>
      </c>
      <c r="AF298" s="127" t="s">
        <v>867</v>
      </c>
      <c r="AG298" s="131"/>
      <c r="AH298" s="131"/>
      <c r="AI298" s="126" t="s">
        <v>868</v>
      </c>
      <c r="AJ298" s="130" t="s">
        <v>120</v>
      </c>
      <c r="AK298" s="126"/>
      <c r="AL298" s="126"/>
      <c r="AM298" s="130"/>
      <c r="AN298" s="126"/>
      <c r="AO298" s="132"/>
      <c r="AP298" s="126"/>
      <c r="AQ298" s="126"/>
      <c r="AR298" s="130"/>
      <c r="AS298" s="126"/>
      <c r="AT298" s="127"/>
      <c r="AU298" s="127">
        <v>43453.379096643497</v>
      </c>
      <c r="AV298" s="127"/>
      <c r="AW298" s="127"/>
      <c r="AX298" s="127"/>
      <c r="AY298" s="127"/>
      <c r="AZ298" s="133"/>
      <c r="BA29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8" s="135">
        <f>COUNTIFS(_05preva_view43[Site ID],_05preva_view43[[#This Row],[Site ID]],_05preva_view43[Prevalidation Status],"Under Prevalidation")</f>
        <v>0</v>
      </c>
      <c r="BC298" s="153" t="str">
        <f ca="1">HYPERLINK(CheckPath(_05preva_view43[[#This Row],[File Path]],_05preva_view43[[#This Row],[File Path]],_05preva_view43[[#This Row],[Folder Path3]]),CheckPath(_05preva_view43[[#This Row],[File Path]],"Open File","No File"))</f>
        <v>No File</v>
      </c>
      <c r="BD298" s="136" t="str">
        <f>CONCATENATE(_05preva_view43[[#This Row],[Site ID]]," (",_05preva_view43[[#This Row],[tenant id]],") Application",IF(_05preva_view43[[#This Row],[Colo Rev]]&gt;0," Rev "&amp;_05preva_view43[[#This Row],[Colo Rev]],""),".xlsx")</f>
        <v>AYYN_0021 (YGN0821) Application.xlsx</v>
      </c>
      <c r="BE298" s="64">
        <f t="shared" ca="1" si="6"/>
        <v>50</v>
      </c>
      <c r="BF298" s="104" t="str">
        <f ca="1">LEFT(CELL("filename",A283),_05preva_view43[[#This Row],[Find Process &amp; Database]]-1)</f>
        <v>D:\OneDrive - apollo-towers.com\Apollo Towers\00-</v>
      </c>
      <c r="BG298" s="104" t="str">
        <f ca="1">_05preva_view43[Folder Path1]&amp;"Process &amp; Database\Documentation\Colo Applications"</f>
        <v>D:\OneDrive - apollo-towers.com\Apollo Towers\00-Process &amp; Database\Documentation\Colo Applications</v>
      </c>
      <c r="BH298" s="104" t="str">
        <f ca="1">_05preva_view43[Folder Path2]&amp;"\Colo App "&amp;_05preva_view43[[#This Row],[Operator]]&amp;"\"</f>
        <v>D:\OneDrive - apollo-towers.com\Apollo Towers\00-Process &amp; Database\Documentation\Colo Applications\Colo App Mytel\</v>
      </c>
      <c r="BI298" s="63" t="str">
        <f ca="1">_05preva_view43[[#This Row],[Folder Path3]]&amp;_05preva_view43[[#This Row],[File Name]]</f>
        <v>D:\OneDrive - apollo-towers.com\Apollo Towers\00-Process &amp; Database\Documentation\Colo Applications\Colo App Mytel\AYYN_0021 (YGN0821) Application.xlsx</v>
      </c>
      <c r="BJ298" s="104"/>
      <c r="BK298" s="3"/>
      <c r="BL298" s="3"/>
      <c r="CJ298" s="5"/>
      <c r="CK298" s="5"/>
      <c r="CL298" s="3"/>
      <c r="CN298" s="5"/>
      <c r="CR298" s="3"/>
      <c r="CS298" s="3"/>
      <c r="CT298" s="5"/>
      <c r="CV298" s="3"/>
      <c r="DR298" s="5"/>
      <c r="DT298" s="3"/>
      <c r="EF298" s="7"/>
      <c r="EG298" s="7"/>
      <c r="EJ298" s="4"/>
      <c r="EK298" s="4"/>
      <c r="EU298" s="2"/>
      <c r="EV298" s="2"/>
    </row>
    <row r="299" spans="1:152">
      <c r="A299" s="125">
        <v>267</v>
      </c>
      <c r="B299" s="126" t="s">
        <v>869</v>
      </c>
      <c r="C299" s="126" t="s">
        <v>116</v>
      </c>
      <c r="D299" s="126" t="s">
        <v>163</v>
      </c>
      <c r="E299" s="126" t="s">
        <v>870</v>
      </c>
      <c r="F299" s="126" t="s">
        <v>34</v>
      </c>
      <c r="G299" s="126" t="s">
        <v>118</v>
      </c>
      <c r="H299" s="126"/>
      <c r="I299" s="126" t="s">
        <v>118</v>
      </c>
      <c r="J299" s="126"/>
      <c r="K299" s="127">
        <v>43318</v>
      </c>
      <c r="L299" s="128"/>
      <c r="M299" s="128"/>
      <c r="N299" s="126"/>
      <c r="O299" s="126" t="s">
        <v>119</v>
      </c>
      <c r="P299" s="129" t="s">
        <v>858</v>
      </c>
      <c r="Q299" s="129" t="s">
        <v>284</v>
      </c>
      <c r="R299" s="126" t="s">
        <v>26</v>
      </c>
      <c r="S299" s="126" t="s">
        <v>871</v>
      </c>
      <c r="T299" s="130" t="s">
        <v>144</v>
      </c>
      <c r="U299" s="126" t="s">
        <v>872</v>
      </c>
      <c r="V299" s="130" t="s">
        <v>120</v>
      </c>
      <c r="W299" s="126"/>
      <c r="X299" s="130" t="s">
        <v>120</v>
      </c>
      <c r="Y299" s="126"/>
      <c r="Z299" s="162" t="s">
        <v>125</v>
      </c>
      <c r="AA299" s="154"/>
      <c r="AB299" s="154"/>
      <c r="AC299" s="167"/>
      <c r="AD299" s="126" t="s">
        <v>873</v>
      </c>
      <c r="AE299" s="130" t="s">
        <v>120</v>
      </c>
      <c r="AF299" s="127" t="s">
        <v>867</v>
      </c>
      <c r="AG299" s="131"/>
      <c r="AH299" s="131"/>
      <c r="AI299" s="126" t="s">
        <v>874</v>
      </c>
      <c r="AJ299" s="130" t="s">
        <v>120</v>
      </c>
      <c r="AK299" s="126"/>
      <c r="AL299" s="126"/>
      <c r="AM299" s="130"/>
      <c r="AN299" s="126"/>
      <c r="AO299" s="132"/>
      <c r="AP299" s="126"/>
      <c r="AQ299" s="126"/>
      <c r="AR299" s="130"/>
      <c r="AS299" s="126"/>
      <c r="AT299" s="127"/>
      <c r="AU299" s="127">
        <v>43453.379097569399</v>
      </c>
      <c r="AV299" s="127"/>
      <c r="AW299" s="127"/>
      <c r="AX299" s="127"/>
      <c r="AY299" s="127"/>
      <c r="AZ299" s="133">
        <v>43318</v>
      </c>
      <c r="BA29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9" s="135">
        <f>COUNTIFS(_05preva_view43[Site ID],_05preva_view43[[#This Row],[Site ID]],_05preva_view43[Prevalidation Status],"Under Prevalidation")</f>
        <v>0</v>
      </c>
      <c r="BC299" s="153" t="str">
        <f ca="1">HYPERLINK(CheckPath(_05preva_view43[[#This Row],[File Path]],_05preva_view43[[#This Row],[File Path]],_05preva_view43[[#This Row],[Folder Path3]]),CheckPath(_05preva_view43[[#This Row],[File Path]],"Open File","No File"))</f>
        <v>No File</v>
      </c>
      <c r="BD299" s="136" t="str">
        <f>CONCATENATE(_05preva_view43[[#This Row],[Site ID]]," (",_05preva_view43[[#This Row],[tenant id]],") Application",IF(_05preva_view43[[#This Row],[Colo Rev]]&gt;0," Rev "&amp;_05preva_view43[[#This Row],[Colo Rev]],""),".xlsx")</f>
        <v>AYYN_0530 (YGN1353) Application.xlsx</v>
      </c>
      <c r="BE299" s="64">
        <f t="shared" ca="1" si="6"/>
        <v>50</v>
      </c>
      <c r="BF299" s="104" t="str">
        <f ca="1">LEFT(CELL("filename",A284),_05preva_view43[[#This Row],[Find Process &amp; Database]]-1)</f>
        <v>D:\OneDrive - apollo-towers.com\Apollo Towers\00-</v>
      </c>
      <c r="BG299" s="104" t="str">
        <f ca="1">_05preva_view43[Folder Path1]&amp;"Process &amp; Database\Documentation\Colo Applications"</f>
        <v>D:\OneDrive - apollo-towers.com\Apollo Towers\00-Process &amp; Database\Documentation\Colo Applications</v>
      </c>
      <c r="BH299" s="104" t="str">
        <f ca="1">_05preva_view43[Folder Path2]&amp;"\Colo App "&amp;_05preva_view43[[#This Row],[Operator]]&amp;"\"</f>
        <v>D:\OneDrive - apollo-towers.com\Apollo Towers\00-Process &amp; Database\Documentation\Colo Applications\Colo App Mytel\</v>
      </c>
      <c r="BI299" s="63" t="str">
        <f ca="1">_05preva_view43[[#This Row],[Folder Path3]]&amp;_05preva_view43[[#This Row],[File Name]]</f>
        <v>D:\OneDrive - apollo-towers.com\Apollo Towers\00-Process &amp; Database\Documentation\Colo Applications\Colo App Mytel\AYYN_0530 (YGN1353) Application.xlsx</v>
      </c>
      <c r="BJ299" s="104"/>
      <c r="BK299" s="3"/>
      <c r="BL299" s="3"/>
      <c r="CJ299" s="5"/>
      <c r="CK299" s="5"/>
      <c r="CL299" s="3"/>
      <c r="CN299" s="5"/>
      <c r="CR299" s="3"/>
      <c r="CS299" s="3"/>
      <c r="CT299" s="5"/>
      <c r="CV299" s="3"/>
      <c r="DR299" s="5"/>
      <c r="DT299" s="3"/>
      <c r="EF299" s="7"/>
      <c r="EG299" s="7"/>
      <c r="EJ299" s="4"/>
      <c r="EK299" s="4"/>
      <c r="EU299" s="2"/>
      <c r="EV299" s="2"/>
    </row>
    <row r="300" spans="1:152">
      <c r="A300" s="125">
        <v>268</v>
      </c>
      <c r="B300" s="126" t="s">
        <v>875</v>
      </c>
      <c r="C300" s="126" t="s">
        <v>331</v>
      </c>
      <c r="D300" s="126" t="s">
        <v>127</v>
      </c>
      <c r="E300" s="126" t="s">
        <v>876</v>
      </c>
      <c r="F300" s="126" t="s">
        <v>34</v>
      </c>
      <c r="G300" s="126" t="s">
        <v>1582</v>
      </c>
      <c r="H300" s="126" t="s">
        <v>1580</v>
      </c>
      <c r="I300" s="126" t="s">
        <v>118</v>
      </c>
      <c r="J300" s="126"/>
      <c r="K300" s="127">
        <v>43318</v>
      </c>
      <c r="L300" s="128"/>
      <c r="M300" s="128">
        <v>2</v>
      </c>
      <c r="N300" s="126"/>
      <c r="O300" s="126" t="s">
        <v>119</v>
      </c>
      <c r="P300" s="129" t="s">
        <v>291</v>
      </c>
      <c r="Q300" s="129" t="s">
        <v>292</v>
      </c>
      <c r="R300" s="126" t="s">
        <v>24</v>
      </c>
      <c r="S300" s="126"/>
      <c r="T300" s="130" t="s">
        <v>120</v>
      </c>
      <c r="U300" s="126" t="s">
        <v>865</v>
      </c>
      <c r="V300" s="130" t="s">
        <v>120</v>
      </c>
      <c r="W300" s="126"/>
      <c r="X300" s="130" t="s">
        <v>120</v>
      </c>
      <c r="Y300" s="126"/>
      <c r="Z300" s="162" t="s">
        <v>265</v>
      </c>
      <c r="AA300" s="154"/>
      <c r="AB300" s="154"/>
      <c r="AC300" s="167"/>
      <c r="AD300" s="126" t="s">
        <v>877</v>
      </c>
      <c r="AE300" s="130" t="s">
        <v>120</v>
      </c>
      <c r="AF300" s="127" t="s">
        <v>867</v>
      </c>
      <c r="AG300" s="131"/>
      <c r="AH300" s="131"/>
      <c r="AI300" s="126" t="s">
        <v>868</v>
      </c>
      <c r="AJ300" s="130" t="s">
        <v>120</v>
      </c>
      <c r="AK300" s="126"/>
      <c r="AL300" s="126"/>
      <c r="AM300" s="130"/>
      <c r="AN300" s="126"/>
      <c r="AO300" s="132"/>
      <c r="AP300" s="126"/>
      <c r="AQ300" s="126"/>
      <c r="AR300" s="130"/>
      <c r="AS300" s="126"/>
      <c r="AT300" s="127"/>
      <c r="AU300" s="127">
        <v>43453.379098032397</v>
      </c>
      <c r="AV300" s="127"/>
      <c r="AW300" s="127"/>
      <c r="AX300" s="127"/>
      <c r="AY300" s="127"/>
      <c r="AZ300" s="133"/>
      <c r="BA30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0" s="135">
        <f>COUNTIFS(_05preva_view43[Site ID],_05preva_view43[[#This Row],[Site ID]],_05preva_view43[Prevalidation Status],"Under Prevalidation")</f>
        <v>0</v>
      </c>
      <c r="BC300" s="153" t="str">
        <f ca="1">HYPERLINK(CheckPath(_05preva_view43[[#This Row],[File Path]],_05preva_view43[[#This Row],[File Path]],_05preva_view43[[#This Row],[Folder Path3]]),CheckPath(_05preva_view43[[#This Row],[File Path]],"Open File","No File"))</f>
        <v>No File</v>
      </c>
      <c r="BD300" s="136" t="str">
        <f>CONCATENATE(_05preva_view43[[#This Row],[Site ID]]," (",_05preva_view43[[#This Row],[tenant id]],") Application",IF(_05preva_view43[[#This Row],[Colo Rev]]&gt;0," Rev "&amp;_05preva_view43[[#This Row],[Colo Rev]],""),".xlsx")</f>
        <v>1-01-05018-005 (SGG0351) Application.xlsx</v>
      </c>
      <c r="BE300" s="64">
        <f t="shared" ca="1" si="6"/>
        <v>50</v>
      </c>
      <c r="BF300" s="104" t="str">
        <f ca="1">LEFT(CELL("filename",A285),_05preva_view43[[#This Row],[Find Process &amp; Database]]-1)</f>
        <v>D:\OneDrive - apollo-towers.com\Apollo Towers\00-</v>
      </c>
      <c r="BG300" s="104" t="str">
        <f ca="1">_05preva_view43[Folder Path1]&amp;"Process &amp; Database\Documentation\Colo Applications"</f>
        <v>D:\OneDrive - apollo-towers.com\Apollo Towers\00-Process &amp; Database\Documentation\Colo Applications</v>
      </c>
      <c r="BH300" s="104" t="str">
        <f ca="1">_05preva_view43[Folder Path2]&amp;"\Colo App "&amp;_05preva_view43[[#This Row],[Operator]]&amp;"\"</f>
        <v>D:\OneDrive - apollo-towers.com\Apollo Towers\00-Process &amp; Database\Documentation\Colo Applications\Colo App Mytel\</v>
      </c>
      <c r="BI300" s="63" t="str">
        <f ca="1">_05preva_view43[[#This Row],[Folder Path3]]&amp;_05preva_view43[[#This Row],[File Name]]</f>
        <v>D:\OneDrive - apollo-towers.com\Apollo Towers\00-Process &amp; Database\Documentation\Colo Applications\Colo App Mytel\1-01-05018-005 (SGG0351) Application.xlsx</v>
      </c>
      <c r="BJ300" s="104"/>
      <c r="BK300" s="3"/>
      <c r="BL300" s="3"/>
      <c r="CJ300" s="5"/>
      <c r="CK300" s="5"/>
      <c r="CL300" s="3"/>
      <c r="CN300" s="5"/>
      <c r="CR300" s="3"/>
      <c r="CS300" s="3"/>
      <c r="CT300" s="5"/>
      <c r="CV300" s="3"/>
      <c r="DR300" s="5"/>
      <c r="DT300" s="3"/>
      <c r="EF300" s="7"/>
      <c r="EG300" s="7"/>
      <c r="EJ300" s="4"/>
      <c r="EK300" s="4"/>
      <c r="EU300" s="2"/>
      <c r="EV300" s="2"/>
    </row>
    <row r="301" spans="1:152">
      <c r="A301" s="125">
        <v>269</v>
      </c>
      <c r="B301" s="126" t="s">
        <v>878</v>
      </c>
      <c r="C301" s="126" t="s">
        <v>116</v>
      </c>
      <c r="D301" s="126" t="s">
        <v>163</v>
      </c>
      <c r="E301" s="126" t="s">
        <v>879</v>
      </c>
      <c r="F301" s="126" t="s">
        <v>34</v>
      </c>
      <c r="G301" s="126" t="s">
        <v>1574</v>
      </c>
      <c r="H301" s="126" t="s">
        <v>1575</v>
      </c>
      <c r="I301" s="126" t="s">
        <v>118</v>
      </c>
      <c r="J301" s="126"/>
      <c r="K301" s="127">
        <v>43318</v>
      </c>
      <c r="L301" s="128"/>
      <c r="M301" s="128">
        <v>2</v>
      </c>
      <c r="N301" s="126"/>
      <c r="O301" s="126" t="s">
        <v>119</v>
      </c>
      <c r="P301" s="129" t="s">
        <v>736</v>
      </c>
      <c r="Q301" s="129" t="s">
        <v>880</v>
      </c>
      <c r="R301" s="126" t="s">
        <v>24</v>
      </c>
      <c r="S301" s="126"/>
      <c r="T301" s="130" t="s">
        <v>120</v>
      </c>
      <c r="U301" s="126" t="s">
        <v>865</v>
      </c>
      <c r="V301" s="130" t="s">
        <v>120</v>
      </c>
      <c r="W301" s="126"/>
      <c r="X301" s="130" t="s">
        <v>120</v>
      </c>
      <c r="Y301" s="126"/>
      <c r="Z301" s="162" t="s">
        <v>125</v>
      </c>
      <c r="AA301" s="154"/>
      <c r="AB301" s="154"/>
      <c r="AC301" s="167" t="s">
        <v>123</v>
      </c>
      <c r="AD301" s="126" t="s">
        <v>881</v>
      </c>
      <c r="AE301" s="130" t="s">
        <v>120</v>
      </c>
      <c r="AF301" s="127" t="s">
        <v>867</v>
      </c>
      <c r="AG301" s="131"/>
      <c r="AH301" s="131"/>
      <c r="AI301" s="126" t="s">
        <v>868</v>
      </c>
      <c r="AJ301" s="130" t="s">
        <v>120</v>
      </c>
      <c r="AK301" s="126"/>
      <c r="AL301" s="126"/>
      <c r="AM301" s="130"/>
      <c r="AN301" s="126"/>
      <c r="AO301" s="132"/>
      <c r="AP301" s="126"/>
      <c r="AQ301" s="126"/>
      <c r="AR301" s="130"/>
      <c r="AS301" s="126"/>
      <c r="AT301" s="127"/>
      <c r="AU301" s="127">
        <v>43453.379098726902</v>
      </c>
      <c r="AV301" s="127"/>
      <c r="AW301" s="127"/>
      <c r="AX301" s="127"/>
      <c r="AY301" s="127"/>
      <c r="AZ301" s="133">
        <v>43318</v>
      </c>
      <c r="BA30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1" s="135">
        <f>COUNTIFS(_05preva_view43[Site ID],_05preva_view43[[#This Row],[Site ID]],_05preva_view43[Prevalidation Status],"Under Prevalidation")</f>
        <v>0</v>
      </c>
      <c r="BC301" s="153" t="str">
        <f ca="1">HYPERLINK(CheckPath(_05preva_view43[[#This Row],[File Path]],_05preva_view43[[#This Row],[File Path]],_05preva_view43[[#This Row],[Folder Path3]]),CheckPath(_05preva_view43[[#This Row],[File Path]],"Open File","No File"))</f>
        <v>No File</v>
      </c>
      <c r="BD301" s="136" t="str">
        <f>CONCATENATE(_05preva_view43[[#This Row],[Site ID]]," (",_05preva_view43[[#This Row],[tenant id]],") Application",IF(_05preva_view43[[#This Row],[Colo Rev]]&gt;0," Rev "&amp;_05preva_view43[[#This Row],[Colo Rev]],""),".xlsx")</f>
        <v>AYYN_0323 (YGN1545) Application.xlsx</v>
      </c>
      <c r="BE301" s="64">
        <f t="shared" ca="1" si="6"/>
        <v>50</v>
      </c>
      <c r="BF301" s="104" t="str">
        <f ca="1">LEFT(CELL("filename",A286),_05preva_view43[[#This Row],[Find Process &amp; Database]]-1)</f>
        <v>D:\OneDrive - apollo-towers.com\Apollo Towers\00-</v>
      </c>
      <c r="BG301" s="104" t="str">
        <f ca="1">_05preva_view43[Folder Path1]&amp;"Process &amp; Database\Documentation\Colo Applications"</f>
        <v>D:\OneDrive - apollo-towers.com\Apollo Towers\00-Process &amp; Database\Documentation\Colo Applications</v>
      </c>
      <c r="BH301" s="104" t="str">
        <f ca="1">_05preva_view43[Folder Path2]&amp;"\Colo App "&amp;_05preva_view43[[#This Row],[Operator]]&amp;"\"</f>
        <v>D:\OneDrive - apollo-towers.com\Apollo Towers\00-Process &amp; Database\Documentation\Colo Applications\Colo App Mytel\</v>
      </c>
      <c r="BI301" s="63" t="str">
        <f ca="1">_05preva_view43[[#This Row],[Folder Path3]]&amp;_05preva_view43[[#This Row],[File Name]]</f>
        <v>D:\OneDrive - apollo-towers.com\Apollo Towers\00-Process &amp; Database\Documentation\Colo Applications\Colo App Mytel\AYYN_0323 (YGN1545) Application.xlsx</v>
      </c>
      <c r="BJ301" s="104"/>
      <c r="BK301" s="3"/>
      <c r="BL301" s="3"/>
      <c r="CJ301" s="5"/>
      <c r="CK301" s="5"/>
      <c r="CL301" s="3"/>
      <c r="CN301" s="5"/>
      <c r="CR301" s="3"/>
      <c r="CS301" s="3"/>
      <c r="CT301" s="5"/>
      <c r="CV301" s="3"/>
      <c r="DR301" s="5"/>
      <c r="DT301" s="3"/>
      <c r="EF301" s="7"/>
      <c r="EG301" s="7"/>
      <c r="EJ301" s="4"/>
      <c r="EK301" s="4"/>
      <c r="EU301" s="2"/>
      <c r="EV301" s="2"/>
    </row>
    <row r="302" spans="1:152">
      <c r="A302" s="125">
        <v>270</v>
      </c>
      <c r="B302" s="126" t="s">
        <v>882</v>
      </c>
      <c r="C302" s="126" t="s">
        <v>116</v>
      </c>
      <c r="D302" s="126" t="s">
        <v>117</v>
      </c>
      <c r="E302" s="126" t="s">
        <v>883</v>
      </c>
      <c r="F302" s="126" t="s">
        <v>34</v>
      </c>
      <c r="G302" s="126" t="s">
        <v>1574</v>
      </c>
      <c r="H302" s="126" t="s">
        <v>1575</v>
      </c>
      <c r="I302" s="126" t="s">
        <v>118</v>
      </c>
      <c r="J302" s="126"/>
      <c r="K302" s="127">
        <v>43318</v>
      </c>
      <c r="L302" s="128"/>
      <c r="M302" s="128"/>
      <c r="N302" s="126"/>
      <c r="O302" s="126" t="s">
        <v>119</v>
      </c>
      <c r="P302" s="129" t="s">
        <v>264</v>
      </c>
      <c r="Q302" s="129" t="s">
        <v>350</v>
      </c>
      <c r="R302" s="126" t="s">
        <v>24</v>
      </c>
      <c r="S302" s="126"/>
      <c r="T302" s="130" t="s">
        <v>120</v>
      </c>
      <c r="U302" s="126" t="s">
        <v>865</v>
      </c>
      <c r="V302" s="130" t="s">
        <v>120</v>
      </c>
      <c r="W302" s="126"/>
      <c r="X302" s="130" t="s">
        <v>120</v>
      </c>
      <c r="Y302" s="126"/>
      <c r="Z302" s="162" t="s">
        <v>265</v>
      </c>
      <c r="AA302" s="154"/>
      <c r="AB302" s="154"/>
      <c r="AC302" s="167"/>
      <c r="AD302" s="126" t="s">
        <v>877</v>
      </c>
      <c r="AE302" s="130" t="s">
        <v>120</v>
      </c>
      <c r="AF302" s="127" t="s">
        <v>867</v>
      </c>
      <c r="AG302" s="131"/>
      <c r="AH302" s="131"/>
      <c r="AI302" s="126" t="s">
        <v>868</v>
      </c>
      <c r="AJ302" s="130" t="s">
        <v>120</v>
      </c>
      <c r="AK302" s="126"/>
      <c r="AL302" s="126"/>
      <c r="AM302" s="130"/>
      <c r="AN302" s="126"/>
      <c r="AO302" s="132"/>
      <c r="AP302" s="126"/>
      <c r="AQ302" s="126"/>
      <c r="AR302" s="130"/>
      <c r="AS302" s="126"/>
      <c r="AT302" s="127"/>
      <c r="AU302" s="127">
        <v>43453.379099421298</v>
      </c>
      <c r="AV302" s="127"/>
      <c r="AW302" s="127"/>
      <c r="AX302" s="127"/>
      <c r="AY302" s="127"/>
      <c r="AZ302" s="133"/>
      <c r="BA30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2" s="135">
        <f>COUNTIFS(_05preva_view43[Site ID],_05preva_view43[[#This Row],[Site ID]],_05preva_view43[Prevalidation Status],"Under Prevalidation")</f>
        <v>0</v>
      </c>
      <c r="BC302" s="153" t="str">
        <f ca="1">HYPERLINK(CheckPath(_05preva_view43[[#This Row],[File Path]],_05preva_view43[[#This Row],[File Path]],_05preva_view43[[#This Row],[Folder Path3]]),CheckPath(_05preva_view43[[#This Row],[File Path]],"Open File","No File"))</f>
        <v>No File</v>
      </c>
      <c r="BD302" s="136" t="str">
        <f>CONCATENATE(_05preva_view43[[#This Row],[Site ID]]," (",_05preva_view43[[#This Row],[tenant id]],") Application",IF(_05preva_view43[[#This Row],[Colo Rev]]&gt;0," Rev "&amp;_05preva_view43[[#This Row],[Colo Rev]],""),".xlsx")</f>
        <v>ANMG_0076 (MGY0061) Application.xlsx</v>
      </c>
      <c r="BE302" s="64">
        <f t="shared" ca="1" si="6"/>
        <v>50</v>
      </c>
      <c r="BF302" s="104" t="str">
        <f ca="1">LEFT(CELL("filename",A287),_05preva_view43[[#This Row],[Find Process &amp; Database]]-1)</f>
        <v>D:\OneDrive - apollo-towers.com\Apollo Towers\00-</v>
      </c>
      <c r="BG302" s="104" t="str">
        <f ca="1">_05preva_view43[Folder Path1]&amp;"Process &amp; Database\Documentation\Colo Applications"</f>
        <v>D:\OneDrive - apollo-towers.com\Apollo Towers\00-Process &amp; Database\Documentation\Colo Applications</v>
      </c>
      <c r="BH302" s="104" t="str">
        <f ca="1">_05preva_view43[Folder Path2]&amp;"\Colo App "&amp;_05preva_view43[[#This Row],[Operator]]&amp;"\"</f>
        <v>D:\OneDrive - apollo-towers.com\Apollo Towers\00-Process &amp; Database\Documentation\Colo Applications\Colo App Mytel\</v>
      </c>
      <c r="BI302" s="63" t="str">
        <f ca="1">_05preva_view43[[#This Row],[Folder Path3]]&amp;_05preva_view43[[#This Row],[File Name]]</f>
        <v>D:\OneDrive - apollo-towers.com\Apollo Towers\00-Process &amp; Database\Documentation\Colo Applications\Colo App Mytel\ANMG_0076 (MGY0061) Application.xlsx</v>
      </c>
      <c r="BJ302" s="104"/>
      <c r="BK302" s="3"/>
      <c r="BL302" s="3"/>
      <c r="CJ302" s="5"/>
      <c r="CK302" s="5"/>
      <c r="CL302" s="3"/>
      <c r="CN302" s="5"/>
      <c r="CR302" s="3"/>
      <c r="CS302" s="3"/>
      <c r="CT302" s="5"/>
      <c r="CV302" s="3"/>
      <c r="DR302" s="5"/>
      <c r="DT302" s="3"/>
      <c r="EF302" s="7"/>
      <c r="EG302" s="7"/>
      <c r="EJ302" s="4"/>
      <c r="EK302" s="4"/>
      <c r="EU302" s="2"/>
      <c r="EV302" s="2"/>
    </row>
    <row r="303" spans="1:152">
      <c r="A303" s="125">
        <v>271</v>
      </c>
      <c r="B303" s="126" t="s">
        <v>1909</v>
      </c>
      <c r="C303" s="126" t="s">
        <v>116</v>
      </c>
      <c r="D303" s="126" t="s">
        <v>163</v>
      </c>
      <c r="E303" s="126" t="s">
        <v>1910</v>
      </c>
      <c r="F303" s="126" t="s">
        <v>34</v>
      </c>
      <c r="G303" s="126" t="s">
        <v>118</v>
      </c>
      <c r="H303" s="126"/>
      <c r="I303" s="126" t="s">
        <v>118</v>
      </c>
      <c r="J303" s="126"/>
      <c r="K303" s="127">
        <v>43307</v>
      </c>
      <c r="L303" s="128"/>
      <c r="M303" s="128"/>
      <c r="N303" s="126"/>
      <c r="O303" s="126" t="s">
        <v>119</v>
      </c>
      <c r="P303" s="129" t="s">
        <v>1911</v>
      </c>
      <c r="Q303" s="129" t="s">
        <v>264</v>
      </c>
      <c r="R303" s="126" t="s">
        <v>1912</v>
      </c>
      <c r="S303" s="126"/>
      <c r="T303" s="130" t="s">
        <v>120</v>
      </c>
      <c r="U303" s="126"/>
      <c r="V303" s="130" t="s">
        <v>120</v>
      </c>
      <c r="W303" s="126"/>
      <c r="X303" s="130" t="s">
        <v>120</v>
      </c>
      <c r="Y303" s="126"/>
      <c r="Z303" s="162" t="s">
        <v>144</v>
      </c>
      <c r="AA303" s="154"/>
      <c r="AB303" s="154"/>
      <c r="AC303" s="167"/>
      <c r="AD303" s="126" t="s">
        <v>144</v>
      </c>
      <c r="AE303" s="130" t="s">
        <v>120</v>
      </c>
      <c r="AF303" s="127"/>
      <c r="AG303" s="131"/>
      <c r="AH303" s="131"/>
      <c r="AI303" s="126"/>
      <c r="AJ303" s="130" t="s">
        <v>120</v>
      </c>
      <c r="AK303" s="126"/>
      <c r="AL303" s="126"/>
      <c r="AM303" s="130"/>
      <c r="AN303" s="126"/>
      <c r="AO303" s="132"/>
      <c r="AP303" s="126"/>
      <c r="AQ303" s="126"/>
      <c r="AR303" s="130"/>
      <c r="AS303" s="126"/>
      <c r="AT303" s="127"/>
      <c r="AU303" s="127">
        <v>43453.379100115701</v>
      </c>
      <c r="AV303" s="127"/>
      <c r="AW303" s="127"/>
      <c r="AX303" s="127"/>
      <c r="AY303" s="127"/>
      <c r="AZ303" s="133"/>
      <c r="BA30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3" s="135">
        <f>COUNTIFS(_05preva_view43[Site ID],_05preva_view43[[#This Row],[Site ID]],_05preva_view43[Prevalidation Status],"Under Prevalidation")</f>
        <v>0</v>
      </c>
      <c r="BC303" s="153" t="str">
        <f ca="1">HYPERLINK(CheckPath(_05preva_view43[[#This Row],[File Path]],_05preva_view43[[#This Row],[File Path]],_05preva_view43[[#This Row],[Folder Path3]]),CheckPath(_05preva_view43[[#This Row],[File Path]],"Open File","No File"))</f>
        <v>No File</v>
      </c>
      <c r="BD303" s="136" t="str">
        <f>CONCATENATE(_05preva_view43[[#This Row],[Site ID]]," (",_05preva_view43[[#This Row],[tenant id]],") Application",IF(_05preva_view43[[#This Row],[Colo Rev]]&gt;0," Rev "&amp;_05preva_view43[[#This Row],[Colo Rev]],""),".xlsx")</f>
        <v>AYYN_0499 (YGN1337) Application.xlsx</v>
      </c>
      <c r="BE303" s="64">
        <f t="shared" ca="1" si="6"/>
        <v>50</v>
      </c>
      <c r="BF303" s="104" t="str">
        <f ca="1">LEFT(CELL("filename",A288),_05preva_view43[[#This Row],[Find Process &amp; Database]]-1)</f>
        <v>D:\OneDrive - apollo-towers.com\Apollo Towers\00-</v>
      </c>
      <c r="BG303" s="104" t="str">
        <f ca="1">_05preva_view43[Folder Path1]&amp;"Process &amp; Database\Documentation\Colo Applications"</f>
        <v>D:\OneDrive - apollo-towers.com\Apollo Towers\00-Process &amp; Database\Documentation\Colo Applications</v>
      </c>
      <c r="BH303" s="104" t="str">
        <f ca="1">_05preva_view43[Folder Path2]&amp;"\Colo App "&amp;_05preva_view43[[#This Row],[Operator]]&amp;"\"</f>
        <v>D:\OneDrive - apollo-towers.com\Apollo Towers\00-Process &amp; Database\Documentation\Colo Applications\Colo App Mytel\</v>
      </c>
      <c r="BI303" s="63" t="str">
        <f ca="1">_05preva_view43[[#This Row],[Folder Path3]]&amp;_05preva_view43[[#This Row],[File Name]]</f>
        <v>D:\OneDrive - apollo-towers.com\Apollo Towers\00-Process &amp; Database\Documentation\Colo Applications\Colo App Mytel\AYYN_0499 (YGN1337) Application.xlsx</v>
      </c>
      <c r="BJ303" s="104"/>
      <c r="BK303" s="3"/>
      <c r="BL303" s="3"/>
      <c r="CJ303" s="5"/>
      <c r="CK303" s="5"/>
      <c r="CL303" s="3"/>
      <c r="CN303" s="5"/>
      <c r="CR303" s="3"/>
      <c r="CS303" s="3"/>
      <c r="CT303" s="5"/>
      <c r="CV303" s="3"/>
      <c r="DR303" s="5"/>
      <c r="DT303" s="3"/>
      <c r="EF303" s="7"/>
      <c r="EG303" s="7"/>
      <c r="EJ303" s="4"/>
      <c r="EK303" s="4"/>
      <c r="EU303" s="2"/>
      <c r="EV303" s="2"/>
    </row>
    <row r="304" spans="1:152">
      <c r="A304" s="125">
        <v>272</v>
      </c>
      <c r="B304" s="126" t="s">
        <v>884</v>
      </c>
      <c r="C304" s="126" t="s">
        <v>116</v>
      </c>
      <c r="D304" s="126" t="s">
        <v>163</v>
      </c>
      <c r="E304" s="126" t="s">
        <v>885</v>
      </c>
      <c r="F304" s="126" t="s">
        <v>34</v>
      </c>
      <c r="G304" s="126" t="s">
        <v>118</v>
      </c>
      <c r="H304" s="126"/>
      <c r="I304" s="126" t="s">
        <v>118</v>
      </c>
      <c r="J304" s="126"/>
      <c r="K304" s="127">
        <v>43307</v>
      </c>
      <c r="L304" s="128"/>
      <c r="M304" s="128"/>
      <c r="N304" s="126"/>
      <c r="O304" s="126" t="s">
        <v>119</v>
      </c>
      <c r="P304" s="129" t="s">
        <v>263</v>
      </c>
      <c r="Q304" s="129" t="s">
        <v>264</v>
      </c>
      <c r="R304" s="126" t="s">
        <v>26</v>
      </c>
      <c r="S304" s="126" t="s">
        <v>886</v>
      </c>
      <c r="T304" s="130" t="s">
        <v>265</v>
      </c>
      <c r="U304" s="126"/>
      <c r="V304" s="130" t="s">
        <v>144</v>
      </c>
      <c r="W304" s="126" t="s">
        <v>888</v>
      </c>
      <c r="X304" s="130" t="s">
        <v>120</v>
      </c>
      <c r="Y304" s="126"/>
      <c r="Z304" s="162" t="s">
        <v>265</v>
      </c>
      <c r="AA304" s="154"/>
      <c r="AB304" s="154"/>
      <c r="AC304" s="167"/>
      <c r="AD304" s="126" t="s">
        <v>887</v>
      </c>
      <c r="AE304" s="130" t="s">
        <v>144</v>
      </c>
      <c r="AF304" s="127"/>
      <c r="AG304" s="131"/>
      <c r="AH304" s="131"/>
      <c r="AI304" s="126"/>
      <c r="AJ304" s="130" t="s">
        <v>120</v>
      </c>
      <c r="AK304" s="126"/>
      <c r="AL304" s="126"/>
      <c r="AM304" s="130"/>
      <c r="AN304" s="126"/>
      <c r="AO304" s="132"/>
      <c r="AP304" s="126"/>
      <c r="AQ304" s="126"/>
      <c r="AR304" s="130"/>
      <c r="AS304" s="126"/>
      <c r="AT304" s="127"/>
      <c r="AU304" s="127"/>
      <c r="AV304" s="127"/>
      <c r="AW304" s="127"/>
      <c r="AX304" s="127"/>
      <c r="AY304" s="127"/>
      <c r="AZ304" s="133">
        <v>43307</v>
      </c>
      <c r="BA30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4" s="135">
        <f>COUNTIFS(_05preva_view43[Site ID],_05preva_view43[[#This Row],[Site ID]],_05preva_view43[Prevalidation Status],"Under Prevalidation")</f>
        <v>0</v>
      </c>
      <c r="BC304" s="153" t="str">
        <f ca="1">HYPERLINK(CheckPath(_05preva_view43[[#This Row],[File Path]],_05preva_view43[[#This Row],[File Path]],_05preva_view43[[#This Row],[Folder Path3]]),CheckPath(_05preva_view43[[#This Row],[File Path]],"Open File","No File"))</f>
        <v>No File</v>
      </c>
      <c r="BD304" s="136" t="str">
        <f>CONCATENATE(_05preva_view43[[#This Row],[Site ID]]," (",_05preva_view43[[#This Row],[tenant id]],") Application",IF(_05preva_view43[[#This Row],[Colo Rev]]&gt;0," Rev "&amp;_05preva_view43[[#This Row],[Colo Rev]],""),".xlsx")</f>
        <v>ASMO_0254 (MON0014) Application.xlsx</v>
      </c>
      <c r="BE304" s="64">
        <f t="shared" ca="1" si="6"/>
        <v>50</v>
      </c>
      <c r="BF304" s="104" t="str">
        <f ca="1">LEFT(CELL("filename",A289),_05preva_view43[[#This Row],[Find Process &amp; Database]]-1)</f>
        <v>D:\OneDrive - apollo-towers.com\Apollo Towers\00-</v>
      </c>
      <c r="BG304" s="104" t="str">
        <f ca="1">_05preva_view43[Folder Path1]&amp;"Process &amp; Database\Documentation\Colo Applications"</f>
        <v>D:\OneDrive - apollo-towers.com\Apollo Towers\00-Process &amp; Database\Documentation\Colo Applications</v>
      </c>
      <c r="BH304" s="104" t="str">
        <f ca="1">_05preva_view43[Folder Path2]&amp;"\Colo App "&amp;_05preva_view43[[#This Row],[Operator]]&amp;"\"</f>
        <v>D:\OneDrive - apollo-towers.com\Apollo Towers\00-Process &amp; Database\Documentation\Colo Applications\Colo App Mytel\</v>
      </c>
      <c r="BI304" s="63" t="str">
        <f ca="1">_05preva_view43[[#This Row],[Folder Path3]]&amp;_05preva_view43[[#This Row],[File Name]]</f>
        <v>D:\OneDrive - apollo-towers.com\Apollo Towers\00-Process &amp; Database\Documentation\Colo Applications\Colo App Mytel\ASMO_0254 (MON0014) Application.xlsx</v>
      </c>
      <c r="BJ304" s="104"/>
      <c r="BK304" s="3"/>
      <c r="BL304" s="3"/>
      <c r="CJ304" s="5"/>
      <c r="CK304" s="5"/>
      <c r="CL304" s="3"/>
      <c r="CN304" s="5"/>
      <c r="CR304" s="3"/>
      <c r="CS304" s="3"/>
      <c r="CT304" s="5"/>
      <c r="CV304" s="3"/>
      <c r="DR304" s="5"/>
      <c r="DT304" s="3"/>
      <c r="EF304" s="7"/>
      <c r="EG304" s="7"/>
      <c r="EJ304" s="4"/>
      <c r="EK304" s="4"/>
      <c r="EU304" s="2"/>
      <c r="EV304" s="2"/>
    </row>
    <row r="305" spans="1:152">
      <c r="A305" s="125">
        <v>273</v>
      </c>
      <c r="B305" s="126" t="s">
        <v>889</v>
      </c>
      <c r="C305" s="126" t="s">
        <v>116</v>
      </c>
      <c r="D305" s="126" t="s">
        <v>117</v>
      </c>
      <c r="E305" s="126" t="s">
        <v>890</v>
      </c>
      <c r="F305" s="126" t="s">
        <v>34</v>
      </c>
      <c r="G305" s="126" t="s">
        <v>1574</v>
      </c>
      <c r="H305" s="126" t="s">
        <v>1575</v>
      </c>
      <c r="I305" s="126" t="s">
        <v>118</v>
      </c>
      <c r="J305" s="126"/>
      <c r="K305" s="127">
        <v>43307</v>
      </c>
      <c r="L305" s="128"/>
      <c r="M305" s="128">
        <v>2</v>
      </c>
      <c r="N305" s="126"/>
      <c r="O305" s="126" t="s">
        <v>119</v>
      </c>
      <c r="P305" s="129" t="s">
        <v>291</v>
      </c>
      <c r="Q305" s="129" t="s">
        <v>292</v>
      </c>
      <c r="R305" s="126" t="s">
        <v>24</v>
      </c>
      <c r="S305" s="126"/>
      <c r="T305" s="130" t="s">
        <v>120</v>
      </c>
      <c r="U305" s="126"/>
      <c r="V305" s="130" t="s">
        <v>120</v>
      </c>
      <c r="W305" s="126"/>
      <c r="X305" s="130" t="s">
        <v>120</v>
      </c>
      <c r="Y305" s="126"/>
      <c r="Z305" s="162" t="s">
        <v>265</v>
      </c>
      <c r="AA305" s="154"/>
      <c r="AB305" s="154"/>
      <c r="AC305" s="167"/>
      <c r="AD305" s="126" t="s">
        <v>265</v>
      </c>
      <c r="AE305" s="130" t="s">
        <v>120</v>
      </c>
      <c r="AF305" s="127"/>
      <c r="AG305" s="131"/>
      <c r="AH305" s="131"/>
      <c r="AI305" s="126"/>
      <c r="AJ305" s="130" t="s">
        <v>120</v>
      </c>
      <c r="AK305" s="126"/>
      <c r="AL305" s="126"/>
      <c r="AM305" s="130"/>
      <c r="AN305" s="126"/>
      <c r="AO305" s="132"/>
      <c r="AP305" s="126"/>
      <c r="AQ305" s="126"/>
      <c r="AR305" s="130"/>
      <c r="AS305" s="126"/>
      <c r="AT305" s="127"/>
      <c r="AU305" s="127">
        <v>43453.379102199098</v>
      </c>
      <c r="AV305" s="127"/>
      <c r="AW305" s="127"/>
      <c r="AX305" s="127"/>
      <c r="AY305" s="127"/>
      <c r="AZ305" s="133"/>
      <c r="BA30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5" s="135">
        <f>COUNTIFS(_05preva_view43[Site ID],_05preva_view43[[#This Row],[Site ID]],_05preva_view43[Prevalidation Status],"Under Prevalidation")</f>
        <v>0</v>
      </c>
      <c r="BC305" s="153" t="str">
        <f ca="1">HYPERLINK(CheckPath(_05preva_view43[[#This Row],[File Path]],_05preva_view43[[#This Row],[File Path]],_05preva_view43[[#This Row],[Folder Path3]]),CheckPath(_05preva_view43[[#This Row],[File Path]],"Open File","No File"))</f>
        <v>No File</v>
      </c>
      <c r="BD305" s="136" t="str">
        <f>CONCATENATE(_05preva_view43[[#This Row],[Site ID]]," (",_05preva_view43[[#This Row],[tenant id]],") Application",IF(_05preva_view43[[#This Row],[Colo Rev]]&gt;0," Rev "&amp;_05preva_view43[[#This Row],[Colo Rev]],""),".xlsx")</f>
        <v>ANNP_0329 (NPW0281) Application.xlsx</v>
      </c>
      <c r="BE305" s="64">
        <f t="shared" ca="1" si="6"/>
        <v>50</v>
      </c>
      <c r="BF305" s="104" t="str">
        <f ca="1">LEFT(CELL("filename",A290),_05preva_view43[[#This Row],[Find Process &amp; Database]]-1)</f>
        <v>D:\OneDrive - apollo-towers.com\Apollo Towers\00-</v>
      </c>
      <c r="BG305" s="104" t="str">
        <f ca="1">_05preva_view43[Folder Path1]&amp;"Process &amp; Database\Documentation\Colo Applications"</f>
        <v>D:\OneDrive - apollo-towers.com\Apollo Towers\00-Process &amp; Database\Documentation\Colo Applications</v>
      </c>
      <c r="BH305" s="104" t="str">
        <f ca="1">_05preva_view43[Folder Path2]&amp;"\Colo App "&amp;_05preva_view43[[#This Row],[Operator]]&amp;"\"</f>
        <v>D:\OneDrive - apollo-towers.com\Apollo Towers\00-Process &amp; Database\Documentation\Colo Applications\Colo App Mytel\</v>
      </c>
      <c r="BI305" s="63" t="str">
        <f ca="1">_05preva_view43[[#This Row],[Folder Path3]]&amp;_05preva_view43[[#This Row],[File Name]]</f>
        <v>D:\OneDrive - apollo-towers.com\Apollo Towers\00-Process &amp; Database\Documentation\Colo Applications\Colo App Mytel\ANNP_0329 (NPW0281) Application.xlsx</v>
      </c>
      <c r="BJ305" s="104"/>
      <c r="BK305" s="3"/>
      <c r="BL305" s="3"/>
      <c r="CJ305" s="5"/>
      <c r="CK305" s="5"/>
      <c r="CL305" s="3"/>
      <c r="CN305" s="5"/>
      <c r="CR305" s="3"/>
      <c r="CS305" s="3"/>
      <c r="CT305" s="5"/>
      <c r="CV305" s="3"/>
      <c r="DR305" s="5"/>
      <c r="DT305" s="3"/>
      <c r="EF305" s="7"/>
      <c r="EG305" s="7"/>
      <c r="EJ305" s="4"/>
      <c r="EK305" s="4"/>
      <c r="EU305" s="2"/>
      <c r="EV305" s="2"/>
    </row>
    <row r="306" spans="1:152">
      <c r="A306" s="125">
        <v>265</v>
      </c>
      <c r="B306" s="126" t="s">
        <v>353</v>
      </c>
      <c r="C306" s="126" t="s">
        <v>116</v>
      </c>
      <c r="D306" s="126" t="s">
        <v>127</v>
      </c>
      <c r="E306" s="126" t="s">
        <v>857</v>
      </c>
      <c r="F306" s="126" t="s">
        <v>40</v>
      </c>
      <c r="G306" s="126" t="s">
        <v>1579</v>
      </c>
      <c r="H306" s="126" t="s">
        <v>1575</v>
      </c>
      <c r="I306" s="126" t="s">
        <v>118</v>
      </c>
      <c r="J306" s="126"/>
      <c r="K306" s="127">
        <v>43299</v>
      </c>
      <c r="L306" s="128"/>
      <c r="M306" s="128">
        <v>3</v>
      </c>
      <c r="N306" s="126">
        <v>6.5</v>
      </c>
      <c r="O306" s="126" t="s">
        <v>119</v>
      </c>
      <c r="P306" s="129" t="s">
        <v>858</v>
      </c>
      <c r="Q306" s="129" t="s">
        <v>284</v>
      </c>
      <c r="R306" s="126" t="s">
        <v>24</v>
      </c>
      <c r="S306" s="126"/>
      <c r="T306" s="130" t="s">
        <v>120</v>
      </c>
      <c r="U306" s="126" t="s">
        <v>859</v>
      </c>
      <c r="V306" s="130" t="s">
        <v>120</v>
      </c>
      <c r="W306" s="126"/>
      <c r="X306" s="130" t="s">
        <v>120</v>
      </c>
      <c r="Y306" s="126" t="s">
        <v>860</v>
      </c>
      <c r="Z306" s="162" t="s">
        <v>861</v>
      </c>
      <c r="AA306" s="154"/>
      <c r="AB306" s="154"/>
      <c r="AC306" s="167" t="s">
        <v>123</v>
      </c>
      <c r="AD306" s="126"/>
      <c r="AE306" s="130" t="s">
        <v>120</v>
      </c>
      <c r="AF306" s="127"/>
      <c r="AG306" s="131"/>
      <c r="AH306" s="131"/>
      <c r="AI306" s="126"/>
      <c r="AJ306" s="130" t="s">
        <v>120</v>
      </c>
      <c r="AK306" s="126" t="s">
        <v>240</v>
      </c>
      <c r="AL306" s="126" t="s">
        <v>862</v>
      </c>
      <c r="AM306" s="130"/>
      <c r="AN306" s="126"/>
      <c r="AO306" s="132"/>
      <c r="AP306" s="126"/>
      <c r="AQ306" s="126"/>
      <c r="AR306" s="130"/>
      <c r="AS306" s="126"/>
      <c r="AT306" s="127">
        <v>43417.622354282401</v>
      </c>
      <c r="AU306" s="127">
        <v>43417.673046759301</v>
      </c>
      <c r="AV306" s="127"/>
      <c r="AW306" s="127">
        <v>43417.729836574101</v>
      </c>
      <c r="AX306" s="127">
        <v>43417.688153472198</v>
      </c>
      <c r="AY306" s="127">
        <v>43417.684579629597</v>
      </c>
      <c r="AZ306" s="133">
        <v>43299</v>
      </c>
      <c r="BA30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6" s="135">
        <f>COUNTIFS(_05preva_view43[Site ID],_05preva_view43[[#This Row],[Site ID]],_05preva_view43[Prevalidation Status],"Under Prevalidation")</f>
        <v>0</v>
      </c>
      <c r="BC306" s="153" t="str">
        <f ca="1">HYPERLINK(CheckPath(_05preva_view43[[#This Row],[File Path]],_05preva_view43[[#This Row],[File Path]],_05preva_view43[[#This Row],[Folder Path3]]),CheckPath(_05preva_view43[[#This Row],[File Path]],"Open File","No File"))</f>
        <v>No File</v>
      </c>
      <c r="BD306" s="136" t="str">
        <f>CONCATENATE(_05preva_view43[[#This Row],[Site ID]]," (",_05preva_view43[[#This Row],[tenant id]],") Application",IF(_05preva_view43[[#This Row],[Colo Rev]]&gt;0," Rev "&amp;_05preva_view43[[#This Row],[Colo Rev]],""),".xlsx")</f>
        <v>ANMD_0080 (MAW2380) Application.xlsx</v>
      </c>
      <c r="BE306" s="64">
        <f t="shared" ca="1" si="6"/>
        <v>50</v>
      </c>
      <c r="BF306" s="104" t="str">
        <f ca="1">LEFT(CELL("filename",A291),_05preva_view43[[#This Row],[Find Process &amp; Database]]-1)</f>
        <v>D:\OneDrive - apollo-towers.com\Apollo Towers\00-</v>
      </c>
      <c r="BG306" s="104" t="str">
        <f ca="1">_05preva_view43[Folder Path1]&amp;"Process &amp; Database\Documentation\Colo Applications"</f>
        <v>D:\OneDrive - apollo-towers.com\Apollo Towers\00-Process &amp; Database\Documentation\Colo Applications</v>
      </c>
      <c r="BH306" s="104" t="str">
        <f ca="1">_05preva_view43[Folder Path2]&amp;"\Colo App "&amp;_05preva_view43[[#This Row],[Operator]]&amp;"\"</f>
        <v>D:\OneDrive - apollo-towers.com\Apollo Towers\00-Process &amp; Database\Documentation\Colo Applications\Colo App OML\</v>
      </c>
      <c r="BI306" s="63" t="str">
        <f ca="1">_05preva_view43[[#This Row],[Folder Path3]]&amp;_05preva_view43[[#This Row],[File Name]]</f>
        <v>D:\OneDrive - apollo-towers.com\Apollo Towers\00-Process &amp; Database\Documentation\Colo Applications\Colo App OML\ANMD_0080 (MAW2380) Application.xlsx</v>
      </c>
      <c r="BJ306" s="104"/>
      <c r="BK306" s="3"/>
      <c r="BL306" s="3"/>
      <c r="CJ306" s="5"/>
      <c r="CK306" s="5"/>
      <c r="CL306" s="3"/>
      <c r="CN306" s="5"/>
      <c r="CR306" s="3"/>
      <c r="CS306" s="3"/>
      <c r="CT306" s="5"/>
      <c r="CV306" s="3"/>
      <c r="DR306" s="5"/>
      <c r="DT306" s="3"/>
      <c r="EF306" s="7"/>
      <c r="EG306" s="7"/>
      <c r="EJ306" s="4"/>
      <c r="EK306" s="4"/>
      <c r="EU306" s="2"/>
      <c r="EV306" s="2"/>
    </row>
    <row r="307" spans="1:152">
      <c r="A307" s="125">
        <v>259</v>
      </c>
      <c r="B307" s="126" t="s">
        <v>342</v>
      </c>
      <c r="C307" s="126" t="s">
        <v>116</v>
      </c>
      <c r="D307" s="126" t="s">
        <v>127</v>
      </c>
      <c r="E307" s="126" t="s">
        <v>849</v>
      </c>
      <c r="F307" s="126" t="s">
        <v>40</v>
      </c>
      <c r="G307" s="126" t="s">
        <v>118</v>
      </c>
      <c r="H307" s="126"/>
      <c r="I307" s="126" t="s">
        <v>118</v>
      </c>
      <c r="J307" s="126"/>
      <c r="K307" s="127">
        <v>43298</v>
      </c>
      <c r="L307" s="128"/>
      <c r="M307" s="128">
        <v>3</v>
      </c>
      <c r="N307" s="126">
        <v>6</v>
      </c>
      <c r="O307" s="126" t="s">
        <v>119</v>
      </c>
      <c r="P307" s="129"/>
      <c r="Q307" s="129"/>
      <c r="R307" s="126" t="s">
        <v>27</v>
      </c>
      <c r="S307" s="126"/>
      <c r="T307" s="130" t="s">
        <v>120</v>
      </c>
      <c r="U307" s="126" t="s">
        <v>850</v>
      </c>
      <c r="V307" s="130" t="s">
        <v>120</v>
      </c>
      <c r="W307" s="126"/>
      <c r="X307" s="130" t="s">
        <v>120</v>
      </c>
      <c r="Y307" s="126" t="s">
        <v>404</v>
      </c>
      <c r="Z307" s="162" t="s">
        <v>125</v>
      </c>
      <c r="AA307" s="154"/>
      <c r="AB307" s="154"/>
      <c r="AC307" s="167" t="s">
        <v>123</v>
      </c>
      <c r="AD307" s="126" t="s">
        <v>405</v>
      </c>
      <c r="AE307" s="130" t="s">
        <v>125</v>
      </c>
      <c r="AF307" s="127"/>
      <c r="AG307" s="131"/>
      <c r="AH307" s="131"/>
      <c r="AI307" s="126" t="s">
        <v>851</v>
      </c>
      <c r="AJ307" s="130"/>
      <c r="AK307" s="126"/>
      <c r="AL307" s="126"/>
      <c r="AM307" s="130"/>
      <c r="AN307" s="126"/>
      <c r="AO307" s="132"/>
      <c r="AP307" s="126"/>
      <c r="AQ307" s="126"/>
      <c r="AR307" s="130"/>
      <c r="AS307" s="126"/>
      <c r="AT307" s="127"/>
      <c r="AU307" s="127"/>
      <c r="AV307" s="127"/>
      <c r="AW307" s="127"/>
      <c r="AX307" s="127"/>
      <c r="AY307" s="127"/>
      <c r="AZ307" s="133"/>
      <c r="BA30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7" s="135">
        <f>COUNTIFS(_05preva_view43[Site ID],_05preva_view43[[#This Row],[Site ID]],_05preva_view43[Prevalidation Status],"Under Prevalidation")</f>
        <v>0</v>
      </c>
      <c r="BC307" s="153" t="str">
        <f ca="1">HYPERLINK(CheckPath(_05preva_view43[[#This Row],[File Path]],_05preva_view43[[#This Row],[File Path]],_05preva_view43[[#This Row],[Folder Path3]]),CheckPath(_05preva_view43[[#This Row],[File Path]],"Open File","No File"))</f>
        <v>No File</v>
      </c>
      <c r="BD307" s="136" t="str">
        <f>CONCATENATE(_05preva_view43[[#This Row],[Site ID]]," (",_05preva_view43[[#This Row],[tenant id]],") Application",IF(_05preva_view43[[#This Row],[Colo Rev]]&gt;0," Rev "&amp;_05preva_view43[[#This Row],[Colo Rev]],""),".xlsx")</f>
        <v>ANMD_0122 (MAW2969) Application.xlsx</v>
      </c>
      <c r="BE307" s="64">
        <f t="shared" ca="1" si="6"/>
        <v>50</v>
      </c>
      <c r="BF307" s="104" t="str">
        <f ca="1">LEFT(CELL("filename",A292),_05preva_view43[[#This Row],[Find Process &amp; Database]]-1)</f>
        <v>D:\OneDrive - apollo-towers.com\Apollo Towers\00-</v>
      </c>
      <c r="BG307" s="104" t="str">
        <f ca="1">_05preva_view43[Folder Path1]&amp;"Process &amp; Database\Documentation\Colo Applications"</f>
        <v>D:\OneDrive - apollo-towers.com\Apollo Towers\00-Process &amp; Database\Documentation\Colo Applications</v>
      </c>
      <c r="BH307" s="104" t="str">
        <f ca="1">_05preva_view43[Folder Path2]&amp;"\Colo App "&amp;_05preva_view43[[#This Row],[Operator]]&amp;"\"</f>
        <v>D:\OneDrive - apollo-towers.com\Apollo Towers\00-Process &amp; Database\Documentation\Colo Applications\Colo App OML\</v>
      </c>
      <c r="BI307" s="63" t="str">
        <f ca="1">_05preva_view43[[#This Row],[Folder Path3]]&amp;_05preva_view43[[#This Row],[File Name]]</f>
        <v>D:\OneDrive - apollo-towers.com\Apollo Towers\00-Process &amp; Database\Documentation\Colo Applications\Colo App OML\ANMD_0122 (MAW2969) Application.xlsx</v>
      </c>
      <c r="BJ307" s="104"/>
      <c r="BK307" s="3"/>
      <c r="BL307" s="3"/>
      <c r="CJ307" s="5"/>
      <c r="CK307" s="5"/>
      <c r="CL307" s="3"/>
      <c r="CN307" s="5"/>
      <c r="CR307" s="3"/>
      <c r="CS307" s="3"/>
      <c r="CT307" s="5"/>
      <c r="CV307" s="3"/>
      <c r="DR307" s="5"/>
      <c r="DT307" s="3"/>
      <c r="EF307" s="7"/>
      <c r="EG307" s="7"/>
      <c r="EJ307" s="4"/>
      <c r="EK307" s="4"/>
      <c r="EU307" s="2"/>
      <c r="EV307" s="2"/>
    </row>
    <row r="308" spans="1:152">
      <c r="A308" s="125">
        <v>260</v>
      </c>
      <c r="B308" s="126" t="s">
        <v>852</v>
      </c>
      <c r="C308" s="126" t="s">
        <v>116</v>
      </c>
      <c r="D308" s="126" t="s">
        <v>127</v>
      </c>
      <c r="E308" s="126" t="s">
        <v>853</v>
      </c>
      <c r="F308" s="126" t="s">
        <v>40</v>
      </c>
      <c r="G308" s="126" t="s">
        <v>118</v>
      </c>
      <c r="H308" s="126"/>
      <c r="I308" s="126" t="s">
        <v>118</v>
      </c>
      <c r="J308" s="126"/>
      <c r="K308" s="127">
        <v>43298</v>
      </c>
      <c r="L308" s="128"/>
      <c r="M308" s="128">
        <v>3</v>
      </c>
      <c r="N308" s="126">
        <v>6</v>
      </c>
      <c r="O308" s="126" t="s">
        <v>119</v>
      </c>
      <c r="P308" s="129"/>
      <c r="Q308" s="129"/>
      <c r="R308" s="126" t="s">
        <v>27</v>
      </c>
      <c r="S308" s="126"/>
      <c r="T308" s="130" t="s">
        <v>120</v>
      </c>
      <c r="U308" s="126" t="s">
        <v>850</v>
      </c>
      <c r="V308" s="130" t="s">
        <v>120</v>
      </c>
      <c r="W308" s="126"/>
      <c r="X308" s="130" t="s">
        <v>120</v>
      </c>
      <c r="Y308" s="126" t="s">
        <v>404</v>
      </c>
      <c r="Z308" s="162" t="s">
        <v>120</v>
      </c>
      <c r="AA308" s="154"/>
      <c r="AB308" s="154"/>
      <c r="AC308" s="167" t="s">
        <v>123</v>
      </c>
      <c r="AD308" s="126"/>
      <c r="AE308" s="130" t="s">
        <v>125</v>
      </c>
      <c r="AF308" s="127"/>
      <c r="AG308" s="131"/>
      <c r="AH308" s="131"/>
      <c r="AI308" s="126" t="s">
        <v>854</v>
      </c>
      <c r="AJ308" s="130"/>
      <c r="AK308" s="126"/>
      <c r="AL308" s="126"/>
      <c r="AM308" s="130"/>
      <c r="AN308" s="126"/>
      <c r="AO308" s="132"/>
      <c r="AP308" s="126"/>
      <c r="AQ308" s="126"/>
      <c r="AR308" s="130"/>
      <c r="AS308" s="126"/>
      <c r="AT308" s="127"/>
      <c r="AU308" s="127"/>
      <c r="AV308" s="127"/>
      <c r="AW308" s="127"/>
      <c r="AX308" s="127"/>
      <c r="AY308" s="127"/>
      <c r="AZ308" s="133"/>
      <c r="BA30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8" s="135">
        <f>COUNTIFS(_05preva_view43[Site ID],_05preva_view43[[#This Row],[Site ID]],_05preva_view43[Prevalidation Status],"Under Prevalidation")</f>
        <v>0</v>
      </c>
      <c r="BC308" s="153" t="str">
        <f ca="1">HYPERLINK(CheckPath(_05preva_view43[[#This Row],[File Path]],_05preva_view43[[#This Row],[File Path]],_05preva_view43[[#This Row],[Folder Path3]]),CheckPath(_05preva_view43[[#This Row],[File Path]],"Open File","No File"))</f>
        <v>No File</v>
      </c>
      <c r="BD308" s="136" t="str">
        <f>CONCATENATE(_05preva_view43[[#This Row],[Site ID]]," (",_05preva_view43[[#This Row],[tenant id]],") Application",IF(_05preva_view43[[#This Row],[Colo Rev]]&gt;0," Rev "&amp;_05preva_view43[[#This Row],[Colo Rev]],""),".xlsx")</f>
        <v>ANMD_0181 (MAW2836) Application.xlsx</v>
      </c>
      <c r="BE308" s="64">
        <f t="shared" ca="1" si="6"/>
        <v>50</v>
      </c>
      <c r="BF308" s="104" t="str">
        <f ca="1">LEFT(CELL("filename",A293),_05preva_view43[[#This Row],[Find Process &amp; Database]]-1)</f>
        <v>D:\OneDrive - apollo-towers.com\Apollo Towers\00-</v>
      </c>
      <c r="BG308" s="104" t="str">
        <f ca="1">_05preva_view43[Folder Path1]&amp;"Process &amp; Database\Documentation\Colo Applications"</f>
        <v>D:\OneDrive - apollo-towers.com\Apollo Towers\00-Process &amp; Database\Documentation\Colo Applications</v>
      </c>
      <c r="BH308" s="104" t="str">
        <f ca="1">_05preva_view43[Folder Path2]&amp;"\Colo App "&amp;_05preva_view43[[#This Row],[Operator]]&amp;"\"</f>
        <v>D:\OneDrive - apollo-towers.com\Apollo Towers\00-Process &amp; Database\Documentation\Colo Applications\Colo App OML\</v>
      </c>
      <c r="BI308" s="63" t="str">
        <f ca="1">_05preva_view43[[#This Row],[Folder Path3]]&amp;_05preva_view43[[#This Row],[File Name]]</f>
        <v>D:\OneDrive - apollo-towers.com\Apollo Towers\00-Process &amp; Database\Documentation\Colo Applications\Colo App OML\ANMD_0181 (MAW2836) Application.xlsx</v>
      </c>
      <c r="BJ308" s="104"/>
      <c r="BK308" s="3"/>
      <c r="BL308" s="3"/>
      <c r="CJ308" s="5"/>
      <c r="CK308" s="5"/>
      <c r="CL308" s="3"/>
      <c r="CN308" s="5"/>
      <c r="CR308" s="3"/>
      <c r="CS308" s="3"/>
      <c r="CT308" s="5"/>
      <c r="CV308" s="3"/>
      <c r="DR308" s="5"/>
      <c r="DT308" s="3"/>
      <c r="EF308" s="7"/>
      <c r="EG308" s="7"/>
      <c r="EJ308" s="4"/>
      <c r="EK308" s="4"/>
      <c r="EU308" s="2"/>
      <c r="EV308" s="2"/>
    </row>
    <row r="309" spans="1:152">
      <c r="A309" s="125">
        <v>261</v>
      </c>
      <c r="B309" s="126" t="s">
        <v>855</v>
      </c>
      <c r="C309" s="126" t="s">
        <v>116</v>
      </c>
      <c r="D309" s="126" t="s">
        <v>117</v>
      </c>
      <c r="E309" s="126" t="s">
        <v>856</v>
      </c>
      <c r="F309" s="126" t="s">
        <v>40</v>
      </c>
      <c r="G309" s="126" t="s">
        <v>1579</v>
      </c>
      <c r="H309" s="126" t="s">
        <v>1580</v>
      </c>
      <c r="I309" s="126" t="s">
        <v>118</v>
      </c>
      <c r="J309" s="126"/>
      <c r="K309" s="127">
        <v>43298</v>
      </c>
      <c r="L309" s="128"/>
      <c r="M309" s="128">
        <v>3</v>
      </c>
      <c r="N309" s="126">
        <v>6</v>
      </c>
      <c r="O309" s="126" t="s">
        <v>119</v>
      </c>
      <c r="P309" s="129"/>
      <c r="Q309" s="129"/>
      <c r="R309" s="126" t="s">
        <v>24</v>
      </c>
      <c r="S309" s="126"/>
      <c r="T309" s="130" t="s">
        <v>120</v>
      </c>
      <c r="U309" s="126" t="s">
        <v>850</v>
      </c>
      <c r="V309" s="130" t="s">
        <v>120</v>
      </c>
      <c r="W309" s="126"/>
      <c r="X309" s="130" t="s">
        <v>120</v>
      </c>
      <c r="Y309" s="126" t="s">
        <v>404</v>
      </c>
      <c r="Z309" s="162" t="s">
        <v>120</v>
      </c>
      <c r="AA309" s="154"/>
      <c r="AB309" s="154"/>
      <c r="AC309" s="167" t="s">
        <v>123</v>
      </c>
      <c r="AD309" s="126"/>
      <c r="AE309" s="130" t="s">
        <v>125</v>
      </c>
      <c r="AF309" s="127"/>
      <c r="AG309" s="131"/>
      <c r="AH309" s="131"/>
      <c r="AI309" s="126" t="s">
        <v>854</v>
      </c>
      <c r="AJ309" s="130"/>
      <c r="AK309" s="126"/>
      <c r="AL309" s="126"/>
      <c r="AM309" s="130"/>
      <c r="AN309" s="126"/>
      <c r="AO309" s="132"/>
      <c r="AP309" s="126"/>
      <c r="AQ309" s="126"/>
      <c r="AR309" s="130"/>
      <c r="AS309" s="126"/>
      <c r="AT309" s="127"/>
      <c r="AU309" s="127"/>
      <c r="AV309" s="127"/>
      <c r="AW309" s="127"/>
      <c r="AX309" s="127"/>
      <c r="AY309" s="127"/>
      <c r="AZ309" s="133"/>
      <c r="BA30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9" s="135">
        <f>COUNTIFS(_05preva_view43[Site ID],_05preva_view43[[#This Row],[Site ID]],_05preva_view43[Prevalidation Status],"Under Prevalidation")</f>
        <v>0</v>
      </c>
      <c r="BC309" s="153" t="str">
        <f ca="1">HYPERLINK(CheckPath(_05preva_view43[[#This Row],[File Path]],_05preva_view43[[#This Row],[File Path]],_05preva_view43[[#This Row],[Folder Path3]]),CheckPath(_05preva_view43[[#This Row],[File Path]],"Open File","No File"))</f>
        <v>No File</v>
      </c>
      <c r="BD309" s="136" t="str">
        <f>CONCATENATE(_05preva_view43[[#This Row],[Site ID]]," (",_05preva_view43[[#This Row],[tenant id]],") Application",IF(_05preva_view43[[#This Row],[Colo Rev]]&gt;0," Rev "&amp;_05preva_view43[[#This Row],[Colo Rev]],""),".xlsx")</f>
        <v>ANSH_0044 (SHW1986) Application.xlsx</v>
      </c>
      <c r="BE309" s="64">
        <f t="shared" ca="1" si="6"/>
        <v>50</v>
      </c>
      <c r="BF309" s="104" t="str">
        <f ca="1">LEFT(CELL("filename",A294),_05preva_view43[[#This Row],[Find Process &amp; Database]]-1)</f>
        <v>D:\OneDrive - apollo-towers.com\Apollo Towers\00-</v>
      </c>
      <c r="BG309" s="104" t="str">
        <f ca="1">_05preva_view43[Folder Path1]&amp;"Process &amp; Database\Documentation\Colo Applications"</f>
        <v>D:\OneDrive - apollo-towers.com\Apollo Towers\00-Process &amp; Database\Documentation\Colo Applications</v>
      </c>
      <c r="BH309" s="104" t="str">
        <f ca="1">_05preva_view43[Folder Path2]&amp;"\Colo App "&amp;_05preva_view43[[#This Row],[Operator]]&amp;"\"</f>
        <v>D:\OneDrive - apollo-towers.com\Apollo Towers\00-Process &amp; Database\Documentation\Colo Applications\Colo App OML\</v>
      </c>
      <c r="BI309" s="63" t="str">
        <f ca="1">_05preva_view43[[#This Row],[Folder Path3]]&amp;_05preva_view43[[#This Row],[File Name]]</f>
        <v>D:\OneDrive - apollo-towers.com\Apollo Towers\00-Process &amp; Database\Documentation\Colo Applications\Colo App OML\ANSH_0044 (SHW1986) Application.xlsx</v>
      </c>
      <c r="BJ309" s="104"/>
      <c r="BK309" s="3"/>
      <c r="BL309" s="3"/>
      <c r="CJ309" s="5"/>
      <c r="CK309" s="5"/>
      <c r="CL309" s="3"/>
      <c r="CN309" s="5"/>
      <c r="CR309" s="3"/>
      <c r="CS309" s="3"/>
      <c r="CT309" s="5"/>
      <c r="CV309" s="3"/>
      <c r="DR309" s="5"/>
      <c r="DT309" s="3"/>
      <c r="EF309" s="7"/>
      <c r="EG309" s="7"/>
      <c r="EJ309" s="4"/>
      <c r="EK309" s="4"/>
      <c r="EU309" s="2"/>
      <c r="EV309" s="2"/>
    </row>
    <row r="310" spans="1:152">
      <c r="A310" s="125">
        <v>258</v>
      </c>
      <c r="B310" s="126" t="s">
        <v>843</v>
      </c>
      <c r="C310" s="126" t="s">
        <v>116</v>
      </c>
      <c r="D310" s="126" t="s">
        <v>163</v>
      </c>
      <c r="E310" s="126" t="s">
        <v>844</v>
      </c>
      <c r="F310" s="126" t="s">
        <v>41</v>
      </c>
      <c r="G310" s="126" t="s">
        <v>1576</v>
      </c>
      <c r="H310" s="126" t="s">
        <v>1580</v>
      </c>
      <c r="I310" s="126" t="s">
        <v>118</v>
      </c>
      <c r="J310" s="126"/>
      <c r="K310" s="127">
        <v>43290</v>
      </c>
      <c r="L310" s="128"/>
      <c r="M310" s="128">
        <v>1.9</v>
      </c>
      <c r="N310" s="126">
        <v>3</v>
      </c>
      <c r="O310" s="126" t="s">
        <v>119</v>
      </c>
      <c r="P310" s="129" t="s">
        <v>845</v>
      </c>
      <c r="Q310" s="129" t="s">
        <v>846</v>
      </c>
      <c r="R310" s="126" t="s">
        <v>24</v>
      </c>
      <c r="S310" s="126"/>
      <c r="T310" s="130" t="s">
        <v>120</v>
      </c>
      <c r="U310" s="126" t="s">
        <v>812</v>
      </c>
      <c r="V310" s="130" t="s">
        <v>120</v>
      </c>
      <c r="W310" s="126"/>
      <c r="X310" s="130" t="s">
        <v>120</v>
      </c>
      <c r="Y310" s="126" t="s">
        <v>120</v>
      </c>
      <c r="Z310" s="162" t="s">
        <v>120</v>
      </c>
      <c r="AA310" s="154"/>
      <c r="AB310" s="154"/>
      <c r="AC310" s="167" t="s">
        <v>123</v>
      </c>
      <c r="AD310" s="126" t="s">
        <v>364</v>
      </c>
      <c r="AE310" s="130" t="s">
        <v>265</v>
      </c>
      <c r="AF310" s="127" t="s">
        <v>815</v>
      </c>
      <c r="AG310" s="131"/>
      <c r="AH310" s="131"/>
      <c r="AI310" s="126" t="s">
        <v>848</v>
      </c>
      <c r="AJ310" s="130" t="s">
        <v>120</v>
      </c>
      <c r="AK310" s="126" t="s">
        <v>240</v>
      </c>
      <c r="AL310" s="126" t="s">
        <v>847</v>
      </c>
      <c r="AM310" s="130"/>
      <c r="AN310" s="126"/>
      <c r="AO310" s="132"/>
      <c r="AP310" s="126"/>
      <c r="AQ310" s="126"/>
      <c r="AR310" s="130"/>
      <c r="AS310" s="126"/>
      <c r="AT310" s="127"/>
      <c r="AU310" s="127">
        <v>43453.3790934028</v>
      </c>
      <c r="AV310" s="127"/>
      <c r="AW310" s="127"/>
      <c r="AX310" s="127"/>
      <c r="AY310" s="127"/>
      <c r="AZ310" s="133">
        <v>43290</v>
      </c>
      <c r="BA31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0" s="135">
        <f>COUNTIFS(_05preva_view43[Site ID],_05preva_view43[[#This Row],[Site ID]],_05preva_view43[Prevalidation Status],"Under Prevalidation")</f>
        <v>0</v>
      </c>
      <c r="BC310" s="153" t="str">
        <f ca="1">HYPERLINK(CheckPath(_05preva_view43[[#This Row],[File Path]],_05preva_view43[[#This Row],[File Path]],_05preva_view43[[#This Row],[Folder Path3]]),CheckPath(_05preva_view43[[#This Row],[File Path]],"Open File","No File"))</f>
        <v>No File</v>
      </c>
      <c r="BD310" s="136" t="str">
        <f>CONCATENATE(_05preva_view43[[#This Row],[Site ID]]," (",_05preva_view43[[#This Row],[tenant id]],") Application",IF(_05preva_view43[[#This Row],[Colo Rev]]&gt;0," Rev "&amp;_05preva_view43[[#This Row],[Colo Rev]],""),".xlsx")</f>
        <v>AYYN_0413 (YGNTKTA008) Application.xlsx</v>
      </c>
      <c r="BE310" s="64">
        <f t="shared" ca="1" si="6"/>
        <v>50</v>
      </c>
      <c r="BF310" s="104" t="str">
        <f ca="1">LEFT(CELL("filename",A295),_05preva_view43[[#This Row],[Find Process &amp; Database]]-1)</f>
        <v>D:\OneDrive - apollo-towers.com\Apollo Towers\00-</v>
      </c>
      <c r="BG310" s="104" t="str">
        <f ca="1">_05preva_view43[Folder Path1]&amp;"Process &amp; Database\Documentation\Colo Applications"</f>
        <v>D:\OneDrive - apollo-towers.com\Apollo Towers\00-Process &amp; Database\Documentation\Colo Applications</v>
      </c>
      <c r="BH310" s="104" t="str">
        <f ca="1">_05preva_view43[Folder Path2]&amp;"\Colo App "&amp;_05preva_view43[[#This Row],[Operator]]&amp;"\"</f>
        <v>D:\OneDrive - apollo-towers.com\Apollo Towers\00-Process &amp; Database\Documentation\Colo Applications\Colo App Amara\</v>
      </c>
      <c r="BI310" s="63" t="str">
        <f ca="1">_05preva_view43[[#This Row],[Folder Path3]]&amp;_05preva_view43[[#This Row],[File Name]]</f>
        <v>D:\OneDrive - apollo-towers.com\Apollo Towers\00-Process &amp; Database\Documentation\Colo Applications\Colo App Amara\AYYN_0413 (YGNTKTA008) Application.xlsx</v>
      </c>
      <c r="BJ310" s="104"/>
      <c r="BK310" s="3"/>
      <c r="BL310" s="3"/>
      <c r="CJ310" s="5"/>
      <c r="CK310" s="5"/>
      <c r="CL310" s="3"/>
      <c r="CN310" s="5"/>
      <c r="CR310" s="3"/>
      <c r="CS310" s="3"/>
      <c r="CT310" s="5"/>
      <c r="CV310" s="3"/>
      <c r="DR310" s="5"/>
      <c r="DT310" s="3"/>
      <c r="EF310" s="7"/>
      <c r="EG310" s="7"/>
      <c r="EJ310" s="4"/>
      <c r="EK310" s="4"/>
      <c r="EU310" s="2"/>
      <c r="EV310" s="2"/>
    </row>
    <row r="311" spans="1:152">
      <c r="A311" s="125">
        <v>256</v>
      </c>
      <c r="B311" s="126" t="s">
        <v>207</v>
      </c>
      <c r="C311" s="126" t="s">
        <v>116</v>
      </c>
      <c r="D311" s="126" t="s">
        <v>127</v>
      </c>
      <c r="E311" s="126" t="s">
        <v>831</v>
      </c>
      <c r="F311" s="126" t="s">
        <v>41</v>
      </c>
      <c r="G311" s="126" t="s">
        <v>1576</v>
      </c>
      <c r="H311" s="126" t="s">
        <v>1580</v>
      </c>
      <c r="I311" s="126" t="s">
        <v>118</v>
      </c>
      <c r="J311" s="126"/>
      <c r="K311" s="127">
        <v>43286</v>
      </c>
      <c r="L311" s="128"/>
      <c r="M311" s="128">
        <v>2.5</v>
      </c>
      <c r="N311" s="126">
        <v>3</v>
      </c>
      <c r="O311" s="126" t="s">
        <v>119</v>
      </c>
      <c r="P311" s="129" t="s">
        <v>832</v>
      </c>
      <c r="Q311" s="129" t="s">
        <v>833</v>
      </c>
      <c r="R311" s="126" t="s">
        <v>24</v>
      </c>
      <c r="S311" s="126" t="s">
        <v>834</v>
      </c>
      <c r="T311" s="130" t="s">
        <v>120</v>
      </c>
      <c r="U311" s="126" t="s">
        <v>835</v>
      </c>
      <c r="V311" s="130" t="s">
        <v>125</v>
      </c>
      <c r="W311" s="126" t="s">
        <v>836</v>
      </c>
      <c r="X311" s="130" t="s">
        <v>120</v>
      </c>
      <c r="Y311" s="126" t="s">
        <v>120</v>
      </c>
      <c r="Z311" s="162" t="s">
        <v>120</v>
      </c>
      <c r="AA311" s="154"/>
      <c r="AB311" s="154"/>
      <c r="AC311" s="167" t="s">
        <v>123</v>
      </c>
      <c r="AD311" s="126"/>
      <c r="AE311" s="130" t="s">
        <v>265</v>
      </c>
      <c r="AF311" s="127" t="s">
        <v>815</v>
      </c>
      <c r="AG311" s="131"/>
      <c r="AH311" s="131"/>
      <c r="AI311" s="126" t="s">
        <v>816</v>
      </c>
      <c r="AJ311" s="130"/>
      <c r="AK311" s="126"/>
      <c r="AL311" s="126"/>
      <c r="AM311" s="130"/>
      <c r="AN311" s="126"/>
      <c r="AO311" s="132"/>
      <c r="AP311" s="126"/>
      <c r="AQ311" s="126"/>
      <c r="AR311" s="130"/>
      <c r="AS311" s="126"/>
      <c r="AT311" s="127"/>
      <c r="AU311" s="127">
        <v>43453.3790920139</v>
      </c>
      <c r="AV311" s="127"/>
      <c r="AW311" s="127"/>
      <c r="AX311" s="127"/>
      <c r="AY311" s="127"/>
      <c r="AZ311" s="133">
        <v>43286</v>
      </c>
      <c r="BA31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1" s="135">
        <f>COUNTIFS(_05preva_view43[Site ID],_05preva_view43[[#This Row],[Site ID]],_05preva_view43[Prevalidation Status],"Under Prevalidation")</f>
        <v>0</v>
      </c>
      <c r="BC311" s="153" t="str">
        <f ca="1">HYPERLINK(CheckPath(_05preva_view43[[#This Row],[File Path]],_05preva_view43[[#This Row],[File Path]],_05preva_view43[[#This Row],[Folder Path3]]),CheckPath(_05preva_view43[[#This Row],[File Path]],"Open File","No File"))</f>
        <v>No File</v>
      </c>
      <c r="BD311" s="136" t="str">
        <f>CONCATENATE(_05preva_view43[[#This Row],[Site ID]]," (",_05preva_view43[[#This Row],[tenant id]],") Application",IF(_05preva_view43[[#This Row],[Colo Rev]]&gt;0," Rev "&amp;_05preva_view43[[#This Row],[Colo Rev]],""),".xlsx")</f>
        <v>ANMD_0273 (MDYAMTZ023) Application.xlsx</v>
      </c>
      <c r="BE311" s="64">
        <f t="shared" ca="1" si="6"/>
        <v>50</v>
      </c>
      <c r="BF311" s="104" t="str">
        <f ca="1">LEFT(CELL("filename",A296),_05preva_view43[[#This Row],[Find Process &amp; Database]]-1)</f>
        <v>D:\OneDrive - apollo-towers.com\Apollo Towers\00-</v>
      </c>
      <c r="BG311" s="104" t="str">
        <f ca="1">_05preva_view43[Folder Path1]&amp;"Process &amp; Database\Documentation\Colo Applications"</f>
        <v>D:\OneDrive - apollo-towers.com\Apollo Towers\00-Process &amp; Database\Documentation\Colo Applications</v>
      </c>
      <c r="BH311" s="104" t="str">
        <f ca="1">_05preva_view43[Folder Path2]&amp;"\Colo App "&amp;_05preva_view43[[#This Row],[Operator]]&amp;"\"</f>
        <v>D:\OneDrive - apollo-towers.com\Apollo Towers\00-Process &amp; Database\Documentation\Colo Applications\Colo App Amara\</v>
      </c>
      <c r="BI311" s="63" t="str">
        <f ca="1">_05preva_view43[[#This Row],[Folder Path3]]&amp;_05preva_view43[[#This Row],[File Name]]</f>
        <v>D:\OneDrive - apollo-towers.com\Apollo Towers\00-Process &amp; Database\Documentation\Colo Applications\Colo App Amara\ANMD_0273 (MDYAMTZ023) Application.xlsx</v>
      </c>
      <c r="BJ311" s="104"/>
      <c r="BK311" s="3"/>
      <c r="BL311" s="3"/>
      <c r="CJ311" s="5"/>
      <c r="CK311" s="5"/>
      <c r="CL311" s="3"/>
      <c r="CN311" s="5"/>
      <c r="CR311" s="3"/>
      <c r="CS311" s="3"/>
      <c r="CT311" s="5"/>
      <c r="CV311" s="3"/>
      <c r="DR311" s="5"/>
      <c r="DT311" s="3"/>
      <c r="EF311" s="7"/>
      <c r="EG311" s="7"/>
      <c r="EJ311" s="4"/>
      <c r="EK311" s="4"/>
      <c r="EU311" s="2"/>
      <c r="EV311" s="2"/>
    </row>
    <row r="312" spans="1:152">
      <c r="A312" s="125">
        <v>255</v>
      </c>
      <c r="B312" s="126" t="s">
        <v>828</v>
      </c>
      <c r="C312" s="126" t="s">
        <v>116</v>
      </c>
      <c r="D312" s="126" t="s">
        <v>127</v>
      </c>
      <c r="E312" s="126" t="s">
        <v>829</v>
      </c>
      <c r="F312" s="126" t="s">
        <v>41</v>
      </c>
      <c r="G312" s="126"/>
      <c r="H312" s="126"/>
      <c r="I312" s="126"/>
      <c r="J312" s="126"/>
      <c r="K312" s="127">
        <v>43286</v>
      </c>
      <c r="L312" s="128"/>
      <c r="M312" s="128">
        <v>2.5</v>
      </c>
      <c r="N312" s="126">
        <v>3</v>
      </c>
      <c r="O312" s="126" t="s">
        <v>119</v>
      </c>
      <c r="P312" s="129" t="s">
        <v>284</v>
      </c>
      <c r="Q312" s="129" t="s">
        <v>339</v>
      </c>
      <c r="R312" s="126" t="s">
        <v>27</v>
      </c>
      <c r="S312" s="126"/>
      <c r="T312" s="130" t="s">
        <v>120</v>
      </c>
      <c r="U312" s="126" t="s">
        <v>830</v>
      </c>
      <c r="V312" s="130" t="s">
        <v>120</v>
      </c>
      <c r="W312" s="126" t="s">
        <v>712</v>
      </c>
      <c r="X312" s="130" t="s">
        <v>120</v>
      </c>
      <c r="Y312" s="126" t="s">
        <v>120</v>
      </c>
      <c r="Z312" s="162" t="s">
        <v>120</v>
      </c>
      <c r="AA312" s="154"/>
      <c r="AB312" s="154"/>
      <c r="AC312" s="167" t="s">
        <v>123</v>
      </c>
      <c r="AD312" s="126" t="s">
        <v>364</v>
      </c>
      <c r="AE312" s="130" t="s">
        <v>265</v>
      </c>
      <c r="AF312" s="127" t="s">
        <v>815</v>
      </c>
      <c r="AG312" s="131"/>
      <c r="AH312" s="131"/>
      <c r="AI312" s="126" t="s">
        <v>816</v>
      </c>
      <c r="AJ312" s="130"/>
      <c r="AK312" s="126"/>
      <c r="AL312" s="126"/>
      <c r="AM312" s="130"/>
      <c r="AN312" s="126"/>
      <c r="AO312" s="132"/>
      <c r="AP312" s="126"/>
      <c r="AQ312" s="126"/>
      <c r="AR312" s="130"/>
      <c r="AS312" s="126"/>
      <c r="AT312" s="127"/>
      <c r="AU312" s="127">
        <v>43453.379091319403</v>
      </c>
      <c r="AV312" s="127"/>
      <c r="AW312" s="127"/>
      <c r="AX312" s="127"/>
      <c r="AY312" s="127"/>
      <c r="AZ312" s="133">
        <v>43286</v>
      </c>
      <c r="BA31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2" s="135">
        <f>COUNTIFS(_05preva_view43[Site ID],_05preva_view43[[#This Row],[Site ID]],_05preva_view43[Prevalidation Status],"Under Prevalidation")</f>
        <v>0</v>
      </c>
      <c r="BC312" s="153" t="str">
        <f ca="1">HYPERLINK(CheckPath(_05preva_view43[[#This Row],[File Path]],_05preva_view43[[#This Row],[File Path]],_05preva_view43[[#This Row],[Folder Path3]]),CheckPath(_05preva_view43[[#This Row],[File Path]],"Open File","No File"))</f>
        <v>No File</v>
      </c>
      <c r="BD312" s="136" t="str">
        <f>CONCATENATE(_05preva_view43[[#This Row],[Site ID]]," (",_05preva_view43[[#This Row],[tenant id]],") Application",IF(_05preva_view43[[#This Row],[Colo Rev]]&gt;0," Rev "&amp;_05preva_view43[[#This Row],[Colo Rev]],""),".xlsx")</f>
        <v>ANMD_0078 (MDYAMTZ006) Application.xlsx</v>
      </c>
      <c r="BE312" s="64">
        <f t="shared" ca="1" si="6"/>
        <v>50</v>
      </c>
      <c r="BF312" s="104" t="str">
        <f ca="1">LEFT(CELL("filename",A297),_05preva_view43[[#This Row],[Find Process &amp; Database]]-1)</f>
        <v>D:\OneDrive - apollo-towers.com\Apollo Towers\00-</v>
      </c>
      <c r="BG312" s="104" t="str">
        <f ca="1">_05preva_view43[Folder Path1]&amp;"Process &amp; Database\Documentation\Colo Applications"</f>
        <v>D:\OneDrive - apollo-towers.com\Apollo Towers\00-Process &amp; Database\Documentation\Colo Applications</v>
      </c>
      <c r="BH312" s="104" t="str">
        <f ca="1">_05preva_view43[Folder Path2]&amp;"\Colo App "&amp;_05preva_view43[[#This Row],[Operator]]&amp;"\"</f>
        <v>D:\OneDrive - apollo-towers.com\Apollo Towers\00-Process &amp; Database\Documentation\Colo Applications\Colo App Amara\</v>
      </c>
      <c r="BI312" s="63" t="str">
        <f ca="1">_05preva_view43[[#This Row],[Folder Path3]]&amp;_05preva_view43[[#This Row],[File Name]]</f>
        <v>D:\OneDrive - apollo-towers.com\Apollo Towers\00-Process &amp; Database\Documentation\Colo Applications\Colo App Amara\ANMD_0078 (MDYAMTZ006) Application.xlsx</v>
      </c>
      <c r="BJ312" s="104"/>
      <c r="BK312" s="3"/>
      <c r="BL312" s="3"/>
      <c r="CJ312" s="5"/>
      <c r="CK312" s="5"/>
      <c r="CL312" s="3"/>
      <c r="CN312" s="5"/>
      <c r="CR312" s="3"/>
      <c r="CS312" s="3"/>
      <c r="CT312" s="5"/>
      <c r="CV312" s="3"/>
      <c r="DR312" s="5"/>
      <c r="DT312" s="3"/>
      <c r="EF312" s="7"/>
      <c r="EG312" s="7"/>
      <c r="EJ312" s="4"/>
      <c r="EK312" s="4"/>
      <c r="EU312" s="2"/>
      <c r="EV312" s="2"/>
    </row>
    <row r="313" spans="1:152">
      <c r="A313" s="125">
        <v>254</v>
      </c>
      <c r="B313" s="126" t="s">
        <v>825</v>
      </c>
      <c r="C313" s="126" t="s">
        <v>116</v>
      </c>
      <c r="D313" s="126" t="s">
        <v>163</v>
      </c>
      <c r="E313" s="126" t="s">
        <v>826</v>
      </c>
      <c r="F313" s="126" t="s">
        <v>41</v>
      </c>
      <c r="G313" s="126" t="s">
        <v>118</v>
      </c>
      <c r="H313" s="126"/>
      <c r="I313" s="126" t="s">
        <v>118</v>
      </c>
      <c r="J313" s="126"/>
      <c r="K313" s="127">
        <v>43283</v>
      </c>
      <c r="L313" s="128"/>
      <c r="M313" s="128">
        <v>2</v>
      </c>
      <c r="N313" s="126">
        <v>3</v>
      </c>
      <c r="O313" s="126" t="s">
        <v>119</v>
      </c>
      <c r="P313" s="129" t="s">
        <v>363</v>
      </c>
      <c r="Q313" s="129" t="s">
        <v>284</v>
      </c>
      <c r="R313" s="126" t="s">
        <v>26</v>
      </c>
      <c r="S313" s="126"/>
      <c r="T313" s="130" t="s">
        <v>144</v>
      </c>
      <c r="U313" s="126" t="s">
        <v>827</v>
      </c>
      <c r="V313" s="130" t="s">
        <v>120</v>
      </c>
      <c r="W313" s="126"/>
      <c r="X313" s="130" t="s">
        <v>120</v>
      </c>
      <c r="Y313" s="126" t="s">
        <v>120</v>
      </c>
      <c r="Z313" s="162" t="s">
        <v>120</v>
      </c>
      <c r="AA313" s="154"/>
      <c r="AB313" s="154"/>
      <c r="AC313" s="167" t="s">
        <v>123</v>
      </c>
      <c r="AD313" s="126"/>
      <c r="AE313" s="130" t="s">
        <v>120</v>
      </c>
      <c r="AF313" s="127" t="s">
        <v>815</v>
      </c>
      <c r="AG313" s="131"/>
      <c r="AH313" s="131"/>
      <c r="AI313" s="126" t="s">
        <v>816</v>
      </c>
      <c r="AJ313" s="130" t="s">
        <v>120</v>
      </c>
      <c r="AK313" s="126" t="s">
        <v>240</v>
      </c>
      <c r="AL313" s="126"/>
      <c r="AM313" s="130"/>
      <c r="AN313" s="126"/>
      <c r="AO313" s="132"/>
      <c r="AP313" s="126"/>
      <c r="AQ313" s="126"/>
      <c r="AR313" s="130"/>
      <c r="AS313" s="126"/>
      <c r="AT313" s="127"/>
      <c r="AU313" s="127">
        <v>43453.379090509297</v>
      </c>
      <c r="AV313" s="127"/>
      <c r="AW313" s="127"/>
      <c r="AX313" s="127"/>
      <c r="AY313" s="127"/>
      <c r="AZ313" s="133">
        <v>43283</v>
      </c>
      <c r="BA31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3" s="135">
        <f>COUNTIFS(_05preva_view43[Site ID],_05preva_view43[[#This Row],[Site ID]],_05preva_view43[Prevalidation Status],"Under Prevalidation")</f>
        <v>0</v>
      </c>
      <c r="BC313" s="153" t="str">
        <f ca="1">HYPERLINK(CheckPath(_05preva_view43[[#This Row],[File Path]],_05preva_view43[[#This Row],[File Path]],_05preva_view43[[#This Row],[Folder Path3]]),CheckPath(_05preva_view43[[#This Row],[File Path]],"Open File","No File"))</f>
        <v>No File</v>
      </c>
      <c r="BD313" s="136" t="str">
        <f>CONCATENATE(_05preva_view43[[#This Row],[Site ID]]," (",_05preva_view43[[#This Row],[tenant id]],") Application",IF(_05preva_view43[[#This Row],[Colo Rev]]&gt;0," Rev "&amp;_05preva_view43[[#This Row],[Colo Rev]],""),".xlsx")</f>
        <v>AYYN_0339 (YGNMYGE008) Application.xlsx</v>
      </c>
      <c r="BE313" s="64">
        <f t="shared" ca="1" si="6"/>
        <v>50</v>
      </c>
      <c r="BF313" s="104" t="str">
        <f ca="1">LEFT(CELL("filename",A298),_05preva_view43[[#This Row],[Find Process &amp; Database]]-1)</f>
        <v>D:\OneDrive - apollo-towers.com\Apollo Towers\00-</v>
      </c>
      <c r="BG313" s="104" t="str">
        <f ca="1">_05preva_view43[Folder Path1]&amp;"Process &amp; Database\Documentation\Colo Applications"</f>
        <v>D:\OneDrive - apollo-towers.com\Apollo Towers\00-Process &amp; Database\Documentation\Colo Applications</v>
      </c>
      <c r="BH313" s="104" t="str">
        <f ca="1">_05preva_view43[Folder Path2]&amp;"\Colo App "&amp;_05preva_view43[[#This Row],[Operator]]&amp;"\"</f>
        <v>D:\OneDrive - apollo-towers.com\Apollo Towers\00-Process &amp; Database\Documentation\Colo Applications\Colo App Amara\</v>
      </c>
      <c r="BI313" s="63" t="str">
        <f ca="1">_05preva_view43[[#This Row],[Folder Path3]]&amp;_05preva_view43[[#This Row],[File Name]]</f>
        <v>D:\OneDrive - apollo-towers.com\Apollo Towers\00-Process &amp; Database\Documentation\Colo Applications\Colo App Amara\AYYN_0339 (YGNMYGE008) Application.xlsx</v>
      </c>
      <c r="BJ313" s="104"/>
      <c r="BK313" s="3"/>
      <c r="BL313" s="3"/>
      <c r="CJ313" s="5"/>
      <c r="CK313" s="5"/>
      <c r="CL313" s="3"/>
      <c r="CN313" s="5"/>
      <c r="CR313" s="3"/>
      <c r="CS313" s="3"/>
      <c r="CT313" s="5"/>
      <c r="CV313" s="3"/>
      <c r="DR313" s="5"/>
      <c r="DT313" s="3"/>
      <c r="EF313" s="7"/>
      <c r="EG313" s="7"/>
      <c r="EJ313" s="4"/>
      <c r="EK313" s="4"/>
      <c r="EU313" s="2"/>
      <c r="EV313" s="2"/>
    </row>
    <row r="314" spans="1:152">
      <c r="A314" s="125">
        <v>252</v>
      </c>
      <c r="B314" s="126" t="s">
        <v>821</v>
      </c>
      <c r="C314" s="126" t="s">
        <v>116</v>
      </c>
      <c r="D314" s="126" t="s">
        <v>163</v>
      </c>
      <c r="E314" s="126" t="s">
        <v>822</v>
      </c>
      <c r="F314" s="126" t="s">
        <v>41</v>
      </c>
      <c r="G314" s="126" t="s">
        <v>118</v>
      </c>
      <c r="H314" s="126"/>
      <c r="I314" s="126" t="s">
        <v>118</v>
      </c>
      <c r="J314" s="126"/>
      <c r="K314" s="127">
        <v>43277</v>
      </c>
      <c r="L314" s="128"/>
      <c r="M314" s="128">
        <v>1.9</v>
      </c>
      <c r="N314" s="126">
        <v>3</v>
      </c>
      <c r="O314" s="126" t="s">
        <v>119</v>
      </c>
      <c r="P314" s="129" t="s">
        <v>823</v>
      </c>
      <c r="Q314" s="129" t="s">
        <v>824</v>
      </c>
      <c r="R314" s="126" t="s">
        <v>24</v>
      </c>
      <c r="S314" s="126"/>
      <c r="T314" s="130" t="s">
        <v>120</v>
      </c>
      <c r="U314" s="126" t="s">
        <v>812</v>
      </c>
      <c r="V314" s="130" t="s">
        <v>120</v>
      </c>
      <c r="W314" s="126"/>
      <c r="X314" s="130" t="s">
        <v>120</v>
      </c>
      <c r="Y314" s="126" t="s">
        <v>120</v>
      </c>
      <c r="Z314" s="162" t="s">
        <v>120</v>
      </c>
      <c r="AA314" s="154"/>
      <c r="AB314" s="154"/>
      <c r="AC314" s="167" t="s">
        <v>123</v>
      </c>
      <c r="AD314" s="126" t="s">
        <v>813</v>
      </c>
      <c r="AE314" s="130" t="s">
        <v>120</v>
      </c>
      <c r="AF314" s="127" t="s">
        <v>815</v>
      </c>
      <c r="AG314" s="131"/>
      <c r="AH314" s="131"/>
      <c r="AI314" s="126" t="s">
        <v>816</v>
      </c>
      <c r="AJ314" s="130" t="s">
        <v>120</v>
      </c>
      <c r="AK314" s="126" t="s">
        <v>240</v>
      </c>
      <c r="AL314" s="126"/>
      <c r="AM314" s="130"/>
      <c r="AN314" s="126"/>
      <c r="AO314" s="132"/>
      <c r="AP314" s="126"/>
      <c r="AQ314" s="126"/>
      <c r="AR314" s="130"/>
      <c r="AS314" s="126"/>
      <c r="AT314" s="127"/>
      <c r="AU314" s="127">
        <v>43453.379089930597</v>
      </c>
      <c r="AV314" s="127"/>
      <c r="AW314" s="127"/>
      <c r="AX314" s="127"/>
      <c r="AY314" s="127"/>
      <c r="AZ314" s="133">
        <v>43277</v>
      </c>
      <c r="BA31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4" s="135">
        <f>COUNTIFS(_05preva_view43[Site ID],_05preva_view43[[#This Row],[Site ID]],_05preva_view43[Prevalidation Status],"Under Prevalidation")</f>
        <v>0</v>
      </c>
      <c r="BC314" s="153" t="str">
        <f ca="1">HYPERLINK(CheckPath(_05preva_view43[[#This Row],[File Path]],_05preva_view43[[#This Row],[File Path]],_05preva_view43[[#This Row],[Folder Path3]]),CheckPath(_05preva_view43[[#This Row],[File Path]],"Open File","No File"))</f>
        <v>No File</v>
      </c>
      <c r="BD314" s="136" t="str">
        <f>CONCATENATE(_05preva_view43[[#This Row],[Site ID]]," (",_05preva_view43[[#This Row],[tenant id]],") Application",IF(_05preva_view43[[#This Row],[Colo Rev]]&gt;0," Rev "&amp;_05preva_view43[[#This Row],[Colo Rev]],""),".xlsx")</f>
        <v>AYYN_0141 (YGNLTHA011) Application.xlsx</v>
      </c>
      <c r="BE314" s="64">
        <f t="shared" ca="1" si="6"/>
        <v>50</v>
      </c>
      <c r="BF314" s="104" t="str">
        <f ca="1">LEFT(CELL("filename",A299),_05preva_view43[[#This Row],[Find Process &amp; Database]]-1)</f>
        <v>D:\OneDrive - apollo-towers.com\Apollo Towers\00-</v>
      </c>
      <c r="BG314" s="104" t="str">
        <f ca="1">_05preva_view43[Folder Path1]&amp;"Process &amp; Database\Documentation\Colo Applications"</f>
        <v>D:\OneDrive - apollo-towers.com\Apollo Towers\00-Process &amp; Database\Documentation\Colo Applications</v>
      </c>
      <c r="BH314" s="104" t="str">
        <f ca="1">_05preva_view43[Folder Path2]&amp;"\Colo App "&amp;_05preva_view43[[#This Row],[Operator]]&amp;"\"</f>
        <v>D:\OneDrive - apollo-towers.com\Apollo Towers\00-Process &amp; Database\Documentation\Colo Applications\Colo App Amara\</v>
      </c>
      <c r="BI314" s="63" t="str">
        <f ca="1">_05preva_view43[[#This Row],[Folder Path3]]&amp;_05preva_view43[[#This Row],[File Name]]</f>
        <v>D:\OneDrive - apollo-towers.com\Apollo Towers\00-Process &amp; Database\Documentation\Colo Applications\Colo App Amara\AYYN_0141 (YGNLTHA011) Application.xlsx</v>
      </c>
      <c r="BJ314" s="104"/>
      <c r="BK314" s="3"/>
      <c r="BL314" s="3"/>
      <c r="CJ314" s="5"/>
      <c r="CK314" s="5"/>
      <c r="CL314" s="3"/>
      <c r="CN314" s="5"/>
      <c r="CR314" s="3"/>
      <c r="CS314" s="3"/>
      <c r="CT314" s="5"/>
      <c r="CV314" s="3"/>
      <c r="DR314" s="5"/>
      <c r="DT314" s="3"/>
      <c r="EF314" s="7"/>
      <c r="EG314" s="7"/>
      <c r="EJ314" s="4"/>
      <c r="EK314" s="4"/>
      <c r="EU314" s="2"/>
      <c r="EV314" s="2"/>
    </row>
    <row r="315" spans="1:152">
      <c r="A315" s="125">
        <v>246</v>
      </c>
      <c r="B315" s="126" t="s">
        <v>797</v>
      </c>
      <c r="C315" s="126" t="s">
        <v>116</v>
      </c>
      <c r="D315" s="126" t="s">
        <v>163</v>
      </c>
      <c r="E315" s="126" t="s">
        <v>798</v>
      </c>
      <c r="F315" s="126" t="s">
        <v>40</v>
      </c>
      <c r="G315" s="126" t="s">
        <v>1579</v>
      </c>
      <c r="H315" s="126" t="s">
        <v>1575</v>
      </c>
      <c r="I315" s="126" t="s">
        <v>118</v>
      </c>
      <c r="J315" s="126"/>
      <c r="K315" s="127">
        <v>43273</v>
      </c>
      <c r="L315" s="128"/>
      <c r="M315" s="128">
        <v>3</v>
      </c>
      <c r="N315" s="126">
        <v>6</v>
      </c>
      <c r="O315" s="126" t="s">
        <v>119</v>
      </c>
      <c r="P315" s="129"/>
      <c r="Q315" s="129"/>
      <c r="R315" s="126" t="s">
        <v>24</v>
      </c>
      <c r="S315" s="126"/>
      <c r="T315" s="130" t="s">
        <v>120</v>
      </c>
      <c r="U315" s="126" t="s">
        <v>799</v>
      </c>
      <c r="V315" s="130" t="s">
        <v>120</v>
      </c>
      <c r="W315" s="126"/>
      <c r="X315" s="130" t="s">
        <v>120</v>
      </c>
      <c r="Y315" s="126" t="s">
        <v>404</v>
      </c>
      <c r="Z315" s="162" t="s">
        <v>120</v>
      </c>
      <c r="AA315" s="154"/>
      <c r="AB315" s="154"/>
      <c r="AC315" s="167" t="s">
        <v>123</v>
      </c>
      <c r="AD315" s="126"/>
      <c r="AE315" s="130" t="s">
        <v>125</v>
      </c>
      <c r="AF315" s="127"/>
      <c r="AG315" s="131"/>
      <c r="AH315" s="131"/>
      <c r="AI315" s="126" t="s">
        <v>387</v>
      </c>
      <c r="AJ315" s="130" t="s">
        <v>120</v>
      </c>
      <c r="AK315" s="126" t="s">
        <v>123</v>
      </c>
      <c r="AL315" s="126" t="s">
        <v>768</v>
      </c>
      <c r="AM315" s="130"/>
      <c r="AN315" s="126"/>
      <c r="AO315" s="132"/>
      <c r="AP315" s="126"/>
      <c r="AQ315" s="126"/>
      <c r="AR315" s="130"/>
      <c r="AS315" s="126"/>
      <c r="AT315" s="127"/>
      <c r="AU315" s="127"/>
      <c r="AV315" s="127"/>
      <c r="AW315" s="127"/>
      <c r="AX315" s="127"/>
      <c r="AY315" s="127"/>
      <c r="AZ315" s="133"/>
      <c r="BA31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5" s="135">
        <f>COUNTIFS(_05preva_view43[Site ID],_05preva_view43[[#This Row],[Site ID]],_05preva_view43[Prevalidation Status],"Under Prevalidation")</f>
        <v>0</v>
      </c>
      <c r="BC315" s="153" t="str">
        <f ca="1">HYPERLINK(CheckPath(_05preva_view43[[#This Row],[File Path]],_05preva_view43[[#This Row],[File Path]],_05preva_view43[[#This Row],[Folder Path3]]),CheckPath(_05preva_view43[[#This Row],[File Path]],"Open File","No File"))</f>
        <v>No File</v>
      </c>
      <c r="BD315" s="136" t="str">
        <f>CONCATENATE(_05preva_view43[[#This Row],[Site ID]]," (",_05preva_view43[[#This Row],[tenant id]],") Application",IF(_05preva_view43[[#This Row],[Colo Rev]]&gt;0," Rev "&amp;_05preva_view43[[#This Row],[Colo Rev]],""),".xlsx")</f>
        <v>ACAY_3003 (AYW5573) Application.xlsx</v>
      </c>
      <c r="BE315" s="64">
        <f t="shared" ca="1" si="6"/>
        <v>50</v>
      </c>
      <c r="BF315" s="104" t="str">
        <f ca="1">LEFT(CELL("filename",A300),_05preva_view43[[#This Row],[Find Process &amp; Database]]-1)</f>
        <v>D:\OneDrive - apollo-towers.com\Apollo Towers\00-</v>
      </c>
      <c r="BG315" s="104" t="str">
        <f ca="1">_05preva_view43[Folder Path1]&amp;"Process &amp; Database\Documentation\Colo Applications"</f>
        <v>D:\OneDrive - apollo-towers.com\Apollo Towers\00-Process &amp; Database\Documentation\Colo Applications</v>
      </c>
      <c r="BH315" s="104" t="str">
        <f ca="1">_05preva_view43[Folder Path2]&amp;"\Colo App "&amp;_05preva_view43[[#This Row],[Operator]]&amp;"\"</f>
        <v>D:\OneDrive - apollo-towers.com\Apollo Towers\00-Process &amp; Database\Documentation\Colo Applications\Colo App OML\</v>
      </c>
      <c r="BI315" s="63" t="str">
        <f ca="1">_05preva_view43[[#This Row],[Folder Path3]]&amp;_05preva_view43[[#This Row],[File Name]]</f>
        <v>D:\OneDrive - apollo-towers.com\Apollo Towers\00-Process &amp; Database\Documentation\Colo Applications\Colo App OML\ACAY_3003 (AYW5573) Application.xlsx</v>
      </c>
      <c r="BJ315" s="104"/>
      <c r="BK315" s="3"/>
      <c r="BL315" s="3"/>
      <c r="CJ315" s="5"/>
      <c r="CK315" s="5"/>
      <c r="CL315" s="3"/>
      <c r="CN315" s="5"/>
      <c r="CR315" s="3"/>
      <c r="CS315" s="3"/>
      <c r="CT315" s="5"/>
      <c r="CV315" s="3"/>
      <c r="DR315" s="5"/>
      <c r="DT315" s="3"/>
      <c r="EF315" s="7"/>
      <c r="EG315" s="7"/>
      <c r="EJ315" s="4"/>
      <c r="EK315" s="4"/>
      <c r="EU315" s="2"/>
      <c r="EV315" s="2"/>
    </row>
    <row r="316" spans="1:152">
      <c r="A316" s="125">
        <v>247</v>
      </c>
      <c r="B316" s="126" t="s">
        <v>800</v>
      </c>
      <c r="C316" s="126" t="s">
        <v>116</v>
      </c>
      <c r="D316" s="126" t="s">
        <v>163</v>
      </c>
      <c r="E316" s="126" t="s">
        <v>801</v>
      </c>
      <c r="F316" s="126" t="s">
        <v>40</v>
      </c>
      <c r="G316" s="126" t="s">
        <v>118</v>
      </c>
      <c r="H316" s="126"/>
      <c r="I316" s="126" t="s">
        <v>118</v>
      </c>
      <c r="J316" s="126"/>
      <c r="K316" s="127">
        <v>43273</v>
      </c>
      <c r="L316" s="128"/>
      <c r="M316" s="128">
        <v>3</v>
      </c>
      <c r="N316" s="126">
        <v>6</v>
      </c>
      <c r="O316" s="126" t="s">
        <v>119</v>
      </c>
      <c r="P316" s="129"/>
      <c r="Q316" s="129"/>
      <c r="R316" s="126" t="s">
        <v>26</v>
      </c>
      <c r="S316" s="126"/>
      <c r="T316" s="130" t="s">
        <v>120</v>
      </c>
      <c r="U316" s="126" t="s">
        <v>802</v>
      </c>
      <c r="V316" s="130" t="s">
        <v>144</v>
      </c>
      <c r="W316" s="126" t="s">
        <v>803</v>
      </c>
      <c r="X316" s="130" t="s">
        <v>120</v>
      </c>
      <c r="Y316" s="126" t="s">
        <v>404</v>
      </c>
      <c r="Z316" s="162" t="s">
        <v>120</v>
      </c>
      <c r="AA316" s="154"/>
      <c r="AB316" s="154"/>
      <c r="AC316" s="167" t="s">
        <v>123</v>
      </c>
      <c r="AD316" s="126"/>
      <c r="AE316" s="130" t="s">
        <v>125</v>
      </c>
      <c r="AF316" s="127"/>
      <c r="AG316" s="131"/>
      <c r="AH316" s="131"/>
      <c r="AI316" s="126" t="s">
        <v>245</v>
      </c>
      <c r="AJ316" s="130" t="s">
        <v>120</v>
      </c>
      <c r="AK316" s="126" t="s">
        <v>240</v>
      </c>
      <c r="AL316" s="126" t="s">
        <v>470</v>
      </c>
      <c r="AM316" s="130"/>
      <c r="AN316" s="126"/>
      <c r="AO316" s="132"/>
      <c r="AP316" s="126"/>
      <c r="AQ316" s="126"/>
      <c r="AR316" s="130"/>
      <c r="AS316" s="126"/>
      <c r="AT316" s="127"/>
      <c r="AU316" s="127"/>
      <c r="AV316" s="127"/>
      <c r="AW316" s="127"/>
      <c r="AX316" s="127"/>
      <c r="AY316" s="127"/>
      <c r="AZ316" s="133">
        <v>43273</v>
      </c>
      <c r="BA31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6" s="135">
        <f>COUNTIFS(_05preva_view43[Site ID],_05preva_view43[[#This Row],[Site ID]],_05preva_view43[Prevalidation Status],"Under Prevalidation")</f>
        <v>0</v>
      </c>
      <c r="BC316" s="153" t="str">
        <f ca="1">HYPERLINK(CheckPath(_05preva_view43[[#This Row],[File Path]],_05preva_view43[[#This Row],[File Path]],_05preva_view43[[#This Row],[Folder Path3]]),CheckPath(_05preva_view43[[#This Row],[File Path]],"Open File","No File"))</f>
        <v>No File</v>
      </c>
      <c r="BD316" s="136" t="str">
        <f>CONCATENATE(_05preva_view43[[#This Row],[Site ID]]," (",_05preva_view43[[#This Row],[tenant id]],") Application",IF(_05preva_view43[[#This Row],[Colo Rev]]&gt;0," Rev "&amp;_05preva_view43[[#This Row],[Colo Rev]],""),".xlsx")</f>
        <v>ASMO_0253 (MOW6291) Application.xlsx</v>
      </c>
      <c r="BE316" s="64">
        <f t="shared" ca="1" si="6"/>
        <v>50</v>
      </c>
      <c r="BF316" s="104" t="str">
        <f ca="1">LEFT(CELL("filename",A301),_05preva_view43[[#This Row],[Find Process &amp; Database]]-1)</f>
        <v>D:\OneDrive - apollo-towers.com\Apollo Towers\00-</v>
      </c>
      <c r="BG316" s="104" t="str">
        <f ca="1">_05preva_view43[Folder Path1]&amp;"Process &amp; Database\Documentation\Colo Applications"</f>
        <v>D:\OneDrive - apollo-towers.com\Apollo Towers\00-Process &amp; Database\Documentation\Colo Applications</v>
      </c>
      <c r="BH316" s="104" t="str">
        <f ca="1">_05preva_view43[Folder Path2]&amp;"\Colo App "&amp;_05preva_view43[[#This Row],[Operator]]&amp;"\"</f>
        <v>D:\OneDrive - apollo-towers.com\Apollo Towers\00-Process &amp; Database\Documentation\Colo Applications\Colo App OML\</v>
      </c>
      <c r="BI316" s="63" t="str">
        <f ca="1">_05preva_view43[[#This Row],[Folder Path3]]&amp;_05preva_view43[[#This Row],[File Name]]</f>
        <v>D:\OneDrive - apollo-towers.com\Apollo Towers\00-Process &amp; Database\Documentation\Colo Applications\Colo App OML\ASMO_0253 (MOW6291) Application.xlsx</v>
      </c>
      <c r="BJ316" s="104"/>
      <c r="BK316" s="3"/>
      <c r="BL316" s="3"/>
      <c r="CJ316" s="5"/>
      <c r="CK316" s="5"/>
      <c r="CL316" s="3"/>
      <c r="CN316" s="5"/>
      <c r="CR316" s="3"/>
      <c r="CS316" s="3"/>
      <c r="CT316" s="5"/>
      <c r="CV316" s="3"/>
      <c r="DR316" s="5"/>
      <c r="DT316" s="3"/>
      <c r="EF316" s="7"/>
      <c r="EG316" s="7"/>
      <c r="EJ316" s="4"/>
      <c r="EK316" s="4"/>
      <c r="EU316" s="2"/>
      <c r="EV316" s="2"/>
    </row>
    <row r="317" spans="1:152">
      <c r="A317" s="125">
        <v>248</v>
      </c>
      <c r="B317" s="126" t="s">
        <v>804</v>
      </c>
      <c r="C317" s="126" t="s">
        <v>116</v>
      </c>
      <c r="D317" s="126" t="s">
        <v>117</v>
      </c>
      <c r="E317" s="126" t="s">
        <v>805</v>
      </c>
      <c r="F317" s="126" t="s">
        <v>40</v>
      </c>
      <c r="G317" s="126" t="s">
        <v>118</v>
      </c>
      <c r="H317" s="126"/>
      <c r="I317" s="126" t="s">
        <v>118</v>
      </c>
      <c r="J317" s="126"/>
      <c r="K317" s="127">
        <v>43273</v>
      </c>
      <c r="L317" s="128"/>
      <c r="M317" s="128">
        <v>3</v>
      </c>
      <c r="N317" s="126">
        <v>6</v>
      </c>
      <c r="O317" s="126" t="s">
        <v>119</v>
      </c>
      <c r="P317" s="129"/>
      <c r="Q317" s="129"/>
      <c r="R317" s="126" t="s">
        <v>24</v>
      </c>
      <c r="S317" s="126"/>
      <c r="T317" s="130" t="s">
        <v>120</v>
      </c>
      <c r="U317" s="126" t="s">
        <v>782</v>
      </c>
      <c r="V317" s="130" t="s">
        <v>120</v>
      </c>
      <c r="W317" s="126"/>
      <c r="X317" s="130" t="s">
        <v>120</v>
      </c>
      <c r="Y317" s="126" t="s">
        <v>404</v>
      </c>
      <c r="Z317" s="162" t="s">
        <v>120</v>
      </c>
      <c r="AA317" s="154"/>
      <c r="AB317" s="154"/>
      <c r="AC317" s="167" t="s">
        <v>123</v>
      </c>
      <c r="AD317" s="126"/>
      <c r="AE317" s="130" t="s">
        <v>125</v>
      </c>
      <c r="AF317" s="127"/>
      <c r="AG317" s="131"/>
      <c r="AH317" s="131"/>
      <c r="AI317" s="126" t="s">
        <v>387</v>
      </c>
      <c r="AJ317" s="130" t="s">
        <v>120</v>
      </c>
      <c r="AK317" s="126" t="s">
        <v>123</v>
      </c>
      <c r="AL317" s="126" t="s">
        <v>768</v>
      </c>
      <c r="AM317" s="130"/>
      <c r="AN317" s="126"/>
      <c r="AO317" s="132"/>
      <c r="AP317" s="126"/>
      <c r="AQ317" s="126"/>
      <c r="AR317" s="130"/>
      <c r="AS317" s="126"/>
      <c r="AT317" s="127"/>
      <c r="AU317" s="127"/>
      <c r="AV317" s="127"/>
      <c r="AW317" s="127"/>
      <c r="AX317" s="127"/>
      <c r="AY317" s="127"/>
      <c r="AZ317" s="133"/>
      <c r="BA31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7" s="135">
        <f>COUNTIFS(_05preva_view43[Site ID],_05preva_view43[[#This Row],[Site ID]],_05preva_view43[Prevalidation Status],"Under Prevalidation")</f>
        <v>0</v>
      </c>
      <c r="BC317" s="153" t="str">
        <f ca="1">HYPERLINK(CheckPath(_05preva_view43[[#This Row],[File Path]],_05preva_view43[[#This Row],[File Path]],_05preva_view43[[#This Row],[Folder Path3]]),CheckPath(_05preva_view43[[#This Row],[File Path]],"Open File","No File"))</f>
        <v>No File</v>
      </c>
      <c r="BD317" s="136" t="str">
        <f>CONCATENATE(_05preva_view43[[#This Row],[Site ID]]," (",_05preva_view43[[#This Row],[tenant id]],") Application",IF(_05preva_view43[[#This Row],[Colo Rev]]&gt;0," Rev "&amp;_05preva_view43[[#This Row],[Colo Rev]],""),".xlsx")</f>
        <v>ANMG_0027 (MWW3486) Application.xlsx</v>
      </c>
      <c r="BE317" s="64">
        <f t="shared" ca="1" si="6"/>
        <v>50</v>
      </c>
      <c r="BF317" s="104" t="str">
        <f ca="1">LEFT(CELL("filename",A302),_05preva_view43[[#This Row],[Find Process &amp; Database]]-1)</f>
        <v>D:\OneDrive - apollo-towers.com\Apollo Towers\00-</v>
      </c>
      <c r="BG317" s="104" t="str">
        <f ca="1">_05preva_view43[Folder Path1]&amp;"Process &amp; Database\Documentation\Colo Applications"</f>
        <v>D:\OneDrive - apollo-towers.com\Apollo Towers\00-Process &amp; Database\Documentation\Colo Applications</v>
      </c>
      <c r="BH317" s="104" t="str">
        <f ca="1">_05preva_view43[Folder Path2]&amp;"\Colo App "&amp;_05preva_view43[[#This Row],[Operator]]&amp;"\"</f>
        <v>D:\OneDrive - apollo-towers.com\Apollo Towers\00-Process &amp; Database\Documentation\Colo Applications\Colo App OML\</v>
      </c>
      <c r="BI317" s="63" t="str">
        <f ca="1">_05preva_view43[[#This Row],[Folder Path3]]&amp;_05preva_view43[[#This Row],[File Name]]</f>
        <v>D:\OneDrive - apollo-towers.com\Apollo Towers\00-Process &amp; Database\Documentation\Colo Applications\Colo App OML\ANMG_0027 (MWW3486) Application.xlsx</v>
      </c>
      <c r="BJ317" s="104"/>
      <c r="BK317" s="3"/>
      <c r="BL317" s="3"/>
      <c r="CJ317" s="5"/>
      <c r="CK317" s="5"/>
      <c r="CL317" s="3"/>
      <c r="CN317" s="5"/>
      <c r="CR317" s="3"/>
      <c r="CS317" s="3"/>
      <c r="CT317" s="5"/>
      <c r="CV317" s="3"/>
      <c r="DR317" s="5"/>
      <c r="DT317" s="3"/>
      <c r="EF317" s="7"/>
      <c r="EG317" s="7"/>
      <c r="EJ317" s="4"/>
      <c r="EK317" s="4"/>
      <c r="EU317" s="2"/>
      <c r="EV317" s="2"/>
    </row>
    <row r="318" spans="1:152">
      <c r="A318" s="125">
        <v>249</v>
      </c>
      <c r="B318" s="126" t="s">
        <v>806</v>
      </c>
      <c r="C318" s="126" t="s">
        <v>116</v>
      </c>
      <c r="D318" s="126" t="s">
        <v>117</v>
      </c>
      <c r="E318" s="126" t="s">
        <v>807</v>
      </c>
      <c r="F318" s="126" t="s">
        <v>40</v>
      </c>
      <c r="G318" s="126" t="s">
        <v>1579</v>
      </c>
      <c r="H318" s="126" t="s">
        <v>1580</v>
      </c>
      <c r="I318" s="126" t="s">
        <v>118</v>
      </c>
      <c r="J318" s="126"/>
      <c r="K318" s="127">
        <v>43273</v>
      </c>
      <c r="L318" s="128"/>
      <c r="M318" s="128">
        <v>3</v>
      </c>
      <c r="N318" s="126">
        <v>6</v>
      </c>
      <c r="O318" s="126" t="s">
        <v>119</v>
      </c>
      <c r="P318" s="129"/>
      <c r="Q318" s="129"/>
      <c r="R318" s="126" t="s">
        <v>24</v>
      </c>
      <c r="S318" s="126"/>
      <c r="T318" s="130" t="s">
        <v>120</v>
      </c>
      <c r="U318" s="126" t="s">
        <v>799</v>
      </c>
      <c r="V318" s="130" t="s">
        <v>120</v>
      </c>
      <c r="W318" s="126"/>
      <c r="X318" s="130" t="s">
        <v>120</v>
      </c>
      <c r="Y318" s="126" t="s">
        <v>404</v>
      </c>
      <c r="Z318" s="162" t="s">
        <v>120</v>
      </c>
      <c r="AA318" s="154"/>
      <c r="AB318" s="154"/>
      <c r="AC318" s="167" t="s">
        <v>123</v>
      </c>
      <c r="AD318" s="126"/>
      <c r="AE318" s="130" t="s">
        <v>125</v>
      </c>
      <c r="AF318" s="127"/>
      <c r="AG318" s="131"/>
      <c r="AH318" s="131"/>
      <c r="AI318" s="126" t="s">
        <v>242</v>
      </c>
      <c r="AJ318" s="130" t="s">
        <v>120</v>
      </c>
      <c r="AK318" s="126" t="s">
        <v>123</v>
      </c>
      <c r="AL318" s="126" t="s">
        <v>768</v>
      </c>
      <c r="AM318" s="130"/>
      <c r="AN318" s="126"/>
      <c r="AO318" s="132"/>
      <c r="AP318" s="126"/>
      <c r="AQ318" s="126"/>
      <c r="AR318" s="130"/>
      <c r="AS318" s="126"/>
      <c r="AT318" s="127"/>
      <c r="AU318" s="127"/>
      <c r="AV318" s="127"/>
      <c r="AW318" s="127"/>
      <c r="AX318" s="127"/>
      <c r="AY318" s="127"/>
      <c r="AZ318" s="133"/>
      <c r="BA31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8" s="135">
        <f>COUNTIFS(_05preva_view43[Site ID],_05preva_view43[[#This Row],[Site ID]],_05preva_view43[Prevalidation Status],"Under Prevalidation")</f>
        <v>0</v>
      </c>
      <c r="BC318" s="153" t="str">
        <f ca="1">HYPERLINK(CheckPath(_05preva_view43[[#This Row],[File Path]],_05preva_view43[[#This Row],[File Path]],_05preva_view43[[#This Row],[Folder Path3]]),CheckPath(_05preva_view43[[#This Row],[File Path]],"Open File","No File"))</f>
        <v>No File</v>
      </c>
      <c r="BD318" s="136" t="str">
        <f>CONCATENATE(_05preva_view43[[#This Row],[Site ID]]," (",_05preva_view43[[#This Row],[tenant id]],") Application",IF(_05preva_view43[[#This Row],[Colo Rev]]&gt;0," Rev "&amp;_05preva_view43[[#This Row],[Colo Rev]],""),".xlsx")</f>
        <v>ANSH_0013 (SHW1978) Application.xlsx</v>
      </c>
      <c r="BE318" s="64">
        <f t="shared" ca="1" si="6"/>
        <v>50</v>
      </c>
      <c r="BF318" s="104" t="str">
        <f ca="1">LEFT(CELL("filename",A303),_05preva_view43[[#This Row],[Find Process &amp; Database]]-1)</f>
        <v>D:\OneDrive - apollo-towers.com\Apollo Towers\00-</v>
      </c>
      <c r="BG318" s="104" t="str">
        <f ca="1">_05preva_view43[Folder Path1]&amp;"Process &amp; Database\Documentation\Colo Applications"</f>
        <v>D:\OneDrive - apollo-towers.com\Apollo Towers\00-Process &amp; Database\Documentation\Colo Applications</v>
      </c>
      <c r="BH318" s="104" t="str">
        <f ca="1">_05preva_view43[Folder Path2]&amp;"\Colo App "&amp;_05preva_view43[[#This Row],[Operator]]&amp;"\"</f>
        <v>D:\OneDrive - apollo-towers.com\Apollo Towers\00-Process &amp; Database\Documentation\Colo Applications\Colo App OML\</v>
      </c>
      <c r="BI318" s="63" t="str">
        <f ca="1">_05preva_view43[[#This Row],[Folder Path3]]&amp;_05preva_view43[[#This Row],[File Name]]</f>
        <v>D:\OneDrive - apollo-towers.com\Apollo Towers\00-Process &amp; Database\Documentation\Colo Applications\Colo App OML\ANSH_0013 (SHW1978) Application.xlsx</v>
      </c>
      <c r="BJ318" s="104"/>
      <c r="BK318" s="3"/>
      <c r="BL318" s="3"/>
      <c r="CJ318" s="5"/>
      <c r="CK318" s="5"/>
      <c r="CL318" s="3"/>
      <c r="CN318" s="5"/>
      <c r="CR318" s="3"/>
      <c r="CS318" s="3"/>
      <c r="CT318" s="5"/>
      <c r="CV318" s="3"/>
      <c r="DR318" s="5"/>
      <c r="DT318" s="3"/>
      <c r="EF318" s="7"/>
      <c r="EG318" s="7"/>
      <c r="EJ318" s="4"/>
      <c r="EK318" s="4"/>
      <c r="EU318" s="2"/>
      <c r="EV318" s="2"/>
    </row>
    <row r="319" spans="1:152">
      <c r="A319" s="125">
        <v>250</v>
      </c>
      <c r="B319" s="126" t="s">
        <v>808</v>
      </c>
      <c r="C319" s="126" t="s">
        <v>116</v>
      </c>
      <c r="D319" s="126" t="s">
        <v>163</v>
      </c>
      <c r="E319" s="126" t="s">
        <v>809</v>
      </c>
      <c r="F319" s="126" t="s">
        <v>41</v>
      </c>
      <c r="G319" s="126" t="s">
        <v>1576</v>
      </c>
      <c r="H319" s="126" t="s">
        <v>1580</v>
      </c>
      <c r="I319" s="126" t="s">
        <v>118</v>
      </c>
      <c r="J319" s="126"/>
      <c r="K319" s="127">
        <v>43273</v>
      </c>
      <c r="L319" s="128"/>
      <c r="M319" s="128">
        <v>1.9</v>
      </c>
      <c r="N319" s="126">
        <v>3</v>
      </c>
      <c r="O319" s="126" t="s">
        <v>119</v>
      </c>
      <c r="P319" s="129" t="s">
        <v>810</v>
      </c>
      <c r="Q319" s="129" t="s">
        <v>811</v>
      </c>
      <c r="R319" s="126" t="s">
        <v>24</v>
      </c>
      <c r="S319" s="126"/>
      <c r="T319" s="130" t="s">
        <v>120</v>
      </c>
      <c r="U319" s="126" t="s">
        <v>812</v>
      </c>
      <c r="V319" s="130" t="s">
        <v>120</v>
      </c>
      <c r="W319" s="126"/>
      <c r="X319" s="130" t="s">
        <v>120</v>
      </c>
      <c r="Y319" s="126" t="s">
        <v>120</v>
      </c>
      <c r="Z319" s="162" t="s">
        <v>120</v>
      </c>
      <c r="AA319" s="154"/>
      <c r="AB319" s="154"/>
      <c r="AC319" s="167" t="s">
        <v>123</v>
      </c>
      <c r="AD319" s="126" t="s">
        <v>813</v>
      </c>
      <c r="AE319" s="130" t="s">
        <v>120</v>
      </c>
      <c r="AF319" s="127" t="s">
        <v>815</v>
      </c>
      <c r="AG319" s="131"/>
      <c r="AH319" s="131"/>
      <c r="AI319" s="126" t="s">
        <v>816</v>
      </c>
      <c r="AJ319" s="130" t="s">
        <v>120</v>
      </c>
      <c r="AK319" s="126" t="s">
        <v>240</v>
      </c>
      <c r="AL319" s="126" t="s">
        <v>814</v>
      </c>
      <c r="AM319" s="130"/>
      <c r="AN319" s="126"/>
      <c r="AO319" s="132"/>
      <c r="AP319" s="126"/>
      <c r="AQ319" s="126"/>
      <c r="AR319" s="130"/>
      <c r="AS319" s="126"/>
      <c r="AT319" s="127"/>
      <c r="AU319" s="127">
        <v>43453.3790876157</v>
      </c>
      <c r="AV319" s="127"/>
      <c r="AW319" s="127"/>
      <c r="AX319" s="127"/>
      <c r="AY319" s="127"/>
      <c r="AZ319" s="133">
        <v>43273</v>
      </c>
      <c r="BA31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9" s="135">
        <f>COUNTIFS(_05preva_view43[Site ID],_05preva_view43[[#This Row],[Site ID]],_05preva_view43[Prevalidation Status],"Under Prevalidation")</f>
        <v>0</v>
      </c>
      <c r="BC319" s="153" t="str">
        <f ca="1">HYPERLINK(CheckPath(_05preva_view43[[#This Row],[File Path]],_05preva_view43[[#This Row],[File Path]],_05preva_view43[[#This Row],[Folder Path3]]),CheckPath(_05preva_view43[[#This Row],[File Path]],"Open File","No File"))</f>
        <v>No File</v>
      </c>
      <c r="BD319" s="136" t="str">
        <f>CONCATENATE(_05preva_view43[[#This Row],[Site ID]]," (",_05preva_view43[[#This Row],[tenant id]],") Application",IF(_05preva_view43[[#This Row],[Colo Rev]]&gt;0," Rev "&amp;_05preva_view43[[#This Row],[Colo Rev]],""),".xlsx")</f>
        <v>AYYN_0419 (YGNKTDA015) Application.xlsx</v>
      </c>
      <c r="BE319" s="64">
        <f t="shared" ca="1" si="6"/>
        <v>50</v>
      </c>
      <c r="BF319" s="104" t="str">
        <f ca="1">LEFT(CELL("filename",A304),_05preva_view43[[#This Row],[Find Process &amp; Database]]-1)</f>
        <v>D:\OneDrive - apollo-towers.com\Apollo Towers\00-</v>
      </c>
      <c r="BG319" s="104" t="str">
        <f ca="1">_05preva_view43[Folder Path1]&amp;"Process &amp; Database\Documentation\Colo Applications"</f>
        <v>D:\OneDrive - apollo-towers.com\Apollo Towers\00-Process &amp; Database\Documentation\Colo Applications</v>
      </c>
      <c r="BH319" s="104" t="str">
        <f ca="1">_05preva_view43[Folder Path2]&amp;"\Colo App "&amp;_05preva_view43[[#This Row],[Operator]]&amp;"\"</f>
        <v>D:\OneDrive - apollo-towers.com\Apollo Towers\00-Process &amp; Database\Documentation\Colo Applications\Colo App Amara\</v>
      </c>
      <c r="BI319" s="63" t="str">
        <f ca="1">_05preva_view43[[#This Row],[Folder Path3]]&amp;_05preva_view43[[#This Row],[File Name]]</f>
        <v>D:\OneDrive - apollo-towers.com\Apollo Towers\00-Process &amp; Database\Documentation\Colo Applications\Colo App Amara\AYYN_0419 (YGNKTDA015) Application.xlsx</v>
      </c>
      <c r="BJ319" s="104"/>
      <c r="BK319" s="3"/>
      <c r="BL319" s="3"/>
      <c r="CJ319" s="5"/>
      <c r="CK319" s="5"/>
      <c r="CL319" s="3"/>
      <c r="CN319" s="5"/>
      <c r="CR319" s="3"/>
      <c r="CS319" s="3"/>
      <c r="CT319" s="5"/>
      <c r="CV319" s="3"/>
      <c r="DR319" s="5"/>
      <c r="DT319" s="3"/>
      <c r="EF319" s="7"/>
      <c r="EG319" s="7"/>
      <c r="EJ319" s="4"/>
      <c r="EK319" s="4"/>
      <c r="EU319" s="2"/>
      <c r="EV319" s="2"/>
    </row>
    <row r="320" spans="1:152">
      <c r="A320" s="125">
        <v>251</v>
      </c>
      <c r="B320" s="126" t="s">
        <v>817</v>
      </c>
      <c r="C320" s="126" t="s">
        <v>116</v>
      </c>
      <c r="D320" s="126" t="s">
        <v>163</v>
      </c>
      <c r="E320" s="126" t="s">
        <v>818</v>
      </c>
      <c r="F320" s="126" t="s">
        <v>34</v>
      </c>
      <c r="G320" s="126" t="s">
        <v>1574</v>
      </c>
      <c r="H320" s="126" t="s">
        <v>1575</v>
      </c>
      <c r="I320" s="126" t="s">
        <v>118</v>
      </c>
      <c r="J320" s="126"/>
      <c r="K320" s="127">
        <v>43267</v>
      </c>
      <c r="L320" s="128"/>
      <c r="M320" s="128">
        <v>2</v>
      </c>
      <c r="N320" s="126">
        <v>6</v>
      </c>
      <c r="O320" s="126" t="s">
        <v>119</v>
      </c>
      <c r="P320" s="129" t="s">
        <v>338</v>
      </c>
      <c r="Q320" s="129" t="s">
        <v>339</v>
      </c>
      <c r="R320" s="126" t="s">
        <v>24</v>
      </c>
      <c r="S320" s="126"/>
      <c r="T320" s="130" t="s">
        <v>120</v>
      </c>
      <c r="U320" s="126" t="s">
        <v>819</v>
      </c>
      <c r="V320" s="130" t="s">
        <v>120</v>
      </c>
      <c r="W320" s="126"/>
      <c r="X320" s="130" t="s">
        <v>120</v>
      </c>
      <c r="Y320" s="126" t="s">
        <v>120</v>
      </c>
      <c r="Z320" s="162" t="s">
        <v>120</v>
      </c>
      <c r="AA320" s="154"/>
      <c r="AB320" s="154"/>
      <c r="AC320" s="167" t="s">
        <v>123</v>
      </c>
      <c r="AD320" s="126"/>
      <c r="AE320" s="130" t="s">
        <v>120</v>
      </c>
      <c r="AF320" s="127" t="s">
        <v>695</v>
      </c>
      <c r="AG320" s="131"/>
      <c r="AH320" s="131">
        <v>2</v>
      </c>
      <c r="AI320" s="126" t="s">
        <v>820</v>
      </c>
      <c r="AJ320" s="130" t="s">
        <v>120</v>
      </c>
      <c r="AK320" s="126" t="s">
        <v>123</v>
      </c>
      <c r="AL320" s="126"/>
      <c r="AM320" s="130"/>
      <c r="AN320" s="126"/>
      <c r="AO320" s="132"/>
      <c r="AP320" s="126"/>
      <c r="AQ320" s="126"/>
      <c r="AR320" s="130"/>
      <c r="AS320" s="126"/>
      <c r="AT320" s="127">
        <v>43417.626841782403</v>
      </c>
      <c r="AU320" s="127">
        <v>43417.673045254603</v>
      </c>
      <c r="AV320" s="127">
        <v>43417.680086458298</v>
      </c>
      <c r="AW320" s="127">
        <v>43417.711250578701</v>
      </c>
      <c r="AX320" s="127">
        <v>43417.688152893497</v>
      </c>
      <c r="AY320" s="127">
        <v>43417.6845791667</v>
      </c>
      <c r="AZ320" s="133">
        <v>43454.726610648097</v>
      </c>
      <c r="BA320" s="134">
        <f ca="1">IF(_05preva_view43[[#This Row],[Prevalidation Status]]="Under Prevalidation",NOW()-_05preva_view43[[#This Row],[Request Date]],IF(_05preva_view43[[#This Row],[Close Date]]&gt;_05preva_view43[[#This Row],[Request Date]],_05preva_view43[[#This Row],[Close Date]]-_05preva_view43[[#This Row],[Request Date]],"Not  Calculated"))</f>
        <v>187.72661064809654</v>
      </c>
      <c r="BB320" s="135">
        <f>COUNTIFS(_05preva_view43[Site ID],_05preva_view43[[#This Row],[Site ID]],_05preva_view43[Prevalidation Status],"Under Prevalidation")</f>
        <v>0</v>
      </c>
      <c r="BC320" s="153" t="str">
        <f ca="1">HYPERLINK(CheckPath(_05preva_view43[[#This Row],[File Path]],_05preva_view43[[#This Row],[File Path]],_05preva_view43[[#This Row],[Folder Path3]]),CheckPath(_05preva_view43[[#This Row],[File Path]],"Open File","No File"))</f>
        <v>No File</v>
      </c>
      <c r="BD320" s="136" t="str">
        <f>CONCATENATE(_05preva_view43[[#This Row],[Site ID]]," (",_05preva_view43[[#This Row],[tenant id]],") Application",IF(_05preva_view43[[#This Row],[Colo Rev]]&gt;0," Rev "&amp;_05preva_view43[[#This Row],[Colo Rev]],""),".xlsx")</f>
        <v>AYYN_0100 (YGN0496) Application.xlsx</v>
      </c>
      <c r="BE320" s="64">
        <f t="shared" ca="1" si="6"/>
        <v>50</v>
      </c>
      <c r="BF320" s="104" t="str">
        <f ca="1">LEFT(CELL("filename",A305),_05preva_view43[[#This Row],[Find Process &amp; Database]]-1)</f>
        <v>D:\OneDrive - apollo-towers.com\Apollo Towers\00-</v>
      </c>
      <c r="BG320" s="104" t="str">
        <f ca="1">_05preva_view43[Folder Path1]&amp;"Process &amp; Database\Documentation\Colo Applications"</f>
        <v>D:\OneDrive - apollo-towers.com\Apollo Towers\00-Process &amp; Database\Documentation\Colo Applications</v>
      </c>
      <c r="BH320" s="104" t="str">
        <f ca="1">_05preva_view43[Folder Path2]&amp;"\Colo App "&amp;_05preva_view43[[#This Row],[Operator]]&amp;"\"</f>
        <v>D:\OneDrive - apollo-towers.com\Apollo Towers\00-Process &amp; Database\Documentation\Colo Applications\Colo App Mytel\</v>
      </c>
      <c r="BI320" s="63" t="str">
        <f ca="1">_05preva_view43[[#This Row],[Folder Path3]]&amp;_05preva_view43[[#This Row],[File Name]]</f>
        <v>D:\OneDrive - apollo-towers.com\Apollo Towers\00-Process &amp; Database\Documentation\Colo Applications\Colo App Mytel\AYYN_0100 (YGN0496) Application.xlsx</v>
      </c>
      <c r="BJ320" s="104"/>
      <c r="BK320" s="3"/>
      <c r="BL320" s="3"/>
      <c r="CJ320" s="5"/>
      <c r="CK320" s="5"/>
      <c r="CL320" s="3"/>
      <c r="CN320" s="5"/>
      <c r="CR320" s="3"/>
      <c r="CS320" s="3"/>
      <c r="CT320" s="5"/>
      <c r="CV320" s="3"/>
      <c r="DR320" s="5"/>
      <c r="DT320" s="3"/>
      <c r="EF320" s="7"/>
      <c r="EG320" s="7"/>
      <c r="EJ320" s="4"/>
      <c r="EK320" s="4"/>
      <c r="EU320" s="2"/>
      <c r="EV320" s="2"/>
    </row>
    <row r="321" spans="1:152">
      <c r="A321" s="125">
        <v>244</v>
      </c>
      <c r="B321" s="126" t="s">
        <v>616</v>
      </c>
      <c r="C321" s="126" t="s">
        <v>116</v>
      </c>
      <c r="D321" s="126" t="s">
        <v>127</v>
      </c>
      <c r="E321" s="126" t="s">
        <v>792</v>
      </c>
      <c r="F321" s="126" t="s">
        <v>41</v>
      </c>
      <c r="G321" s="126" t="s">
        <v>1576</v>
      </c>
      <c r="H321" s="126" t="s">
        <v>1580</v>
      </c>
      <c r="I321" s="126" t="s">
        <v>118</v>
      </c>
      <c r="J321" s="126"/>
      <c r="K321" s="127">
        <v>43265</v>
      </c>
      <c r="L321" s="128"/>
      <c r="M321" s="128">
        <v>2</v>
      </c>
      <c r="N321" s="126">
        <v>5</v>
      </c>
      <c r="O321" s="126" t="s">
        <v>119</v>
      </c>
      <c r="P321" s="129" t="s">
        <v>793</v>
      </c>
      <c r="Q321" s="129" t="s">
        <v>794</v>
      </c>
      <c r="R321" s="126" t="s">
        <v>24</v>
      </c>
      <c r="S321" s="126" t="s">
        <v>795</v>
      </c>
      <c r="T321" s="130" t="s">
        <v>120</v>
      </c>
      <c r="U321" s="126" t="s">
        <v>796</v>
      </c>
      <c r="V321" s="130" t="s">
        <v>120</v>
      </c>
      <c r="W321" s="126"/>
      <c r="X321" s="130" t="s">
        <v>120</v>
      </c>
      <c r="Y321" s="126" t="s">
        <v>120</v>
      </c>
      <c r="Z321" s="162" t="s">
        <v>120</v>
      </c>
      <c r="AA321" s="154"/>
      <c r="AB321" s="154"/>
      <c r="AC321" s="167" t="s">
        <v>123</v>
      </c>
      <c r="AD321" s="126" t="s">
        <v>364</v>
      </c>
      <c r="AE321" s="130" t="s">
        <v>120</v>
      </c>
      <c r="AF321" s="127" t="s">
        <v>618</v>
      </c>
      <c r="AG321" s="131"/>
      <c r="AH321" s="131">
        <v>2</v>
      </c>
      <c r="AI321" s="126" t="s">
        <v>512</v>
      </c>
      <c r="AJ321" s="130"/>
      <c r="AK321" s="126"/>
      <c r="AL321" s="126"/>
      <c r="AM321" s="130"/>
      <c r="AN321" s="126"/>
      <c r="AO321" s="132"/>
      <c r="AP321" s="126"/>
      <c r="AQ321" s="126"/>
      <c r="AR321" s="130"/>
      <c r="AS321" s="126"/>
      <c r="AT321" s="127"/>
      <c r="AU321" s="127">
        <v>43453.379085185203</v>
      </c>
      <c r="AV321" s="127"/>
      <c r="AW321" s="127"/>
      <c r="AX321" s="127"/>
      <c r="AY321" s="127"/>
      <c r="AZ321" s="133">
        <v>43265</v>
      </c>
      <c r="BA32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1" s="135">
        <f>COUNTIFS(_05preva_view43[Site ID],_05preva_view43[[#This Row],[Site ID]],_05preva_view43[Prevalidation Status],"Under Prevalidation")</f>
        <v>0</v>
      </c>
      <c r="BC321" s="153" t="str">
        <f ca="1">HYPERLINK(CheckPath(_05preva_view43[[#This Row],[File Path]],_05preva_view43[[#This Row],[File Path]],_05preva_view43[[#This Row],[Folder Path3]]),CheckPath(_05preva_view43[[#This Row],[File Path]],"Open File","No File"))</f>
        <v>No File</v>
      </c>
      <c r="BD321" s="136" t="str">
        <f>CONCATENATE(_05preva_view43[[#This Row],[Site ID]]," (",_05preva_view43[[#This Row],[tenant id]],") Application",IF(_05preva_view43[[#This Row],[Colo Rev]]&gt;0," Rev "&amp;_05preva_view43[[#This Row],[Colo Rev]],""),".xlsx")</f>
        <v>ANMD_0118 (MDYMHAM042) Application.xlsx</v>
      </c>
      <c r="BE321" s="64">
        <f t="shared" ca="1" si="6"/>
        <v>50</v>
      </c>
      <c r="BF321" s="104" t="str">
        <f ca="1">LEFT(CELL("filename",A306),_05preva_view43[[#This Row],[Find Process &amp; Database]]-1)</f>
        <v>D:\OneDrive - apollo-towers.com\Apollo Towers\00-</v>
      </c>
      <c r="BG321" s="104" t="str">
        <f ca="1">_05preva_view43[Folder Path1]&amp;"Process &amp; Database\Documentation\Colo Applications"</f>
        <v>D:\OneDrive - apollo-towers.com\Apollo Towers\00-Process &amp; Database\Documentation\Colo Applications</v>
      </c>
      <c r="BH321" s="104" t="str">
        <f ca="1">_05preva_view43[Folder Path2]&amp;"\Colo App "&amp;_05preva_view43[[#This Row],[Operator]]&amp;"\"</f>
        <v>D:\OneDrive - apollo-towers.com\Apollo Towers\00-Process &amp; Database\Documentation\Colo Applications\Colo App Amara\</v>
      </c>
      <c r="BI321" s="63" t="str">
        <f ca="1">_05preva_view43[[#This Row],[Folder Path3]]&amp;_05preva_view43[[#This Row],[File Name]]</f>
        <v>D:\OneDrive - apollo-towers.com\Apollo Towers\00-Process &amp; Database\Documentation\Colo Applications\Colo App Amara\ANMD_0118 (MDYMHAM042) Application.xlsx</v>
      </c>
      <c r="BJ321" s="104"/>
      <c r="BK321" s="3"/>
      <c r="BL321" s="3"/>
      <c r="CJ321" s="5"/>
      <c r="CK321" s="5"/>
      <c r="CL321" s="3"/>
      <c r="CN321" s="5"/>
      <c r="CR321" s="3"/>
      <c r="CS321" s="3"/>
      <c r="CT321" s="5"/>
      <c r="CV321" s="3"/>
      <c r="DR321" s="5"/>
      <c r="DT321" s="3"/>
      <c r="EF321" s="7"/>
      <c r="EG321" s="7"/>
      <c r="EJ321" s="4"/>
      <c r="EK321" s="4"/>
      <c r="EU321" s="2"/>
      <c r="EV321" s="2"/>
    </row>
    <row r="322" spans="1:152">
      <c r="A322" s="125">
        <v>242</v>
      </c>
      <c r="B322" s="126" t="s">
        <v>786</v>
      </c>
      <c r="C322" s="126" t="s">
        <v>116</v>
      </c>
      <c r="D322" s="126" t="s">
        <v>127</v>
      </c>
      <c r="E322" s="126" t="s">
        <v>787</v>
      </c>
      <c r="F322" s="126" t="s">
        <v>41</v>
      </c>
      <c r="G322" s="126" t="s">
        <v>118</v>
      </c>
      <c r="H322" s="126"/>
      <c r="I322" s="126" t="s">
        <v>118</v>
      </c>
      <c r="J322" s="126"/>
      <c r="K322" s="127">
        <v>43263</v>
      </c>
      <c r="L322" s="128"/>
      <c r="M322" s="128">
        <v>2</v>
      </c>
      <c r="N322" s="126">
        <v>5</v>
      </c>
      <c r="O322" s="126" t="s">
        <v>119</v>
      </c>
      <c r="P322" s="129" t="s">
        <v>285</v>
      </c>
      <c r="Q322" s="129" t="s">
        <v>263</v>
      </c>
      <c r="R322" s="126" t="s">
        <v>24</v>
      </c>
      <c r="S322" s="126" t="s">
        <v>788</v>
      </c>
      <c r="T322" s="130" t="s">
        <v>120</v>
      </c>
      <c r="U322" s="126" t="s">
        <v>789</v>
      </c>
      <c r="V322" s="130" t="s">
        <v>120</v>
      </c>
      <c r="W322" s="126"/>
      <c r="X322" s="130" t="s">
        <v>120</v>
      </c>
      <c r="Y322" s="126" t="s">
        <v>120</v>
      </c>
      <c r="Z322" s="162" t="s">
        <v>120</v>
      </c>
      <c r="AA322" s="154"/>
      <c r="AB322" s="154"/>
      <c r="AC322" s="167" t="s">
        <v>123</v>
      </c>
      <c r="AD322" s="126" t="s">
        <v>364</v>
      </c>
      <c r="AE322" s="130" t="s">
        <v>120</v>
      </c>
      <c r="AF322" s="127" t="s">
        <v>790</v>
      </c>
      <c r="AG322" s="131"/>
      <c r="AH322" s="131"/>
      <c r="AI322" s="126" t="s">
        <v>791</v>
      </c>
      <c r="AJ322" s="130"/>
      <c r="AK322" s="126"/>
      <c r="AL322" s="126"/>
      <c r="AM322" s="130"/>
      <c r="AN322" s="126"/>
      <c r="AO322" s="132"/>
      <c r="AP322" s="126"/>
      <c r="AQ322" s="126"/>
      <c r="AR322" s="130"/>
      <c r="AS322" s="126"/>
      <c r="AT322" s="127"/>
      <c r="AU322" s="127">
        <v>43453.379084490698</v>
      </c>
      <c r="AV322" s="127"/>
      <c r="AW322" s="127"/>
      <c r="AX322" s="127"/>
      <c r="AY322" s="127"/>
      <c r="AZ322" s="133">
        <v>43263</v>
      </c>
      <c r="BA32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2" s="135">
        <f>COUNTIFS(_05preva_view43[Site ID],_05preva_view43[[#This Row],[Site ID]],_05preva_view43[Prevalidation Status],"Under Prevalidation")</f>
        <v>0</v>
      </c>
      <c r="BC322" s="153" t="str">
        <f ca="1">HYPERLINK(CheckPath(_05preva_view43[[#This Row],[File Path]],_05preva_view43[[#This Row],[File Path]],_05preva_view43[[#This Row],[Folder Path3]]),CheckPath(_05preva_view43[[#This Row],[File Path]],"Open File","No File"))</f>
        <v>No File</v>
      </c>
      <c r="BD322" s="136" t="str">
        <f>CONCATENATE(_05preva_view43[[#This Row],[Site ID]]," (",_05preva_view43[[#This Row],[tenant id]],") Application",IF(_05preva_view43[[#This Row],[Colo Rev]]&gt;0," Rev "&amp;_05preva_view43[[#This Row],[Colo Rev]],""),".xlsx")</f>
        <v>ANMD_0089 (MDYCMTN019_2) Application.xlsx</v>
      </c>
      <c r="BE322" s="64">
        <f t="shared" ca="1" si="6"/>
        <v>50</v>
      </c>
      <c r="BF322" s="104" t="str">
        <f ca="1">LEFT(CELL("filename",A307),_05preva_view43[[#This Row],[Find Process &amp; Database]]-1)</f>
        <v>D:\OneDrive - apollo-towers.com\Apollo Towers\00-</v>
      </c>
      <c r="BG322" s="104" t="str">
        <f ca="1">_05preva_view43[Folder Path1]&amp;"Process &amp; Database\Documentation\Colo Applications"</f>
        <v>D:\OneDrive - apollo-towers.com\Apollo Towers\00-Process &amp; Database\Documentation\Colo Applications</v>
      </c>
      <c r="BH322" s="104" t="str">
        <f ca="1">_05preva_view43[Folder Path2]&amp;"\Colo App "&amp;_05preva_view43[[#This Row],[Operator]]&amp;"\"</f>
        <v>D:\OneDrive - apollo-towers.com\Apollo Towers\00-Process &amp; Database\Documentation\Colo Applications\Colo App Amara\</v>
      </c>
      <c r="BI322" s="63" t="str">
        <f ca="1">_05preva_view43[[#This Row],[Folder Path3]]&amp;_05preva_view43[[#This Row],[File Name]]</f>
        <v>D:\OneDrive - apollo-towers.com\Apollo Towers\00-Process &amp; Database\Documentation\Colo Applications\Colo App Amara\ANMD_0089 (MDYCMTN019_2) Application.xlsx</v>
      </c>
      <c r="BJ322" s="104"/>
      <c r="BK322" s="3"/>
      <c r="BL322" s="3"/>
      <c r="CJ322" s="5"/>
      <c r="CK322" s="5"/>
      <c r="CL322" s="3"/>
      <c r="CN322" s="5"/>
      <c r="CR322" s="3"/>
      <c r="CS322" s="3"/>
      <c r="CT322" s="5"/>
      <c r="CV322" s="3"/>
      <c r="DR322" s="5"/>
      <c r="DT322" s="3"/>
      <c r="EF322" s="7"/>
      <c r="EG322" s="7"/>
      <c r="EJ322" s="4"/>
      <c r="EK322" s="4"/>
      <c r="EU322" s="2"/>
      <c r="EV322" s="2"/>
    </row>
    <row r="323" spans="1:152">
      <c r="A323" s="125">
        <v>239</v>
      </c>
      <c r="B323" s="126" t="s">
        <v>780</v>
      </c>
      <c r="C323" s="126" t="s">
        <v>116</v>
      </c>
      <c r="D323" s="126" t="s">
        <v>117</v>
      </c>
      <c r="E323" s="126" t="s">
        <v>781</v>
      </c>
      <c r="F323" s="126" t="s">
        <v>40</v>
      </c>
      <c r="G323" s="126" t="s">
        <v>118</v>
      </c>
      <c r="H323" s="126"/>
      <c r="I323" s="126" t="s">
        <v>118</v>
      </c>
      <c r="J323" s="126"/>
      <c r="K323" s="127">
        <v>43257</v>
      </c>
      <c r="L323" s="128"/>
      <c r="M323" s="128">
        <v>3</v>
      </c>
      <c r="N323" s="126">
        <v>6</v>
      </c>
      <c r="O323" s="126" t="s">
        <v>119</v>
      </c>
      <c r="P323" s="129"/>
      <c r="Q323" s="129"/>
      <c r="R323" s="126" t="s">
        <v>24</v>
      </c>
      <c r="S323" s="126"/>
      <c r="T323" s="130" t="s">
        <v>120</v>
      </c>
      <c r="U323" s="126" t="s">
        <v>782</v>
      </c>
      <c r="V323" s="130" t="s">
        <v>120</v>
      </c>
      <c r="W323" s="126"/>
      <c r="X323" s="130" t="s">
        <v>120</v>
      </c>
      <c r="Y323" s="126" t="s">
        <v>404</v>
      </c>
      <c r="Z323" s="162" t="s">
        <v>120</v>
      </c>
      <c r="AA323" s="154"/>
      <c r="AB323" s="154"/>
      <c r="AC323" s="167" t="s">
        <v>123</v>
      </c>
      <c r="AD323" s="126" t="s">
        <v>409</v>
      </c>
      <c r="AE323" s="130" t="s">
        <v>125</v>
      </c>
      <c r="AF323" s="127"/>
      <c r="AG323" s="131"/>
      <c r="AH323" s="131"/>
      <c r="AI323" s="126" t="s">
        <v>533</v>
      </c>
      <c r="AJ323" s="130" t="s">
        <v>120</v>
      </c>
      <c r="AK323" s="126" t="s">
        <v>123</v>
      </c>
      <c r="AL323" s="126" t="s">
        <v>783</v>
      </c>
      <c r="AM323" s="130"/>
      <c r="AN323" s="126"/>
      <c r="AO323" s="132"/>
      <c r="AP323" s="126"/>
      <c r="AQ323" s="126"/>
      <c r="AR323" s="130"/>
      <c r="AS323" s="126"/>
      <c r="AT323" s="127"/>
      <c r="AU323" s="127"/>
      <c r="AV323" s="127"/>
      <c r="AW323" s="127"/>
      <c r="AX323" s="127"/>
      <c r="AY323" s="127"/>
      <c r="AZ323" s="133"/>
      <c r="BA32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3" s="135">
        <f>COUNTIFS(_05preva_view43[Site ID],_05preva_view43[[#This Row],[Site ID]],_05preva_view43[Prevalidation Status],"Under Prevalidation")</f>
        <v>0</v>
      </c>
      <c r="BC323" s="153" t="str">
        <f ca="1">HYPERLINK(CheckPath(_05preva_view43[[#This Row],[File Path]],_05preva_view43[[#This Row],[File Path]],_05preva_view43[[#This Row],[Folder Path3]]),CheckPath(_05preva_view43[[#This Row],[File Path]],"Open File","No File"))</f>
        <v>No File</v>
      </c>
      <c r="BD323" s="136" t="str">
        <f>CONCATENATE(_05preva_view43[[#This Row],[Site ID]]," (",_05preva_view43[[#This Row],[tenant id]],") Application",IF(_05preva_view43[[#This Row],[Colo Rev]]&gt;0," Rev "&amp;_05preva_view43[[#This Row],[Colo Rev]],""),".xlsx")</f>
        <v>ANMG_0011 (MWW3525) Application.xlsx</v>
      </c>
      <c r="BE323" s="64">
        <f t="shared" ca="1" si="6"/>
        <v>50</v>
      </c>
      <c r="BF323" s="104" t="str">
        <f ca="1">LEFT(CELL("filename",A308),_05preva_view43[[#This Row],[Find Process &amp; Database]]-1)</f>
        <v>D:\OneDrive - apollo-towers.com\Apollo Towers\00-</v>
      </c>
      <c r="BG323" s="104" t="str">
        <f ca="1">_05preva_view43[Folder Path1]&amp;"Process &amp; Database\Documentation\Colo Applications"</f>
        <v>D:\OneDrive - apollo-towers.com\Apollo Towers\00-Process &amp; Database\Documentation\Colo Applications</v>
      </c>
      <c r="BH323" s="104" t="str">
        <f ca="1">_05preva_view43[Folder Path2]&amp;"\Colo App "&amp;_05preva_view43[[#This Row],[Operator]]&amp;"\"</f>
        <v>D:\OneDrive - apollo-towers.com\Apollo Towers\00-Process &amp; Database\Documentation\Colo Applications\Colo App OML\</v>
      </c>
      <c r="BI323" s="63" t="str">
        <f ca="1">_05preva_view43[[#This Row],[Folder Path3]]&amp;_05preva_view43[[#This Row],[File Name]]</f>
        <v>D:\OneDrive - apollo-towers.com\Apollo Towers\00-Process &amp; Database\Documentation\Colo Applications\Colo App OML\ANMG_0011 (MWW3525) Application.xlsx</v>
      </c>
      <c r="BJ323" s="104"/>
      <c r="BK323" s="3"/>
      <c r="BL323" s="3"/>
      <c r="CJ323" s="5"/>
      <c r="CK323" s="5"/>
      <c r="CL323" s="3"/>
      <c r="CN323" s="5"/>
      <c r="CR323" s="3"/>
      <c r="CS323" s="3"/>
      <c r="CT323" s="5"/>
      <c r="CV323" s="3"/>
      <c r="DR323" s="5"/>
      <c r="DT323" s="3"/>
      <c r="EF323" s="7"/>
      <c r="EG323" s="7"/>
      <c r="EJ323" s="4"/>
      <c r="EK323" s="4"/>
      <c r="EU323" s="2"/>
      <c r="EV323" s="2"/>
    </row>
    <row r="324" spans="1:152">
      <c r="A324" s="125">
        <v>240</v>
      </c>
      <c r="B324" s="126" t="s">
        <v>784</v>
      </c>
      <c r="C324" s="126" t="s">
        <v>116</v>
      </c>
      <c r="D324" s="126" t="s">
        <v>117</v>
      </c>
      <c r="E324" s="126" t="s">
        <v>785</v>
      </c>
      <c r="F324" s="126" t="s">
        <v>40</v>
      </c>
      <c r="G324" s="126" t="s">
        <v>1579</v>
      </c>
      <c r="H324" s="126" t="s">
        <v>1580</v>
      </c>
      <c r="I324" s="126" t="s">
        <v>118</v>
      </c>
      <c r="J324" s="126"/>
      <c r="K324" s="127">
        <v>43257</v>
      </c>
      <c r="L324" s="128"/>
      <c r="M324" s="128">
        <v>3</v>
      </c>
      <c r="N324" s="126">
        <v>6</v>
      </c>
      <c r="O324" s="126" t="s">
        <v>119</v>
      </c>
      <c r="P324" s="129"/>
      <c r="Q324" s="129"/>
      <c r="R324" s="126" t="s">
        <v>24</v>
      </c>
      <c r="S324" s="126"/>
      <c r="T324" s="130" t="s">
        <v>120</v>
      </c>
      <c r="U324" s="126" t="s">
        <v>782</v>
      </c>
      <c r="V324" s="130" t="s">
        <v>125</v>
      </c>
      <c r="W324" s="126" t="s">
        <v>246</v>
      </c>
      <c r="X324" s="130" t="s">
        <v>120</v>
      </c>
      <c r="Y324" s="126" t="s">
        <v>404</v>
      </c>
      <c r="Z324" s="162" t="s">
        <v>120</v>
      </c>
      <c r="AA324" s="154"/>
      <c r="AB324" s="154"/>
      <c r="AC324" s="167" t="s">
        <v>123</v>
      </c>
      <c r="AD324" s="126" t="s">
        <v>409</v>
      </c>
      <c r="AE324" s="130" t="s">
        <v>125</v>
      </c>
      <c r="AF324" s="127"/>
      <c r="AG324" s="131"/>
      <c r="AH324" s="131"/>
      <c r="AI324" s="126" t="s">
        <v>440</v>
      </c>
      <c r="AJ324" s="130" t="s">
        <v>120</v>
      </c>
      <c r="AK324" s="126" t="s">
        <v>123</v>
      </c>
      <c r="AL324" s="126" t="s">
        <v>777</v>
      </c>
      <c r="AM324" s="130"/>
      <c r="AN324" s="126"/>
      <c r="AO324" s="132"/>
      <c r="AP324" s="126"/>
      <c r="AQ324" s="126"/>
      <c r="AR324" s="130"/>
      <c r="AS324" s="126"/>
      <c r="AT324" s="127"/>
      <c r="AU324" s="127"/>
      <c r="AV324" s="127"/>
      <c r="AW324" s="127"/>
      <c r="AX324" s="127"/>
      <c r="AY324" s="127"/>
      <c r="AZ324" s="133"/>
      <c r="BA32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4" s="135">
        <f>COUNTIFS(_05preva_view43[Site ID],_05preva_view43[[#This Row],[Site ID]],_05preva_view43[Prevalidation Status],"Under Prevalidation")</f>
        <v>0</v>
      </c>
      <c r="BC324" s="153" t="str">
        <f ca="1">HYPERLINK(CheckPath(_05preva_view43[[#This Row],[File Path]],_05preva_view43[[#This Row],[File Path]],_05preva_view43[[#This Row],[Folder Path3]]),CheckPath(_05preva_view43[[#This Row],[File Path]],"Open File","No File"))</f>
        <v>No File</v>
      </c>
      <c r="BD324" s="136" t="str">
        <f>CONCATENATE(_05preva_view43[[#This Row],[Site ID]]," (",_05preva_view43[[#This Row],[tenant id]],") Application",IF(_05preva_view43[[#This Row],[Colo Rev]]&gt;0," Rev "&amp;_05preva_view43[[#This Row],[Colo Rev]],""),".xlsx")</f>
        <v>ANMG_0113 (MWW3516) Application.xlsx</v>
      </c>
      <c r="BE324" s="64">
        <f t="shared" ca="1" si="6"/>
        <v>50</v>
      </c>
      <c r="BF324" s="104" t="str">
        <f ca="1">LEFT(CELL("filename",A309),_05preva_view43[[#This Row],[Find Process &amp; Database]]-1)</f>
        <v>D:\OneDrive - apollo-towers.com\Apollo Towers\00-</v>
      </c>
      <c r="BG324" s="104" t="str">
        <f ca="1">_05preva_view43[Folder Path1]&amp;"Process &amp; Database\Documentation\Colo Applications"</f>
        <v>D:\OneDrive - apollo-towers.com\Apollo Towers\00-Process &amp; Database\Documentation\Colo Applications</v>
      </c>
      <c r="BH324" s="104" t="str">
        <f ca="1">_05preva_view43[Folder Path2]&amp;"\Colo App "&amp;_05preva_view43[[#This Row],[Operator]]&amp;"\"</f>
        <v>D:\OneDrive - apollo-towers.com\Apollo Towers\00-Process &amp; Database\Documentation\Colo Applications\Colo App OML\</v>
      </c>
      <c r="BI324" s="63" t="str">
        <f ca="1">_05preva_view43[[#This Row],[Folder Path3]]&amp;_05preva_view43[[#This Row],[File Name]]</f>
        <v>D:\OneDrive - apollo-towers.com\Apollo Towers\00-Process &amp; Database\Documentation\Colo Applications\Colo App OML\ANMG_0113 (MWW3516) Application.xlsx</v>
      </c>
      <c r="BJ324" s="104"/>
      <c r="BK324" s="3"/>
      <c r="BL324" s="3"/>
      <c r="CJ324" s="5"/>
      <c r="CK324" s="5"/>
      <c r="CL324" s="3"/>
      <c r="CN324" s="5"/>
      <c r="CR324" s="3"/>
      <c r="CS324" s="3"/>
      <c r="CT324" s="5"/>
      <c r="CV324" s="3"/>
      <c r="DR324" s="5"/>
      <c r="DT324" s="3"/>
      <c r="EF324" s="7"/>
      <c r="EG324" s="7"/>
      <c r="EJ324" s="4"/>
      <c r="EK324" s="4"/>
      <c r="EU324" s="2"/>
      <c r="EV324" s="2"/>
    </row>
    <row r="325" spans="1:152">
      <c r="A325" s="125">
        <v>241</v>
      </c>
      <c r="B325" s="126" t="s">
        <v>400</v>
      </c>
      <c r="C325" s="126" t="s">
        <v>116</v>
      </c>
      <c r="D325" s="126" t="s">
        <v>163</v>
      </c>
      <c r="E325" s="126" t="s">
        <v>401</v>
      </c>
      <c r="F325" s="126" t="s">
        <v>40</v>
      </c>
      <c r="G325" s="126" t="s">
        <v>118</v>
      </c>
      <c r="H325" s="126"/>
      <c r="I325" s="126" t="s">
        <v>118</v>
      </c>
      <c r="J325" s="126"/>
      <c r="K325" s="127">
        <v>43257</v>
      </c>
      <c r="L325" s="128"/>
      <c r="M325" s="128">
        <v>3</v>
      </c>
      <c r="N325" s="126">
        <v>6</v>
      </c>
      <c r="O325" s="126" t="s">
        <v>119</v>
      </c>
      <c r="P325" s="129"/>
      <c r="Q325" s="129"/>
      <c r="R325" s="126" t="s">
        <v>24</v>
      </c>
      <c r="S325" s="126"/>
      <c r="T325" s="130" t="s">
        <v>120</v>
      </c>
      <c r="U325" s="126" t="s">
        <v>782</v>
      </c>
      <c r="V325" s="130" t="s">
        <v>120</v>
      </c>
      <c r="W325" s="126"/>
      <c r="X325" s="130" t="s">
        <v>120</v>
      </c>
      <c r="Y325" s="126" t="s">
        <v>404</v>
      </c>
      <c r="Z325" s="162" t="s">
        <v>120</v>
      </c>
      <c r="AA325" s="154"/>
      <c r="AB325" s="154"/>
      <c r="AC325" s="167" t="s">
        <v>123</v>
      </c>
      <c r="AD325" s="126" t="s">
        <v>409</v>
      </c>
      <c r="AE325" s="130" t="s">
        <v>125</v>
      </c>
      <c r="AF325" s="127"/>
      <c r="AG325" s="131"/>
      <c r="AH325" s="131"/>
      <c r="AI325" s="126" t="s">
        <v>681</v>
      </c>
      <c r="AJ325" s="130" t="s">
        <v>120</v>
      </c>
      <c r="AK325" s="126" t="s">
        <v>123</v>
      </c>
      <c r="AL325" s="126"/>
      <c r="AM325" s="130"/>
      <c r="AN325" s="126"/>
      <c r="AO325" s="132"/>
      <c r="AP325" s="126"/>
      <c r="AQ325" s="126"/>
      <c r="AR325" s="130"/>
      <c r="AS325" s="126"/>
      <c r="AT325" s="127"/>
      <c r="AU325" s="127"/>
      <c r="AV325" s="127"/>
      <c r="AW325" s="127"/>
      <c r="AX325" s="127"/>
      <c r="AY325" s="127"/>
      <c r="AZ325" s="133"/>
      <c r="BA32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5" s="135">
        <f>COUNTIFS(_05preva_view43[Site ID],_05preva_view43[[#This Row],[Site ID]],_05preva_view43[Prevalidation Status],"Under Prevalidation")</f>
        <v>0</v>
      </c>
      <c r="BC325" s="153" t="str">
        <f ca="1">HYPERLINK(CheckPath(_05preva_view43[[#This Row],[File Path]],_05preva_view43[[#This Row],[File Path]],_05preva_view43[[#This Row],[Folder Path3]]),CheckPath(_05preva_view43[[#This Row],[File Path]],"Open File","No File"))</f>
        <v>No File</v>
      </c>
      <c r="BD325" s="136" t="str">
        <f>CONCATENATE(_05preva_view43[[#This Row],[Site ID]]," (",_05preva_view43[[#This Row],[tenant id]],") Application",IF(_05preva_view43[[#This Row],[Colo Rev]]&gt;0," Rev "&amp;_05preva_view43[[#This Row],[Colo Rev]],""),".xlsx")</f>
        <v>AYYN_0517 (YAW7769) Application.xlsx</v>
      </c>
      <c r="BE325" s="64">
        <f t="shared" ca="1" si="6"/>
        <v>50</v>
      </c>
      <c r="BF325" s="104" t="str">
        <f ca="1">LEFT(CELL("filename",A310),_05preva_view43[[#This Row],[Find Process &amp; Database]]-1)</f>
        <v>D:\OneDrive - apollo-towers.com\Apollo Towers\00-</v>
      </c>
      <c r="BG325" s="104" t="str">
        <f ca="1">_05preva_view43[Folder Path1]&amp;"Process &amp; Database\Documentation\Colo Applications"</f>
        <v>D:\OneDrive - apollo-towers.com\Apollo Towers\00-Process &amp; Database\Documentation\Colo Applications</v>
      </c>
      <c r="BH325" s="104" t="str">
        <f ca="1">_05preva_view43[Folder Path2]&amp;"\Colo App "&amp;_05preva_view43[[#This Row],[Operator]]&amp;"\"</f>
        <v>D:\OneDrive - apollo-towers.com\Apollo Towers\00-Process &amp; Database\Documentation\Colo Applications\Colo App OML\</v>
      </c>
      <c r="BI325" s="63" t="str">
        <f ca="1">_05preva_view43[[#This Row],[Folder Path3]]&amp;_05preva_view43[[#This Row],[File Name]]</f>
        <v>D:\OneDrive - apollo-towers.com\Apollo Towers\00-Process &amp; Database\Documentation\Colo Applications\Colo App OML\AYYN_0517 (YAW7769) Application.xlsx</v>
      </c>
      <c r="BJ325" s="104"/>
      <c r="BK325" s="3"/>
      <c r="BL325" s="3"/>
      <c r="CJ325" s="5"/>
      <c r="CK325" s="5"/>
      <c r="CL325" s="3"/>
      <c r="CN325" s="5"/>
      <c r="CR325" s="3"/>
      <c r="CS325" s="3"/>
      <c r="CT325" s="5"/>
      <c r="CV325" s="3"/>
      <c r="DR325" s="5"/>
      <c r="DT325" s="3"/>
      <c r="EF325" s="7"/>
      <c r="EG325" s="7"/>
      <c r="EJ325" s="4"/>
      <c r="EK325" s="4"/>
      <c r="EU325" s="2"/>
      <c r="EV325" s="2"/>
    </row>
    <row r="326" spans="1:152">
      <c r="A326" s="125">
        <v>225</v>
      </c>
      <c r="B326" s="126" t="s">
        <v>734</v>
      </c>
      <c r="C326" s="126" t="s">
        <v>116</v>
      </c>
      <c r="D326" s="126" t="s">
        <v>127</v>
      </c>
      <c r="E326" s="126" t="s">
        <v>735</v>
      </c>
      <c r="F326" s="126" t="s">
        <v>41</v>
      </c>
      <c r="G326" s="126" t="s">
        <v>1576</v>
      </c>
      <c r="H326" s="126" t="s">
        <v>1580</v>
      </c>
      <c r="I326" s="126" t="s">
        <v>118</v>
      </c>
      <c r="J326" s="126"/>
      <c r="K326" s="127">
        <v>43250</v>
      </c>
      <c r="L326" s="128"/>
      <c r="M326" s="128">
        <v>2</v>
      </c>
      <c r="N326" s="126">
        <v>3</v>
      </c>
      <c r="O326" s="126" t="s">
        <v>119</v>
      </c>
      <c r="P326" s="129" t="s">
        <v>338</v>
      </c>
      <c r="Q326" s="129" t="s">
        <v>736</v>
      </c>
      <c r="R326" s="126" t="s">
        <v>24</v>
      </c>
      <c r="S326" s="126" t="s">
        <v>737</v>
      </c>
      <c r="T326" s="130" t="s">
        <v>120</v>
      </c>
      <c r="U326" s="126" t="s">
        <v>738</v>
      </c>
      <c r="V326" s="130" t="s">
        <v>120</v>
      </c>
      <c r="W326" s="126" t="s">
        <v>740</v>
      </c>
      <c r="X326" s="130" t="s">
        <v>120</v>
      </c>
      <c r="Y326" s="126" t="s">
        <v>120</v>
      </c>
      <c r="Z326" s="162" t="s">
        <v>120</v>
      </c>
      <c r="AA326" s="154"/>
      <c r="AB326" s="154"/>
      <c r="AC326" s="167" t="s">
        <v>123</v>
      </c>
      <c r="AD326" s="126" t="s">
        <v>364</v>
      </c>
      <c r="AE326" s="130" t="s">
        <v>265</v>
      </c>
      <c r="AF326" s="127"/>
      <c r="AG326" s="131"/>
      <c r="AH326" s="131"/>
      <c r="AI326" s="126" t="s">
        <v>739</v>
      </c>
      <c r="AJ326" s="130"/>
      <c r="AK326" s="126"/>
      <c r="AL326" s="126"/>
      <c r="AM326" s="130"/>
      <c r="AN326" s="126"/>
      <c r="AO326" s="132"/>
      <c r="AP326" s="126"/>
      <c r="AQ326" s="126"/>
      <c r="AR326" s="130"/>
      <c r="AS326" s="126"/>
      <c r="AT326" s="127"/>
      <c r="AU326" s="127">
        <v>43453.379072685202</v>
      </c>
      <c r="AV326" s="127"/>
      <c r="AW326" s="127"/>
      <c r="AX326" s="127"/>
      <c r="AY326" s="127"/>
      <c r="AZ326" s="133">
        <v>43250</v>
      </c>
      <c r="BA32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6" s="135">
        <f>COUNTIFS(_05preva_view43[Site ID],_05preva_view43[[#This Row],[Site ID]],_05preva_view43[Prevalidation Status],"Under Prevalidation")</f>
        <v>0</v>
      </c>
      <c r="BC326" s="153" t="str">
        <f ca="1">HYPERLINK(CheckPath(_05preva_view43[[#This Row],[File Path]],_05preva_view43[[#This Row],[File Path]],_05preva_view43[[#This Row],[Folder Path3]]),CheckPath(_05preva_view43[[#This Row],[File Path]],"Open File","No File"))</f>
        <v>No File</v>
      </c>
      <c r="BD326" s="136" t="str">
        <f>CONCATENATE(_05preva_view43[[#This Row],[Site ID]]," (",_05preva_view43[[#This Row],[tenant id]],") Application",IF(_05preva_view43[[#This Row],[Colo Rev]]&gt;0," Rev "&amp;_05preva_view43[[#This Row],[Colo Rev]],""),".xlsx")</f>
        <v>ANMD_0091 (MDYCMTN004) Application.xlsx</v>
      </c>
      <c r="BE326" s="64">
        <f t="shared" ca="1" si="6"/>
        <v>50</v>
      </c>
      <c r="BF326" s="104" t="str">
        <f ca="1">LEFT(CELL("filename",A311),_05preva_view43[[#This Row],[Find Process &amp; Database]]-1)</f>
        <v>D:\OneDrive - apollo-towers.com\Apollo Towers\00-</v>
      </c>
      <c r="BG326" s="104" t="str">
        <f ca="1">_05preva_view43[Folder Path1]&amp;"Process &amp; Database\Documentation\Colo Applications"</f>
        <v>D:\OneDrive - apollo-towers.com\Apollo Towers\00-Process &amp; Database\Documentation\Colo Applications</v>
      </c>
      <c r="BH326" s="104" t="str">
        <f ca="1">_05preva_view43[Folder Path2]&amp;"\Colo App "&amp;_05preva_view43[[#This Row],[Operator]]&amp;"\"</f>
        <v>D:\OneDrive - apollo-towers.com\Apollo Towers\00-Process &amp; Database\Documentation\Colo Applications\Colo App Amara\</v>
      </c>
      <c r="BI326" s="63" t="str">
        <f ca="1">_05preva_view43[[#This Row],[Folder Path3]]&amp;_05preva_view43[[#This Row],[File Name]]</f>
        <v>D:\OneDrive - apollo-towers.com\Apollo Towers\00-Process &amp; Database\Documentation\Colo Applications\Colo App Amara\ANMD_0091 (MDYCMTN004) Application.xlsx</v>
      </c>
      <c r="BJ326" s="104"/>
      <c r="BK326" s="3"/>
      <c r="BL326" s="3"/>
      <c r="CJ326" s="5"/>
      <c r="CK326" s="5"/>
      <c r="CL326" s="3"/>
      <c r="CN326" s="5"/>
      <c r="CR326" s="3"/>
      <c r="CS326" s="3"/>
      <c r="CT326" s="5"/>
      <c r="CV326" s="3"/>
      <c r="DR326" s="5"/>
      <c r="DT326" s="3"/>
      <c r="EF326" s="7"/>
      <c r="EG326" s="7"/>
      <c r="EJ326" s="4"/>
      <c r="EK326" s="4"/>
      <c r="EU326" s="2"/>
      <c r="EV326" s="2"/>
    </row>
    <row r="327" spans="1:152">
      <c r="A327" s="125">
        <v>226</v>
      </c>
      <c r="B327" s="126" t="s">
        <v>741</v>
      </c>
      <c r="C327" s="126" t="s">
        <v>116</v>
      </c>
      <c r="D327" s="126" t="s">
        <v>127</v>
      </c>
      <c r="E327" s="126" t="s">
        <v>742</v>
      </c>
      <c r="F327" s="126" t="s">
        <v>41</v>
      </c>
      <c r="G327" s="126" t="s">
        <v>118</v>
      </c>
      <c r="H327" s="126"/>
      <c r="I327" s="126" t="s">
        <v>118</v>
      </c>
      <c r="J327" s="126"/>
      <c r="K327" s="127">
        <v>43250</v>
      </c>
      <c r="L327" s="128"/>
      <c r="M327" s="128">
        <v>2</v>
      </c>
      <c r="N327" s="126">
        <v>3</v>
      </c>
      <c r="O327" s="126" t="s">
        <v>119</v>
      </c>
      <c r="P327" s="129" t="s">
        <v>338</v>
      </c>
      <c r="Q327" s="129" t="s">
        <v>736</v>
      </c>
      <c r="R327" s="126" t="s">
        <v>26</v>
      </c>
      <c r="S327" s="126"/>
      <c r="T327" s="130" t="s">
        <v>144</v>
      </c>
      <c r="U327" s="126" t="s">
        <v>743</v>
      </c>
      <c r="V327" s="130" t="s">
        <v>120</v>
      </c>
      <c r="W327" s="126"/>
      <c r="X327" s="130" t="s">
        <v>120</v>
      </c>
      <c r="Y327" s="126" t="s">
        <v>120</v>
      </c>
      <c r="Z327" s="162" t="s">
        <v>120</v>
      </c>
      <c r="AA327" s="154"/>
      <c r="AB327" s="154"/>
      <c r="AC327" s="167" t="s">
        <v>123</v>
      </c>
      <c r="AD327" s="126" t="s">
        <v>364</v>
      </c>
      <c r="AE327" s="130"/>
      <c r="AF327" s="127"/>
      <c r="AG327" s="131"/>
      <c r="AH327" s="131"/>
      <c r="AI327" s="126" t="s">
        <v>744</v>
      </c>
      <c r="AJ327" s="130"/>
      <c r="AK327" s="126"/>
      <c r="AL327" s="126"/>
      <c r="AM327" s="130"/>
      <c r="AN327" s="126"/>
      <c r="AO327" s="132"/>
      <c r="AP327" s="126"/>
      <c r="AQ327" s="126"/>
      <c r="AR327" s="130"/>
      <c r="AS327" s="126"/>
      <c r="AT327" s="127"/>
      <c r="AU327" s="127"/>
      <c r="AV327" s="127"/>
      <c r="AW327" s="127"/>
      <c r="AX327" s="127"/>
      <c r="AY327" s="127"/>
      <c r="AZ327" s="133">
        <v>43250</v>
      </c>
      <c r="BA32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7" s="135">
        <f>COUNTIFS(_05preva_view43[Site ID],_05preva_view43[[#This Row],[Site ID]],_05preva_view43[Prevalidation Status],"Under Prevalidation")</f>
        <v>0</v>
      </c>
      <c r="BC327" s="153" t="str">
        <f ca="1">HYPERLINK(CheckPath(_05preva_view43[[#This Row],[File Path]],_05preva_view43[[#This Row],[File Path]],_05preva_view43[[#This Row],[Folder Path3]]),CheckPath(_05preva_view43[[#This Row],[File Path]],"Open File","No File"))</f>
        <v>No File</v>
      </c>
      <c r="BD327" s="136" t="str">
        <f>CONCATENATE(_05preva_view43[[#This Row],[Site ID]]," (",_05preva_view43[[#This Row],[tenant id]],") Application",IF(_05preva_view43[[#This Row],[Colo Rev]]&gt;0," Rev "&amp;_05preva_view43[[#This Row],[Colo Rev]],""),".xlsx")</f>
        <v>ANMD_0093 (MDYCMTN035) Application.xlsx</v>
      </c>
      <c r="BE327" s="64">
        <f t="shared" ca="1" si="6"/>
        <v>50</v>
      </c>
      <c r="BF327" s="104" t="str">
        <f ca="1">LEFT(CELL("filename",A312),_05preva_view43[[#This Row],[Find Process &amp; Database]]-1)</f>
        <v>D:\OneDrive - apollo-towers.com\Apollo Towers\00-</v>
      </c>
      <c r="BG327" s="104" t="str">
        <f ca="1">_05preva_view43[Folder Path1]&amp;"Process &amp; Database\Documentation\Colo Applications"</f>
        <v>D:\OneDrive - apollo-towers.com\Apollo Towers\00-Process &amp; Database\Documentation\Colo Applications</v>
      </c>
      <c r="BH327" s="104" t="str">
        <f ca="1">_05preva_view43[Folder Path2]&amp;"\Colo App "&amp;_05preva_view43[[#This Row],[Operator]]&amp;"\"</f>
        <v>D:\OneDrive - apollo-towers.com\Apollo Towers\00-Process &amp; Database\Documentation\Colo Applications\Colo App Amara\</v>
      </c>
      <c r="BI327" s="63" t="str">
        <f ca="1">_05preva_view43[[#This Row],[Folder Path3]]&amp;_05preva_view43[[#This Row],[File Name]]</f>
        <v>D:\OneDrive - apollo-towers.com\Apollo Towers\00-Process &amp; Database\Documentation\Colo Applications\Colo App Amara\ANMD_0093 (MDYCMTN035) Application.xlsx</v>
      </c>
      <c r="BJ327" s="104"/>
      <c r="BK327" s="3"/>
      <c r="BL327" s="3"/>
      <c r="CJ327" s="5"/>
      <c r="CK327" s="5"/>
      <c r="CL327" s="3"/>
      <c r="CN327" s="5"/>
      <c r="CR327" s="3"/>
      <c r="CS327" s="3"/>
      <c r="CT327" s="5"/>
      <c r="CV327" s="3"/>
      <c r="DR327" s="5"/>
      <c r="DT327" s="3"/>
      <c r="EF327" s="7"/>
      <c r="EG327" s="7"/>
      <c r="EJ327" s="4"/>
      <c r="EK327" s="4"/>
      <c r="EU327" s="2"/>
      <c r="EV327" s="2"/>
    </row>
    <row r="328" spans="1:152">
      <c r="A328" s="125">
        <v>227</v>
      </c>
      <c r="B328" s="126" t="s">
        <v>745</v>
      </c>
      <c r="C328" s="126" t="s">
        <v>116</v>
      </c>
      <c r="D328" s="126" t="s">
        <v>127</v>
      </c>
      <c r="E328" s="126" t="s">
        <v>746</v>
      </c>
      <c r="F328" s="126" t="s">
        <v>41</v>
      </c>
      <c r="G328" s="126" t="s">
        <v>1576</v>
      </c>
      <c r="H328" s="126" t="s">
        <v>1580</v>
      </c>
      <c r="I328" s="126" t="s">
        <v>118</v>
      </c>
      <c r="J328" s="126"/>
      <c r="K328" s="127">
        <v>43250</v>
      </c>
      <c r="L328" s="128"/>
      <c r="M328" s="128">
        <v>2</v>
      </c>
      <c r="N328" s="126">
        <v>3</v>
      </c>
      <c r="O328" s="126" t="s">
        <v>119</v>
      </c>
      <c r="P328" s="129" t="s">
        <v>736</v>
      </c>
      <c r="Q328" s="129" t="s">
        <v>747</v>
      </c>
      <c r="R328" s="126" t="s">
        <v>24</v>
      </c>
      <c r="S328" s="126" t="s">
        <v>748</v>
      </c>
      <c r="T328" s="130" t="s">
        <v>120</v>
      </c>
      <c r="U328" s="126" t="s">
        <v>738</v>
      </c>
      <c r="V328" s="130" t="s">
        <v>120</v>
      </c>
      <c r="W328" s="126"/>
      <c r="X328" s="130" t="s">
        <v>120</v>
      </c>
      <c r="Y328" s="126" t="s">
        <v>120</v>
      </c>
      <c r="Z328" s="162" t="s">
        <v>120</v>
      </c>
      <c r="AA328" s="154"/>
      <c r="AB328" s="154"/>
      <c r="AC328" s="167" t="s">
        <v>123</v>
      </c>
      <c r="AD328" s="126" t="s">
        <v>364</v>
      </c>
      <c r="AE328" s="130" t="s">
        <v>265</v>
      </c>
      <c r="AF328" s="127"/>
      <c r="AG328" s="131"/>
      <c r="AH328" s="131"/>
      <c r="AI328" s="126" t="s">
        <v>749</v>
      </c>
      <c r="AJ328" s="130"/>
      <c r="AK328" s="126"/>
      <c r="AL328" s="126"/>
      <c r="AM328" s="130"/>
      <c r="AN328" s="126"/>
      <c r="AO328" s="132"/>
      <c r="AP328" s="126"/>
      <c r="AQ328" s="126"/>
      <c r="AR328" s="130"/>
      <c r="AS328" s="126"/>
      <c r="AT328" s="127"/>
      <c r="AU328" s="127">
        <v>43453.379073726901</v>
      </c>
      <c r="AV328" s="127"/>
      <c r="AW328" s="127"/>
      <c r="AX328" s="127"/>
      <c r="AY328" s="127"/>
      <c r="AZ328" s="133">
        <v>43250</v>
      </c>
      <c r="BA32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8" s="135">
        <f>COUNTIFS(_05preva_view43[Site ID],_05preva_view43[[#This Row],[Site ID]],_05preva_view43[Prevalidation Status],"Under Prevalidation")</f>
        <v>0</v>
      </c>
      <c r="BC328" s="153" t="str">
        <f ca="1">HYPERLINK(CheckPath(_05preva_view43[[#This Row],[File Path]],_05preva_view43[[#This Row],[File Path]],_05preva_view43[[#This Row],[Folder Path3]]),CheckPath(_05preva_view43[[#This Row],[File Path]],"Open File","No File"))</f>
        <v>No File</v>
      </c>
      <c r="BD328" s="136" t="str">
        <f>CONCATENATE(_05preva_view43[[#This Row],[Site ID]]," (",_05preva_view43[[#This Row],[tenant id]],") Application",IF(_05preva_view43[[#This Row],[Colo Rev]]&gt;0," Rev "&amp;_05preva_view43[[#This Row],[Colo Rev]],""),".xlsx")</f>
        <v>ANMD_0105 (MDYCMTZ023) Application.xlsx</v>
      </c>
      <c r="BE328" s="64">
        <f t="shared" ca="1" si="6"/>
        <v>50</v>
      </c>
      <c r="BF328" s="104" t="str">
        <f ca="1">LEFT(CELL("filename",A313),_05preva_view43[[#This Row],[Find Process &amp; Database]]-1)</f>
        <v>D:\OneDrive - apollo-towers.com\Apollo Towers\00-</v>
      </c>
      <c r="BG328" s="104" t="str">
        <f ca="1">_05preva_view43[Folder Path1]&amp;"Process &amp; Database\Documentation\Colo Applications"</f>
        <v>D:\OneDrive - apollo-towers.com\Apollo Towers\00-Process &amp; Database\Documentation\Colo Applications</v>
      </c>
      <c r="BH328" s="104" t="str">
        <f ca="1">_05preva_view43[Folder Path2]&amp;"\Colo App "&amp;_05preva_view43[[#This Row],[Operator]]&amp;"\"</f>
        <v>D:\OneDrive - apollo-towers.com\Apollo Towers\00-Process &amp; Database\Documentation\Colo Applications\Colo App Amara\</v>
      </c>
      <c r="BI328" s="63" t="str">
        <f ca="1">_05preva_view43[[#This Row],[Folder Path3]]&amp;_05preva_view43[[#This Row],[File Name]]</f>
        <v>D:\OneDrive - apollo-towers.com\Apollo Towers\00-Process &amp; Database\Documentation\Colo Applications\Colo App Amara\ANMD_0105 (MDYCMTZ023) Application.xlsx</v>
      </c>
      <c r="BJ328" s="104"/>
      <c r="BK328" s="3"/>
      <c r="BL328" s="3"/>
      <c r="CJ328" s="5"/>
      <c r="CK328" s="5"/>
      <c r="CL328" s="3"/>
      <c r="CN328" s="5"/>
      <c r="CR328" s="3"/>
      <c r="CS328" s="3"/>
      <c r="CT328" s="5"/>
      <c r="CV328" s="3"/>
      <c r="DR328" s="5"/>
      <c r="DT328" s="3"/>
      <c r="EF328" s="7"/>
      <c r="EG328" s="7"/>
      <c r="EJ328" s="4"/>
      <c r="EK328" s="4"/>
      <c r="EU328" s="2"/>
      <c r="EV328" s="2"/>
    </row>
    <row r="329" spans="1:152">
      <c r="A329" s="125">
        <v>229</v>
      </c>
      <c r="B329" s="126" t="s">
        <v>750</v>
      </c>
      <c r="C329" s="126" t="s">
        <v>116</v>
      </c>
      <c r="D329" s="126" t="s">
        <v>163</v>
      </c>
      <c r="E329" s="126" t="s">
        <v>751</v>
      </c>
      <c r="F329" s="126" t="s">
        <v>40</v>
      </c>
      <c r="G329" s="126" t="s">
        <v>1579</v>
      </c>
      <c r="H329" s="126" t="s">
        <v>1575</v>
      </c>
      <c r="I329" s="126" t="s">
        <v>118</v>
      </c>
      <c r="J329" s="126"/>
      <c r="K329" s="127">
        <v>43250</v>
      </c>
      <c r="L329" s="128"/>
      <c r="M329" s="128">
        <v>3</v>
      </c>
      <c r="N329" s="126">
        <v>6</v>
      </c>
      <c r="O329" s="126" t="s">
        <v>119</v>
      </c>
      <c r="P329" s="129"/>
      <c r="Q329" s="129"/>
      <c r="R329" s="126" t="s">
        <v>24</v>
      </c>
      <c r="S329" s="126"/>
      <c r="T329" s="130" t="s">
        <v>120</v>
      </c>
      <c r="U329" s="126" t="s">
        <v>752</v>
      </c>
      <c r="V329" s="130" t="s">
        <v>120</v>
      </c>
      <c r="W329" s="126"/>
      <c r="X329" s="130" t="s">
        <v>120</v>
      </c>
      <c r="Y329" s="126" t="s">
        <v>120</v>
      </c>
      <c r="Z329" s="162" t="s">
        <v>120</v>
      </c>
      <c r="AA329" s="154"/>
      <c r="AB329" s="154"/>
      <c r="AC329" s="167" t="s">
        <v>123</v>
      </c>
      <c r="AD329" s="126"/>
      <c r="AE329" s="130" t="s">
        <v>125</v>
      </c>
      <c r="AF329" s="127"/>
      <c r="AG329" s="131"/>
      <c r="AH329" s="131"/>
      <c r="AI329" s="126" t="s">
        <v>384</v>
      </c>
      <c r="AJ329" s="130" t="s">
        <v>120</v>
      </c>
      <c r="AK329" s="126" t="s">
        <v>123</v>
      </c>
      <c r="AL329" s="126"/>
      <c r="AM329" s="130"/>
      <c r="AN329" s="126"/>
      <c r="AO329" s="132"/>
      <c r="AP329" s="126"/>
      <c r="AQ329" s="126"/>
      <c r="AR329" s="130"/>
      <c r="AS329" s="126"/>
      <c r="AT329" s="127"/>
      <c r="AU329" s="127"/>
      <c r="AV329" s="127"/>
      <c r="AW329" s="127"/>
      <c r="AX329" s="127"/>
      <c r="AY329" s="127"/>
      <c r="AZ329" s="133"/>
      <c r="BA32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9" s="135">
        <f>COUNTIFS(_05preva_view43[Site ID],_05preva_view43[[#This Row],[Site ID]],_05preva_view43[Prevalidation Status],"Under Prevalidation")</f>
        <v>0</v>
      </c>
      <c r="BC329" s="153" t="str">
        <f ca="1">HYPERLINK(CheckPath(_05preva_view43[[#This Row],[File Path]],_05preva_view43[[#This Row],[File Path]],_05preva_view43[[#This Row],[Folder Path3]]),CheckPath(_05preva_view43[[#This Row],[File Path]],"Open File","No File"))</f>
        <v>No File</v>
      </c>
      <c r="BD329" s="136" t="str">
        <f>CONCATENATE(_05preva_view43[[#This Row],[Site ID]]," (",_05preva_view43[[#This Row],[tenant id]],") Application",IF(_05preva_view43[[#This Row],[Colo Rev]]&gt;0," Rev "&amp;_05preva_view43[[#This Row],[Colo Rev]],""),".xlsx")</f>
        <v>AYYN_0520 (YAM7610) Application.xlsx</v>
      </c>
      <c r="BE329" s="64">
        <f t="shared" ca="1" si="6"/>
        <v>50</v>
      </c>
      <c r="BF329" s="104" t="str">
        <f ca="1">LEFT(CELL("filename",A314),_05preva_view43[[#This Row],[Find Process &amp; Database]]-1)</f>
        <v>D:\OneDrive - apollo-towers.com\Apollo Towers\00-</v>
      </c>
      <c r="BG329" s="104" t="str">
        <f ca="1">_05preva_view43[Folder Path1]&amp;"Process &amp; Database\Documentation\Colo Applications"</f>
        <v>D:\OneDrive - apollo-towers.com\Apollo Towers\00-Process &amp; Database\Documentation\Colo Applications</v>
      </c>
      <c r="BH329" s="104" t="str">
        <f ca="1">_05preva_view43[Folder Path2]&amp;"\Colo App "&amp;_05preva_view43[[#This Row],[Operator]]&amp;"\"</f>
        <v>D:\OneDrive - apollo-towers.com\Apollo Towers\00-Process &amp; Database\Documentation\Colo Applications\Colo App OML\</v>
      </c>
      <c r="BI329" s="63" t="str">
        <f ca="1">_05preva_view43[[#This Row],[Folder Path3]]&amp;_05preva_view43[[#This Row],[File Name]]</f>
        <v>D:\OneDrive - apollo-towers.com\Apollo Towers\00-Process &amp; Database\Documentation\Colo Applications\Colo App OML\AYYN_0520 (YAM7610) Application.xlsx</v>
      </c>
      <c r="BJ329" s="104"/>
      <c r="BK329" s="3"/>
      <c r="BL329" s="3"/>
      <c r="CJ329" s="5"/>
      <c r="CK329" s="5"/>
      <c r="CL329" s="3"/>
      <c r="CN329" s="5"/>
      <c r="CR329" s="3"/>
      <c r="CS329" s="3"/>
      <c r="CT329" s="5"/>
      <c r="CV329" s="3"/>
      <c r="DR329" s="5"/>
      <c r="DT329" s="3"/>
      <c r="EF329" s="7"/>
      <c r="EG329" s="7"/>
      <c r="EJ329" s="4"/>
      <c r="EK329" s="4"/>
      <c r="EU329" s="2"/>
      <c r="EV329" s="2"/>
    </row>
    <row r="330" spans="1:152">
      <c r="A330" s="125">
        <v>230</v>
      </c>
      <c r="B330" s="126" t="s">
        <v>753</v>
      </c>
      <c r="C330" s="126" t="s">
        <v>116</v>
      </c>
      <c r="D330" s="126" t="s">
        <v>163</v>
      </c>
      <c r="E330" s="126" t="s">
        <v>754</v>
      </c>
      <c r="F330" s="126" t="s">
        <v>40</v>
      </c>
      <c r="G330" s="126" t="s">
        <v>1579</v>
      </c>
      <c r="H330" s="126" t="s">
        <v>1575</v>
      </c>
      <c r="I330" s="126" t="s">
        <v>118</v>
      </c>
      <c r="J330" s="126"/>
      <c r="K330" s="127">
        <v>43250</v>
      </c>
      <c r="L330" s="128"/>
      <c r="M330" s="128">
        <v>3</v>
      </c>
      <c r="N330" s="126">
        <v>6</v>
      </c>
      <c r="O330" s="126" t="s">
        <v>119</v>
      </c>
      <c r="P330" s="129"/>
      <c r="Q330" s="129"/>
      <c r="R330" s="126" t="s">
        <v>24</v>
      </c>
      <c r="S330" s="126"/>
      <c r="T330" s="130" t="s">
        <v>120</v>
      </c>
      <c r="U330" s="126" t="s">
        <v>738</v>
      </c>
      <c r="V330" s="130" t="s">
        <v>120</v>
      </c>
      <c r="W330" s="126"/>
      <c r="X330" s="130" t="s">
        <v>120</v>
      </c>
      <c r="Y330" s="126" t="s">
        <v>755</v>
      </c>
      <c r="Z330" s="162" t="s">
        <v>120</v>
      </c>
      <c r="AA330" s="154"/>
      <c r="AB330" s="154"/>
      <c r="AC330" s="167" t="s">
        <v>123</v>
      </c>
      <c r="AD330" s="126" t="s">
        <v>409</v>
      </c>
      <c r="AE330" s="130" t="s">
        <v>120</v>
      </c>
      <c r="AF330" s="127" t="s">
        <v>241</v>
      </c>
      <c r="AG330" s="131"/>
      <c r="AH330" s="131">
        <v>3.5</v>
      </c>
      <c r="AI330" s="126" t="s">
        <v>242</v>
      </c>
      <c r="AJ330" s="130" t="s">
        <v>120</v>
      </c>
      <c r="AK330" s="126" t="s">
        <v>123</v>
      </c>
      <c r="AL330" s="126" t="s">
        <v>139</v>
      </c>
      <c r="AM330" s="130"/>
      <c r="AN330" s="126"/>
      <c r="AO330" s="132"/>
      <c r="AP330" s="126"/>
      <c r="AQ330" s="126"/>
      <c r="AR330" s="130"/>
      <c r="AS330" s="126"/>
      <c r="AT330" s="127"/>
      <c r="AU330" s="127">
        <v>43453.379074884302</v>
      </c>
      <c r="AV330" s="127"/>
      <c r="AW330" s="127"/>
      <c r="AX330" s="127"/>
      <c r="AY330" s="127"/>
      <c r="AZ330" s="133">
        <v>43250</v>
      </c>
      <c r="BA33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0" s="135">
        <f>COUNTIFS(_05preva_view43[Site ID],_05preva_view43[[#This Row],[Site ID]],_05preva_view43[Prevalidation Status],"Under Prevalidation")</f>
        <v>0</v>
      </c>
      <c r="BC330" s="153" t="str">
        <f ca="1">HYPERLINK(CheckPath(_05preva_view43[[#This Row],[File Path]],_05preva_view43[[#This Row],[File Path]],_05preva_view43[[#This Row],[Folder Path3]]),CheckPath(_05preva_view43[[#This Row],[File Path]],"Open File","No File"))</f>
        <v>No File</v>
      </c>
      <c r="BD330" s="136" t="str">
        <f>CONCATENATE(_05preva_view43[[#This Row],[Site ID]]," (",_05preva_view43[[#This Row],[tenant id]],") Application",IF(_05preva_view43[[#This Row],[Colo Rev]]&gt;0," Rev "&amp;_05preva_view43[[#This Row],[Colo Rev]],""),".xlsx")</f>
        <v>AYYN_0110 (YAW7657) Application.xlsx</v>
      </c>
      <c r="BE330" s="64">
        <f t="shared" ca="1" si="6"/>
        <v>50</v>
      </c>
      <c r="BF330" s="104" t="str">
        <f ca="1">LEFT(CELL("filename",A315),_05preva_view43[[#This Row],[Find Process &amp; Database]]-1)</f>
        <v>D:\OneDrive - apollo-towers.com\Apollo Towers\00-</v>
      </c>
      <c r="BG330" s="104" t="str">
        <f ca="1">_05preva_view43[Folder Path1]&amp;"Process &amp; Database\Documentation\Colo Applications"</f>
        <v>D:\OneDrive - apollo-towers.com\Apollo Towers\00-Process &amp; Database\Documentation\Colo Applications</v>
      </c>
      <c r="BH330" s="104" t="str">
        <f ca="1">_05preva_view43[Folder Path2]&amp;"\Colo App "&amp;_05preva_view43[[#This Row],[Operator]]&amp;"\"</f>
        <v>D:\OneDrive - apollo-towers.com\Apollo Towers\00-Process &amp; Database\Documentation\Colo Applications\Colo App OML\</v>
      </c>
      <c r="BI330" s="63" t="str">
        <f ca="1">_05preva_view43[[#This Row],[Folder Path3]]&amp;_05preva_view43[[#This Row],[File Name]]</f>
        <v>D:\OneDrive - apollo-towers.com\Apollo Towers\00-Process &amp; Database\Documentation\Colo Applications\Colo App OML\AYYN_0110 (YAW7657) Application.xlsx</v>
      </c>
      <c r="BJ330" s="104"/>
      <c r="BK330" s="3"/>
      <c r="BL330" s="3"/>
      <c r="CJ330" s="5"/>
      <c r="CK330" s="5"/>
      <c r="CL330" s="3"/>
      <c r="CN330" s="5"/>
      <c r="CR330" s="3"/>
      <c r="CS330" s="3"/>
      <c r="CT330" s="5"/>
      <c r="CV330" s="3"/>
      <c r="DR330" s="5"/>
      <c r="DT330" s="3"/>
      <c r="EF330" s="7"/>
      <c r="EG330" s="7"/>
      <c r="EJ330" s="4"/>
      <c r="EK330" s="4"/>
      <c r="EU330" s="2"/>
      <c r="EV330" s="2"/>
    </row>
    <row r="331" spans="1:152">
      <c r="A331" s="125">
        <v>231</v>
      </c>
      <c r="B331" s="126" t="s">
        <v>756</v>
      </c>
      <c r="C331" s="126" t="s">
        <v>116</v>
      </c>
      <c r="D331" s="126" t="s">
        <v>127</v>
      </c>
      <c r="E331" s="126" t="s">
        <v>757</v>
      </c>
      <c r="F331" s="126" t="s">
        <v>40</v>
      </c>
      <c r="G331" s="126" t="s">
        <v>118</v>
      </c>
      <c r="H331" s="126"/>
      <c r="I331" s="126" t="s">
        <v>118</v>
      </c>
      <c r="J331" s="126"/>
      <c r="K331" s="127">
        <v>43250</v>
      </c>
      <c r="L331" s="128"/>
      <c r="M331" s="128">
        <v>3</v>
      </c>
      <c r="N331" s="126">
        <v>6</v>
      </c>
      <c r="O331" s="126" t="s">
        <v>119</v>
      </c>
      <c r="P331" s="129"/>
      <c r="Q331" s="129"/>
      <c r="R331" s="126" t="s">
        <v>26</v>
      </c>
      <c r="S331" s="126"/>
      <c r="T331" s="130" t="s">
        <v>144</v>
      </c>
      <c r="U331" s="126" t="s">
        <v>758</v>
      </c>
      <c r="V331" s="130" t="s">
        <v>120</v>
      </c>
      <c r="W331" s="126"/>
      <c r="X331" s="130"/>
      <c r="Y331" s="126" t="s">
        <v>673</v>
      </c>
      <c r="Z331" s="162"/>
      <c r="AA331" s="154"/>
      <c r="AB331" s="154"/>
      <c r="AC331" s="167"/>
      <c r="AD331" s="126"/>
      <c r="AE331" s="130" t="s">
        <v>120</v>
      </c>
      <c r="AF331" s="127" t="s">
        <v>467</v>
      </c>
      <c r="AG331" s="131"/>
      <c r="AH331" s="131">
        <v>3.5</v>
      </c>
      <c r="AI331" s="126" t="s">
        <v>440</v>
      </c>
      <c r="AJ331" s="130"/>
      <c r="AK331" s="126"/>
      <c r="AL331" s="126"/>
      <c r="AM331" s="130"/>
      <c r="AN331" s="126"/>
      <c r="AO331" s="132"/>
      <c r="AP331" s="126"/>
      <c r="AQ331" s="126"/>
      <c r="AR331" s="130"/>
      <c r="AS331" s="126"/>
      <c r="AT331" s="127"/>
      <c r="AU331" s="127">
        <v>43453.379076620397</v>
      </c>
      <c r="AV331" s="127"/>
      <c r="AW331" s="127"/>
      <c r="AX331" s="127"/>
      <c r="AY331" s="127"/>
      <c r="AZ331" s="133">
        <v>43250</v>
      </c>
      <c r="BA33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1" s="135">
        <f>COUNTIFS(_05preva_view43[Site ID],_05preva_view43[[#This Row],[Site ID]],_05preva_view43[Prevalidation Status],"Under Prevalidation")</f>
        <v>0</v>
      </c>
      <c r="BC331" s="153" t="str">
        <f ca="1">HYPERLINK(CheckPath(_05preva_view43[[#This Row],[File Path]],_05preva_view43[[#This Row],[File Path]],_05preva_view43[[#This Row],[Folder Path3]]),CheckPath(_05preva_view43[[#This Row],[File Path]],"Open File","No File"))</f>
        <v>No File</v>
      </c>
      <c r="BD331" s="136" t="str">
        <f>CONCATENATE(_05preva_view43[[#This Row],[Site ID]]," (",_05preva_view43[[#This Row],[tenant id]],") Application",IF(_05preva_view43[[#This Row],[Colo Rev]]&gt;0," Rev "&amp;_05preva_view43[[#This Row],[Colo Rev]],""),".xlsx")</f>
        <v>ANSG_0446 (SAW0353) Application.xlsx</v>
      </c>
      <c r="BE331" s="64">
        <f t="shared" ca="1" si="6"/>
        <v>50</v>
      </c>
      <c r="BF331" s="104" t="str">
        <f ca="1">LEFT(CELL("filename",A316),_05preva_view43[[#This Row],[Find Process &amp; Database]]-1)</f>
        <v>D:\OneDrive - apollo-towers.com\Apollo Towers\00-</v>
      </c>
      <c r="BG331" s="104" t="str">
        <f ca="1">_05preva_view43[Folder Path1]&amp;"Process &amp; Database\Documentation\Colo Applications"</f>
        <v>D:\OneDrive - apollo-towers.com\Apollo Towers\00-Process &amp; Database\Documentation\Colo Applications</v>
      </c>
      <c r="BH331" s="104" t="str">
        <f ca="1">_05preva_view43[Folder Path2]&amp;"\Colo App "&amp;_05preva_view43[[#This Row],[Operator]]&amp;"\"</f>
        <v>D:\OneDrive - apollo-towers.com\Apollo Towers\00-Process &amp; Database\Documentation\Colo Applications\Colo App OML\</v>
      </c>
      <c r="BI331" s="63" t="str">
        <f ca="1">_05preva_view43[[#This Row],[Folder Path3]]&amp;_05preva_view43[[#This Row],[File Name]]</f>
        <v>D:\OneDrive - apollo-towers.com\Apollo Towers\00-Process &amp; Database\Documentation\Colo Applications\Colo App OML\ANSG_0446 (SAW0353) Application.xlsx</v>
      </c>
      <c r="BJ331" s="104"/>
      <c r="BK331" s="3"/>
      <c r="BL331" s="3"/>
      <c r="CJ331" s="5"/>
      <c r="CK331" s="5"/>
      <c r="CL331" s="3"/>
      <c r="CN331" s="5"/>
      <c r="CR331" s="3"/>
      <c r="CS331" s="3"/>
      <c r="CT331" s="5"/>
      <c r="CV331" s="3"/>
      <c r="DR331" s="5"/>
      <c r="DT331" s="3"/>
      <c r="EF331" s="7"/>
      <c r="EG331" s="7"/>
      <c r="EJ331" s="4"/>
      <c r="EK331" s="4"/>
      <c r="EU331" s="2"/>
      <c r="EV331" s="2"/>
    </row>
    <row r="332" spans="1:152">
      <c r="A332" s="125">
        <v>232</v>
      </c>
      <c r="B332" s="126" t="s">
        <v>727</v>
      </c>
      <c r="C332" s="126" t="s">
        <v>116</v>
      </c>
      <c r="D332" s="126" t="s">
        <v>117</v>
      </c>
      <c r="E332" s="126" t="s">
        <v>759</v>
      </c>
      <c r="F332" s="126" t="s">
        <v>40</v>
      </c>
      <c r="G332" s="126" t="s">
        <v>118</v>
      </c>
      <c r="H332" s="126"/>
      <c r="I332" s="126" t="s">
        <v>118</v>
      </c>
      <c r="J332" s="126"/>
      <c r="K332" s="127">
        <v>43250</v>
      </c>
      <c r="L332" s="128"/>
      <c r="M332" s="128">
        <v>3</v>
      </c>
      <c r="N332" s="126">
        <v>6</v>
      </c>
      <c r="O332" s="126" t="s">
        <v>119</v>
      </c>
      <c r="P332" s="129"/>
      <c r="Q332" s="129"/>
      <c r="R332" s="126" t="s">
        <v>24</v>
      </c>
      <c r="S332" s="126"/>
      <c r="T332" s="130" t="s">
        <v>120</v>
      </c>
      <c r="U332" s="126" t="s">
        <v>760</v>
      </c>
      <c r="V332" s="130" t="s">
        <v>120</v>
      </c>
      <c r="W332" s="126"/>
      <c r="X332" s="130" t="s">
        <v>120</v>
      </c>
      <c r="Y332" s="126" t="s">
        <v>120</v>
      </c>
      <c r="Z332" s="162" t="s">
        <v>120</v>
      </c>
      <c r="AA332" s="154"/>
      <c r="AB332" s="154"/>
      <c r="AC332" s="167" t="s">
        <v>123</v>
      </c>
      <c r="AD332" s="126" t="s">
        <v>409</v>
      </c>
      <c r="AE332" s="130" t="s">
        <v>120</v>
      </c>
      <c r="AF332" s="127" t="s">
        <v>467</v>
      </c>
      <c r="AG332" s="131"/>
      <c r="AH332" s="131">
        <v>3.5</v>
      </c>
      <c r="AI332" s="126" t="s">
        <v>245</v>
      </c>
      <c r="AJ332" s="130" t="s">
        <v>120</v>
      </c>
      <c r="AK332" s="126" t="s">
        <v>240</v>
      </c>
      <c r="AL332" s="126" t="s">
        <v>470</v>
      </c>
      <c r="AM332" s="130"/>
      <c r="AN332" s="126"/>
      <c r="AO332" s="132"/>
      <c r="AP332" s="126"/>
      <c r="AQ332" s="126"/>
      <c r="AR332" s="130"/>
      <c r="AS332" s="126"/>
      <c r="AT332" s="127"/>
      <c r="AU332" s="127">
        <v>43453.379077546299</v>
      </c>
      <c r="AV332" s="127"/>
      <c r="AW332" s="127"/>
      <c r="AX332" s="127"/>
      <c r="AY332" s="127"/>
      <c r="AZ332" s="133">
        <v>43250</v>
      </c>
      <c r="BA33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2" s="135">
        <f>COUNTIFS(_05preva_view43[Site ID],_05preva_view43[[#This Row],[Site ID]],_05preva_view43[Prevalidation Status],"Under Prevalidation")</f>
        <v>0</v>
      </c>
      <c r="BC332" s="153" t="str">
        <f ca="1">HYPERLINK(CheckPath(_05preva_view43[[#This Row],[File Path]],_05preva_view43[[#This Row],[File Path]],_05preva_view43[[#This Row],[Folder Path3]]),CheckPath(_05preva_view43[[#This Row],[File Path]],"Open File","No File"))</f>
        <v>No File</v>
      </c>
      <c r="BD332" s="136" t="str">
        <f>CONCATENATE(_05preva_view43[[#This Row],[Site ID]]," (",_05preva_view43[[#This Row],[tenant id]],") Application",IF(_05preva_view43[[#This Row],[Colo Rev]]&gt;0," Rev "&amp;_05preva_view43[[#This Row],[Colo Rev]],""),".xlsx")</f>
        <v>ANNP_0210 (NPW2259) Application.xlsx</v>
      </c>
      <c r="BE332" s="64">
        <f t="shared" ca="1" si="6"/>
        <v>50</v>
      </c>
      <c r="BF332" s="104" t="str">
        <f ca="1">LEFT(CELL("filename",A317),_05preva_view43[[#This Row],[Find Process &amp; Database]]-1)</f>
        <v>D:\OneDrive - apollo-towers.com\Apollo Towers\00-</v>
      </c>
      <c r="BG332" s="104" t="str">
        <f ca="1">_05preva_view43[Folder Path1]&amp;"Process &amp; Database\Documentation\Colo Applications"</f>
        <v>D:\OneDrive - apollo-towers.com\Apollo Towers\00-Process &amp; Database\Documentation\Colo Applications</v>
      </c>
      <c r="BH332" s="104" t="str">
        <f ca="1">_05preva_view43[Folder Path2]&amp;"\Colo App "&amp;_05preva_view43[[#This Row],[Operator]]&amp;"\"</f>
        <v>D:\OneDrive - apollo-towers.com\Apollo Towers\00-Process &amp; Database\Documentation\Colo Applications\Colo App OML\</v>
      </c>
      <c r="BI332" s="63" t="str">
        <f ca="1">_05preva_view43[[#This Row],[Folder Path3]]&amp;_05preva_view43[[#This Row],[File Name]]</f>
        <v>D:\OneDrive - apollo-towers.com\Apollo Towers\00-Process &amp; Database\Documentation\Colo Applications\Colo App OML\ANNP_0210 (NPW2259) Application.xlsx</v>
      </c>
      <c r="BJ332" s="104"/>
      <c r="BK332" s="3"/>
      <c r="BL332" s="3"/>
      <c r="CJ332" s="5"/>
      <c r="CK332" s="5"/>
      <c r="CL332" s="3"/>
      <c r="CN332" s="5"/>
      <c r="CR332" s="3"/>
      <c r="CS332" s="3"/>
      <c r="CT332" s="5"/>
      <c r="CV332" s="3"/>
      <c r="DR332" s="5"/>
      <c r="DT332" s="3"/>
      <c r="EF332" s="7"/>
      <c r="EG332" s="7"/>
      <c r="EJ332" s="4"/>
      <c r="EK332" s="4"/>
      <c r="EU332" s="2"/>
      <c r="EV332" s="2"/>
    </row>
    <row r="333" spans="1:152">
      <c r="A333" s="125">
        <v>233</v>
      </c>
      <c r="B333" s="126" t="s">
        <v>761</v>
      </c>
      <c r="C333" s="126" t="s">
        <v>116</v>
      </c>
      <c r="D333" s="126" t="s">
        <v>163</v>
      </c>
      <c r="E333" s="126" t="s">
        <v>762</v>
      </c>
      <c r="F333" s="126" t="s">
        <v>40</v>
      </c>
      <c r="G333" s="126" t="s">
        <v>118</v>
      </c>
      <c r="H333" s="126"/>
      <c r="I333" s="126" t="s">
        <v>118</v>
      </c>
      <c r="J333" s="126"/>
      <c r="K333" s="127">
        <v>43250</v>
      </c>
      <c r="L333" s="128"/>
      <c r="M333" s="128">
        <v>3</v>
      </c>
      <c r="N333" s="126">
        <v>6</v>
      </c>
      <c r="O333" s="126" t="s">
        <v>119</v>
      </c>
      <c r="P333" s="129"/>
      <c r="Q333" s="129"/>
      <c r="R333" s="126" t="s">
        <v>27</v>
      </c>
      <c r="S333" s="126"/>
      <c r="T333" s="130" t="s">
        <v>120</v>
      </c>
      <c r="U333" s="126" t="s">
        <v>763</v>
      </c>
      <c r="V333" s="130" t="s">
        <v>120</v>
      </c>
      <c r="W333" s="126"/>
      <c r="X333" s="130" t="s">
        <v>120</v>
      </c>
      <c r="Y333" s="126" t="s">
        <v>120</v>
      </c>
      <c r="Z333" s="162" t="s">
        <v>120</v>
      </c>
      <c r="AA333" s="154"/>
      <c r="AB333" s="154"/>
      <c r="AC333" s="167" t="s">
        <v>123</v>
      </c>
      <c r="AD333" s="126" t="s">
        <v>764</v>
      </c>
      <c r="AE333" s="130" t="s">
        <v>125</v>
      </c>
      <c r="AF333" s="127"/>
      <c r="AG333" s="131"/>
      <c r="AH333" s="131"/>
      <c r="AI333" s="126" t="s">
        <v>765</v>
      </c>
      <c r="AJ333" s="130" t="s">
        <v>120</v>
      </c>
      <c r="AK333" s="126" t="s">
        <v>240</v>
      </c>
      <c r="AL333" s="126"/>
      <c r="AM333" s="130"/>
      <c r="AN333" s="126"/>
      <c r="AO333" s="132"/>
      <c r="AP333" s="126"/>
      <c r="AQ333" s="126"/>
      <c r="AR333" s="130"/>
      <c r="AS333" s="126"/>
      <c r="AT333" s="127"/>
      <c r="AU333" s="127"/>
      <c r="AV333" s="127"/>
      <c r="AW333" s="127"/>
      <c r="AX333" s="127"/>
      <c r="AY333" s="127"/>
      <c r="AZ333" s="133"/>
      <c r="BA33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3" s="135">
        <f>COUNTIFS(_05preva_view43[Site ID],_05preva_view43[[#This Row],[Site ID]],_05preva_view43[Prevalidation Status],"Under Prevalidation")</f>
        <v>0</v>
      </c>
      <c r="BC333" s="153" t="str">
        <f ca="1">HYPERLINK(CheckPath(_05preva_view43[[#This Row],[File Path]],_05preva_view43[[#This Row],[File Path]],_05preva_view43[[#This Row],[Folder Path3]]),CheckPath(_05preva_view43[[#This Row],[File Path]],"Open File","No File"))</f>
        <v>No File</v>
      </c>
      <c r="BD333" s="136" t="str">
        <f>CONCATENATE(_05preva_view43[[#This Row],[Site ID]]," (",_05preva_view43[[#This Row],[tenant id]],") Application",IF(_05preva_view43[[#This Row],[Colo Rev]]&gt;0," Rev "&amp;_05preva_view43[[#This Row],[Colo Rev]],""),".xlsx")</f>
        <v>AYYN_0441 (YAW4463) Application.xlsx</v>
      </c>
      <c r="BE333" s="64">
        <f t="shared" ca="1" si="6"/>
        <v>50</v>
      </c>
      <c r="BF333" s="104" t="str">
        <f ca="1">LEFT(CELL("filename",A318),_05preva_view43[[#This Row],[Find Process &amp; Database]]-1)</f>
        <v>D:\OneDrive - apollo-towers.com\Apollo Towers\00-</v>
      </c>
      <c r="BG333" s="104" t="str">
        <f ca="1">_05preva_view43[Folder Path1]&amp;"Process &amp; Database\Documentation\Colo Applications"</f>
        <v>D:\OneDrive - apollo-towers.com\Apollo Towers\00-Process &amp; Database\Documentation\Colo Applications</v>
      </c>
      <c r="BH333" s="104" t="str">
        <f ca="1">_05preva_view43[Folder Path2]&amp;"\Colo App "&amp;_05preva_view43[[#This Row],[Operator]]&amp;"\"</f>
        <v>D:\OneDrive - apollo-towers.com\Apollo Towers\00-Process &amp; Database\Documentation\Colo Applications\Colo App OML\</v>
      </c>
      <c r="BI333" s="63" t="str">
        <f ca="1">_05preva_view43[[#This Row],[Folder Path3]]&amp;_05preva_view43[[#This Row],[File Name]]</f>
        <v>D:\OneDrive - apollo-towers.com\Apollo Towers\00-Process &amp; Database\Documentation\Colo Applications\Colo App OML\AYYN_0441 (YAW4463) Application.xlsx</v>
      </c>
      <c r="BJ333" s="104"/>
      <c r="BK333" s="3"/>
      <c r="BL333" s="3"/>
      <c r="CJ333" s="5"/>
      <c r="CK333" s="5"/>
      <c r="CL333" s="3"/>
      <c r="CN333" s="5"/>
      <c r="CR333" s="3"/>
      <c r="CS333" s="3"/>
      <c r="CT333" s="5"/>
      <c r="CV333" s="3"/>
      <c r="DR333" s="5"/>
      <c r="DT333" s="3"/>
      <c r="EF333" s="7"/>
      <c r="EG333" s="7"/>
      <c r="EJ333" s="4"/>
      <c r="EK333" s="4"/>
      <c r="EU333" s="2"/>
      <c r="EV333" s="2"/>
    </row>
    <row r="334" spans="1:152">
      <c r="A334" s="125">
        <v>234</v>
      </c>
      <c r="B334" s="126" t="s">
        <v>766</v>
      </c>
      <c r="C334" s="126" t="s">
        <v>116</v>
      </c>
      <c r="D334" s="126" t="s">
        <v>127</v>
      </c>
      <c r="E334" s="126" t="s">
        <v>767</v>
      </c>
      <c r="F334" s="126" t="s">
        <v>40</v>
      </c>
      <c r="G334" s="126" t="s">
        <v>1579</v>
      </c>
      <c r="H334" s="126" t="s">
        <v>1580</v>
      </c>
      <c r="I334" s="126" t="s">
        <v>118</v>
      </c>
      <c r="J334" s="126"/>
      <c r="K334" s="127">
        <v>43250</v>
      </c>
      <c r="L334" s="128"/>
      <c r="M334" s="128">
        <v>3</v>
      </c>
      <c r="N334" s="126">
        <v>6</v>
      </c>
      <c r="O334" s="126" t="s">
        <v>119</v>
      </c>
      <c r="P334" s="129"/>
      <c r="Q334" s="129"/>
      <c r="R334" s="126" t="s">
        <v>24</v>
      </c>
      <c r="S334" s="126"/>
      <c r="T334" s="130" t="s">
        <v>120</v>
      </c>
      <c r="U334" s="126" t="s">
        <v>738</v>
      </c>
      <c r="V334" s="130" t="s">
        <v>125</v>
      </c>
      <c r="W334" s="126" t="s">
        <v>712</v>
      </c>
      <c r="X334" s="130" t="s">
        <v>120</v>
      </c>
      <c r="Y334" s="126" t="s">
        <v>120</v>
      </c>
      <c r="Z334" s="162" t="s">
        <v>120</v>
      </c>
      <c r="AA334" s="154"/>
      <c r="AB334" s="154"/>
      <c r="AC334" s="167" t="s">
        <v>123</v>
      </c>
      <c r="AD334" s="126"/>
      <c r="AE334" s="130" t="s">
        <v>125</v>
      </c>
      <c r="AF334" s="127"/>
      <c r="AG334" s="131"/>
      <c r="AH334" s="131"/>
      <c r="AI334" s="126" t="s">
        <v>242</v>
      </c>
      <c r="AJ334" s="130" t="s">
        <v>120</v>
      </c>
      <c r="AK334" s="126" t="s">
        <v>123</v>
      </c>
      <c r="AL334" s="126" t="s">
        <v>768</v>
      </c>
      <c r="AM334" s="130"/>
      <c r="AN334" s="126"/>
      <c r="AO334" s="132"/>
      <c r="AP334" s="126"/>
      <c r="AQ334" s="126"/>
      <c r="AR334" s="130"/>
      <c r="AS334" s="126"/>
      <c r="AT334" s="127"/>
      <c r="AU334" s="127"/>
      <c r="AV334" s="127"/>
      <c r="AW334" s="127"/>
      <c r="AX334" s="127"/>
      <c r="AY334" s="127"/>
      <c r="AZ334" s="133"/>
      <c r="BA33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4" s="135">
        <f>COUNTIFS(_05preva_view43[Site ID],_05preva_view43[[#This Row],[Site ID]],_05preva_view43[Prevalidation Status],"Under Prevalidation")</f>
        <v>0</v>
      </c>
      <c r="BC334" s="153" t="str">
        <f ca="1">HYPERLINK(CheckPath(_05preva_view43[[#This Row],[File Path]],_05preva_view43[[#This Row],[File Path]],_05preva_view43[[#This Row],[Folder Path3]]),CheckPath(_05preva_view43[[#This Row],[File Path]],"Open File","No File"))</f>
        <v>No File</v>
      </c>
      <c r="BD334" s="136" t="str">
        <f>CONCATENATE(_05preva_view43[[#This Row],[Site ID]]," (",_05preva_view43[[#This Row],[tenant id]],") Application",IF(_05preva_view43[[#This Row],[Colo Rev]]&gt;0," Rev "&amp;_05preva_view43[[#This Row],[Colo Rev]],""),".xlsx")</f>
        <v>ANSG_0364 (SAW0705) Application.xlsx</v>
      </c>
      <c r="BE334" s="64">
        <f t="shared" ca="1" si="6"/>
        <v>50</v>
      </c>
      <c r="BF334" s="104" t="str">
        <f ca="1">LEFT(CELL("filename",A319),_05preva_view43[[#This Row],[Find Process &amp; Database]]-1)</f>
        <v>D:\OneDrive - apollo-towers.com\Apollo Towers\00-</v>
      </c>
      <c r="BG334" s="104" t="str">
        <f ca="1">_05preva_view43[Folder Path1]&amp;"Process &amp; Database\Documentation\Colo Applications"</f>
        <v>D:\OneDrive - apollo-towers.com\Apollo Towers\00-Process &amp; Database\Documentation\Colo Applications</v>
      </c>
      <c r="BH334" s="104" t="str">
        <f ca="1">_05preva_view43[Folder Path2]&amp;"\Colo App "&amp;_05preva_view43[[#This Row],[Operator]]&amp;"\"</f>
        <v>D:\OneDrive - apollo-towers.com\Apollo Towers\00-Process &amp; Database\Documentation\Colo Applications\Colo App OML\</v>
      </c>
      <c r="BI334" s="63" t="str">
        <f ca="1">_05preva_view43[[#This Row],[Folder Path3]]&amp;_05preva_view43[[#This Row],[File Name]]</f>
        <v>D:\OneDrive - apollo-towers.com\Apollo Towers\00-Process &amp; Database\Documentation\Colo Applications\Colo App OML\ANSG_0364 (SAW0705) Application.xlsx</v>
      </c>
      <c r="BJ334" s="104"/>
      <c r="BK334" s="3"/>
      <c r="BL334" s="3"/>
      <c r="CJ334" s="5"/>
      <c r="CK334" s="5"/>
      <c r="CL334" s="3"/>
      <c r="CN334" s="5"/>
      <c r="CR334" s="3"/>
      <c r="CS334" s="3"/>
      <c r="CT334" s="5"/>
      <c r="CV334" s="3"/>
      <c r="DR334" s="5"/>
      <c r="DT334" s="3"/>
      <c r="EF334" s="7"/>
      <c r="EG334" s="7"/>
      <c r="EJ334" s="4"/>
      <c r="EK334" s="4"/>
      <c r="EU334" s="2"/>
      <c r="EV334" s="2"/>
    </row>
    <row r="335" spans="1:152">
      <c r="A335" s="125">
        <v>235</v>
      </c>
      <c r="B335" s="126" t="s">
        <v>769</v>
      </c>
      <c r="C335" s="126" t="s">
        <v>116</v>
      </c>
      <c r="D335" s="126" t="s">
        <v>163</v>
      </c>
      <c r="E335" s="126" t="s">
        <v>770</v>
      </c>
      <c r="F335" s="126" t="s">
        <v>40</v>
      </c>
      <c r="G335" s="126" t="s">
        <v>118</v>
      </c>
      <c r="H335" s="126"/>
      <c r="I335" s="126" t="s">
        <v>118</v>
      </c>
      <c r="J335" s="126"/>
      <c r="K335" s="127">
        <v>43250</v>
      </c>
      <c r="L335" s="128"/>
      <c r="M335" s="128">
        <v>3</v>
      </c>
      <c r="N335" s="126">
        <v>6</v>
      </c>
      <c r="O335" s="126" t="s">
        <v>119</v>
      </c>
      <c r="P335" s="129"/>
      <c r="Q335" s="129"/>
      <c r="R335" s="126" t="s">
        <v>24</v>
      </c>
      <c r="S335" s="126" t="s">
        <v>428</v>
      </c>
      <c r="T335" s="130" t="s">
        <v>120</v>
      </c>
      <c r="U335" s="126" t="s">
        <v>738</v>
      </c>
      <c r="V335" s="130" t="s">
        <v>120</v>
      </c>
      <c r="W335" s="126"/>
      <c r="X335" s="130" t="s">
        <v>120</v>
      </c>
      <c r="Y335" s="126" t="s">
        <v>120</v>
      </c>
      <c r="Z335" s="162" t="s">
        <v>125</v>
      </c>
      <c r="AA335" s="154"/>
      <c r="AB335" s="154"/>
      <c r="AC335" s="167" t="s">
        <v>123</v>
      </c>
      <c r="AD335" s="126" t="s">
        <v>430</v>
      </c>
      <c r="AE335" s="130" t="s">
        <v>125</v>
      </c>
      <c r="AF335" s="127"/>
      <c r="AG335" s="131"/>
      <c r="AH335" s="131"/>
      <c r="AI335" s="126" t="s">
        <v>242</v>
      </c>
      <c r="AJ335" s="130" t="s">
        <v>120</v>
      </c>
      <c r="AK335" s="126" t="s">
        <v>123</v>
      </c>
      <c r="AL335" s="126"/>
      <c r="AM335" s="130"/>
      <c r="AN335" s="126"/>
      <c r="AO335" s="132"/>
      <c r="AP335" s="126"/>
      <c r="AQ335" s="126"/>
      <c r="AR335" s="130"/>
      <c r="AS335" s="126"/>
      <c r="AT335" s="127"/>
      <c r="AU335" s="127"/>
      <c r="AV335" s="127"/>
      <c r="AW335" s="127"/>
      <c r="AX335" s="127"/>
      <c r="AY335" s="127"/>
      <c r="AZ335" s="133"/>
      <c r="BA33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5" s="135">
        <f>COUNTIFS(_05preva_view43[Site ID],_05preva_view43[[#This Row],[Site ID]],_05preva_view43[Prevalidation Status],"Under Prevalidation")</f>
        <v>0</v>
      </c>
      <c r="BC335" s="153" t="str">
        <f ca="1">HYPERLINK(CheckPath(_05preva_view43[[#This Row],[File Path]],_05preva_view43[[#This Row],[File Path]],_05preva_view43[[#This Row],[Folder Path3]]),CheckPath(_05preva_view43[[#This Row],[File Path]],"Open File","No File"))</f>
        <v>No File</v>
      </c>
      <c r="BD335" s="136" t="str">
        <f>CONCATENATE(_05preva_view43[[#This Row],[Site ID]]," (",_05preva_view43[[#This Row],[tenant id]],") Application",IF(_05preva_view43[[#This Row],[Colo Rev]]&gt;0," Rev "&amp;_05preva_view43[[#This Row],[Colo Rev]],""),".xlsx")</f>
        <v>ACAY_0102 (AYW5275) Application.xlsx</v>
      </c>
      <c r="BE335" s="64">
        <f t="shared" ca="1" si="6"/>
        <v>50</v>
      </c>
      <c r="BF335" s="104" t="str">
        <f ca="1">LEFT(CELL("filename",A320),_05preva_view43[[#This Row],[Find Process &amp; Database]]-1)</f>
        <v>D:\OneDrive - apollo-towers.com\Apollo Towers\00-</v>
      </c>
      <c r="BG335" s="104" t="str">
        <f ca="1">_05preva_view43[Folder Path1]&amp;"Process &amp; Database\Documentation\Colo Applications"</f>
        <v>D:\OneDrive - apollo-towers.com\Apollo Towers\00-Process &amp; Database\Documentation\Colo Applications</v>
      </c>
      <c r="BH335" s="104" t="str">
        <f ca="1">_05preva_view43[Folder Path2]&amp;"\Colo App "&amp;_05preva_view43[[#This Row],[Operator]]&amp;"\"</f>
        <v>D:\OneDrive - apollo-towers.com\Apollo Towers\00-Process &amp; Database\Documentation\Colo Applications\Colo App OML\</v>
      </c>
      <c r="BI335" s="63" t="str">
        <f ca="1">_05preva_view43[[#This Row],[Folder Path3]]&amp;_05preva_view43[[#This Row],[File Name]]</f>
        <v>D:\OneDrive - apollo-towers.com\Apollo Towers\00-Process &amp; Database\Documentation\Colo Applications\Colo App OML\ACAY_0102 (AYW5275) Application.xlsx</v>
      </c>
      <c r="BJ335" s="104"/>
      <c r="BK335" s="3"/>
      <c r="BL335" s="3"/>
      <c r="CJ335" s="5"/>
      <c r="CK335" s="5"/>
      <c r="CL335" s="3"/>
      <c r="CN335" s="5"/>
      <c r="CR335" s="3"/>
      <c r="CS335" s="3"/>
      <c r="CT335" s="5"/>
      <c r="CV335" s="3"/>
      <c r="DR335" s="5"/>
      <c r="DT335" s="3"/>
      <c r="EF335" s="7"/>
      <c r="EG335" s="7"/>
      <c r="EJ335" s="4"/>
      <c r="EK335" s="4"/>
      <c r="EU335" s="2"/>
      <c r="EV335" s="2"/>
    </row>
    <row r="336" spans="1:152">
      <c r="A336" s="125">
        <v>236</v>
      </c>
      <c r="B336" s="126" t="s">
        <v>771</v>
      </c>
      <c r="C336" s="126" t="s">
        <v>116</v>
      </c>
      <c r="D336" s="126" t="s">
        <v>117</v>
      </c>
      <c r="E336" s="126" t="s">
        <v>772</v>
      </c>
      <c r="F336" s="126" t="s">
        <v>40</v>
      </c>
      <c r="G336" s="126" t="s">
        <v>118</v>
      </c>
      <c r="H336" s="126"/>
      <c r="I336" s="126" t="s">
        <v>118</v>
      </c>
      <c r="J336" s="126"/>
      <c r="K336" s="127">
        <v>43250</v>
      </c>
      <c r="L336" s="128"/>
      <c r="M336" s="128">
        <v>3</v>
      </c>
      <c r="N336" s="126">
        <v>6</v>
      </c>
      <c r="O336" s="126" t="s">
        <v>119</v>
      </c>
      <c r="P336" s="129"/>
      <c r="Q336" s="129"/>
      <c r="R336" s="126" t="s">
        <v>24</v>
      </c>
      <c r="S336" s="126"/>
      <c r="T336" s="130" t="s">
        <v>120</v>
      </c>
      <c r="U336" s="126" t="s">
        <v>752</v>
      </c>
      <c r="V336" s="130" t="s">
        <v>120</v>
      </c>
      <c r="W336" s="126"/>
      <c r="X336" s="130" t="s">
        <v>120</v>
      </c>
      <c r="Y336" s="126" t="s">
        <v>120</v>
      </c>
      <c r="Z336" s="162" t="s">
        <v>120</v>
      </c>
      <c r="AA336" s="154"/>
      <c r="AB336" s="154"/>
      <c r="AC336" s="167" t="s">
        <v>123</v>
      </c>
      <c r="AD336" s="126"/>
      <c r="AE336" s="130" t="s">
        <v>120</v>
      </c>
      <c r="AF336" s="127" t="s">
        <v>241</v>
      </c>
      <c r="AG336" s="131"/>
      <c r="AH336" s="131">
        <v>3.5</v>
      </c>
      <c r="AI336" s="126" t="s">
        <v>387</v>
      </c>
      <c r="AJ336" s="130" t="s">
        <v>120</v>
      </c>
      <c r="AK336" s="126" t="s">
        <v>123</v>
      </c>
      <c r="AL336" s="126"/>
      <c r="AM336" s="130"/>
      <c r="AN336" s="126"/>
      <c r="AO336" s="132"/>
      <c r="AP336" s="126"/>
      <c r="AQ336" s="126"/>
      <c r="AR336" s="130"/>
      <c r="AS336" s="126"/>
      <c r="AT336" s="127"/>
      <c r="AU336" s="127">
        <v>43453.379079976898</v>
      </c>
      <c r="AV336" s="127"/>
      <c r="AW336" s="127"/>
      <c r="AX336" s="127"/>
      <c r="AY336" s="127"/>
      <c r="AZ336" s="133">
        <v>43250</v>
      </c>
      <c r="BA33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6" s="135">
        <f>COUNTIFS(_05preva_view43[Site ID],_05preva_view43[[#This Row],[Site ID]],_05preva_view43[Prevalidation Status],"Under Prevalidation")</f>
        <v>0</v>
      </c>
      <c r="BC336" s="153" t="str">
        <f ca="1">HYPERLINK(CheckPath(_05preva_view43[[#This Row],[File Path]],_05preva_view43[[#This Row],[File Path]],_05preva_view43[[#This Row],[Folder Path3]]),CheckPath(_05preva_view43[[#This Row],[File Path]],"Open File","No File"))</f>
        <v>No File</v>
      </c>
      <c r="BD336" s="136" t="str">
        <f>CONCATENATE(_05preva_view43[[#This Row],[Site ID]]," (",_05preva_view43[[#This Row],[tenant id]],") Application",IF(_05preva_view43[[#This Row],[Colo Rev]]&gt;0," Rev "&amp;_05preva_view43[[#This Row],[Colo Rev]],""),".xlsx")</f>
        <v>ASKH_3000 (KYW6046) Application.xlsx</v>
      </c>
      <c r="BE336" s="64">
        <f t="shared" ref="BE336:BE399" ca="1" si="7">FIND("Process &amp; Database\",CELL("filename",$A$1))</f>
        <v>50</v>
      </c>
      <c r="BF336" s="104" t="str">
        <f ca="1">LEFT(CELL("filename",A321),_05preva_view43[[#This Row],[Find Process &amp; Database]]-1)</f>
        <v>D:\OneDrive - apollo-towers.com\Apollo Towers\00-</v>
      </c>
      <c r="BG336" s="104" t="str">
        <f ca="1">_05preva_view43[Folder Path1]&amp;"Process &amp; Database\Documentation\Colo Applications"</f>
        <v>D:\OneDrive - apollo-towers.com\Apollo Towers\00-Process &amp; Database\Documentation\Colo Applications</v>
      </c>
      <c r="BH336" s="104" t="str">
        <f ca="1">_05preva_view43[Folder Path2]&amp;"\Colo App "&amp;_05preva_view43[[#This Row],[Operator]]&amp;"\"</f>
        <v>D:\OneDrive - apollo-towers.com\Apollo Towers\00-Process &amp; Database\Documentation\Colo Applications\Colo App OML\</v>
      </c>
      <c r="BI336" s="63" t="str">
        <f ca="1">_05preva_view43[[#This Row],[Folder Path3]]&amp;_05preva_view43[[#This Row],[File Name]]</f>
        <v>D:\OneDrive - apollo-towers.com\Apollo Towers\00-Process &amp; Database\Documentation\Colo Applications\Colo App OML\ASKH_3000 (KYW6046) Application.xlsx</v>
      </c>
      <c r="BJ336" s="104"/>
      <c r="BK336" s="3"/>
      <c r="BL336" s="3"/>
      <c r="CJ336" s="5"/>
      <c r="CK336" s="5"/>
      <c r="CL336" s="3"/>
      <c r="CN336" s="5"/>
      <c r="CR336" s="3"/>
      <c r="CS336" s="3"/>
      <c r="CT336" s="5"/>
      <c r="CV336" s="3"/>
      <c r="DR336" s="5"/>
      <c r="DT336" s="3"/>
      <c r="EF336" s="7"/>
      <c r="EG336" s="7"/>
      <c r="EJ336" s="4"/>
      <c r="EK336" s="4"/>
      <c r="EU336" s="2"/>
      <c r="EV336" s="2"/>
    </row>
    <row r="337" spans="1:152">
      <c r="A337" s="125">
        <v>237</v>
      </c>
      <c r="B337" s="126" t="s">
        <v>773</v>
      </c>
      <c r="C337" s="126" t="s">
        <v>116</v>
      </c>
      <c r="D337" s="126" t="s">
        <v>127</v>
      </c>
      <c r="E337" s="126" t="s">
        <v>774</v>
      </c>
      <c r="F337" s="126" t="s">
        <v>40</v>
      </c>
      <c r="G337" s="126" t="s">
        <v>1579</v>
      </c>
      <c r="H337" s="126" t="s">
        <v>1575</v>
      </c>
      <c r="I337" s="126" t="s">
        <v>118</v>
      </c>
      <c r="J337" s="126"/>
      <c r="K337" s="127">
        <v>43250</v>
      </c>
      <c r="L337" s="128"/>
      <c r="M337" s="128">
        <v>3</v>
      </c>
      <c r="N337" s="126">
        <v>6</v>
      </c>
      <c r="O337" s="126" t="s">
        <v>119</v>
      </c>
      <c r="P337" s="129"/>
      <c r="Q337" s="129"/>
      <c r="R337" s="126" t="s">
        <v>24</v>
      </c>
      <c r="S337" s="126"/>
      <c r="T337" s="130" t="s">
        <v>120</v>
      </c>
      <c r="U337" s="126" t="s">
        <v>738</v>
      </c>
      <c r="V337" s="130" t="s">
        <v>120</v>
      </c>
      <c r="W337" s="126"/>
      <c r="X337" s="130" t="s">
        <v>120</v>
      </c>
      <c r="Y337" s="126" t="s">
        <v>120</v>
      </c>
      <c r="Z337" s="162" t="s">
        <v>120</v>
      </c>
      <c r="AA337" s="154"/>
      <c r="AB337" s="154"/>
      <c r="AC337" s="167" t="s">
        <v>123</v>
      </c>
      <c r="AD337" s="126" t="s">
        <v>409</v>
      </c>
      <c r="AE337" s="130" t="s">
        <v>120</v>
      </c>
      <c r="AF337" s="127" t="s">
        <v>241</v>
      </c>
      <c r="AG337" s="131"/>
      <c r="AH337" s="131">
        <v>3.5</v>
      </c>
      <c r="AI337" s="126" t="s">
        <v>533</v>
      </c>
      <c r="AJ337" s="130" t="s">
        <v>120</v>
      </c>
      <c r="AK337" s="126" t="s">
        <v>123</v>
      </c>
      <c r="AL337" s="126" t="s">
        <v>768</v>
      </c>
      <c r="AM337" s="130"/>
      <c r="AN337" s="126"/>
      <c r="AO337" s="132"/>
      <c r="AP337" s="126"/>
      <c r="AQ337" s="126"/>
      <c r="AR337" s="130"/>
      <c r="AS337" s="126"/>
      <c r="AT337" s="127"/>
      <c r="AU337" s="127">
        <v>43453.379080787003</v>
      </c>
      <c r="AV337" s="127"/>
      <c r="AW337" s="127"/>
      <c r="AX337" s="127"/>
      <c r="AY337" s="127"/>
      <c r="AZ337" s="133">
        <v>43250</v>
      </c>
      <c r="BA33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7" s="135">
        <f>COUNTIFS(_05preva_view43[Site ID],_05preva_view43[[#This Row],[Site ID]],_05preva_view43[Prevalidation Status],"Under Prevalidation")</f>
        <v>0</v>
      </c>
      <c r="BC337" s="153" t="str">
        <f ca="1">HYPERLINK(CheckPath(_05preva_view43[[#This Row],[File Path]],_05preva_view43[[#This Row],[File Path]],_05preva_view43[[#This Row],[Folder Path3]]),CheckPath(_05preva_view43[[#This Row],[File Path]],"Open File","No File"))</f>
        <v>No File</v>
      </c>
      <c r="BD337" s="136" t="str">
        <f>CONCATENATE(_05preva_view43[[#This Row],[Site ID]]," (",_05preva_view43[[#This Row],[tenant id]],") Application",IF(_05preva_view43[[#This Row],[Colo Rev]]&gt;0," Rev "&amp;_05preva_view43[[#This Row],[Colo Rev]],""),".xlsx")</f>
        <v>ANSG_0348 (SAW0704) Application.xlsx</v>
      </c>
      <c r="BE337" s="64">
        <f t="shared" ca="1" si="7"/>
        <v>50</v>
      </c>
      <c r="BF337" s="104" t="str">
        <f ca="1">LEFT(CELL("filename",A322),_05preva_view43[[#This Row],[Find Process &amp; Database]]-1)</f>
        <v>D:\OneDrive - apollo-towers.com\Apollo Towers\00-</v>
      </c>
      <c r="BG337" s="104" t="str">
        <f ca="1">_05preva_view43[Folder Path1]&amp;"Process &amp; Database\Documentation\Colo Applications"</f>
        <v>D:\OneDrive - apollo-towers.com\Apollo Towers\00-Process &amp; Database\Documentation\Colo Applications</v>
      </c>
      <c r="BH337" s="104" t="str">
        <f ca="1">_05preva_view43[Folder Path2]&amp;"\Colo App "&amp;_05preva_view43[[#This Row],[Operator]]&amp;"\"</f>
        <v>D:\OneDrive - apollo-towers.com\Apollo Towers\00-Process &amp; Database\Documentation\Colo Applications\Colo App OML\</v>
      </c>
      <c r="BI337" s="63" t="str">
        <f ca="1">_05preva_view43[[#This Row],[Folder Path3]]&amp;_05preva_view43[[#This Row],[File Name]]</f>
        <v>D:\OneDrive - apollo-towers.com\Apollo Towers\00-Process &amp; Database\Documentation\Colo Applications\Colo App OML\ANSG_0348 (SAW0704) Application.xlsx</v>
      </c>
      <c r="BJ337" s="104"/>
      <c r="BK337" s="3"/>
      <c r="BL337" s="3"/>
      <c r="CJ337" s="5"/>
      <c r="CK337" s="5"/>
      <c r="CL337" s="3"/>
      <c r="CN337" s="5"/>
      <c r="CR337" s="3"/>
      <c r="CS337" s="3"/>
      <c r="CT337" s="5"/>
      <c r="CV337" s="3"/>
      <c r="DR337" s="5"/>
      <c r="DT337" s="3"/>
      <c r="EF337" s="7"/>
      <c r="EG337" s="7"/>
      <c r="EJ337" s="4"/>
      <c r="EK337" s="4"/>
      <c r="EU337" s="2"/>
      <c r="EV337" s="2"/>
    </row>
    <row r="338" spans="1:152">
      <c r="A338" s="125">
        <v>238</v>
      </c>
      <c r="B338" s="126" t="s">
        <v>775</v>
      </c>
      <c r="C338" s="126" t="s">
        <v>116</v>
      </c>
      <c r="D338" s="126" t="s">
        <v>127</v>
      </c>
      <c r="E338" s="126" t="s">
        <v>776</v>
      </c>
      <c r="F338" s="126" t="s">
        <v>40</v>
      </c>
      <c r="G338" s="126" t="s">
        <v>118</v>
      </c>
      <c r="H338" s="126"/>
      <c r="I338" s="126" t="s">
        <v>118</v>
      </c>
      <c r="J338" s="126"/>
      <c r="K338" s="127">
        <v>43250</v>
      </c>
      <c r="L338" s="128"/>
      <c r="M338" s="128">
        <v>3</v>
      </c>
      <c r="N338" s="126">
        <v>6</v>
      </c>
      <c r="O338" s="126" t="s">
        <v>119</v>
      </c>
      <c r="P338" s="129"/>
      <c r="Q338" s="129"/>
      <c r="R338" s="126" t="s">
        <v>27</v>
      </c>
      <c r="S338" s="126"/>
      <c r="T338" s="130" t="s">
        <v>120</v>
      </c>
      <c r="U338" s="126" t="s">
        <v>738</v>
      </c>
      <c r="V338" s="130" t="s">
        <v>125</v>
      </c>
      <c r="W338" s="126" t="s">
        <v>779</v>
      </c>
      <c r="X338" s="130" t="s">
        <v>120</v>
      </c>
      <c r="Y338" s="126" t="s">
        <v>120</v>
      </c>
      <c r="Z338" s="162" t="s">
        <v>120</v>
      </c>
      <c r="AA338" s="154"/>
      <c r="AB338" s="154"/>
      <c r="AC338" s="167" t="s">
        <v>123</v>
      </c>
      <c r="AD338" s="126"/>
      <c r="AE338" s="130" t="s">
        <v>125</v>
      </c>
      <c r="AF338" s="127"/>
      <c r="AG338" s="131"/>
      <c r="AH338" s="131"/>
      <c r="AI338" s="126" t="s">
        <v>778</v>
      </c>
      <c r="AJ338" s="130" t="s">
        <v>120</v>
      </c>
      <c r="AK338" s="126" t="s">
        <v>123</v>
      </c>
      <c r="AL338" s="126" t="s">
        <v>777</v>
      </c>
      <c r="AM338" s="130"/>
      <c r="AN338" s="126"/>
      <c r="AO338" s="132"/>
      <c r="AP338" s="126"/>
      <c r="AQ338" s="126"/>
      <c r="AR338" s="130"/>
      <c r="AS338" s="126"/>
      <c r="AT338" s="127"/>
      <c r="AU338" s="127"/>
      <c r="AV338" s="127"/>
      <c r="AW338" s="127"/>
      <c r="AX338" s="127"/>
      <c r="AY338" s="127"/>
      <c r="AZ338" s="133"/>
      <c r="BA33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8" s="135">
        <f>COUNTIFS(_05preva_view43[Site ID],_05preva_view43[[#This Row],[Site ID]],_05preva_view43[Prevalidation Status],"Under Prevalidation")</f>
        <v>0</v>
      </c>
      <c r="BC338" s="153" t="str">
        <f ca="1">HYPERLINK(CheckPath(_05preva_view43[[#This Row],[File Path]],_05preva_view43[[#This Row],[File Path]],_05preva_view43[[#This Row],[Folder Path3]]),CheckPath(_05preva_view43[[#This Row],[File Path]],"Open File","No File"))</f>
        <v>No File</v>
      </c>
      <c r="BD338" s="136" t="str">
        <f>CONCATENATE(_05preva_view43[[#This Row],[Site ID]]," (",_05preva_view43[[#This Row],[tenant id]],") Application",IF(_05preva_view43[[#This Row],[Colo Rev]]&gt;0," Rev "&amp;_05preva_view43[[#This Row],[Colo Rev]],""),".xlsx")</f>
        <v>ANMD_0154 (MAW2956) Application.xlsx</v>
      </c>
      <c r="BE338" s="64">
        <f t="shared" ca="1" si="7"/>
        <v>50</v>
      </c>
      <c r="BF338" s="104" t="str">
        <f ca="1">LEFT(CELL("filename",A323),_05preva_view43[[#This Row],[Find Process &amp; Database]]-1)</f>
        <v>D:\OneDrive - apollo-towers.com\Apollo Towers\00-</v>
      </c>
      <c r="BG338" s="104" t="str">
        <f ca="1">_05preva_view43[Folder Path1]&amp;"Process &amp; Database\Documentation\Colo Applications"</f>
        <v>D:\OneDrive - apollo-towers.com\Apollo Towers\00-Process &amp; Database\Documentation\Colo Applications</v>
      </c>
      <c r="BH338" s="104" t="str">
        <f ca="1">_05preva_view43[Folder Path2]&amp;"\Colo App "&amp;_05preva_view43[[#This Row],[Operator]]&amp;"\"</f>
        <v>D:\OneDrive - apollo-towers.com\Apollo Towers\00-Process &amp; Database\Documentation\Colo Applications\Colo App OML\</v>
      </c>
      <c r="BI338" s="63" t="str">
        <f ca="1">_05preva_view43[[#This Row],[Folder Path3]]&amp;_05preva_view43[[#This Row],[File Name]]</f>
        <v>D:\OneDrive - apollo-towers.com\Apollo Towers\00-Process &amp; Database\Documentation\Colo Applications\Colo App OML\ANMD_0154 (MAW2956) Application.xlsx</v>
      </c>
      <c r="BJ338" s="104"/>
      <c r="BK338" s="3"/>
      <c r="BL338" s="3"/>
      <c r="CJ338" s="5"/>
      <c r="CK338" s="5"/>
      <c r="CL338" s="3"/>
      <c r="CN338" s="5"/>
      <c r="CR338" s="3"/>
      <c r="CS338" s="3"/>
      <c r="CT338" s="5"/>
      <c r="CV338" s="3"/>
      <c r="DR338" s="5"/>
      <c r="DT338" s="3"/>
      <c r="EF338" s="7"/>
      <c r="EG338" s="7"/>
      <c r="EJ338" s="4"/>
      <c r="EK338" s="4"/>
      <c r="EU338" s="2"/>
      <c r="EV338" s="2"/>
    </row>
    <row r="339" spans="1:152">
      <c r="A339" s="125">
        <v>218</v>
      </c>
      <c r="B339" s="126" t="s">
        <v>709</v>
      </c>
      <c r="C339" s="126" t="s">
        <v>116</v>
      </c>
      <c r="D339" s="126" t="s">
        <v>117</v>
      </c>
      <c r="E339" s="126" t="s">
        <v>710</v>
      </c>
      <c r="F339" s="126" t="s">
        <v>34</v>
      </c>
      <c r="G339" s="126" t="s">
        <v>118</v>
      </c>
      <c r="H339" s="126"/>
      <c r="I339" s="126" t="s">
        <v>118</v>
      </c>
      <c r="J339" s="126"/>
      <c r="K339" s="127">
        <v>43245</v>
      </c>
      <c r="L339" s="128"/>
      <c r="M339" s="128">
        <v>2</v>
      </c>
      <c r="N339" s="126">
        <v>6</v>
      </c>
      <c r="O339" s="126" t="s">
        <v>119</v>
      </c>
      <c r="P339" s="129" t="s">
        <v>263</v>
      </c>
      <c r="Q339" s="129" t="s">
        <v>264</v>
      </c>
      <c r="R339" s="126" t="s">
        <v>26</v>
      </c>
      <c r="S339" s="126"/>
      <c r="T339" s="130" t="s">
        <v>120</v>
      </c>
      <c r="U339" s="126" t="s">
        <v>711</v>
      </c>
      <c r="V339" s="130" t="s">
        <v>125</v>
      </c>
      <c r="W339" s="126" t="s">
        <v>712</v>
      </c>
      <c r="X339" s="130" t="s">
        <v>120</v>
      </c>
      <c r="Y339" s="126" t="s">
        <v>120</v>
      </c>
      <c r="Z339" s="162" t="s">
        <v>125</v>
      </c>
      <c r="AA339" s="154"/>
      <c r="AB339" s="154"/>
      <c r="AC339" s="167" t="s">
        <v>123</v>
      </c>
      <c r="AD339" s="126" t="s">
        <v>439</v>
      </c>
      <c r="AE339" s="130"/>
      <c r="AF339" s="127"/>
      <c r="AG339" s="131"/>
      <c r="AH339" s="131"/>
      <c r="AI339" s="126"/>
      <c r="AJ339" s="130" t="s">
        <v>120</v>
      </c>
      <c r="AK339" s="126" t="s">
        <v>240</v>
      </c>
      <c r="AL339" s="126" t="s">
        <v>258</v>
      </c>
      <c r="AM339" s="130"/>
      <c r="AN339" s="126"/>
      <c r="AO339" s="132"/>
      <c r="AP339" s="126"/>
      <c r="AQ339" s="126"/>
      <c r="AR339" s="130"/>
      <c r="AS339" s="126"/>
      <c r="AT339" s="127"/>
      <c r="AU339" s="127"/>
      <c r="AV339" s="127"/>
      <c r="AW339" s="127"/>
      <c r="AX339" s="127"/>
      <c r="AY339" s="127"/>
      <c r="AZ339" s="133">
        <v>43245</v>
      </c>
      <c r="BA33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9" s="135">
        <f>COUNTIFS(_05preva_view43[Site ID],_05preva_view43[[#This Row],[Site ID]],_05preva_view43[Prevalidation Status],"Under Prevalidation")</f>
        <v>0</v>
      </c>
      <c r="BC339" s="153" t="str">
        <f ca="1">HYPERLINK(CheckPath(_05preva_view43[[#This Row],[File Path]],_05preva_view43[[#This Row],[File Path]],_05preva_view43[[#This Row],[Folder Path3]]),CheckPath(_05preva_view43[[#This Row],[File Path]],"Open File","No File"))</f>
        <v>No File</v>
      </c>
      <c r="BD339" s="136" t="str">
        <f>CONCATENATE(_05preva_view43[[#This Row],[Site ID]]," (",_05preva_view43[[#This Row],[tenant id]],") Application",IF(_05preva_view43[[#This Row],[Colo Rev]]&gt;0," Rev "&amp;_05preva_view43[[#This Row],[Colo Rev]],""),".xlsx")</f>
        <v>ANMG_0019 (MGY0017) Application.xlsx</v>
      </c>
      <c r="BE339" s="64">
        <f t="shared" ca="1" si="7"/>
        <v>50</v>
      </c>
      <c r="BF339" s="104" t="str">
        <f ca="1">LEFT(CELL("filename",A324),_05preva_view43[[#This Row],[Find Process &amp; Database]]-1)</f>
        <v>D:\OneDrive - apollo-towers.com\Apollo Towers\00-</v>
      </c>
      <c r="BG339" s="104" t="str">
        <f ca="1">_05preva_view43[Folder Path1]&amp;"Process &amp; Database\Documentation\Colo Applications"</f>
        <v>D:\OneDrive - apollo-towers.com\Apollo Towers\00-Process &amp; Database\Documentation\Colo Applications</v>
      </c>
      <c r="BH339" s="104" t="str">
        <f ca="1">_05preva_view43[Folder Path2]&amp;"\Colo App "&amp;_05preva_view43[[#This Row],[Operator]]&amp;"\"</f>
        <v>D:\OneDrive - apollo-towers.com\Apollo Towers\00-Process &amp; Database\Documentation\Colo Applications\Colo App Mytel\</v>
      </c>
      <c r="BI339" s="63" t="str">
        <f ca="1">_05preva_view43[[#This Row],[Folder Path3]]&amp;_05preva_view43[[#This Row],[File Name]]</f>
        <v>D:\OneDrive - apollo-towers.com\Apollo Towers\00-Process &amp; Database\Documentation\Colo Applications\Colo App Mytel\ANMG_0019 (MGY0017) Application.xlsx</v>
      </c>
      <c r="BJ339" s="104"/>
      <c r="BK339" s="3"/>
      <c r="BL339" s="3"/>
      <c r="CJ339" s="5"/>
      <c r="CK339" s="5"/>
      <c r="CL339" s="3"/>
      <c r="CN339" s="5"/>
      <c r="CR339" s="3"/>
      <c r="CS339" s="3"/>
      <c r="CT339" s="5"/>
      <c r="CV339" s="3"/>
      <c r="DR339" s="5"/>
      <c r="DT339" s="3"/>
      <c r="EF339" s="7"/>
      <c r="EG339" s="7"/>
      <c r="EJ339" s="4"/>
      <c r="EK339" s="4"/>
      <c r="EU339" s="2"/>
      <c r="EV339" s="2"/>
    </row>
    <row r="340" spans="1:152">
      <c r="A340" s="125">
        <v>219</v>
      </c>
      <c r="B340" s="126" t="s">
        <v>713</v>
      </c>
      <c r="C340" s="126" t="s">
        <v>116</v>
      </c>
      <c r="D340" s="126" t="s">
        <v>117</v>
      </c>
      <c r="E340" s="126" t="s">
        <v>714</v>
      </c>
      <c r="F340" s="126" t="s">
        <v>34</v>
      </c>
      <c r="G340" s="126"/>
      <c r="H340" s="126"/>
      <c r="I340" s="126"/>
      <c r="J340" s="126"/>
      <c r="K340" s="127">
        <v>43245</v>
      </c>
      <c r="L340" s="128"/>
      <c r="M340" s="128">
        <v>2</v>
      </c>
      <c r="N340" s="126">
        <v>6</v>
      </c>
      <c r="O340" s="126" t="s">
        <v>119</v>
      </c>
      <c r="P340" s="129" t="s">
        <v>264</v>
      </c>
      <c r="Q340" s="129" t="s">
        <v>350</v>
      </c>
      <c r="R340" s="126" t="s">
        <v>27</v>
      </c>
      <c r="S340" s="126"/>
      <c r="T340" s="130" t="s">
        <v>120</v>
      </c>
      <c r="U340" s="126" t="s">
        <v>711</v>
      </c>
      <c r="V340" s="130" t="s">
        <v>120</v>
      </c>
      <c r="W340" s="126"/>
      <c r="X340" s="130" t="s">
        <v>120</v>
      </c>
      <c r="Y340" s="126" t="s">
        <v>120</v>
      </c>
      <c r="Z340" s="162" t="s">
        <v>120</v>
      </c>
      <c r="AA340" s="154"/>
      <c r="AB340" s="154"/>
      <c r="AC340" s="167" t="s">
        <v>123</v>
      </c>
      <c r="AD340" s="126"/>
      <c r="AE340" s="130" t="s">
        <v>120</v>
      </c>
      <c r="AF340" s="127" t="s">
        <v>715</v>
      </c>
      <c r="AG340" s="131"/>
      <c r="AH340" s="131">
        <v>2</v>
      </c>
      <c r="AI340" s="126" t="s">
        <v>716</v>
      </c>
      <c r="AJ340" s="130" t="s">
        <v>120</v>
      </c>
      <c r="AK340" s="126" t="s">
        <v>123</v>
      </c>
      <c r="AL340" s="126"/>
      <c r="AM340" s="130"/>
      <c r="AN340" s="126"/>
      <c r="AO340" s="132"/>
      <c r="AP340" s="126"/>
      <c r="AQ340" s="126"/>
      <c r="AR340" s="130"/>
      <c r="AS340" s="126"/>
      <c r="AT340" s="127"/>
      <c r="AU340" s="127">
        <v>43453.3790689815</v>
      </c>
      <c r="AV340" s="127"/>
      <c r="AW340" s="127"/>
      <c r="AX340" s="127"/>
      <c r="AY340" s="127"/>
      <c r="AZ340" s="133">
        <v>43245</v>
      </c>
      <c r="BA34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0" s="135">
        <f>COUNTIFS(_05preva_view43[Site ID],_05preva_view43[[#This Row],[Site ID]],_05preva_view43[Prevalidation Status],"Under Prevalidation")</f>
        <v>0</v>
      </c>
      <c r="BC340" s="153" t="str">
        <f ca="1">HYPERLINK(CheckPath(_05preva_view43[[#This Row],[File Path]],_05preva_view43[[#This Row],[File Path]],_05preva_view43[[#This Row],[Folder Path3]]),CheckPath(_05preva_view43[[#This Row],[File Path]],"Open File","No File"))</f>
        <v>No File</v>
      </c>
      <c r="BD340" s="136" t="str">
        <f>CONCATENATE(_05preva_view43[[#This Row],[Site ID]]," (",_05preva_view43[[#This Row],[tenant id]],") Application",IF(_05preva_view43[[#This Row],[Colo Rev]]&gt;0," Rev "&amp;_05preva_view43[[#This Row],[Colo Rev]],""),".xlsx")</f>
        <v>ANMG_0058 (MGY0063) Application.xlsx</v>
      </c>
      <c r="BE340" s="64">
        <f t="shared" ca="1" si="7"/>
        <v>50</v>
      </c>
      <c r="BF340" s="104" t="str">
        <f ca="1">LEFT(CELL("filename",A325),_05preva_view43[[#This Row],[Find Process &amp; Database]]-1)</f>
        <v>D:\OneDrive - apollo-towers.com\Apollo Towers\00-</v>
      </c>
      <c r="BG340" s="104" t="str">
        <f ca="1">_05preva_view43[Folder Path1]&amp;"Process &amp; Database\Documentation\Colo Applications"</f>
        <v>D:\OneDrive - apollo-towers.com\Apollo Towers\00-Process &amp; Database\Documentation\Colo Applications</v>
      </c>
      <c r="BH340" s="104" t="str">
        <f ca="1">_05preva_view43[Folder Path2]&amp;"\Colo App "&amp;_05preva_view43[[#This Row],[Operator]]&amp;"\"</f>
        <v>D:\OneDrive - apollo-towers.com\Apollo Towers\00-Process &amp; Database\Documentation\Colo Applications\Colo App Mytel\</v>
      </c>
      <c r="BI340" s="63" t="str">
        <f ca="1">_05preva_view43[[#This Row],[Folder Path3]]&amp;_05preva_view43[[#This Row],[File Name]]</f>
        <v>D:\OneDrive - apollo-towers.com\Apollo Towers\00-Process &amp; Database\Documentation\Colo Applications\Colo App Mytel\ANMG_0058 (MGY0063) Application.xlsx</v>
      </c>
      <c r="BJ340" s="104"/>
      <c r="BK340" s="3"/>
      <c r="BL340" s="3"/>
      <c r="CJ340" s="5"/>
      <c r="CK340" s="5"/>
      <c r="CL340" s="3"/>
      <c r="CN340" s="5"/>
      <c r="CR340" s="3"/>
      <c r="CS340" s="3"/>
      <c r="CT340" s="5"/>
      <c r="CV340" s="3"/>
      <c r="DR340" s="5"/>
      <c r="DT340" s="3"/>
      <c r="EF340" s="7"/>
      <c r="EG340" s="7"/>
      <c r="EJ340" s="4"/>
      <c r="EK340" s="4"/>
      <c r="EU340" s="2"/>
      <c r="EV340" s="2"/>
    </row>
    <row r="341" spans="1:152">
      <c r="A341" s="125">
        <v>220</v>
      </c>
      <c r="B341" s="126" t="s">
        <v>717</v>
      </c>
      <c r="C341" s="126" t="s">
        <v>116</v>
      </c>
      <c r="D341" s="126" t="s">
        <v>117</v>
      </c>
      <c r="E341" s="126" t="s">
        <v>718</v>
      </c>
      <c r="F341" s="126" t="s">
        <v>34</v>
      </c>
      <c r="G341" s="126" t="s">
        <v>118</v>
      </c>
      <c r="H341" s="126"/>
      <c r="I341" s="126" t="s">
        <v>118</v>
      </c>
      <c r="J341" s="126"/>
      <c r="K341" s="127">
        <v>43245</v>
      </c>
      <c r="L341" s="128"/>
      <c r="M341" s="128">
        <v>2</v>
      </c>
      <c r="N341" s="126">
        <v>6</v>
      </c>
      <c r="O341" s="126" t="s">
        <v>119</v>
      </c>
      <c r="P341" s="129" t="s">
        <v>276</v>
      </c>
      <c r="Q341" s="129" t="s">
        <v>277</v>
      </c>
      <c r="R341" s="126" t="s">
        <v>26</v>
      </c>
      <c r="S341" s="126"/>
      <c r="T341" s="130" t="s">
        <v>120</v>
      </c>
      <c r="U341" s="126" t="s">
        <v>711</v>
      </c>
      <c r="V341" s="130" t="s">
        <v>144</v>
      </c>
      <c r="W341" s="126" t="s">
        <v>246</v>
      </c>
      <c r="X341" s="130" t="s">
        <v>120</v>
      </c>
      <c r="Y341" s="126" t="s">
        <v>719</v>
      </c>
      <c r="Z341" s="162" t="s">
        <v>120</v>
      </c>
      <c r="AA341" s="154"/>
      <c r="AB341" s="154"/>
      <c r="AC341" s="167" t="s">
        <v>123</v>
      </c>
      <c r="AD341" s="126"/>
      <c r="AE341" s="130"/>
      <c r="AF341" s="127"/>
      <c r="AG341" s="131"/>
      <c r="AH341" s="131"/>
      <c r="AI341" s="126"/>
      <c r="AJ341" s="130"/>
      <c r="AK341" s="126"/>
      <c r="AL341" s="126"/>
      <c r="AM341" s="130"/>
      <c r="AN341" s="126"/>
      <c r="AO341" s="132"/>
      <c r="AP341" s="126"/>
      <c r="AQ341" s="126"/>
      <c r="AR341" s="130"/>
      <c r="AS341" s="126"/>
      <c r="AT341" s="127"/>
      <c r="AU341" s="127"/>
      <c r="AV341" s="127"/>
      <c r="AW341" s="127"/>
      <c r="AX341" s="127"/>
      <c r="AY341" s="127"/>
      <c r="AZ341" s="133">
        <v>43245</v>
      </c>
      <c r="BA34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1" s="135">
        <f>COUNTIFS(_05preva_view43[Site ID],_05preva_view43[[#This Row],[Site ID]],_05preva_view43[Prevalidation Status],"Under Prevalidation")</f>
        <v>0</v>
      </c>
      <c r="BC341" s="153" t="str">
        <f ca="1">HYPERLINK(CheckPath(_05preva_view43[[#This Row],[File Path]],_05preva_view43[[#This Row],[File Path]],_05preva_view43[[#This Row],[Folder Path3]]),CheckPath(_05preva_view43[[#This Row],[File Path]],"Open File","No File"))</f>
        <v>No File</v>
      </c>
      <c r="BD341" s="136" t="str">
        <f>CONCATENATE(_05preva_view43[[#This Row],[Site ID]]," (",_05preva_view43[[#This Row],[tenant id]],") Application",IF(_05preva_view43[[#This Row],[Colo Rev]]&gt;0," Rev "&amp;_05preva_view43[[#This Row],[Colo Rev]],""),".xlsx")</f>
        <v>ANMG_0122 (MGY0103) Application.xlsx</v>
      </c>
      <c r="BE341" s="64">
        <f t="shared" ca="1" si="7"/>
        <v>50</v>
      </c>
      <c r="BF341" s="104" t="str">
        <f ca="1">LEFT(CELL("filename",A326),_05preva_view43[[#This Row],[Find Process &amp; Database]]-1)</f>
        <v>D:\OneDrive - apollo-towers.com\Apollo Towers\00-</v>
      </c>
      <c r="BG341" s="104" t="str">
        <f ca="1">_05preva_view43[Folder Path1]&amp;"Process &amp; Database\Documentation\Colo Applications"</f>
        <v>D:\OneDrive - apollo-towers.com\Apollo Towers\00-Process &amp; Database\Documentation\Colo Applications</v>
      </c>
      <c r="BH341" s="104" t="str">
        <f ca="1">_05preva_view43[Folder Path2]&amp;"\Colo App "&amp;_05preva_view43[[#This Row],[Operator]]&amp;"\"</f>
        <v>D:\OneDrive - apollo-towers.com\Apollo Towers\00-Process &amp; Database\Documentation\Colo Applications\Colo App Mytel\</v>
      </c>
      <c r="BI341" s="63" t="str">
        <f ca="1">_05preva_view43[[#This Row],[Folder Path3]]&amp;_05preva_view43[[#This Row],[File Name]]</f>
        <v>D:\OneDrive - apollo-towers.com\Apollo Towers\00-Process &amp; Database\Documentation\Colo Applications\Colo App Mytel\ANMG_0122 (MGY0103) Application.xlsx</v>
      </c>
      <c r="BJ341" s="104"/>
      <c r="BK341" s="3"/>
      <c r="BL341" s="3"/>
      <c r="CJ341" s="5"/>
      <c r="CK341" s="5"/>
      <c r="CL341" s="3"/>
      <c r="CN341" s="5"/>
      <c r="CR341" s="3"/>
      <c r="CS341" s="3"/>
      <c r="CT341" s="5"/>
      <c r="CV341" s="3"/>
      <c r="DR341" s="5"/>
      <c r="DT341" s="3"/>
      <c r="EF341" s="7"/>
      <c r="EG341" s="7"/>
      <c r="EJ341" s="4"/>
      <c r="EK341" s="4"/>
      <c r="EU341" s="2"/>
      <c r="EV341" s="2"/>
    </row>
    <row r="342" spans="1:152">
      <c r="A342" s="125">
        <v>221</v>
      </c>
      <c r="B342" s="126" t="s">
        <v>720</v>
      </c>
      <c r="C342" s="126" t="s">
        <v>116</v>
      </c>
      <c r="D342" s="126" t="s">
        <v>117</v>
      </c>
      <c r="E342" s="126" t="s">
        <v>721</v>
      </c>
      <c r="F342" s="126" t="s">
        <v>34</v>
      </c>
      <c r="G342" s="126" t="s">
        <v>1574</v>
      </c>
      <c r="H342" s="126" t="s">
        <v>1575</v>
      </c>
      <c r="I342" s="126" t="s">
        <v>118</v>
      </c>
      <c r="J342" s="126"/>
      <c r="K342" s="127">
        <v>43245</v>
      </c>
      <c r="L342" s="128"/>
      <c r="M342" s="128">
        <v>2</v>
      </c>
      <c r="N342" s="126">
        <v>6</v>
      </c>
      <c r="O342" s="126" t="s">
        <v>119</v>
      </c>
      <c r="P342" s="129" t="s">
        <v>263</v>
      </c>
      <c r="Q342" s="129" t="s">
        <v>264</v>
      </c>
      <c r="R342" s="126" t="s">
        <v>24</v>
      </c>
      <c r="S342" s="126"/>
      <c r="T342" s="130" t="s">
        <v>120</v>
      </c>
      <c r="U342" s="126" t="s">
        <v>711</v>
      </c>
      <c r="V342" s="130" t="s">
        <v>120</v>
      </c>
      <c r="W342" s="126"/>
      <c r="X342" s="130" t="s">
        <v>120</v>
      </c>
      <c r="Y342" s="126" t="s">
        <v>120</v>
      </c>
      <c r="Z342" s="162" t="s">
        <v>120</v>
      </c>
      <c r="AA342" s="154"/>
      <c r="AB342" s="154"/>
      <c r="AC342" s="167" t="s">
        <v>123</v>
      </c>
      <c r="AD342" s="126"/>
      <c r="AE342" s="130" t="s">
        <v>120</v>
      </c>
      <c r="AF342" s="127" t="s">
        <v>722</v>
      </c>
      <c r="AG342" s="131"/>
      <c r="AH342" s="131">
        <v>1.5</v>
      </c>
      <c r="AI342" s="126" t="s">
        <v>723</v>
      </c>
      <c r="AJ342" s="130" t="s">
        <v>120</v>
      </c>
      <c r="AK342" s="126" t="s">
        <v>123</v>
      </c>
      <c r="AL342" s="126"/>
      <c r="AM342" s="130"/>
      <c r="AN342" s="126"/>
      <c r="AO342" s="132"/>
      <c r="AP342" s="126"/>
      <c r="AQ342" s="126"/>
      <c r="AR342" s="130"/>
      <c r="AS342" s="126"/>
      <c r="AT342" s="127"/>
      <c r="AU342" s="127">
        <v>43453.379071064803</v>
      </c>
      <c r="AV342" s="127"/>
      <c r="AW342" s="127"/>
      <c r="AX342" s="127"/>
      <c r="AY342" s="127"/>
      <c r="AZ342" s="133">
        <v>43245</v>
      </c>
      <c r="BA34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2" s="135">
        <f>COUNTIFS(_05preva_view43[Site ID],_05preva_view43[[#This Row],[Site ID]],_05preva_view43[Prevalidation Status],"Under Prevalidation")</f>
        <v>0</v>
      </c>
      <c r="BC342" s="153" t="str">
        <f ca="1">HYPERLINK(CheckPath(_05preva_view43[[#This Row],[File Path]],_05preva_view43[[#This Row],[File Path]],_05preva_view43[[#This Row],[Folder Path3]]),CheckPath(_05preva_view43[[#This Row],[File Path]],"Open File","No File"))</f>
        <v>No File</v>
      </c>
      <c r="BD342" s="136" t="str">
        <f>CONCATENATE(_05preva_view43[[#This Row],[Site ID]]," (",_05preva_view43[[#This Row],[tenant id]],") Application",IF(_05preva_view43[[#This Row],[Colo Rev]]&gt;0," Rev "&amp;_05preva_view43[[#This Row],[Colo Rev]],""),".xlsx")</f>
        <v>ANNP_0391 (NPW0266) Application.xlsx</v>
      </c>
      <c r="BE342" s="64">
        <f t="shared" ca="1" si="7"/>
        <v>50</v>
      </c>
      <c r="BF342" s="104" t="str">
        <f ca="1">LEFT(CELL("filename",A327),_05preva_view43[[#This Row],[Find Process &amp; Database]]-1)</f>
        <v>D:\OneDrive - apollo-towers.com\Apollo Towers\00-</v>
      </c>
      <c r="BG342" s="104" t="str">
        <f ca="1">_05preva_view43[Folder Path1]&amp;"Process &amp; Database\Documentation\Colo Applications"</f>
        <v>D:\OneDrive - apollo-towers.com\Apollo Towers\00-Process &amp; Database\Documentation\Colo Applications</v>
      </c>
      <c r="BH342" s="104" t="str">
        <f ca="1">_05preva_view43[Folder Path2]&amp;"\Colo App "&amp;_05preva_view43[[#This Row],[Operator]]&amp;"\"</f>
        <v>D:\OneDrive - apollo-towers.com\Apollo Towers\00-Process &amp; Database\Documentation\Colo Applications\Colo App Mytel\</v>
      </c>
      <c r="BI342" s="63" t="str">
        <f ca="1">_05preva_view43[[#This Row],[Folder Path3]]&amp;_05preva_view43[[#This Row],[File Name]]</f>
        <v>D:\OneDrive - apollo-towers.com\Apollo Towers\00-Process &amp; Database\Documentation\Colo Applications\Colo App Mytel\ANNP_0391 (NPW0266) Application.xlsx</v>
      </c>
      <c r="BJ342" s="104"/>
      <c r="BK342" s="3"/>
      <c r="BL342" s="3"/>
      <c r="CJ342" s="5"/>
      <c r="CK342" s="5"/>
      <c r="CL342" s="3"/>
      <c r="CN342" s="5"/>
      <c r="CR342" s="3"/>
      <c r="CS342" s="3"/>
      <c r="CT342" s="5"/>
      <c r="CV342" s="3"/>
      <c r="DR342" s="5"/>
      <c r="DT342" s="3"/>
      <c r="EF342" s="7"/>
      <c r="EG342" s="7"/>
      <c r="EJ342" s="4"/>
      <c r="EK342" s="4"/>
      <c r="EU342" s="2"/>
      <c r="EV342" s="2"/>
    </row>
    <row r="343" spans="1:152">
      <c r="A343" s="125">
        <v>222</v>
      </c>
      <c r="B343" s="126" t="s">
        <v>724</v>
      </c>
      <c r="C343" s="126" t="s">
        <v>116</v>
      </c>
      <c r="D343" s="126" t="s">
        <v>117</v>
      </c>
      <c r="E343" s="126" t="s">
        <v>725</v>
      </c>
      <c r="F343" s="126" t="s">
        <v>34</v>
      </c>
      <c r="G343" s="126" t="s">
        <v>118</v>
      </c>
      <c r="H343" s="126"/>
      <c r="I343" s="126" t="s">
        <v>118</v>
      </c>
      <c r="J343" s="126"/>
      <c r="K343" s="127">
        <v>43245</v>
      </c>
      <c r="L343" s="128"/>
      <c r="M343" s="128">
        <v>2</v>
      </c>
      <c r="N343" s="126">
        <v>6</v>
      </c>
      <c r="O343" s="126" t="s">
        <v>119</v>
      </c>
      <c r="P343" s="129" t="s">
        <v>263</v>
      </c>
      <c r="Q343" s="129" t="s">
        <v>264</v>
      </c>
      <c r="R343" s="126" t="s">
        <v>26</v>
      </c>
      <c r="S343" s="126"/>
      <c r="T343" s="130" t="s">
        <v>120</v>
      </c>
      <c r="U343" s="126" t="s">
        <v>711</v>
      </c>
      <c r="V343" s="130" t="s">
        <v>144</v>
      </c>
      <c r="W343" s="126" t="s">
        <v>726</v>
      </c>
      <c r="X343" s="130" t="s">
        <v>120</v>
      </c>
      <c r="Y343" s="126" t="s">
        <v>120</v>
      </c>
      <c r="Z343" s="162" t="s">
        <v>120</v>
      </c>
      <c r="AA343" s="154"/>
      <c r="AB343" s="154"/>
      <c r="AC343" s="167" t="s">
        <v>123</v>
      </c>
      <c r="AD343" s="126"/>
      <c r="AE343" s="130"/>
      <c r="AF343" s="127"/>
      <c r="AG343" s="131"/>
      <c r="AH343" s="131"/>
      <c r="AI343" s="126"/>
      <c r="AJ343" s="130" t="s">
        <v>120</v>
      </c>
      <c r="AK343" s="126" t="s">
        <v>123</v>
      </c>
      <c r="AL343" s="126"/>
      <c r="AM343" s="130"/>
      <c r="AN343" s="126"/>
      <c r="AO343" s="132"/>
      <c r="AP343" s="126"/>
      <c r="AQ343" s="126"/>
      <c r="AR343" s="130"/>
      <c r="AS343" s="126"/>
      <c r="AT343" s="127"/>
      <c r="AU343" s="127"/>
      <c r="AV343" s="127"/>
      <c r="AW343" s="127"/>
      <c r="AX343" s="127"/>
      <c r="AY343" s="127"/>
      <c r="AZ343" s="133">
        <v>43245</v>
      </c>
      <c r="BA34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3" s="135">
        <f>COUNTIFS(_05preva_view43[Site ID],_05preva_view43[[#This Row],[Site ID]],_05preva_view43[Prevalidation Status],"Under Prevalidation")</f>
        <v>0</v>
      </c>
      <c r="BC343" s="153" t="str">
        <f ca="1">HYPERLINK(CheckPath(_05preva_view43[[#This Row],[File Path]],_05preva_view43[[#This Row],[File Path]],_05preva_view43[[#This Row],[Folder Path3]]),CheckPath(_05preva_view43[[#This Row],[File Path]],"Open File","No File"))</f>
        <v>No File</v>
      </c>
      <c r="BD343" s="136" t="str">
        <f>CONCATENATE(_05preva_view43[[#This Row],[Site ID]]," (",_05preva_view43[[#This Row],[tenant id]],") Application",IF(_05preva_view43[[#This Row],[Colo Rev]]&gt;0," Rev "&amp;_05preva_view43[[#This Row],[Colo Rev]],""),".xlsx")</f>
        <v>ANNP_0226 (NPW0268) Application.xlsx</v>
      </c>
      <c r="BE343" s="64">
        <f t="shared" ca="1" si="7"/>
        <v>50</v>
      </c>
      <c r="BF343" s="104" t="str">
        <f ca="1">LEFT(CELL("filename",A328),_05preva_view43[[#This Row],[Find Process &amp; Database]]-1)</f>
        <v>D:\OneDrive - apollo-towers.com\Apollo Towers\00-</v>
      </c>
      <c r="BG343" s="104" t="str">
        <f ca="1">_05preva_view43[Folder Path1]&amp;"Process &amp; Database\Documentation\Colo Applications"</f>
        <v>D:\OneDrive - apollo-towers.com\Apollo Towers\00-Process &amp; Database\Documentation\Colo Applications</v>
      </c>
      <c r="BH343" s="104" t="str">
        <f ca="1">_05preva_view43[Folder Path2]&amp;"\Colo App "&amp;_05preva_view43[[#This Row],[Operator]]&amp;"\"</f>
        <v>D:\OneDrive - apollo-towers.com\Apollo Towers\00-Process &amp; Database\Documentation\Colo Applications\Colo App Mytel\</v>
      </c>
      <c r="BI343" s="63" t="str">
        <f ca="1">_05preva_view43[[#This Row],[Folder Path3]]&amp;_05preva_view43[[#This Row],[File Name]]</f>
        <v>D:\OneDrive - apollo-towers.com\Apollo Towers\00-Process &amp; Database\Documentation\Colo Applications\Colo App Mytel\ANNP_0226 (NPW0268) Application.xlsx</v>
      </c>
      <c r="BJ343" s="104"/>
      <c r="BK343" s="3"/>
      <c r="BL343" s="3"/>
      <c r="CJ343" s="5"/>
      <c r="CK343" s="5"/>
      <c r="CL343" s="3"/>
      <c r="CN343" s="5"/>
      <c r="CR343" s="3"/>
      <c r="CS343" s="3"/>
      <c r="CT343" s="5"/>
      <c r="CV343" s="3"/>
      <c r="DR343" s="5"/>
      <c r="DT343" s="3"/>
      <c r="EF343" s="7"/>
      <c r="EG343" s="7"/>
      <c r="EJ343" s="4"/>
      <c r="EK343" s="4"/>
      <c r="EU343" s="2"/>
      <c r="EV343" s="2"/>
    </row>
    <row r="344" spans="1:152">
      <c r="A344" s="125">
        <v>223</v>
      </c>
      <c r="B344" s="126" t="s">
        <v>727</v>
      </c>
      <c r="C344" s="126" t="s">
        <v>116</v>
      </c>
      <c r="D344" s="126" t="s">
        <v>117</v>
      </c>
      <c r="E344" s="126" t="s">
        <v>728</v>
      </c>
      <c r="F344" s="126" t="s">
        <v>34</v>
      </c>
      <c r="G344" s="126"/>
      <c r="H344" s="126"/>
      <c r="I344" s="126"/>
      <c r="J344" s="126"/>
      <c r="K344" s="127">
        <v>43245</v>
      </c>
      <c r="L344" s="128"/>
      <c r="M344" s="128">
        <v>2</v>
      </c>
      <c r="N344" s="126">
        <v>6</v>
      </c>
      <c r="O344" s="126" t="s">
        <v>119</v>
      </c>
      <c r="P344" s="129" t="s">
        <v>263</v>
      </c>
      <c r="Q344" s="129" t="s">
        <v>264</v>
      </c>
      <c r="R344" s="126" t="s">
        <v>27</v>
      </c>
      <c r="S344" s="126"/>
      <c r="T344" s="130" t="s">
        <v>120</v>
      </c>
      <c r="U344" s="126" t="s">
        <v>711</v>
      </c>
      <c r="V344" s="130" t="s">
        <v>120</v>
      </c>
      <c r="W344" s="126"/>
      <c r="X344" s="130" t="s">
        <v>120</v>
      </c>
      <c r="Y344" s="126" t="s">
        <v>120</v>
      </c>
      <c r="Z344" s="162" t="s">
        <v>120</v>
      </c>
      <c r="AA344" s="154"/>
      <c r="AB344" s="154"/>
      <c r="AC344" s="167" t="s">
        <v>123</v>
      </c>
      <c r="AD344" s="126"/>
      <c r="AE344" s="130" t="s">
        <v>125</v>
      </c>
      <c r="AF344" s="127" t="s">
        <v>729</v>
      </c>
      <c r="AG344" s="131"/>
      <c r="AH344" s="131">
        <v>2</v>
      </c>
      <c r="AI344" s="126" t="s">
        <v>730</v>
      </c>
      <c r="AJ344" s="130"/>
      <c r="AK344" s="126" t="s">
        <v>240</v>
      </c>
      <c r="AL344" s="126" t="s">
        <v>470</v>
      </c>
      <c r="AM344" s="130"/>
      <c r="AN344" s="126"/>
      <c r="AO344" s="132"/>
      <c r="AP344" s="126"/>
      <c r="AQ344" s="126"/>
      <c r="AR344" s="130"/>
      <c r="AS344" s="126"/>
      <c r="AT344" s="127"/>
      <c r="AU344" s="127"/>
      <c r="AV344" s="127"/>
      <c r="AW344" s="127"/>
      <c r="AX344" s="127"/>
      <c r="AY344" s="127"/>
      <c r="AZ344" s="133">
        <v>43245</v>
      </c>
      <c r="BA34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4" s="135">
        <f>COUNTIFS(_05preva_view43[Site ID],_05preva_view43[[#This Row],[Site ID]],_05preva_view43[Prevalidation Status],"Under Prevalidation")</f>
        <v>0</v>
      </c>
      <c r="BC344" s="153" t="str">
        <f ca="1">HYPERLINK(CheckPath(_05preva_view43[[#This Row],[File Path]],_05preva_view43[[#This Row],[File Path]],_05preva_view43[[#This Row],[Folder Path3]]),CheckPath(_05preva_view43[[#This Row],[File Path]],"Open File","No File"))</f>
        <v>No File</v>
      </c>
      <c r="BD344" s="136" t="str">
        <f>CONCATENATE(_05preva_view43[[#This Row],[Site ID]]," (",_05preva_view43[[#This Row],[tenant id]],") Application",IF(_05preva_view43[[#This Row],[Colo Rev]]&gt;0," Rev "&amp;_05preva_view43[[#This Row],[Colo Rev]],""),".xlsx")</f>
        <v>ANNP_0210 (NPW0269) Application.xlsx</v>
      </c>
      <c r="BE344" s="64">
        <f t="shared" ca="1" si="7"/>
        <v>50</v>
      </c>
      <c r="BF344" s="104" t="str">
        <f ca="1">LEFT(CELL("filename",A329),_05preva_view43[[#This Row],[Find Process &amp; Database]]-1)</f>
        <v>D:\OneDrive - apollo-towers.com\Apollo Towers\00-</v>
      </c>
      <c r="BG344" s="104" t="str">
        <f ca="1">_05preva_view43[Folder Path1]&amp;"Process &amp; Database\Documentation\Colo Applications"</f>
        <v>D:\OneDrive - apollo-towers.com\Apollo Towers\00-Process &amp; Database\Documentation\Colo Applications</v>
      </c>
      <c r="BH344" s="104" t="str">
        <f ca="1">_05preva_view43[Folder Path2]&amp;"\Colo App "&amp;_05preva_view43[[#This Row],[Operator]]&amp;"\"</f>
        <v>D:\OneDrive - apollo-towers.com\Apollo Towers\00-Process &amp; Database\Documentation\Colo Applications\Colo App Mytel\</v>
      </c>
      <c r="BI344" s="63" t="str">
        <f ca="1">_05preva_view43[[#This Row],[Folder Path3]]&amp;_05preva_view43[[#This Row],[File Name]]</f>
        <v>D:\OneDrive - apollo-towers.com\Apollo Towers\00-Process &amp; Database\Documentation\Colo Applications\Colo App Mytel\ANNP_0210 (NPW0269) Application.xlsx</v>
      </c>
      <c r="BJ344" s="104"/>
      <c r="BK344" s="3"/>
      <c r="BL344" s="3"/>
      <c r="CJ344" s="5"/>
      <c r="CK344" s="5"/>
      <c r="CL344" s="3"/>
      <c r="CN344" s="5"/>
      <c r="CR344" s="3"/>
      <c r="CS344" s="3"/>
      <c r="CT344" s="5"/>
      <c r="CV344" s="3"/>
      <c r="DR344" s="5"/>
      <c r="DT344" s="3"/>
      <c r="EF344" s="7"/>
      <c r="EG344" s="7"/>
      <c r="EJ344" s="4"/>
      <c r="EK344" s="4"/>
      <c r="EU344" s="2"/>
      <c r="EV344" s="2"/>
    </row>
    <row r="345" spans="1:152">
      <c r="A345" s="125">
        <v>224</v>
      </c>
      <c r="B345" s="126" t="s">
        <v>731</v>
      </c>
      <c r="C345" s="126" t="s">
        <v>116</v>
      </c>
      <c r="D345" s="126" t="s">
        <v>127</v>
      </c>
      <c r="E345" s="126" t="s">
        <v>732</v>
      </c>
      <c r="F345" s="126" t="s">
        <v>34</v>
      </c>
      <c r="G345" s="126" t="s">
        <v>1574</v>
      </c>
      <c r="H345" s="126" t="s">
        <v>1580</v>
      </c>
      <c r="I345" s="126" t="s">
        <v>118</v>
      </c>
      <c r="J345" s="126"/>
      <c r="K345" s="127">
        <v>43245</v>
      </c>
      <c r="L345" s="128"/>
      <c r="M345" s="128">
        <v>2</v>
      </c>
      <c r="N345" s="126">
        <v>6</v>
      </c>
      <c r="O345" s="126" t="s">
        <v>119</v>
      </c>
      <c r="P345" s="129" t="s">
        <v>276</v>
      </c>
      <c r="Q345" s="129" t="s">
        <v>277</v>
      </c>
      <c r="R345" s="126" t="s">
        <v>24</v>
      </c>
      <c r="S345" s="126"/>
      <c r="T345" s="130" t="s">
        <v>120</v>
      </c>
      <c r="U345" s="126" t="s">
        <v>711</v>
      </c>
      <c r="V345" s="130" t="s">
        <v>120</v>
      </c>
      <c r="W345" s="126"/>
      <c r="X345" s="130" t="s">
        <v>120</v>
      </c>
      <c r="Y345" s="126" t="s">
        <v>120</v>
      </c>
      <c r="Z345" s="162" t="s">
        <v>120</v>
      </c>
      <c r="AA345" s="154"/>
      <c r="AB345" s="154"/>
      <c r="AC345" s="167" t="s">
        <v>123</v>
      </c>
      <c r="AD345" s="126"/>
      <c r="AE345" s="130" t="s">
        <v>861</v>
      </c>
      <c r="AF345" s="127" t="s">
        <v>346</v>
      </c>
      <c r="AG345" s="131"/>
      <c r="AH345" s="131">
        <v>2</v>
      </c>
      <c r="AI345" s="126" t="s">
        <v>733</v>
      </c>
      <c r="AJ345" s="130" t="s">
        <v>120</v>
      </c>
      <c r="AK345" s="126" t="s">
        <v>123</v>
      </c>
      <c r="AL345" s="126"/>
      <c r="AM345" s="130" t="s">
        <v>861</v>
      </c>
      <c r="AN345" s="126"/>
      <c r="AO345" s="132"/>
      <c r="AP345" s="126" t="s">
        <v>861</v>
      </c>
      <c r="AQ345" s="126"/>
      <c r="AR345" s="130" t="s">
        <v>120</v>
      </c>
      <c r="AS345" s="126"/>
      <c r="AT345" s="127">
        <v>43417.622353009298</v>
      </c>
      <c r="AU345" s="127"/>
      <c r="AV345" s="127">
        <v>43417.680085648099</v>
      </c>
      <c r="AW345" s="127">
        <v>43417.71125</v>
      </c>
      <c r="AX345" s="127">
        <v>43417.688151388902</v>
      </c>
      <c r="AY345" s="127">
        <v>43417.684578588</v>
      </c>
      <c r="AZ345" s="133">
        <v>43454.726609722202</v>
      </c>
      <c r="BA345" s="134">
        <f ca="1">IF(_05preva_view43[[#This Row],[Prevalidation Status]]="Under Prevalidation",NOW()-_05preva_view43[[#This Row],[Request Date]],IF(_05preva_view43[[#This Row],[Close Date]]&gt;_05preva_view43[[#This Row],[Request Date]],_05preva_view43[[#This Row],[Close Date]]-_05preva_view43[[#This Row],[Request Date]],"Not  Calculated"))</f>
        <v>209.72660972220183</v>
      </c>
      <c r="BB345" s="135">
        <f>COUNTIFS(_05preva_view43[Site ID],_05preva_view43[[#This Row],[Site ID]],_05preva_view43[Prevalidation Status],"Under Prevalidation")</f>
        <v>0</v>
      </c>
      <c r="BC345" s="153" t="str">
        <f ca="1">HYPERLINK(CheckPath(_05preva_view43[[#This Row],[File Path]],_05preva_view43[[#This Row],[File Path]],_05preva_view43[[#This Row],[Folder Path3]]),CheckPath(_05preva_view43[[#This Row],[File Path]],"Open File","No File"))</f>
        <v>No File</v>
      </c>
      <c r="BD345" s="136" t="str">
        <f>CONCATENATE(_05preva_view43[[#This Row],[Site ID]]," (",_05preva_view43[[#This Row],[tenant id]],") Application",IF(_05preva_view43[[#This Row],[Colo Rev]]&gt;0," Rev "&amp;_05preva_view43[[#This Row],[Colo Rev]],""),".xlsx")</f>
        <v>ANSG_0373 (SGG0992) Application.xlsx</v>
      </c>
      <c r="BE345" s="64">
        <f t="shared" ca="1" si="7"/>
        <v>50</v>
      </c>
      <c r="BF345" s="104" t="str">
        <f ca="1">LEFT(CELL("filename",A330),_05preva_view43[[#This Row],[Find Process &amp; Database]]-1)</f>
        <v>D:\OneDrive - apollo-towers.com\Apollo Towers\00-</v>
      </c>
      <c r="BG345" s="104" t="str">
        <f ca="1">_05preva_view43[Folder Path1]&amp;"Process &amp; Database\Documentation\Colo Applications"</f>
        <v>D:\OneDrive - apollo-towers.com\Apollo Towers\00-Process &amp; Database\Documentation\Colo Applications</v>
      </c>
      <c r="BH345" s="104" t="str">
        <f ca="1">_05preva_view43[Folder Path2]&amp;"\Colo App "&amp;_05preva_view43[[#This Row],[Operator]]&amp;"\"</f>
        <v>D:\OneDrive - apollo-towers.com\Apollo Towers\00-Process &amp; Database\Documentation\Colo Applications\Colo App Mytel\</v>
      </c>
      <c r="BI345" s="63" t="str">
        <f ca="1">_05preva_view43[[#This Row],[Folder Path3]]&amp;_05preva_view43[[#This Row],[File Name]]</f>
        <v>D:\OneDrive - apollo-towers.com\Apollo Towers\00-Process &amp; Database\Documentation\Colo Applications\Colo App Mytel\ANSG_0373 (SGG0992) Application.xlsx</v>
      </c>
      <c r="BJ345" s="104"/>
      <c r="BK345" s="3"/>
      <c r="BL345" s="3"/>
      <c r="CJ345" s="5"/>
      <c r="CK345" s="5"/>
      <c r="CL345" s="3"/>
      <c r="CN345" s="5"/>
      <c r="CR345" s="3"/>
      <c r="CS345" s="3"/>
      <c r="CT345" s="5"/>
      <c r="CV345" s="3"/>
      <c r="DR345" s="5"/>
      <c r="DT345" s="3"/>
      <c r="EF345" s="7"/>
      <c r="EG345" s="7"/>
      <c r="EJ345" s="4"/>
      <c r="EK345" s="4"/>
      <c r="EU345" s="2"/>
      <c r="EV345" s="2"/>
    </row>
    <row r="346" spans="1:152">
      <c r="A346" s="125">
        <v>217</v>
      </c>
      <c r="B346" s="126" t="s">
        <v>702</v>
      </c>
      <c r="C346" s="126" t="s">
        <v>116</v>
      </c>
      <c r="D346" s="126" t="s">
        <v>117</v>
      </c>
      <c r="E346" s="126" t="s">
        <v>703</v>
      </c>
      <c r="F346" s="126" t="s">
        <v>35</v>
      </c>
      <c r="G346" s="126" t="s">
        <v>1577</v>
      </c>
      <c r="H346" s="126" t="s">
        <v>1575</v>
      </c>
      <c r="I346" s="126" t="s">
        <v>118</v>
      </c>
      <c r="J346" s="126"/>
      <c r="K346" s="127">
        <v>43237</v>
      </c>
      <c r="L346" s="128"/>
      <c r="M346" s="128">
        <v>1.3</v>
      </c>
      <c r="N346" s="126">
        <v>1</v>
      </c>
      <c r="O346" s="126" t="s">
        <v>119</v>
      </c>
      <c r="P346" s="129" t="s">
        <v>704</v>
      </c>
      <c r="Q346" s="129" t="s">
        <v>705</v>
      </c>
      <c r="R346" s="126" t="s">
        <v>24</v>
      </c>
      <c r="S346" s="126"/>
      <c r="T346" s="130" t="s">
        <v>120</v>
      </c>
      <c r="U346" s="126" t="s">
        <v>706</v>
      </c>
      <c r="V346" s="130" t="s">
        <v>120</v>
      </c>
      <c r="W346" s="126"/>
      <c r="X346" s="130" t="s">
        <v>120</v>
      </c>
      <c r="Y346" s="126"/>
      <c r="Z346" s="162" t="s">
        <v>120</v>
      </c>
      <c r="AA346" s="154"/>
      <c r="AB346" s="154"/>
      <c r="AC346" s="167" t="s">
        <v>123</v>
      </c>
      <c r="AD346" s="126"/>
      <c r="AE346" s="130" t="s">
        <v>120</v>
      </c>
      <c r="AF346" s="127" t="s">
        <v>707</v>
      </c>
      <c r="AG346" s="131"/>
      <c r="AH346" s="131">
        <v>2</v>
      </c>
      <c r="AI346" s="126" t="s">
        <v>708</v>
      </c>
      <c r="AJ346" s="130" t="s">
        <v>120</v>
      </c>
      <c r="AK346" s="126" t="s">
        <v>123</v>
      </c>
      <c r="AL346" s="126"/>
      <c r="AM346" s="130"/>
      <c r="AN346" s="126"/>
      <c r="AO346" s="132"/>
      <c r="AP346" s="126"/>
      <c r="AQ346" s="126"/>
      <c r="AR346" s="130"/>
      <c r="AS346" s="126"/>
      <c r="AT346" s="127"/>
      <c r="AU346" s="127">
        <v>43453.379067592599</v>
      </c>
      <c r="AV346" s="127"/>
      <c r="AW346" s="127"/>
      <c r="AX346" s="127"/>
      <c r="AY346" s="127"/>
      <c r="AZ346" s="133">
        <v>43237</v>
      </c>
      <c r="BA34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6" s="135">
        <f>COUNTIFS(_05preva_view43[Site ID],_05preva_view43[[#This Row],[Site ID]],_05preva_view43[Prevalidation Status],"Under Prevalidation")</f>
        <v>0</v>
      </c>
      <c r="BC346" s="153" t="str">
        <f ca="1">HYPERLINK(CheckPath(_05preva_view43[[#This Row],[File Path]],_05preva_view43[[#This Row],[File Path]],_05preva_view43[[#This Row],[Folder Path3]]),CheckPath(_05preva_view43[[#This Row],[File Path]],"Open File","No File"))</f>
        <v>No File</v>
      </c>
      <c r="BD346" s="136" t="str">
        <f>CONCATENATE(_05preva_view43[[#This Row],[Site ID]]," (",_05preva_view43[[#This Row],[tenant id]],") Application",IF(_05preva_view43[[#This Row],[Colo Rev]]&gt;0," Rev "&amp;_05preva_view43[[#This Row],[Colo Rev]],""),".xlsx")</f>
        <v>ACRK_0028 (RKE00512) Application.xlsx</v>
      </c>
      <c r="BE346" s="64">
        <f t="shared" ca="1" si="7"/>
        <v>50</v>
      </c>
      <c r="BF346" s="104" t="str">
        <f ca="1">LEFT(CELL("filename",A331),_05preva_view43[[#This Row],[Find Process &amp; Database]]-1)</f>
        <v>D:\OneDrive - apollo-towers.com\Apollo Towers\00-</v>
      </c>
      <c r="BG346" s="104" t="str">
        <f ca="1">_05preva_view43[Folder Path1]&amp;"Process &amp; Database\Documentation\Colo Applications"</f>
        <v>D:\OneDrive - apollo-towers.com\Apollo Towers\00-Process &amp; Database\Documentation\Colo Applications</v>
      </c>
      <c r="BH346" s="104" t="str">
        <f ca="1">_05preva_view43[Folder Path2]&amp;"\Colo App "&amp;_05preva_view43[[#This Row],[Operator]]&amp;"\"</f>
        <v>D:\OneDrive - apollo-towers.com\Apollo Towers\00-Process &amp; Database\Documentation\Colo Applications\Colo App MPT\</v>
      </c>
      <c r="BI346" s="63" t="str">
        <f ca="1">_05preva_view43[[#This Row],[Folder Path3]]&amp;_05preva_view43[[#This Row],[File Name]]</f>
        <v>D:\OneDrive - apollo-towers.com\Apollo Towers\00-Process &amp; Database\Documentation\Colo Applications\Colo App MPT\ACRK_0028 (RKE00512) Application.xlsx</v>
      </c>
      <c r="BJ346" s="104"/>
      <c r="BK346" s="3"/>
      <c r="BL346" s="3"/>
      <c r="CJ346" s="5"/>
      <c r="CK346" s="5"/>
      <c r="CL346" s="3"/>
      <c r="CN346" s="5"/>
      <c r="CR346" s="3"/>
      <c r="CS346" s="3"/>
      <c r="CT346" s="5"/>
      <c r="CV346" s="3"/>
      <c r="DR346" s="5"/>
      <c r="DT346" s="3"/>
      <c r="EF346" s="7"/>
      <c r="EG346" s="7"/>
      <c r="EJ346" s="4"/>
      <c r="EK346" s="4"/>
      <c r="EU346" s="2"/>
      <c r="EV346" s="2"/>
    </row>
    <row r="347" spans="1:152">
      <c r="A347" s="125">
        <v>63</v>
      </c>
      <c r="B347" s="126" t="s">
        <v>373</v>
      </c>
      <c r="C347" s="126" t="s">
        <v>116</v>
      </c>
      <c r="D347" s="126" t="s">
        <v>163</v>
      </c>
      <c r="E347" s="126" t="s">
        <v>374</v>
      </c>
      <c r="F347" s="126" t="s">
        <v>40</v>
      </c>
      <c r="G347" s="126" t="s">
        <v>118</v>
      </c>
      <c r="H347" s="126"/>
      <c r="I347" s="126" t="s">
        <v>118</v>
      </c>
      <c r="J347" s="126"/>
      <c r="K347" s="127">
        <v>43236</v>
      </c>
      <c r="L347" s="128"/>
      <c r="M347" s="128">
        <v>3</v>
      </c>
      <c r="N347" s="126">
        <v>6</v>
      </c>
      <c r="O347" s="126" t="s">
        <v>119</v>
      </c>
      <c r="P347" s="129"/>
      <c r="Q347" s="129"/>
      <c r="R347" s="126" t="s">
        <v>26</v>
      </c>
      <c r="S347" s="126"/>
      <c r="T347" s="130" t="s">
        <v>144</v>
      </c>
      <c r="U347" s="126" t="s">
        <v>375</v>
      </c>
      <c r="V347" s="130" t="s">
        <v>120</v>
      </c>
      <c r="W347" s="126"/>
      <c r="X347" s="130"/>
      <c r="Y347" s="126"/>
      <c r="Z347" s="162" t="s">
        <v>125</v>
      </c>
      <c r="AA347" s="154"/>
      <c r="AB347" s="154"/>
      <c r="AC347" s="167"/>
      <c r="AD347" s="126" t="s">
        <v>336</v>
      </c>
      <c r="AE347" s="130" t="s">
        <v>125</v>
      </c>
      <c r="AF347" s="127" t="s">
        <v>372</v>
      </c>
      <c r="AG347" s="131"/>
      <c r="AH347" s="131">
        <v>2</v>
      </c>
      <c r="AI347" s="126" t="s">
        <v>377</v>
      </c>
      <c r="AJ347" s="130" t="s">
        <v>144</v>
      </c>
      <c r="AK347" s="126" t="s">
        <v>123</v>
      </c>
      <c r="AL347" s="126" t="s">
        <v>376</v>
      </c>
      <c r="AM347" s="130"/>
      <c r="AN347" s="126"/>
      <c r="AO347" s="132"/>
      <c r="AP347" s="126"/>
      <c r="AQ347" s="126"/>
      <c r="AR347" s="130"/>
      <c r="AS347" s="126"/>
      <c r="AT347" s="127"/>
      <c r="AU347" s="127"/>
      <c r="AV347" s="127"/>
      <c r="AW347" s="127"/>
      <c r="AX347" s="127"/>
      <c r="AY347" s="127"/>
      <c r="AZ347" s="133">
        <v>43236</v>
      </c>
      <c r="BA34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7" s="135">
        <f>COUNTIFS(_05preva_view43[Site ID],_05preva_view43[[#This Row],[Site ID]],_05preva_view43[Prevalidation Status],"Under Prevalidation")</f>
        <v>0</v>
      </c>
      <c r="BC347" s="153" t="str">
        <f ca="1">HYPERLINK(CheckPath(_05preva_view43[[#This Row],[File Path]],_05preva_view43[[#This Row],[File Path]],_05preva_view43[[#This Row],[Folder Path3]]),CheckPath(_05preva_view43[[#This Row],[File Path]],"Open File","No File"))</f>
        <v>No File</v>
      </c>
      <c r="BD347" s="136" t="str">
        <f>CONCATENATE(_05preva_view43[[#This Row],[Site ID]]," (",_05preva_view43[[#This Row],[tenant id]],") Application",IF(_05preva_view43[[#This Row],[Colo Rev]]&gt;0," Rev "&amp;_05preva_view43[[#This Row],[Colo Rev]],""),".xlsx")</f>
        <v>AYYN_0318 (YAW7776) Application.xlsx</v>
      </c>
      <c r="BE347" s="64">
        <f t="shared" ca="1" si="7"/>
        <v>50</v>
      </c>
      <c r="BF347" s="104" t="str">
        <f ca="1">LEFT(CELL("filename",A332),_05preva_view43[[#This Row],[Find Process &amp; Database]]-1)</f>
        <v>D:\OneDrive - apollo-towers.com\Apollo Towers\00-</v>
      </c>
      <c r="BG347" s="104" t="str">
        <f ca="1">_05preva_view43[Folder Path1]&amp;"Process &amp; Database\Documentation\Colo Applications"</f>
        <v>D:\OneDrive - apollo-towers.com\Apollo Towers\00-Process &amp; Database\Documentation\Colo Applications</v>
      </c>
      <c r="BH347" s="104" t="str">
        <f ca="1">_05preva_view43[Folder Path2]&amp;"\Colo App "&amp;_05preva_view43[[#This Row],[Operator]]&amp;"\"</f>
        <v>D:\OneDrive - apollo-towers.com\Apollo Towers\00-Process &amp; Database\Documentation\Colo Applications\Colo App OML\</v>
      </c>
      <c r="BI347" s="63" t="str">
        <f ca="1">_05preva_view43[[#This Row],[Folder Path3]]&amp;_05preva_view43[[#This Row],[File Name]]</f>
        <v>D:\OneDrive - apollo-towers.com\Apollo Towers\00-Process &amp; Database\Documentation\Colo Applications\Colo App OML\AYYN_0318 (YAW7776) Application.xlsx</v>
      </c>
      <c r="BJ347" s="104"/>
      <c r="BK347" s="3"/>
      <c r="BL347" s="3"/>
      <c r="CJ347" s="5"/>
      <c r="CK347" s="5"/>
      <c r="CL347" s="3"/>
      <c r="CN347" s="5"/>
      <c r="CR347" s="3"/>
      <c r="CS347" s="3"/>
      <c r="CT347" s="5"/>
      <c r="CV347" s="3"/>
      <c r="DR347" s="5"/>
      <c r="DT347" s="3"/>
      <c r="EF347" s="7"/>
      <c r="EG347" s="7"/>
      <c r="EJ347" s="4"/>
      <c r="EK347" s="4"/>
      <c r="EU347" s="2"/>
      <c r="EV347" s="2"/>
    </row>
    <row r="348" spans="1:152">
      <c r="A348" s="125">
        <v>67</v>
      </c>
      <c r="B348" s="126" t="s">
        <v>380</v>
      </c>
      <c r="C348" s="126" t="s">
        <v>116</v>
      </c>
      <c r="D348" s="126" t="s">
        <v>163</v>
      </c>
      <c r="E348" s="126" t="s">
        <v>381</v>
      </c>
      <c r="F348" s="126" t="s">
        <v>40</v>
      </c>
      <c r="G348" s="126" t="s">
        <v>118</v>
      </c>
      <c r="H348" s="126"/>
      <c r="I348" s="126" t="s">
        <v>118</v>
      </c>
      <c r="J348" s="126"/>
      <c r="K348" s="127">
        <v>43236</v>
      </c>
      <c r="L348" s="128"/>
      <c r="M348" s="128">
        <v>3</v>
      </c>
      <c r="N348" s="126"/>
      <c r="O348" s="126" t="s">
        <v>119</v>
      </c>
      <c r="P348" s="129"/>
      <c r="Q348" s="129"/>
      <c r="R348" s="126" t="s">
        <v>26</v>
      </c>
      <c r="S348" s="126"/>
      <c r="T348" s="130" t="s">
        <v>144</v>
      </c>
      <c r="U348" s="126" t="s">
        <v>375</v>
      </c>
      <c r="V348" s="130" t="s">
        <v>120</v>
      </c>
      <c r="W348" s="126"/>
      <c r="X348" s="130"/>
      <c r="Y348" s="126"/>
      <c r="Z348" s="162" t="s">
        <v>125</v>
      </c>
      <c r="AA348" s="154"/>
      <c r="AB348" s="154"/>
      <c r="AC348" s="167"/>
      <c r="AD348" s="126" t="s">
        <v>336</v>
      </c>
      <c r="AE348" s="130" t="s">
        <v>125</v>
      </c>
      <c r="AF348" s="127" t="s">
        <v>372</v>
      </c>
      <c r="AG348" s="131"/>
      <c r="AH348" s="131">
        <v>2</v>
      </c>
      <c r="AI348" s="126" t="s">
        <v>377</v>
      </c>
      <c r="AJ348" s="130"/>
      <c r="AK348" s="126"/>
      <c r="AL348" s="126"/>
      <c r="AM348" s="130"/>
      <c r="AN348" s="126"/>
      <c r="AO348" s="132"/>
      <c r="AP348" s="126"/>
      <c r="AQ348" s="126"/>
      <c r="AR348" s="130"/>
      <c r="AS348" s="126"/>
      <c r="AT348" s="127"/>
      <c r="AU348" s="127"/>
      <c r="AV348" s="127"/>
      <c r="AW348" s="127"/>
      <c r="AX348" s="127"/>
      <c r="AY348" s="127"/>
      <c r="AZ348" s="133">
        <v>43236</v>
      </c>
      <c r="BA34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8" s="135">
        <f>COUNTIFS(_05preva_view43[Site ID],_05preva_view43[[#This Row],[Site ID]],_05preva_view43[Prevalidation Status],"Under Prevalidation")</f>
        <v>0</v>
      </c>
      <c r="BC348" s="153" t="str">
        <f ca="1">HYPERLINK(CheckPath(_05preva_view43[[#This Row],[File Path]],_05preva_view43[[#This Row],[File Path]],_05preva_view43[[#This Row],[Folder Path3]]),CheckPath(_05preva_view43[[#This Row],[File Path]],"Open File","No File"))</f>
        <v>No File</v>
      </c>
      <c r="BD348" s="136" t="str">
        <f>CONCATENATE(_05preva_view43[[#This Row],[Site ID]]," (",_05preva_view43[[#This Row],[tenant id]],") Application",IF(_05preva_view43[[#This Row],[Colo Rev]]&gt;0," Rev "&amp;_05preva_view43[[#This Row],[Colo Rev]],""),".xlsx")</f>
        <v>AYYN_0538 (YAW7775) Application.xlsx</v>
      </c>
      <c r="BE348" s="64">
        <f t="shared" ca="1" si="7"/>
        <v>50</v>
      </c>
      <c r="BF348" s="104" t="str">
        <f ca="1">LEFT(CELL("filename",A333),_05preva_view43[[#This Row],[Find Process &amp; Database]]-1)</f>
        <v>D:\OneDrive - apollo-towers.com\Apollo Towers\00-</v>
      </c>
      <c r="BG348" s="104" t="str">
        <f ca="1">_05preva_view43[Folder Path1]&amp;"Process &amp; Database\Documentation\Colo Applications"</f>
        <v>D:\OneDrive - apollo-towers.com\Apollo Towers\00-Process &amp; Database\Documentation\Colo Applications</v>
      </c>
      <c r="BH348" s="104" t="str">
        <f ca="1">_05preva_view43[Folder Path2]&amp;"\Colo App "&amp;_05preva_view43[[#This Row],[Operator]]&amp;"\"</f>
        <v>D:\OneDrive - apollo-towers.com\Apollo Towers\00-Process &amp; Database\Documentation\Colo Applications\Colo App OML\</v>
      </c>
      <c r="BI348" s="63" t="str">
        <f ca="1">_05preva_view43[[#This Row],[Folder Path3]]&amp;_05preva_view43[[#This Row],[File Name]]</f>
        <v>D:\OneDrive - apollo-towers.com\Apollo Towers\00-Process &amp; Database\Documentation\Colo Applications\Colo App OML\AYYN_0538 (YAW7775) Application.xlsx</v>
      </c>
      <c r="BJ348" s="104"/>
      <c r="BK348" s="3"/>
      <c r="BL348" s="3"/>
      <c r="CJ348" s="5"/>
      <c r="CK348" s="5"/>
      <c r="CL348" s="3"/>
      <c r="CN348" s="5"/>
      <c r="CR348" s="3"/>
      <c r="CS348" s="3"/>
      <c r="CT348" s="5"/>
      <c r="CV348" s="3"/>
      <c r="DR348" s="5"/>
      <c r="DT348" s="3"/>
      <c r="EF348" s="7"/>
      <c r="EG348" s="7"/>
      <c r="EJ348" s="4"/>
      <c r="EK348" s="4"/>
      <c r="EU348" s="2"/>
      <c r="EV348" s="2"/>
    </row>
    <row r="349" spans="1:152">
      <c r="A349" s="125">
        <v>69</v>
      </c>
      <c r="B349" s="126" t="s">
        <v>382</v>
      </c>
      <c r="C349" s="126" t="s">
        <v>116</v>
      </c>
      <c r="D349" s="126" t="s">
        <v>163</v>
      </c>
      <c r="E349" s="126" t="s">
        <v>383</v>
      </c>
      <c r="F349" s="126" t="s">
        <v>40</v>
      </c>
      <c r="G349" s="126" t="s">
        <v>118</v>
      </c>
      <c r="H349" s="126"/>
      <c r="I349" s="126" t="s">
        <v>118</v>
      </c>
      <c r="J349" s="126"/>
      <c r="K349" s="127">
        <v>43236</v>
      </c>
      <c r="L349" s="128"/>
      <c r="M349" s="128">
        <v>3</v>
      </c>
      <c r="N349" s="126"/>
      <c r="O349" s="126" t="s">
        <v>119</v>
      </c>
      <c r="P349" s="129"/>
      <c r="Q349" s="129"/>
      <c r="R349" s="126" t="s">
        <v>24</v>
      </c>
      <c r="S349" s="126"/>
      <c r="T349" s="130" t="s">
        <v>120</v>
      </c>
      <c r="U349" s="126" t="s">
        <v>378</v>
      </c>
      <c r="V349" s="130" t="s">
        <v>120</v>
      </c>
      <c r="W349" s="126"/>
      <c r="X349" s="130" t="s">
        <v>120</v>
      </c>
      <c r="Y349" s="126" t="s">
        <v>120</v>
      </c>
      <c r="Z349" s="162" t="s">
        <v>120</v>
      </c>
      <c r="AA349" s="154"/>
      <c r="AB349" s="154"/>
      <c r="AC349" s="167"/>
      <c r="AD349" s="126" t="s">
        <v>120</v>
      </c>
      <c r="AE349" s="130" t="s">
        <v>120</v>
      </c>
      <c r="AF349" s="127" t="s">
        <v>372</v>
      </c>
      <c r="AG349" s="131"/>
      <c r="AH349" s="131">
        <v>2</v>
      </c>
      <c r="AI349" s="126" t="s">
        <v>384</v>
      </c>
      <c r="AJ349" s="130" t="s">
        <v>120</v>
      </c>
      <c r="AK349" s="126" t="s">
        <v>123</v>
      </c>
      <c r="AL349" s="126"/>
      <c r="AM349" s="130"/>
      <c r="AN349" s="126"/>
      <c r="AO349" s="132"/>
      <c r="AP349" s="126"/>
      <c r="AQ349" s="126"/>
      <c r="AR349" s="130"/>
      <c r="AS349" s="126"/>
      <c r="AT349" s="127"/>
      <c r="AU349" s="127">
        <v>43453.378971296297</v>
      </c>
      <c r="AV349" s="127"/>
      <c r="AW349" s="127"/>
      <c r="AX349" s="127"/>
      <c r="AY349" s="127"/>
      <c r="AZ349" s="133">
        <v>43236</v>
      </c>
      <c r="BA34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9" s="135">
        <f>COUNTIFS(_05preva_view43[Site ID],_05preva_view43[[#This Row],[Site ID]],_05preva_view43[Prevalidation Status],"Under Prevalidation")</f>
        <v>0</v>
      </c>
      <c r="BC349" s="153" t="str">
        <f ca="1">HYPERLINK(CheckPath(_05preva_view43[[#This Row],[File Path]],_05preva_view43[[#This Row],[File Path]],_05preva_view43[[#This Row],[Folder Path3]]),CheckPath(_05preva_view43[[#This Row],[File Path]],"Open File","No File"))</f>
        <v>No File</v>
      </c>
      <c r="BD349" s="136" t="str">
        <f>CONCATENATE(_05preva_view43[[#This Row],[Site ID]]," (",_05preva_view43[[#This Row],[tenant id]],") Application",IF(_05preva_view43[[#This Row],[Colo Rev]]&gt;0," Rev "&amp;_05preva_view43[[#This Row],[Colo Rev]],""),".xlsx")</f>
        <v>ACAY_0015 (AYW5549) Application.xlsx</v>
      </c>
      <c r="BE349" s="64">
        <f t="shared" ca="1" si="7"/>
        <v>50</v>
      </c>
      <c r="BF349" s="104" t="str">
        <f ca="1">LEFT(CELL("filename",A334),_05preva_view43[[#This Row],[Find Process &amp; Database]]-1)</f>
        <v>D:\OneDrive - apollo-towers.com\Apollo Towers\00-</v>
      </c>
      <c r="BG349" s="104" t="str">
        <f ca="1">_05preva_view43[Folder Path1]&amp;"Process &amp; Database\Documentation\Colo Applications"</f>
        <v>D:\OneDrive - apollo-towers.com\Apollo Towers\00-Process &amp; Database\Documentation\Colo Applications</v>
      </c>
      <c r="BH349" s="104" t="str">
        <f ca="1">_05preva_view43[Folder Path2]&amp;"\Colo App "&amp;_05preva_view43[[#This Row],[Operator]]&amp;"\"</f>
        <v>D:\OneDrive - apollo-towers.com\Apollo Towers\00-Process &amp; Database\Documentation\Colo Applications\Colo App OML\</v>
      </c>
      <c r="BI349" s="63" t="str">
        <f ca="1">_05preva_view43[[#This Row],[Folder Path3]]&amp;_05preva_view43[[#This Row],[File Name]]</f>
        <v>D:\OneDrive - apollo-towers.com\Apollo Towers\00-Process &amp; Database\Documentation\Colo Applications\Colo App OML\ACAY_0015 (AYW5549) Application.xlsx</v>
      </c>
      <c r="BJ349" s="104"/>
      <c r="BK349" s="3"/>
      <c r="BL349" s="3"/>
      <c r="CJ349" s="5"/>
      <c r="CK349" s="5"/>
      <c r="CL349" s="3"/>
      <c r="CN349" s="5"/>
      <c r="CR349" s="3"/>
      <c r="CS349" s="3"/>
      <c r="CT349" s="5"/>
      <c r="CV349" s="3"/>
      <c r="DR349" s="5"/>
      <c r="DT349" s="3"/>
      <c r="EF349" s="7"/>
      <c r="EG349" s="7"/>
      <c r="EJ349" s="4"/>
      <c r="EK349" s="4"/>
      <c r="EU349" s="2"/>
      <c r="EV349" s="2"/>
    </row>
    <row r="350" spans="1:152">
      <c r="A350" s="125">
        <v>70</v>
      </c>
      <c r="B350" s="126" t="s">
        <v>385</v>
      </c>
      <c r="C350" s="126" t="s">
        <v>116</v>
      </c>
      <c r="D350" s="126" t="s">
        <v>163</v>
      </c>
      <c r="E350" s="126" t="s">
        <v>386</v>
      </c>
      <c r="F350" s="126" t="s">
        <v>40</v>
      </c>
      <c r="G350" s="126" t="s">
        <v>118</v>
      </c>
      <c r="H350" s="126"/>
      <c r="I350" s="126" t="s">
        <v>118</v>
      </c>
      <c r="J350" s="126"/>
      <c r="K350" s="127">
        <v>43236</v>
      </c>
      <c r="L350" s="128"/>
      <c r="M350" s="128">
        <v>3</v>
      </c>
      <c r="N350" s="126"/>
      <c r="O350" s="126" t="s">
        <v>119</v>
      </c>
      <c r="P350" s="129"/>
      <c r="Q350" s="129"/>
      <c r="R350" s="126" t="s">
        <v>24</v>
      </c>
      <c r="S350" s="126"/>
      <c r="T350" s="130" t="s">
        <v>120</v>
      </c>
      <c r="U350" s="126" t="s">
        <v>378</v>
      </c>
      <c r="V350" s="130" t="s">
        <v>120</v>
      </c>
      <c r="W350" s="126"/>
      <c r="X350" s="130" t="s">
        <v>120</v>
      </c>
      <c r="Y350" s="126" t="s">
        <v>120</v>
      </c>
      <c r="Z350" s="162" t="s">
        <v>120</v>
      </c>
      <c r="AA350" s="154"/>
      <c r="AB350" s="154"/>
      <c r="AC350" s="167"/>
      <c r="AD350" s="126" t="s">
        <v>120</v>
      </c>
      <c r="AE350" s="130" t="s">
        <v>120</v>
      </c>
      <c r="AF350" s="127" t="s">
        <v>241</v>
      </c>
      <c r="AG350" s="131"/>
      <c r="AH350" s="131">
        <v>3.5</v>
      </c>
      <c r="AI350" s="126" t="s">
        <v>387</v>
      </c>
      <c r="AJ350" s="130" t="s">
        <v>120</v>
      </c>
      <c r="AK350" s="126" t="s">
        <v>123</v>
      </c>
      <c r="AL350" s="126"/>
      <c r="AM350" s="130"/>
      <c r="AN350" s="126"/>
      <c r="AO350" s="132"/>
      <c r="AP350" s="126"/>
      <c r="AQ350" s="126"/>
      <c r="AR350" s="130"/>
      <c r="AS350" s="126"/>
      <c r="AT350" s="127"/>
      <c r="AU350" s="127">
        <v>43453.378972222199</v>
      </c>
      <c r="AV350" s="127"/>
      <c r="AW350" s="127"/>
      <c r="AX350" s="127"/>
      <c r="AY350" s="127"/>
      <c r="AZ350" s="133">
        <v>43236</v>
      </c>
      <c r="BA35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0" s="135">
        <f>COUNTIFS(_05preva_view43[Site ID],_05preva_view43[[#This Row],[Site ID]],_05preva_view43[Prevalidation Status],"Under Prevalidation")</f>
        <v>0</v>
      </c>
      <c r="BC350" s="153" t="str">
        <f ca="1">HYPERLINK(CheckPath(_05preva_view43[[#This Row],[File Path]],_05preva_view43[[#This Row],[File Path]],_05preva_view43[[#This Row],[Folder Path3]]),CheckPath(_05preva_view43[[#This Row],[File Path]],"Open File","No File"))</f>
        <v>No File</v>
      </c>
      <c r="BD350" s="136" t="str">
        <f>CONCATENATE(_05preva_view43[[#This Row],[Site ID]]," (",_05preva_view43[[#This Row],[tenant id]],") Application",IF(_05preva_view43[[#This Row],[Colo Rev]]&gt;0," Rev "&amp;_05preva_view43[[#This Row],[Colo Rev]],""),".xlsx")</f>
        <v>ASMO_0313 (MOW6298) Application.xlsx</v>
      </c>
      <c r="BE350" s="64">
        <f t="shared" ca="1" si="7"/>
        <v>50</v>
      </c>
      <c r="BF350" s="104" t="str">
        <f ca="1">LEFT(CELL("filename",A335),_05preva_view43[[#This Row],[Find Process &amp; Database]]-1)</f>
        <v>D:\OneDrive - apollo-towers.com\Apollo Towers\00-</v>
      </c>
      <c r="BG350" s="104" t="str">
        <f ca="1">_05preva_view43[Folder Path1]&amp;"Process &amp; Database\Documentation\Colo Applications"</f>
        <v>D:\OneDrive - apollo-towers.com\Apollo Towers\00-Process &amp; Database\Documentation\Colo Applications</v>
      </c>
      <c r="BH350" s="104" t="str">
        <f ca="1">_05preva_view43[Folder Path2]&amp;"\Colo App "&amp;_05preva_view43[[#This Row],[Operator]]&amp;"\"</f>
        <v>D:\OneDrive - apollo-towers.com\Apollo Towers\00-Process &amp; Database\Documentation\Colo Applications\Colo App OML\</v>
      </c>
      <c r="BI350" s="63" t="str">
        <f ca="1">_05preva_view43[[#This Row],[Folder Path3]]&amp;_05preva_view43[[#This Row],[File Name]]</f>
        <v>D:\OneDrive - apollo-towers.com\Apollo Towers\00-Process &amp; Database\Documentation\Colo Applications\Colo App OML\ASMO_0313 (MOW6298) Application.xlsx</v>
      </c>
      <c r="BJ350" s="104"/>
      <c r="BK350" s="3"/>
      <c r="BL350" s="3"/>
      <c r="CJ350" s="5"/>
      <c r="CK350" s="5"/>
      <c r="CL350" s="3"/>
      <c r="CN350" s="5"/>
      <c r="CR350" s="3"/>
      <c r="CS350" s="3"/>
      <c r="CT350" s="5"/>
      <c r="CV350" s="3"/>
      <c r="DR350" s="5"/>
      <c r="DT350" s="3"/>
      <c r="EF350" s="7"/>
      <c r="EG350" s="7"/>
      <c r="EJ350" s="4"/>
      <c r="EK350" s="4"/>
      <c r="EU350" s="2"/>
      <c r="EV350" s="2"/>
    </row>
    <row r="351" spans="1:152">
      <c r="A351" s="125">
        <v>71</v>
      </c>
      <c r="B351" s="126" t="s">
        <v>388</v>
      </c>
      <c r="C351" s="126" t="s">
        <v>116</v>
      </c>
      <c r="D351" s="126" t="s">
        <v>163</v>
      </c>
      <c r="E351" s="126" t="s">
        <v>389</v>
      </c>
      <c r="F351" s="126" t="s">
        <v>40</v>
      </c>
      <c r="G351" s="126" t="s">
        <v>118</v>
      </c>
      <c r="H351" s="126"/>
      <c r="I351" s="126" t="s">
        <v>118</v>
      </c>
      <c r="J351" s="126"/>
      <c r="K351" s="127">
        <v>43236</v>
      </c>
      <c r="L351" s="128"/>
      <c r="M351" s="128">
        <v>3</v>
      </c>
      <c r="N351" s="126"/>
      <c r="O351" s="126" t="s">
        <v>119</v>
      </c>
      <c r="P351" s="129"/>
      <c r="Q351" s="129"/>
      <c r="R351" s="126" t="s">
        <v>24</v>
      </c>
      <c r="S351" s="126"/>
      <c r="T351" s="130" t="s">
        <v>120</v>
      </c>
      <c r="U351" s="126" t="s">
        <v>378</v>
      </c>
      <c r="V351" s="130" t="s">
        <v>120</v>
      </c>
      <c r="W351" s="126"/>
      <c r="X351" s="130" t="s">
        <v>120</v>
      </c>
      <c r="Y351" s="126" t="s">
        <v>120</v>
      </c>
      <c r="Z351" s="162" t="s">
        <v>120</v>
      </c>
      <c r="AA351" s="154"/>
      <c r="AB351" s="154"/>
      <c r="AC351" s="167"/>
      <c r="AD351" s="126" t="s">
        <v>120</v>
      </c>
      <c r="AE351" s="130" t="s">
        <v>120</v>
      </c>
      <c r="AF351" s="127" t="s">
        <v>372</v>
      </c>
      <c r="AG351" s="131"/>
      <c r="AH351" s="131">
        <v>2</v>
      </c>
      <c r="AI351" s="126" t="s">
        <v>390</v>
      </c>
      <c r="AJ351" s="130" t="s">
        <v>120</v>
      </c>
      <c r="AK351" s="126" t="s">
        <v>123</v>
      </c>
      <c r="AL351" s="126"/>
      <c r="AM351" s="130"/>
      <c r="AN351" s="126"/>
      <c r="AO351" s="132"/>
      <c r="AP351" s="126"/>
      <c r="AQ351" s="126"/>
      <c r="AR351" s="130"/>
      <c r="AS351" s="126"/>
      <c r="AT351" s="127"/>
      <c r="AU351" s="127">
        <v>43453.378973032399</v>
      </c>
      <c r="AV351" s="127"/>
      <c r="AW351" s="127"/>
      <c r="AX351" s="127"/>
      <c r="AY351" s="127"/>
      <c r="AZ351" s="133">
        <v>43236</v>
      </c>
      <c r="BA35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1" s="135">
        <f>COUNTIFS(_05preva_view43[Site ID],_05preva_view43[[#This Row],[Site ID]],_05preva_view43[Prevalidation Status],"Under Prevalidation")</f>
        <v>0</v>
      </c>
      <c r="BC351" s="153" t="str">
        <f ca="1">HYPERLINK(CheckPath(_05preva_view43[[#This Row],[File Path]],_05preva_view43[[#This Row],[File Path]],_05preva_view43[[#This Row],[Folder Path3]]),CheckPath(_05preva_view43[[#This Row],[File Path]],"Open File","No File"))</f>
        <v>No File</v>
      </c>
      <c r="BD351" s="136" t="str">
        <f>CONCATENATE(_05preva_view43[[#This Row],[Site ID]]," (",_05preva_view43[[#This Row],[tenant id]],") Application",IF(_05preva_view43[[#This Row],[Colo Rev]]&gt;0," Rev "&amp;_05preva_view43[[#This Row],[Colo Rev]],""),".xlsx")</f>
        <v>ASMO_0201 (MOW6299) Application.xlsx</v>
      </c>
      <c r="BE351" s="64">
        <f t="shared" ca="1" si="7"/>
        <v>50</v>
      </c>
      <c r="BF351" s="104" t="str">
        <f ca="1">LEFT(CELL("filename",A336),_05preva_view43[[#This Row],[Find Process &amp; Database]]-1)</f>
        <v>D:\OneDrive - apollo-towers.com\Apollo Towers\00-</v>
      </c>
      <c r="BG351" s="104" t="str">
        <f ca="1">_05preva_view43[Folder Path1]&amp;"Process &amp; Database\Documentation\Colo Applications"</f>
        <v>D:\OneDrive - apollo-towers.com\Apollo Towers\00-Process &amp; Database\Documentation\Colo Applications</v>
      </c>
      <c r="BH351" s="104" t="str">
        <f ca="1">_05preva_view43[Folder Path2]&amp;"\Colo App "&amp;_05preva_view43[[#This Row],[Operator]]&amp;"\"</f>
        <v>D:\OneDrive - apollo-towers.com\Apollo Towers\00-Process &amp; Database\Documentation\Colo Applications\Colo App OML\</v>
      </c>
      <c r="BI351" s="63" t="str">
        <f ca="1">_05preva_view43[[#This Row],[Folder Path3]]&amp;_05preva_view43[[#This Row],[File Name]]</f>
        <v>D:\OneDrive - apollo-towers.com\Apollo Towers\00-Process &amp; Database\Documentation\Colo Applications\Colo App OML\ASMO_0201 (MOW6299) Application.xlsx</v>
      </c>
      <c r="BJ351" s="104"/>
      <c r="BK351" s="3"/>
      <c r="BL351" s="3"/>
      <c r="CJ351" s="5"/>
      <c r="CK351" s="5"/>
      <c r="CL351" s="3"/>
      <c r="CN351" s="5"/>
      <c r="CR351" s="3"/>
      <c r="CS351" s="3"/>
      <c r="CT351" s="5"/>
      <c r="CV351" s="3"/>
      <c r="DR351" s="5"/>
      <c r="DT351" s="3"/>
      <c r="EF351" s="7"/>
      <c r="EG351" s="7"/>
      <c r="EJ351" s="4"/>
      <c r="EK351" s="4"/>
      <c r="EU351" s="2"/>
      <c r="EV351" s="2"/>
    </row>
    <row r="352" spans="1:152">
      <c r="A352" s="125">
        <v>72</v>
      </c>
      <c r="B352" s="126" t="s">
        <v>391</v>
      </c>
      <c r="C352" s="126" t="s">
        <v>116</v>
      </c>
      <c r="D352" s="126" t="s">
        <v>163</v>
      </c>
      <c r="E352" s="126" t="s">
        <v>392</v>
      </c>
      <c r="F352" s="126" t="s">
        <v>40</v>
      </c>
      <c r="G352" s="126" t="s">
        <v>118</v>
      </c>
      <c r="H352" s="126"/>
      <c r="I352" s="126" t="s">
        <v>118</v>
      </c>
      <c r="J352" s="126"/>
      <c r="K352" s="127">
        <v>43236</v>
      </c>
      <c r="L352" s="128"/>
      <c r="M352" s="128">
        <v>3</v>
      </c>
      <c r="N352" s="126"/>
      <c r="O352" s="126" t="s">
        <v>119</v>
      </c>
      <c r="P352" s="129"/>
      <c r="Q352" s="129"/>
      <c r="R352" s="126" t="s">
        <v>24</v>
      </c>
      <c r="S352" s="126"/>
      <c r="T352" s="130" t="s">
        <v>120</v>
      </c>
      <c r="U352" s="126" t="s">
        <v>378</v>
      </c>
      <c r="V352" s="130" t="s">
        <v>120</v>
      </c>
      <c r="W352" s="126"/>
      <c r="X352" s="130" t="s">
        <v>120</v>
      </c>
      <c r="Y352" s="126" t="s">
        <v>120</v>
      </c>
      <c r="Z352" s="162" t="s">
        <v>120</v>
      </c>
      <c r="AA352" s="154"/>
      <c r="AB352" s="154"/>
      <c r="AC352" s="167"/>
      <c r="AD352" s="126" t="s">
        <v>120</v>
      </c>
      <c r="AE352" s="130" t="s">
        <v>120</v>
      </c>
      <c r="AF352" s="127" t="s">
        <v>241</v>
      </c>
      <c r="AG352" s="131"/>
      <c r="AH352" s="131">
        <v>3.5</v>
      </c>
      <c r="AI352" s="126" t="s">
        <v>242</v>
      </c>
      <c r="AJ352" s="130" t="s">
        <v>120</v>
      </c>
      <c r="AK352" s="126" t="s">
        <v>123</v>
      </c>
      <c r="AL352" s="126"/>
      <c r="AM352" s="130"/>
      <c r="AN352" s="126"/>
      <c r="AO352" s="132"/>
      <c r="AP352" s="126"/>
      <c r="AQ352" s="126"/>
      <c r="AR352" s="130"/>
      <c r="AS352" s="126"/>
      <c r="AT352" s="127"/>
      <c r="AU352" s="127">
        <v>43453.378975</v>
      </c>
      <c r="AV352" s="127"/>
      <c r="AW352" s="127"/>
      <c r="AX352" s="127"/>
      <c r="AY352" s="127"/>
      <c r="AZ352" s="133">
        <v>43236</v>
      </c>
      <c r="BA35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2" s="135">
        <f>COUNTIFS(_05preva_view43[Site ID],_05preva_view43[[#This Row],[Site ID]],_05preva_view43[Prevalidation Status],"Under Prevalidation")</f>
        <v>0</v>
      </c>
      <c r="BC352" s="153" t="str">
        <f ca="1">HYPERLINK(CheckPath(_05preva_view43[[#This Row],[File Path]],_05preva_view43[[#This Row],[File Path]],_05preva_view43[[#This Row],[Folder Path3]]),CheckPath(_05preva_view43[[#This Row],[File Path]],"Open File","No File"))</f>
        <v>No File</v>
      </c>
      <c r="BD352" s="136" t="str">
        <f>CONCATENATE(_05preva_view43[[#This Row],[Site ID]]," (",_05preva_view43[[#This Row],[tenant id]],") Application",IF(_05preva_view43[[#This Row],[Colo Rev]]&gt;0," Rev "&amp;_05preva_view43[[#This Row],[Colo Rev]],""),".xlsx")</f>
        <v>ACBA_0255 (BAW5557) Application.xlsx</v>
      </c>
      <c r="BE352" s="64">
        <f t="shared" ca="1" si="7"/>
        <v>50</v>
      </c>
      <c r="BF352" s="104" t="str">
        <f ca="1">LEFT(CELL("filename",A337),_05preva_view43[[#This Row],[Find Process &amp; Database]]-1)</f>
        <v>D:\OneDrive - apollo-towers.com\Apollo Towers\00-</v>
      </c>
      <c r="BG352" s="104" t="str">
        <f ca="1">_05preva_view43[Folder Path1]&amp;"Process &amp; Database\Documentation\Colo Applications"</f>
        <v>D:\OneDrive - apollo-towers.com\Apollo Towers\00-Process &amp; Database\Documentation\Colo Applications</v>
      </c>
      <c r="BH352" s="104" t="str">
        <f ca="1">_05preva_view43[Folder Path2]&amp;"\Colo App "&amp;_05preva_view43[[#This Row],[Operator]]&amp;"\"</f>
        <v>D:\OneDrive - apollo-towers.com\Apollo Towers\00-Process &amp; Database\Documentation\Colo Applications\Colo App OML\</v>
      </c>
      <c r="BI352" s="63" t="str">
        <f ca="1">_05preva_view43[[#This Row],[Folder Path3]]&amp;_05preva_view43[[#This Row],[File Name]]</f>
        <v>D:\OneDrive - apollo-towers.com\Apollo Towers\00-Process &amp; Database\Documentation\Colo Applications\Colo App OML\ACBA_0255 (BAW5557) Application.xlsx</v>
      </c>
      <c r="BJ352" s="104"/>
      <c r="BK352" s="3"/>
      <c r="BL352" s="3"/>
      <c r="CJ352" s="5"/>
      <c r="CK352" s="5"/>
      <c r="CL352" s="3"/>
      <c r="CN352" s="5"/>
      <c r="CR352" s="3"/>
      <c r="CS352" s="3"/>
      <c r="CT352" s="5"/>
      <c r="CV352" s="3"/>
      <c r="DR352" s="5"/>
      <c r="DT352" s="3"/>
      <c r="EF352" s="7"/>
      <c r="EG352" s="7"/>
      <c r="EJ352" s="4"/>
      <c r="EK352" s="4"/>
      <c r="EU352" s="2"/>
      <c r="EV352" s="2"/>
    </row>
    <row r="353" spans="1:152">
      <c r="A353" s="125">
        <v>74</v>
      </c>
      <c r="B353" s="126" t="s">
        <v>393</v>
      </c>
      <c r="C353" s="126" t="s">
        <v>116</v>
      </c>
      <c r="D353" s="126" t="s">
        <v>163</v>
      </c>
      <c r="E353" s="126" t="s">
        <v>394</v>
      </c>
      <c r="F353" s="126" t="s">
        <v>40</v>
      </c>
      <c r="G353" s="126" t="s">
        <v>118</v>
      </c>
      <c r="H353" s="126"/>
      <c r="I353" s="126" t="s">
        <v>118</v>
      </c>
      <c r="J353" s="126"/>
      <c r="K353" s="127">
        <v>43236</v>
      </c>
      <c r="L353" s="128"/>
      <c r="M353" s="128">
        <v>3</v>
      </c>
      <c r="N353" s="126"/>
      <c r="O353" s="126" t="s">
        <v>119</v>
      </c>
      <c r="P353" s="129"/>
      <c r="Q353" s="129"/>
      <c r="R353" s="126" t="s">
        <v>26</v>
      </c>
      <c r="S353" s="126"/>
      <c r="T353" s="130" t="s">
        <v>144</v>
      </c>
      <c r="U353" s="126" t="s">
        <v>395</v>
      </c>
      <c r="V353" s="130" t="s">
        <v>144</v>
      </c>
      <c r="W353" s="126"/>
      <c r="X353" s="130"/>
      <c r="Y353" s="126"/>
      <c r="Z353" s="162" t="s">
        <v>125</v>
      </c>
      <c r="AA353" s="154"/>
      <c r="AB353" s="154"/>
      <c r="AC353" s="167"/>
      <c r="AD353" s="126" t="s">
        <v>336</v>
      </c>
      <c r="AE353" s="130" t="s">
        <v>120</v>
      </c>
      <c r="AF353" s="127" t="s">
        <v>372</v>
      </c>
      <c r="AG353" s="131"/>
      <c r="AH353" s="131">
        <v>2</v>
      </c>
      <c r="AI353" s="126" t="s">
        <v>396</v>
      </c>
      <c r="AJ353" s="130"/>
      <c r="AK353" s="126"/>
      <c r="AL353" s="126"/>
      <c r="AM353" s="130"/>
      <c r="AN353" s="126"/>
      <c r="AO353" s="132"/>
      <c r="AP353" s="126"/>
      <c r="AQ353" s="126"/>
      <c r="AR353" s="130"/>
      <c r="AS353" s="126"/>
      <c r="AT353" s="127"/>
      <c r="AU353" s="127">
        <v>43453.3789755787</v>
      </c>
      <c r="AV353" s="127"/>
      <c r="AW353" s="127"/>
      <c r="AX353" s="127"/>
      <c r="AY353" s="127"/>
      <c r="AZ353" s="133">
        <v>43236</v>
      </c>
      <c r="BA35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3" s="135">
        <f>COUNTIFS(_05preva_view43[Site ID],_05preva_view43[[#This Row],[Site ID]],_05preva_view43[Prevalidation Status],"Under Prevalidation")</f>
        <v>0</v>
      </c>
      <c r="BC353" s="153" t="str">
        <f ca="1">HYPERLINK(CheckPath(_05preva_view43[[#This Row],[File Path]],_05preva_view43[[#This Row],[File Path]],_05preva_view43[[#This Row],[Folder Path3]]),CheckPath(_05preva_view43[[#This Row],[File Path]],"Open File","No File"))</f>
        <v>No File</v>
      </c>
      <c r="BD353" s="136" t="str">
        <f>CONCATENATE(_05preva_view43[[#This Row],[Site ID]]," (",_05preva_view43[[#This Row],[tenant id]],") Application",IF(_05preva_view43[[#This Row],[Colo Rev]]&gt;0," Rev "&amp;_05preva_view43[[#This Row],[Colo Rev]],""),".xlsx")</f>
        <v>AYYN_0485 (YAW7772) Application.xlsx</v>
      </c>
      <c r="BE353" s="64">
        <f t="shared" ca="1" si="7"/>
        <v>50</v>
      </c>
      <c r="BF353" s="104" t="str">
        <f ca="1">LEFT(CELL("filename",A338),_05preva_view43[[#This Row],[Find Process &amp; Database]]-1)</f>
        <v>D:\OneDrive - apollo-towers.com\Apollo Towers\00-</v>
      </c>
      <c r="BG353" s="104" t="str">
        <f ca="1">_05preva_view43[Folder Path1]&amp;"Process &amp; Database\Documentation\Colo Applications"</f>
        <v>D:\OneDrive - apollo-towers.com\Apollo Towers\00-Process &amp; Database\Documentation\Colo Applications</v>
      </c>
      <c r="BH353" s="104" t="str">
        <f ca="1">_05preva_view43[Folder Path2]&amp;"\Colo App "&amp;_05preva_view43[[#This Row],[Operator]]&amp;"\"</f>
        <v>D:\OneDrive - apollo-towers.com\Apollo Towers\00-Process &amp; Database\Documentation\Colo Applications\Colo App OML\</v>
      </c>
      <c r="BI353" s="63" t="str">
        <f ca="1">_05preva_view43[[#This Row],[Folder Path3]]&amp;_05preva_view43[[#This Row],[File Name]]</f>
        <v>D:\OneDrive - apollo-towers.com\Apollo Towers\00-Process &amp; Database\Documentation\Colo Applications\Colo App OML\AYYN_0485 (YAW7772) Application.xlsx</v>
      </c>
      <c r="BJ353" s="104"/>
      <c r="BK353" s="3"/>
      <c r="BL353" s="3"/>
      <c r="CJ353" s="5"/>
      <c r="CK353" s="5"/>
      <c r="CL353" s="3"/>
      <c r="CN353" s="5"/>
      <c r="CR353" s="3"/>
      <c r="CS353" s="3"/>
      <c r="CT353" s="5"/>
      <c r="CV353" s="3"/>
      <c r="DR353" s="5"/>
      <c r="DT353" s="3"/>
      <c r="EF353" s="7"/>
      <c r="EG353" s="7"/>
      <c r="EJ353" s="4"/>
      <c r="EK353" s="4"/>
      <c r="EU353" s="2"/>
      <c r="EV353" s="2"/>
    </row>
    <row r="354" spans="1:152">
      <c r="A354" s="125">
        <v>75</v>
      </c>
      <c r="B354" s="126" t="s">
        <v>397</v>
      </c>
      <c r="C354" s="126" t="s">
        <v>116</v>
      </c>
      <c r="D354" s="126" t="s">
        <v>163</v>
      </c>
      <c r="E354" s="126" t="s">
        <v>398</v>
      </c>
      <c r="F354" s="126" t="s">
        <v>40</v>
      </c>
      <c r="G354" s="126" t="s">
        <v>118</v>
      </c>
      <c r="H354" s="126"/>
      <c r="I354" s="126" t="s">
        <v>118</v>
      </c>
      <c r="J354" s="126"/>
      <c r="K354" s="127">
        <v>43236</v>
      </c>
      <c r="L354" s="128"/>
      <c r="M354" s="128">
        <v>3</v>
      </c>
      <c r="N354" s="126"/>
      <c r="O354" s="126" t="s">
        <v>119</v>
      </c>
      <c r="P354" s="129"/>
      <c r="Q354" s="129"/>
      <c r="R354" s="126" t="s">
        <v>24</v>
      </c>
      <c r="S354" s="126"/>
      <c r="T354" s="130" t="s">
        <v>120</v>
      </c>
      <c r="U354" s="126" t="s">
        <v>378</v>
      </c>
      <c r="V354" s="130" t="s">
        <v>120</v>
      </c>
      <c r="W354" s="126"/>
      <c r="X354" s="130" t="s">
        <v>120</v>
      </c>
      <c r="Y354" s="126" t="s">
        <v>399</v>
      </c>
      <c r="Z354" s="162" t="s">
        <v>120</v>
      </c>
      <c r="AA354" s="154"/>
      <c r="AB354" s="154"/>
      <c r="AC354" s="167"/>
      <c r="AD354" s="126" t="s">
        <v>120</v>
      </c>
      <c r="AE354" s="130" t="s">
        <v>120</v>
      </c>
      <c r="AF354" s="127" t="s">
        <v>241</v>
      </c>
      <c r="AG354" s="131"/>
      <c r="AH354" s="131">
        <v>3.5</v>
      </c>
      <c r="AI354" s="126" t="s">
        <v>242</v>
      </c>
      <c r="AJ354" s="130" t="s">
        <v>120</v>
      </c>
      <c r="AK354" s="126" t="s">
        <v>123</v>
      </c>
      <c r="AL354" s="126"/>
      <c r="AM354" s="130"/>
      <c r="AN354" s="126"/>
      <c r="AO354" s="132"/>
      <c r="AP354" s="126"/>
      <c r="AQ354" s="126"/>
      <c r="AR354" s="130"/>
      <c r="AS354" s="126"/>
      <c r="AT354" s="127"/>
      <c r="AU354" s="127">
        <v>43453.378976273103</v>
      </c>
      <c r="AV354" s="127"/>
      <c r="AW354" s="127"/>
      <c r="AX354" s="127"/>
      <c r="AY354" s="127"/>
      <c r="AZ354" s="133">
        <v>43236</v>
      </c>
      <c r="BA35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4" s="135">
        <f>COUNTIFS(_05preva_view43[Site ID],_05preva_view43[[#This Row],[Site ID]],_05preva_view43[Prevalidation Status],"Under Prevalidation")</f>
        <v>0</v>
      </c>
      <c r="BC354" s="153" t="str">
        <f ca="1">HYPERLINK(CheckPath(_05preva_view43[[#This Row],[File Path]],_05preva_view43[[#This Row],[File Path]],_05preva_view43[[#This Row],[Folder Path3]]),CheckPath(_05preva_view43[[#This Row],[File Path]],"Open File","No File"))</f>
        <v>No File</v>
      </c>
      <c r="BD354" s="136" t="str">
        <f>CONCATENATE(_05preva_view43[[#This Row],[Site ID]]," (",_05preva_view43[[#This Row],[tenant id]],") Application",IF(_05preva_view43[[#This Row],[Colo Rev]]&gt;0," Rev "&amp;_05preva_view43[[#This Row],[Colo Rev]],""),".xlsx")</f>
        <v>AYYN_0244 (YAW7770) Application.xlsx</v>
      </c>
      <c r="BE354" s="64">
        <f t="shared" ca="1" si="7"/>
        <v>50</v>
      </c>
      <c r="BF354" s="104" t="str">
        <f ca="1">LEFT(CELL("filename",A339),_05preva_view43[[#This Row],[Find Process &amp; Database]]-1)</f>
        <v>D:\OneDrive - apollo-towers.com\Apollo Towers\00-</v>
      </c>
      <c r="BG354" s="104" t="str">
        <f ca="1">_05preva_view43[Folder Path1]&amp;"Process &amp; Database\Documentation\Colo Applications"</f>
        <v>D:\OneDrive - apollo-towers.com\Apollo Towers\00-Process &amp; Database\Documentation\Colo Applications</v>
      </c>
      <c r="BH354" s="104" t="str">
        <f ca="1">_05preva_view43[Folder Path2]&amp;"\Colo App "&amp;_05preva_view43[[#This Row],[Operator]]&amp;"\"</f>
        <v>D:\OneDrive - apollo-towers.com\Apollo Towers\00-Process &amp; Database\Documentation\Colo Applications\Colo App OML\</v>
      </c>
      <c r="BI354" s="63" t="str">
        <f ca="1">_05preva_view43[[#This Row],[Folder Path3]]&amp;_05preva_view43[[#This Row],[File Name]]</f>
        <v>D:\OneDrive - apollo-towers.com\Apollo Towers\00-Process &amp; Database\Documentation\Colo Applications\Colo App OML\AYYN_0244 (YAW7770) Application.xlsx</v>
      </c>
      <c r="BJ354" s="104"/>
      <c r="BK354" s="3"/>
      <c r="BL354" s="3"/>
      <c r="CJ354" s="5"/>
      <c r="CK354" s="5"/>
      <c r="CL354" s="3"/>
      <c r="CN354" s="5"/>
      <c r="CR354" s="3"/>
      <c r="CS354" s="3"/>
      <c r="CT354" s="5"/>
      <c r="CV354" s="3"/>
      <c r="DR354" s="5"/>
      <c r="DT354" s="3"/>
      <c r="EF354" s="7"/>
      <c r="EG354" s="7"/>
      <c r="EJ354" s="4"/>
      <c r="EK354" s="4"/>
      <c r="EU354" s="2"/>
      <c r="EV354" s="2"/>
    </row>
    <row r="355" spans="1:152">
      <c r="A355" s="125">
        <v>76</v>
      </c>
      <c r="B355" s="126" t="s">
        <v>400</v>
      </c>
      <c r="C355" s="126" t="s">
        <v>116</v>
      </c>
      <c r="D355" s="126" t="s">
        <v>163</v>
      </c>
      <c r="E355" s="126" t="s">
        <v>401</v>
      </c>
      <c r="F355" s="126" t="s">
        <v>40</v>
      </c>
      <c r="G355" s="126" t="s">
        <v>118</v>
      </c>
      <c r="H355" s="126"/>
      <c r="I355" s="126" t="s">
        <v>118</v>
      </c>
      <c r="J355" s="126"/>
      <c r="K355" s="127">
        <v>43236</v>
      </c>
      <c r="L355" s="128"/>
      <c r="M355" s="128">
        <v>3</v>
      </c>
      <c r="N355" s="126"/>
      <c r="O355" s="126" t="s">
        <v>119</v>
      </c>
      <c r="P355" s="129"/>
      <c r="Q355" s="129"/>
      <c r="R355" s="126" t="s">
        <v>26</v>
      </c>
      <c r="S355" s="126"/>
      <c r="T355" s="130" t="s">
        <v>144</v>
      </c>
      <c r="U355" s="126" t="s">
        <v>402</v>
      </c>
      <c r="V355" s="130" t="s">
        <v>120</v>
      </c>
      <c r="W355" s="126"/>
      <c r="X355" s="130"/>
      <c r="Y355" s="126"/>
      <c r="Z355" s="162" t="s">
        <v>125</v>
      </c>
      <c r="AA355" s="154"/>
      <c r="AB355" s="154"/>
      <c r="AC355" s="167"/>
      <c r="AD355" s="126" t="s">
        <v>336</v>
      </c>
      <c r="AE355" s="130" t="s">
        <v>120</v>
      </c>
      <c r="AF355" s="127" t="s">
        <v>372</v>
      </c>
      <c r="AG355" s="131"/>
      <c r="AH355" s="131">
        <v>2</v>
      </c>
      <c r="AI355" s="126" t="s">
        <v>377</v>
      </c>
      <c r="AJ355" s="130"/>
      <c r="AK355" s="126"/>
      <c r="AL355" s="126"/>
      <c r="AM355" s="130"/>
      <c r="AN355" s="126"/>
      <c r="AO355" s="132"/>
      <c r="AP355" s="126"/>
      <c r="AQ355" s="126"/>
      <c r="AR355" s="130"/>
      <c r="AS355" s="126"/>
      <c r="AT355" s="127"/>
      <c r="AU355" s="127">
        <v>43453.3789769676</v>
      </c>
      <c r="AV355" s="127"/>
      <c r="AW355" s="127"/>
      <c r="AX355" s="127"/>
      <c r="AY355" s="127"/>
      <c r="AZ355" s="133">
        <v>43236</v>
      </c>
      <c r="BA35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5" s="135">
        <f>COUNTIFS(_05preva_view43[Site ID],_05preva_view43[[#This Row],[Site ID]],_05preva_view43[Prevalidation Status],"Under Prevalidation")</f>
        <v>0</v>
      </c>
      <c r="BC355" s="153" t="str">
        <f ca="1">HYPERLINK(CheckPath(_05preva_view43[[#This Row],[File Path]],_05preva_view43[[#This Row],[File Path]],_05preva_view43[[#This Row],[Folder Path3]]),CheckPath(_05preva_view43[[#This Row],[File Path]],"Open File","No File"))</f>
        <v>No File</v>
      </c>
      <c r="BD355" s="136" t="str">
        <f>CONCATENATE(_05preva_view43[[#This Row],[Site ID]]," (",_05preva_view43[[#This Row],[tenant id]],") Application",IF(_05preva_view43[[#This Row],[Colo Rev]]&gt;0," Rev "&amp;_05preva_view43[[#This Row],[Colo Rev]],""),".xlsx")</f>
        <v>AYYN_0517 (YAW7769) Application.xlsx</v>
      </c>
      <c r="BE355" s="64">
        <f t="shared" ca="1" si="7"/>
        <v>50</v>
      </c>
      <c r="BF355" s="104" t="str">
        <f ca="1">LEFT(CELL("filename",A340),_05preva_view43[[#This Row],[Find Process &amp; Database]]-1)</f>
        <v>D:\OneDrive - apollo-towers.com\Apollo Towers\00-</v>
      </c>
      <c r="BG355" s="104" t="str">
        <f ca="1">_05preva_view43[Folder Path1]&amp;"Process &amp; Database\Documentation\Colo Applications"</f>
        <v>D:\OneDrive - apollo-towers.com\Apollo Towers\00-Process &amp; Database\Documentation\Colo Applications</v>
      </c>
      <c r="BH355" s="104" t="str">
        <f ca="1">_05preva_view43[Folder Path2]&amp;"\Colo App "&amp;_05preva_view43[[#This Row],[Operator]]&amp;"\"</f>
        <v>D:\OneDrive - apollo-towers.com\Apollo Towers\00-Process &amp; Database\Documentation\Colo Applications\Colo App OML\</v>
      </c>
      <c r="BI355" s="63" t="str">
        <f ca="1">_05preva_view43[[#This Row],[Folder Path3]]&amp;_05preva_view43[[#This Row],[File Name]]</f>
        <v>D:\OneDrive - apollo-towers.com\Apollo Towers\00-Process &amp; Database\Documentation\Colo Applications\Colo App OML\AYYN_0517 (YAW7769) Application.xlsx</v>
      </c>
      <c r="BJ355" s="104"/>
      <c r="BK355" s="3"/>
      <c r="BL355" s="3"/>
      <c r="CJ355" s="5"/>
      <c r="CK355" s="5"/>
      <c r="CL355" s="3"/>
      <c r="CN355" s="5"/>
      <c r="CR355" s="3"/>
      <c r="CS355" s="3"/>
      <c r="CT355" s="5"/>
      <c r="CV355" s="3"/>
      <c r="DR355" s="5"/>
      <c r="DT355" s="3"/>
      <c r="EF355" s="7"/>
      <c r="EG355" s="7"/>
      <c r="EJ355" s="4"/>
      <c r="EK355" s="4"/>
      <c r="EU355" s="2"/>
      <c r="EV355" s="2"/>
    </row>
    <row r="356" spans="1:152">
      <c r="A356" s="125">
        <v>79</v>
      </c>
      <c r="B356" s="126" t="s">
        <v>406</v>
      </c>
      <c r="C356" s="126" t="s">
        <v>116</v>
      </c>
      <c r="D356" s="126" t="s">
        <v>117</v>
      </c>
      <c r="E356" s="126" t="s">
        <v>407</v>
      </c>
      <c r="F356" s="126" t="s">
        <v>40</v>
      </c>
      <c r="G356" s="126" t="s">
        <v>1579</v>
      </c>
      <c r="H356" s="126" t="s">
        <v>1575</v>
      </c>
      <c r="I356" s="126" t="s">
        <v>118</v>
      </c>
      <c r="J356" s="126"/>
      <c r="K356" s="127">
        <v>43236</v>
      </c>
      <c r="L356" s="128"/>
      <c r="M356" s="128">
        <v>3</v>
      </c>
      <c r="N356" s="126"/>
      <c r="O356" s="126" t="s">
        <v>119</v>
      </c>
      <c r="P356" s="129"/>
      <c r="Q356" s="129"/>
      <c r="R356" s="126" t="s">
        <v>24</v>
      </c>
      <c r="S356" s="126"/>
      <c r="T356" s="130" t="s">
        <v>120</v>
      </c>
      <c r="U356" s="126" t="s">
        <v>378</v>
      </c>
      <c r="V356" s="130" t="s">
        <v>120</v>
      </c>
      <c r="W356" s="126"/>
      <c r="X356" s="130" t="s">
        <v>120</v>
      </c>
      <c r="Y356" s="126" t="s">
        <v>408</v>
      </c>
      <c r="Z356" s="162" t="s">
        <v>120</v>
      </c>
      <c r="AA356" s="154"/>
      <c r="AB356" s="154"/>
      <c r="AC356" s="167"/>
      <c r="AD356" s="126" t="s">
        <v>409</v>
      </c>
      <c r="AE356" s="130" t="s">
        <v>120</v>
      </c>
      <c r="AF356" s="127" t="s">
        <v>241</v>
      </c>
      <c r="AG356" s="131"/>
      <c r="AH356" s="131">
        <v>3.5</v>
      </c>
      <c r="AI356" s="126" t="s">
        <v>387</v>
      </c>
      <c r="AJ356" s="130" t="s">
        <v>120</v>
      </c>
      <c r="AK356" s="126" t="s">
        <v>123</v>
      </c>
      <c r="AL356" s="126"/>
      <c r="AM356" s="130"/>
      <c r="AN356" s="126"/>
      <c r="AO356" s="132"/>
      <c r="AP356" s="126"/>
      <c r="AQ356" s="126"/>
      <c r="AR356" s="130"/>
      <c r="AS356" s="126"/>
      <c r="AT356" s="127"/>
      <c r="AU356" s="127">
        <v>43453.378977662003</v>
      </c>
      <c r="AV356" s="127"/>
      <c r="AW356" s="127"/>
      <c r="AX356" s="127"/>
      <c r="AY356" s="127"/>
      <c r="AZ356" s="133">
        <v>43236</v>
      </c>
      <c r="BA35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6" s="135">
        <f>COUNTIFS(_05preva_view43[Site ID],_05preva_view43[[#This Row],[Site ID]],_05preva_view43[Prevalidation Status],"Under Prevalidation")</f>
        <v>0</v>
      </c>
      <c r="BC356" s="153" t="str">
        <f ca="1">HYPERLINK(CheckPath(_05preva_view43[[#This Row],[File Path]],_05preva_view43[[#This Row],[File Path]],_05preva_view43[[#This Row],[Folder Path3]]),CheckPath(_05preva_view43[[#This Row],[File Path]],"Open File","No File"))</f>
        <v>No File</v>
      </c>
      <c r="BD356" s="136" t="str">
        <f>CONCATENATE(_05preva_view43[[#This Row],[Site ID]]," (",_05preva_view43[[#This Row],[tenant id]],") Application",IF(_05preva_view43[[#This Row],[Colo Rev]]&gt;0," Rev "&amp;_05preva_view43[[#This Row],[Colo Rev]],""),".xlsx")</f>
        <v>ACBA_0094 (BAW5558) Application.xlsx</v>
      </c>
      <c r="BE356" s="64">
        <f t="shared" ca="1" si="7"/>
        <v>50</v>
      </c>
      <c r="BF356" s="104" t="str">
        <f ca="1">LEFT(CELL("filename",A341),_05preva_view43[[#This Row],[Find Process &amp; Database]]-1)</f>
        <v>D:\OneDrive - apollo-towers.com\Apollo Towers\00-</v>
      </c>
      <c r="BG356" s="104" t="str">
        <f ca="1">_05preva_view43[Folder Path1]&amp;"Process &amp; Database\Documentation\Colo Applications"</f>
        <v>D:\OneDrive - apollo-towers.com\Apollo Towers\00-Process &amp; Database\Documentation\Colo Applications</v>
      </c>
      <c r="BH356" s="104" t="str">
        <f ca="1">_05preva_view43[Folder Path2]&amp;"\Colo App "&amp;_05preva_view43[[#This Row],[Operator]]&amp;"\"</f>
        <v>D:\OneDrive - apollo-towers.com\Apollo Towers\00-Process &amp; Database\Documentation\Colo Applications\Colo App OML\</v>
      </c>
      <c r="BI356" s="63" t="str">
        <f ca="1">_05preva_view43[[#This Row],[Folder Path3]]&amp;_05preva_view43[[#This Row],[File Name]]</f>
        <v>D:\OneDrive - apollo-towers.com\Apollo Towers\00-Process &amp; Database\Documentation\Colo Applications\Colo App OML\ACBA_0094 (BAW5558) Application.xlsx</v>
      </c>
      <c r="BJ356" s="104"/>
      <c r="BK356" s="3"/>
      <c r="BL356" s="3"/>
      <c r="CJ356" s="5"/>
      <c r="CK356" s="5"/>
      <c r="CL356" s="3"/>
      <c r="CN356" s="5"/>
      <c r="CR356" s="3"/>
      <c r="CS356" s="3"/>
      <c r="CT356" s="5"/>
      <c r="CV356" s="3"/>
      <c r="DR356" s="5"/>
      <c r="DT356" s="3"/>
      <c r="EF356" s="7"/>
      <c r="EG356" s="7"/>
      <c r="EJ356" s="4"/>
      <c r="EK356" s="4"/>
      <c r="EU356" s="2"/>
      <c r="EV356" s="2"/>
    </row>
    <row r="357" spans="1:152">
      <c r="A357" s="125">
        <v>83</v>
      </c>
      <c r="B357" s="126" t="s">
        <v>410</v>
      </c>
      <c r="C357" s="126" t="s">
        <v>116</v>
      </c>
      <c r="D357" s="126" t="s">
        <v>163</v>
      </c>
      <c r="E357" s="126" t="s">
        <v>411</v>
      </c>
      <c r="F357" s="126" t="s">
        <v>40</v>
      </c>
      <c r="G357" s="126" t="s">
        <v>118</v>
      </c>
      <c r="H357" s="126"/>
      <c r="I357" s="126" t="s">
        <v>118</v>
      </c>
      <c r="J357" s="126"/>
      <c r="K357" s="127">
        <v>43236</v>
      </c>
      <c r="L357" s="128"/>
      <c r="M357" s="128">
        <v>3</v>
      </c>
      <c r="N357" s="126"/>
      <c r="O357" s="126" t="s">
        <v>119</v>
      </c>
      <c r="P357" s="129"/>
      <c r="Q357" s="129"/>
      <c r="R357" s="126" t="s">
        <v>24</v>
      </c>
      <c r="S357" s="126"/>
      <c r="T357" s="130" t="s">
        <v>120</v>
      </c>
      <c r="U357" s="126" t="s">
        <v>378</v>
      </c>
      <c r="V357" s="130" t="s">
        <v>120</v>
      </c>
      <c r="W357" s="126"/>
      <c r="X357" s="130" t="s">
        <v>120</v>
      </c>
      <c r="Y357" s="126" t="s">
        <v>120</v>
      </c>
      <c r="Z357" s="162" t="s">
        <v>120</v>
      </c>
      <c r="AA357" s="154"/>
      <c r="AB357" s="154"/>
      <c r="AC357" s="167"/>
      <c r="AD357" s="126" t="s">
        <v>120</v>
      </c>
      <c r="AE357" s="130" t="s">
        <v>120</v>
      </c>
      <c r="AF357" s="127" t="s">
        <v>241</v>
      </c>
      <c r="AG357" s="131"/>
      <c r="AH357" s="131">
        <v>3.5</v>
      </c>
      <c r="AI357" s="126" t="s">
        <v>387</v>
      </c>
      <c r="AJ357" s="130" t="s">
        <v>120</v>
      </c>
      <c r="AK357" s="126" t="s">
        <v>123</v>
      </c>
      <c r="AL357" s="126"/>
      <c r="AM357" s="130"/>
      <c r="AN357" s="126"/>
      <c r="AO357" s="132"/>
      <c r="AP357" s="126"/>
      <c r="AQ357" s="126"/>
      <c r="AR357" s="130"/>
      <c r="AS357" s="126"/>
      <c r="AT357" s="127"/>
      <c r="AU357" s="127">
        <v>43453.378979745401</v>
      </c>
      <c r="AV357" s="127"/>
      <c r="AW357" s="127"/>
      <c r="AX357" s="127"/>
      <c r="AY357" s="127"/>
      <c r="AZ357" s="133">
        <v>43236</v>
      </c>
      <c r="BA35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7" s="135">
        <f>COUNTIFS(_05preva_view43[Site ID],_05preva_view43[[#This Row],[Site ID]],_05preva_view43[Prevalidation Status],"Under Prevalidation")</f>
        <v>0</v>
      </c>
      <c r="BC357" s="153" t="str">
        <f ca="1">HYPERLINK(CheckPath(_05preva_view43[[#This Row],[File Path]],_05preva_view43[[#This Row],[File Path]],_05preva_view43[[#This Row],[Folder Path3]]),CheckPath(_05preva_view43[[#This Row],[File Path]],"Open File","No File"))</f>
        <v>No File</v>
      </c>
      <c r="BD357" s="136" t="str">
        <f>CONCATENATE(_05preva_view43[[#This Row],[Site ID]]," (",_05preva_view43[[#This Row],[tenant id]],") Application",IF(_05preva_view43[[#This Row],[Colo Rev]]&gt;0," Rev "&amp;_05preva_view43[[#This Row],[Colo Rev]],""),".xlsx")</f>
        <v>ACBA_0056 (BAW5560) Application.xlsx</v>
      </c>
      <c r="BE357" s="64">
        <f t="shared" ca="1" si="7"/>
        <v>50</v>
      </c>
      <c r="BF357" s="104" t="str">
        <f ca="1">LEFT(CELL("filename",A342),_05preva_view43[[#This Row],[Find Process &amp; Database]]-1)</f>
        <v>D:\OneDrive - apollo-towers.com\Apollo Towers\00-</v>
      </c>
      <c r="BG357" s="104" t="str">
        <f ca="1">_05preva_view43[Folder Path1]&amp;"Process &amp; Database\Documentation\Colo Applications"</f>
        <v>D:\OneDrive - apollo-towers.com\Apollo Towers\00-Process &amp; Database\Documentation\Colo Applications</v>
      </c>
      <c r="BH357" s="104" t="str">
        <f ca="1">_05preva_view43[Folder Path2]&amp;"\Colo App "&amp;_05preva_view43[[#This Row],[Operator]]&amp;"\"</f>
        <v>D:\OneDrive - apollo-towers.com\Apollo Towers\00-Process &amp; Database\Documentation\Colo Applications\Colo App OML\</v>
      </c>
      <c r="BI357" s="63" t="str">
        <f ca="1">_05preva_view43[[#This Row],[Folder Path3]]&amp;_05preva_view43[[#This Row],[File Name]]</f>
        <v>D:\OneDrive - apollo-towers.com\Apollo Towers\00-Process &amp; Database\Documentation\Colo Applications\Colo App OML\ACBA_0056 (BAW5560) Application.xlsx</v>
      </c>
      <c r="BJ357" s="104"/>
      <c r="BK357" s="3"/>
      <c r="BL357" s="3"/>
      <c r="CJ357" s="5"/>
      <c r="CK357" s="5"/>
      <c r="CL357" s="3"/>
      <c r="CN357" s="5"/>
      <c r="CR357" s="3"/>
      <c r="CS357" s="3"/>
      <c r="CT357" s="5"/>
      <c r="CV357" s="3"/>
      <c r="DR357" s="5"/>
      <c r="DT357" s="3"/>
      <c r="EF357" s="7"/>
      <c r="EG357" s="7"/>
      <c r="EJ357" s="4"/>
      <c r="EK357" s="4"/>
      <c r="EU357" s="2"/>
      <c r="EV357" s="2"/>
    </row>
    <row r="358" spans="1:152">
      <c r="A358" s="125">
        <v>84</v>
      </c>
      <c r="B358" s="126" t="s">
        <v>412</v>
      </c>
      <c r="C358" s="126" t="s">
        <v>116</v>
      </c>
      <c r="D358" s="126" t="s">
        <v>163</v>
      </c>
      <c r="E358" s="126" t="s">
        <v>413</v>
      </c>
      <c r="F358" s="126" t="s">
        <v>40</v>
      </c>
      <c r="G358" s="126" t="s">
        <v>118</v>
      </c>
      <c r="H358" s="126"/>
      <c r="I358" s="126" t="s">
        <v>118</v>
      </c>
      <c r="J358" s="126"/>
      <c r="K358" s="127">
        <v>43236</v>
      </c>
      <c r="L358" s="128"/>
      <c r="M358" s="128">
        <v>3</v>
      </c>
      <c r="N358" s="126"/>
      <c r="O358" s="126" t="s">
        <v>119</v>
      </c>
      <c r="P358" s="129"/>
      <c r="Q358" s="129"/>
      <c r="R358" s="126" t="s">
        <v>26</v>
      </c>
      <c r="S358" s="126"/>
      <c r="T358" s="130" t="s">
        <v>144</v>
      </c>
      <c r="U358" s="126" t="s">
        <v>414</v>
      </c>
      <c r="V358" s="130" t="s">
        <v>120</v>
      </c>
      <c r="W358" s="126"/>
      <c r="X358" s="130"/>
      <c r="Y358" s="126"/>
      <c r="Z358" s="162" t="s">
        <v>125</v>
      </c>
      <c r="AA358" s="154"/>
      <c r="AB358" s="154"/>
      <c r="AC358" s="167"/>
      <c r="AD358" s="126" t="s">
        <v>336</v>
      </c>
      <c r="AE358" s="130" t="s">
        <v>120</v>
      </c>
      <c r="AF358" s="127" t="s">
        <v>372</v>
      </c>
      <c r="AG358" s="131"/>
      <c r="AH358" s="131">
        <v>2</v>
      </c>
      <c r="AI358" s="126" t="s">
        <v>415</v>
      </c>
      <c r="AJ358" s="130"/>
      <c r="AK358" s="126"/>
      <c r="AL358" s="126"/>
      <c r="AM358" s="130"/>
      <c r="AN358" s="126"/>
      <c r="AO358" s="132"/>
      <c r="AP358" s="126"/>
      <c r="AQ358" s="126"/>
      <c r="AR358" s="130"/>
      <c r="AS358" s="126"/>
      <c r="AT358" s="127"/>
      <c r="AU358" s="127">
        <v>43453.378980555601</v>
      </c>
      <c r="AV358" s="127"/>
      <c r="AW358" s="127"/>
      <c r="AX358" s="127"/>
      <c r="AY358" s="127"/>
      <c r="AZ358" s="133">
        <v>43236</v>
      </c>
      <c r="BA35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8" s="135">
        <f>COUNTIFS(_05preva_view43[Site ID],_05preva_view43[[#This Row],[Site ID]],_05preva_view43[Prevalidation Status],"Under Prevalidation")</f>
        <v>0</v>
      </c>
      <c r="BC358" s="153" t="str">
        <f ca="1">HYPERLINK(CheckPath(_05preva_view43[[#This Row],[File Path]],_05preva_view43[[#This Row],[File Path]],_05preva_view43[[#This Row],[Folder Path3]]),CheckPath(_05preva_view43[[#This Row],[File Path]],"Open File","No File"))</f>
        <v>No File</v>
      </c>
      <c r="BD358" s="136" t="str">
        <f>CONCATENATE(_05preva_view43[[#This Row],[Site ID]]," (",_05preva_view43[[#This Row],[tenant id]],") Application",IF(_05preva_view43[[#This Row],[Colo Rev]]&gt;0," Rev "&amp;_05preva_view43[[#This Row],[Colo Rev]],""),".xlsx")</f>
        <v>AYYN_0411 (YAW7765) Application.xlsx</v>
      </c>
      <c r="BE358" s="64">
        <f t="shared" ca="1" si="7"/>
        <v>50</v>
      </c>
      <c r="BF358" s="104" t="str">
        <f ca="1">LEFT(CELL("filename",A343),_05preva_view43[[#This Row],[Find Process &amp; Database]]-1)</f>
        <v>D:\OneDrive - apollo-towers.com\Apollo Towers\00-</v>
      </c>
      <c r="BG358" s="104" t="str">
        <f ca="1">_05preva_view43[Folder Path1]&amp;"Process &amp; Database\Documentation\Colo Applications"</f>
        <v>D:\OneDrive - apollo-towers.com\Apollo Towers\00-Process &amp; Database\Documentation\Colo Applications</v>
      </c>
      <c r="BH358" s="104" t="str">
        <f ca="1">_05preva_view43[Folder Path2]&amp;"\Colo App "&amp;_05preva_view43[[#This Row],[Operator]]&amp;"\"</f>
        <v>D:\OneDrive - apollo-towers.com\Apollo Towers\00-Process &amp; Database\Documentation\Colo Applications\Colo App OML\</v>
      </c>
      <c r="BI358" s="63" t="str">
        <f ca="1">_05preva_view43[[#This Row],[Folder Path3]]&amp;_05preva_view43[[#This Row],[File Name]]</f>
        <v>D:\OneDrive - apollo-towers.com\Apollo Towers\00-Process &amp; Database\Documentation\Colo Applications\Colo App OML\AYYN_0411 (YAW7765) Application.xlsx</v>
      </c>
      <c r="BJ358" s="104"/>
      <c r="BK358" s="3"/>
      <c r="BL358" s="3"/>
      <c r="CJ358" s="5"/>
      <c r="CK358" s="5"/>
      <c r="CL358" s="3"/>
      <c r="CN358" s="5"/>
      <c r="CR358" s="3"/>
      <c r="CS358" s="3"/>
      <c r="CT358" s="5"/>
      <c r="CV358" s="3"/>
      <c r="DR358" s="5"/>
      <c r="DT358" s="3"/>
      <c r="EF358" s="7"/>
      <c r="EG358" s="7"/>
      <c r="EJ358" s="4"/>
      <c r="EK358" s="4"/>
      <c r="EU358" s="2"/>
      <c r="EV358" s="2"/>
    </row>
    <row r="359" spans="1:152">
      <c r="A359" s="125">
        <v>85</v>
      </c>
      <c r="B359" s="126" t="s">
        <v>416</v>
      </c>
      <c r="C359" s="126" t="s">
        <v>116</v>
      </c>
      <c r="D359" s="126" t="s">
        <v>163</v>
      </c>
      <c r="E359" s="126" t="s">
        <v>417</v>
      </c>
      <c r="F359" s="126" t="s">
        <v>40</v>
      </c>
      <c r="G359" s="126" t="s">
        <v>1579</v>
      </c>
      <c r="H359" s="126" t="s">
        <v>1575</v>
      </c>
      <c r="I359" s="126" t="s">
        <v>118</v>
      </c>
      <c r="J359" s="126"/>
      <c r="K359" s="127">
        <v>43236</v>
      </c>
      <c r="L359" s="128"/>
      <c r="M359" s="128">
        <v>3</v>
      </c>
      <c r="N359" s="126"/>
      <c r="O359" s="126" t="s">
        <v>119</v>
      </c>
      <c r="P359" s="129"/>
      <c r="Q359" s="129"/>
      <c r="R359" s="126" t="s">
        <v>24</v>
      </c>
      <c r="S359" s="126"/>
      <c r="T359" s="130" t="s">
        <v>120</v>
      </c>
      <c r="U359" s="126" t="s">
        <v>378</v>
      </c>
      <c r="V359" s="130" t="s">
        <v>120</v>
      </c>
      <c r="W359" s="126"/>
      <c r="X359" s="130" t="s">
        <v>120</v>
      </c>
      <c r="Y359" s="126" t="s">
        <v>120</v>
      </c>
      <c r="Z359" s="162" t="s">
        <v>120</v>
      </c>
      <c r="AA359" s="154"/>
      <c r="AB359" s="154"/>
      <c r="AC359" s="167"/>
      <c r="AD359" s="126" t="s">
        <v>120</v>
      </c>
      <c r="AE359" s="130" t="s">
        <v>125</v>
      </c>
      <c r="AF359" s="127"/>
      <c r="AG359" s="131"/>
      <c r="AH359" s="131"/>
      <c r="AI359" s="126" t="s">
        <v>418</v>
      </c>
      <c r="AJ359" s="130" t="s">
        <v>120</v>
      </c>
      <c r="AK359" s="126" t="s">
        <v>123</v>
      </c>
      <c r="AL359" s="126"/>
      <c r="AM359" s="130"/>
      <c r="AN359" s="126"/>
      <c r="AO359" s="132"/>
      <c r="AP359" s="126"/>
      <c r="AQ359" s="126"/>
      <c r="AR359" s="130"/>
      <c r="AS359" s="126"/>
      <c r="AT359" s="127"/>
      <c r="AU359" s="127"/>
      <c r="AV359" s="127"/>
      <c r="AW359" s="127"/>
      <c r="AX359" s="127"/>
      <c r="AY359" s="127"/>
      <c r="AZ359" s="133"/>
      <c r="BA35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9" s="135">
        <f>COUNTIFS(_05preva_view43[Site ID],_05preva_view43[[#This Row],[Site ID]],_05preva_view43[Prevalidation Status],"Under Prevalidation")</f>
        <v>0</v>
      </c>
      <c r="BC359" s="153" t="str">
        <f ca="1">HYPERLINK(CheckPath(_05preva_view43[[#This Row],[File Path]],_05preva_view43[[#This Row],[File Path]],_05preva_view43[[#This Row],[Folder Path3]]),CheckPath(_05preva_view43[[#This Row],[File Path]],"Open File","No File"))</f>
        <v>No File</v>
      </c>
      <c r="BD359" s="136" t="str">
        <f>CONCATENATE(_05preva_view43[[#This Row],[Site ID]]," (",_05preva_view43[[#This Row],[tenant id]],") Application",IF(_05preva_view43[[#This Row],[Colo Rev]]&gt;0," Rev "&amp;_05preva_view43[[#This Row],[Colo Rev]],""),".xlsx")</f>
        <v>ASMO_0267 (MOW6300) Application.xlsx</v>
      </c>
      <c r="BE359" s="64">
        <f t="shared" ca="1" si="7"/>
        <v>50</v>
      </c>
      <c r="BF359" s="104" t="str">
        <f ca="1">LEFT(CELL("filename",A344),_05preva_view43[[#This Row],[Find Process &amp; Database]]-1)</f>
        <v>D:\OneDrive - apollo-towers.com\Apollo Towers\00-</v>
      </c>
      <c r="BG359" s="104" t="str">
        <f ca="1">_05preva_view43[Folder Path1]&amp;"Process &amp; Database\Documentation\Colo Applications"</f>
        <v>D:\OneDrive - apollo-towers.com\Apollo Towers\00-Process &amp; Database\Documentation\Colo Applications</v>
      </c>
      <c r="BH359" s="104" t="str">
        <f ca="1">_05preva_view43[Folder Path2]&amp;"\Colo App "&amp;_05preva_view43[[#This Row],[Operator]]&amp;"\"</f>
        <v>D:\OneDrive - apollo-towers.com\Apollo Towers\00-Process &amp; Database\Documentation\Colo Applications\Colo App OML\</v>
      </c>
      <c r="BI359" s="63" t="str">
        <f ca="1">_05preva_view43[[#This Row],[Folder Path3]]&amp;_05preva_view43[[#This Row],[File Name]]</f>
        <v>D:\OneDrive - apollo-towers.com\Apollo Towers\00-Process &amp; Database\Documentation\Colo Applications\Colo App OML\ASMO_0267 (MOW6300) Application.xlsx</v>
      </c>
      <c r="BJ359" s="104"/>
      <c r="BK359" s="3"/>
      <c r="BL359" s="3"/>
      <c r="CJ359" s="5"/>
      <c r="CK359" s="5"/>
      <c r="CL359" s="3"/>
      <c r="CN359" s="5"/>
      <c r="CR359" s="3"/>
      <c r="CS359" s="3"/>
      <c r="CT359" s="5"/>
      <c r="CV359" s="3"/>
      <c r="DR359" s="5"/>
      <c r="DT359" s="3"/>
      <c r="EF359" s="7"/>
      <c r="EG359" s="7"/>
      <c r="EJ359" s="4"/>
      <c r="EK359" s="4"/>
      <c r="EU359" s="2"/>
      <c r="EV359" s="2"/>
    </row>
    <row r="360" spans="1:152">
      <c r="A360" s="125">
        <v>87</v>
      </c>
      <c r="B360" s="126" t="s">
        <v>420</v>
      </c>
      <c r="C360" s="126" t="s">
        <v>116</v>
      </c>
      <c r="D360" s="126" t="s">
        <v>163</v>
      </c>
      <c r="E360" s="126" t="s">
        <v>421</v>
      </c>
      <c r="F360" s="126" t="s">
        <v>40</v>
      </c>
      <c r="G360" s="126" t="s">
        <v>118</v>
      </c>
      <c r="H360" s="126"/>
      <c r="I360" s="126" t="s">
        <v>118</v>
      </c>
      <c r="J360" s="126"/>
      <c r="K360" s="127">
        <v>43236</v>
      </c>
      <c r="L360" s="128"/>
      <c r="M360" s="128">
        <v>3</v>
      </c>
      <c r="N360" s="126"/>
      <c r="O360" s="126" t="s">
        <v>119</v>
      </c>
      <c r="P360" s="129"/>
      <c r="Q360" s="129"/>
      <c r="R360" s="126" t="s">
        <v>26</v>
      </c>
      <c r="S360" s="126"/>
      <c r="T360" s="130" t="s">
        <v>144</v>
      </c>
      <c r="U360" s="126" t="s">
        <v>371</v>
      </c>
      <c r="V360" s="130" t="s">
        <v>125</v>
      </c>
      <c r="W360" s="126"/>
      <c r="X360" s="130"/>
      <c r="Y360" s="126"/>
      <c r="Z360" s="162" t="s">
        <v>125</v>
      </c>
      <c r="AA360" s="154"/>
      <c r="AB360" s="154"/>
      <c r="AC360" s="167"/>
      <c r="AD360" s="126" t="s">
        <v>336</v>
      </c>
      <c r="AE360" s="130" t="s">
        <v>120</v>
      </c>
      <c r="AF360" s="127" t="s">
        <v>372</v>
      </c>
      <c r="AG360" s="131"/>
      <c r="AH360" s="131">
        <v>2</v>
      </c>
      <c r="AI360" s="126" t="s">
        <v>422</v>
      </c>
      <c r="AJ360" s="130"/>
      <c r="AK360" s="126"/>
      <c r="AL360" s="126"/>
      <c r="AM360" s="130"/>
      <c r="AN360" s="126"/>
      <c r="AO360" s="132"/>
      <c r="AP360" s="126"/>
      <c r="AQ360" s="126"/>
      <c r="AR360" s="130"/>
      <c r="AS360" s="126"/>
      <c r="AT360" s="127"/>
      <c r="AU360" s="127">
        <v>43453.378981713002</v>
      </c>
      <c r="AV360" s="127"/>
      <c r="AW360" s="127"/>
      <c r="AX360" s="127"/>
      <c r="AY360" s="127"/>
      <c r="AZ360" s="133">
        <v>43236</v>
      </c>
      <c r="BA36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0" s="135">
        <f>COUNTIFS(_05preva_view43[Site ID],_05preva_view43[[#This Row],[Site ID]],_05preva_view43[Prevalidation Status],"Under Prevalidation")</f>
        <v>0</v>
      </c>
      <c r="BC360" s="153" t="str">
        <f ca="1">HYPERLINK(CheckPath(_05preva_view43[[#This Row],[File Path]],_05preva_view43[[#This Row],[File Path]],_05preva_view43[[#This Row],[Folder Path3]]),CheckPath(_05preva_view43[[#This Row],[File Path]],"Open File","No File"))</f>
        <v>No File</v>
      </c>
      <c r="BD360" s="136" t="str">
        <f>CONCATENATE(_05preva_view43[[#This Row],[Site ID]]," (",_05preva_view43[[#This Row],[tenant id]],") Application",IF(_05preva_view43[[#This Row],[Colo Rev]]&gt;0," Rev "&amp;_05preva_view43[[#This Row],[Colo Rev]],""),".xlsx")</f>
        <v>AYYN_0306 (YAW7763) Application.xlsx</v>
      </c>
      <c r="BE360" s="64">
        <f t="shared" ca="1" si="7"/>
        <v>50</v>
      </c>
      <c r="BF360" s="104" t="str">
        <f ca="1">LEFT(CELL("filename",A345),_05preva_view43[[#This Row],[Find Process &amp; Database]]-1)</f>
        <v>D:\OneDrive - apollo-towers.com\Apollo Towers\00-</v>
      </c>
      <c r="BG360" s="104" t="str">
        <f ca="1">_05preva_view43[Folder Path1]&amp;"Process &amp; Database\Documentation\Colo Applications"</f>
        <v>D:\OneDrive - apollo-towers.com\Apollo Towers\00-Process &amp; Database\Documentation\Colo Applications</v>
      </c>
      <c r="BH360" s="104" t="str">
        <f ca="1">_05preva_view43[Folder Path2]&amp;"\Colo App "&amp;_05preva_view43[[#This Row],[Operator]]&amp;"\"</f>
        <v>D:\OneDrive - apollo-towers.com\Apollo Towers\00-Process &amp; Database\Documentation\Colo Applications\Colo App OML\</v>
      </c>
      <c r="BI360" s="63" t="str">
        <f ca="1">_05preva_view43[[#This Row],[Folder Path3]]&amp;_05preva_view43[[#This Row],[File Name]]</f>
        <v>D:\OneDrive - apollo-towers.com\Apollo Towers\00-Process &amp; Database\Documentation\Colo Applications\Colo App OML\AYYN_0306 (YAW7763) Application.xlsx</v>
      </c>
      <c r="BJ360" s="104"/>
      <c r="BK360" s="3"/>
      <c r="BL360" s="3"/>
      <c r="CJ360" s="5"/>
      <c r="CK360" s="5"/>
      <c r="CL360" s="3"/>
      <c r="CN360" s="5"/>
      <c r="CR360" s="3"/>
      <c r="CS360" s="3"/>
      <c r="CT360" s="5"/>
      <c r="CV360" s="3"/>
      <c r="DR360" s="5"/>
      <c r="DT360" s="3"/>
      <c r="EF360" s="7"/>
      <c r="EG360" s="7"/>
      <c r="EJ360" s="4"/>
      <c r="EK360" s="4"/>
      <c r="EU360" s="2"/>
      <c r="EV360" s="2"/>
    </row>
    <row r="361" spans="1:152">
      <c r="A361" s="125">
        <v>89</v>
      </c>
      <c r="B361" s="126" t="s">
        <v>423</v>
      </c>
      <c r="C361" s="126" t="s">
        <v>116</v>
      </c>
      <c r="D361" s="126" t="s">
        <v>163</v>
      </c>
      <c r="E361" s="126" t="s">
        <v>424</v>
      </c>
      <c r="F361" s="126" t="s">
        <v>40</v>
      </c>
      <c r="G361" s="126" t="s">
        <v>118</v>
      </c>
      <c r="H361" s="126"/>
      <c r="I361" s="126" t="s">
        <v>118</v>
      </c>
      <c r="J361" s="126"/>
      <c r="K361" s="127">
        <v>43236</v>
      </c>
      <c r="L361" s="128"/>
      <c r="M361" s="128">
        <v>3</v>
      </c>
      <c r="N361" s="126"/>
      <c r="O361" s="126" t="s">
        <v>119</v>
      </c>
      <c r="P361" s="129"/>
      <c r="Q361" s="129"/>
      <c r="R361" s="126" t="s">
        <v>27</v>
      </c>
      <c r="S361" s="126"/>
      <c r="T361" s="130" t="s">
        <v>120</v>
      </c>
      <c r="U361" s="126" t="s">
        <v>425</v>
      </c>
      <c r="V361" s="130" t="s">
        <v>120</v>
      </c>
      <c r="W361" s="126"/>
      <c r="X361" s="130" t="s">
        <v>120</v>
      </c>
      <c r="Y361" s="126" t="s">
        <v>404</v>
      </c>
      <c r="Z361" s="162" t="s">
        <v>125</v>
      </c>
      <c r="AA361" s="154"/>
      <c r="AB361" s="154"/>
      <c r="AC361" s="167" t="s">
        <v>123</v>
      </c>
      <c r="AD361" s="126" t="s">
        <v>405</v>
      </c>
      <c r="AE361" s="130" t="s">
        <v>125</v>
      </c>
      <c r="AF361" s="127"/>
      <c r="AG361" s="131"/>
      <c r="AH361" s="131"/>
      <c r="AI361" s="126" t="s">
        <v>366</v>
      </c>
      <c r="AJ361" s="130" t="s">
        <v>120</v>
      </c>
      <c r="AK361" s="126" t="s">
        <v>123</v>
      </c>
      <c r="AL361" s="126" t="s">
        <v>365</v>
      </c>
      <c r="AM361" s="130"/>
      <c r="AN361" s="126"/>
      <c r="AO361" s="132"/>
      <c r="AP361" s="126"/>
      <c r="AQ361" s="126"/>
      <c r="AR361" s="130"/>
      <c r="AS361" s="126"/>
      <c r="AT361" s="127"/>
      <c r="AU361" s="127"/>
      <c r="AV361" s="127"/>
      <c r="AW361" s="127"/>
      <c r="AX361" s="127"/>
      <c r="AY361" s="127"/>
      <c r="AZ361" s="133"/>
      <c r="BA36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1" s="135">
        <f>COUNTIFS(_05preva_view43[Site ID],_05preva_view43[[#This Row],[Site ID]],_05preva_view43[Prevalidation Status],"Under Prevalidation")</f>
        <v>0</v>
      </c>
      <c r="BC361" s="153" t="str">
        <f ca="1">HYPERLINK(CheckPath(_05preva_view43[[#This Row],[File Path]],_05preva_view43[[#This Row],[File Path]],_05preva_view43[[#This Row],[Folder Path3]]),CheckPath(_05preva_view43[[#This Row],[File Path]],"Open File","No File"))</f>
        <v>No File</v>
      </c>
      <c r="BD361" s="136" t="str">
        <f>CONCATENATE(_05preva_view43[[#This Row],[Site ID]]," (",_05preva_view43[[#This Row],[tenant id]],") Application",IF(_05preva_view43[[#This Row],[Colo Rev]]&gt;0," Rev "&amp;_05preva_view43[[#This Row],[Colo Rev]],""),".xlsx")</f>
        <v>AYYN_0533 (YAW7827) Application.xlsx</v>
      </c>
      <c r="BE361" s="64">
        <f t="shared" ca="1" si="7"/>
        <v>50</v>
      </c>
      <c r="BF361" s="104" t="str">
        <f ca="1">LEFT(CELL("filename",A346),_05preva_view43[[#This Row],[Find Process &amp; Database]]-1)</f>
        <v>D:\OneDrive - apollo-towers.com\Apollo Towers\00-</v>
      </c>
      <c r="BG361" s="104" t="str">
        <f ca="1">_05preva_view43[Folder Path1]&amp;"Process &amp; Database\Documentation\Colo Applications"</f>
        <v>D:\OneDrive - apollo-towers.com\Apollo Towers\00-Process &amp; Database\Documentation\Colo Applications</v>
      </c>
      <c r="BH361" s="104" t="str">
        <f ca="1">_05preva_view43[Folder Path2]&amp;"\Colo App "&amp;_05preva_view43[[#This Row],[Operator]]&amp;"\"</f>
        <v>D:\OneDrive - apollo-towers.com\Apollo Towers\00-Process &amp; Database\Documentation\Colo Applications\Colo App OML\</v>
      </c>
      <c r="BI361" s="63" t="str">
        <f ca="1">_05preva_view43[[#This Row],[Folder Path3]]&amp;_05preva_view43[[#This Row],[File Name]]</f>
        <v>D:\OneDrive - apollo-towers.com\Apollo Towers\00-Process &amp; Database\Documentation\Colo Applications\Colo App OML\AYYN_0533 (YAW7827) Application.xlsx</v>
      </c>
      <c r="BJ361" s="104"/>
      <c r="BK361" s="3"/>
      <c r="BL361" s="3"/>
      <c r="CJ361" s="5"/>
      <c r="CK361" s="5"/>
      <c r="CL361" s="3"/>
      <c r="CN361" s="5"/>
      <c r="CR361" s="3"/>
      <c r="CS361" s="3"/>
      <c r="CT361" s="5"/>
      <c r="CV361" s="3"/>
      <c r="DR361" s="5"/>
      <c r="DT361" s="3"/>
      <c r="EF361" s="7"/>
      <c r="EG361" s="7"/>
      <c r="EJ361" s="4"/>
      <c r="EK361" s="4"/>
      <c r="EU361" s="2"/>
      <c r="EV361" s="2"/>
    </row>
    <row r="362" spans="1:152">
      <c r="A362" s="125">
        <v>90</v>
      </c>
      <c r="B362" s="126" t="s">
        <v>426</v>
      </c>
      <c r="C362" s="126" t="s">
        <v>116</v>
      </c>
      <c r="D362" s="126" t="s">
        <v>163</v>
      </c>
      <c r="E362" s="126" t="s">
        <v>427</v>
      </c>
      <c r="F362" s="126" t="s">
        <v>40</v>
      </c>
      <c r="G362" s="126" t="s">
        <v>1579</v>
      </c>
      <c r="H362" s="126" t="s">
        <v>1575</v>
      </c>
      <c r="I362" s="126" t="s">
        <v>118</v>
      </c>
      <c r="J362" s="126"/>
      <c r="K362" s="127">
        <v>43236</v>
      </c>
      <c r="L362" s="128"/>
      <c r="M362" s="128">
        <v>3</v>
      </c>
      <c r="N362" s="126"/>
      <c r="O362" s="126" t="s">
        <v>119</v>
      </c>
      <c r="P362" s="129"/>
      <c r="Q362" s="129"/>
      <c r="R362" s="126" t="s">
        <v>24</v>
      </c>
      <c r="S362" s="126"/>
      <c r="T362" s="130" t="s">
        <v>120</v>
      </c>
      <c r="U362" s="126" t="s">
        <v>378</v>
      </c>
      <c r="V362" s="130" t="s">
        <v>120</v>
      </c>
      <c r="W362" s="126"/>
      <c r="X362" s="130" t="s">
        <v>120</v>
      </c>
      <c r="Y362" s="126" t="s">
        <v>120</v>
      </c>
      <c r="Z362" s="162" t="s">
        <v>120</v>
      </c>
      <c r="AA362" s="154"/>
      <c r="AB362" s="154"/>
      <c r="AC362" s="167"/>
      <c r="AD362" s="126" t="s">
        <v>120</v>
      </c>
      <c r="AE362" s="130" t="s">
        <v>120</v>
      </c>
      <c r="AF362" s="127" t="s">
        <v>241</v>
      </c>
      <c r="AG362" s="131"/>
      <c r="AH362" s="131">
        <v>3.5</v>
      </c>
      <c r="AI362" s="126" t="s">
        <v>242</v>
      </c>
      <c r="AJ362" s="130" t="s">
        <v>120</v>
      </c>
      <c r="AK362" s="126" t="s">
        <v>123</v>
      </c>
      <c r="AL362" s="126"/>
      <c r="AM362" s="130"/>
      <c r="AN362" s="126"/>
      <c r="AO362" s="132"/>
      <c r="AP362" s="126"/>
      <c r="AQ362" s="126"/>
      <c r="AR362" s="130"/>
      <c r="AS362" s="126"/>
      <c r="AT362" s="127"/>
      <c r="AU362" s="127">
        <v>43453.378984143499</v>
      </c>
      <c r="AV362" s="127"/>
      <c r="AW362" s="127"/>
      <c r="AX362" s="127"/>
      <c r="AY362" s="127"/>
      <c r="AZ362" s="133">
        <v>43236</v>
      </c>
      <c r="BA36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2" s="135">
        <f>COUNTIFS(_05preva_view43[Site ID],_05preva_view43[[#This Row],[Site ID]],_05preva_view43[Prevalidation Status],"Under Prevalidation")</f>
        <v>0</v>
      </c>
      <c r="BC362" s="153" t="str">
        <f ca="1">HYPERLINK(CheckPath(_05preva_view43[[#This Row],[File Path]],_05preva_view43[[#This Row],[File Path]],_05preva_view43[[#This Row],[Folder Path3]]),CheckPath(_05preva_view43[[#This Row],[File Path]],"Open File","No File"))</f>
        <v>No File</v>
      </c>
      <c r="BD362" s="136" t="str">
        <f>CONCATENATE(_05preva_view43[[#This Row],[Site ID]]," (",_05preva_view43[[#This Row],[tenant id]],") Application",IF(_05preva_view43[[#This Row],[Colo Rev]]&gt;0," Rev "&amp;_05preva_view43[[#This Row],[Colo Rev]],""),".xlsx")</f>
        <v>ASMO_0263 (MOW6303) Application.xlsx</v>
      </c>
      <c r="BE362" s="64">
        <f t="shared" ca="1" si="7"/>
        <v>50</v>
      </c>
      <c r="BF362" s="104" t="str">
        <f ca="1">LEFT(CELL("filename",A347),_05preva_view43[[#This Row],[Find Process &amp; Database]]-1)</f>
        <v>D:\OneDrive - apollo-towers.com\Apollo Towers\00-</v>
      </c>
      <c r="BG362" s="104" t="str">
        <f ca="1">_05preva_view43[Folder Path1]&amp;"Process &amp; Database\Documentation\Colo Applications"</f>
        <v>D:\OneDrive - apollo-towers.com\Apollo Towers\00-Process &amp; Database\Documentation\Colo Applications</v>
      </c>
      <c r="BH362" s="104" t="str">
        <f ca="1">_05preva_view43[Folder Path2]&amp;"\Colo App "&amp;_05preva_view43[[#This Row],[Operator]]&amp;"\"</f>
        <v>D:\OneDrive - apollo-towers.com\Apollo Towers\00-Process &amp; Database\Documentation\Colo Applications\Colo App OML\</v>
      </c>
      <c r="BI362" s="63" t="str">
        <f ca="1">_05preva_view43[[#This Row],[Folder Path3]]&amp;_05preva_view43[[#This Row],[File Name]]</f>
        <v>D:\OneDrive - apollo-towers.com\Apollo Towers\00-Process &amp; Database\Documentation\Colo Applications\Colo App OML\ASMO_0263 (MOW6303) Application.xlsx</v>
      </c>
      <c r="BJ362" s="104"/>
      <c r="BK362" s="3"/>
      <c r="BL362" s="3"/>
      <c r="CJ362" s="5"/>
      <c r="CK362" s="5"/>
      <c r="CL362" s="3"/>
      <c r="CN362" s="5"/>
      <c r="CR362" s="3"/>
      <c r="CS362" s="3"/>
      <c r="CT362" s="5"/>
      <c r="CV362" s="3"/>
      <c r="DR362" s="5"/>
      <c r="DT362" s="3"/>
      <c r="EF362" s="7"/>
      <c r="EG362" s="7"/>
      <c r="EJ362" s="4"/>
      <c r="EK362" s="4"/>
      <c r="EU362" s="2"/>
      <c r="EV362" s="2"/>
    </row>
    <row r="363" spans="1:152">
      <c r="A363" s="125">
        <v>93</v>
      </c>
      <c r="B363" s="126" t="s">
        <v>431</v>
      </c>
      <c r="C363" s="126" t="s">
        <v>116</v>
      </c>
      <c r="D363" s="126" t="s">
        <v>163</v>
      </c>
      <c r="E363" s="126" t="s">
        <v>432</v>
      </c>
      <c r="F363" s="126" t="s">
        <v>40</v>
      </c>
      <c r="G363" s="126" t="s">
        <v>118</v>
      </c>
      <c r="H363" s="126"/>
      <c r="I363" s="126" t="s">
        <v>118</v>
      </c>
      <c r="J363" s="126"/>
      <c r="K363" s="127">
        <v>43236</v>
      </c>
      <c r="L363" s="128"/>
      <c r="M363" s="128">
        <v>3</v>
      </c>
      <c r="N363" s="126"/>
      <c r="O363" s="126" t="s">
        <v>119</v>
      </c>
      <c r="P363" s="129"/>
      <c r="Q363" s="129"/>
      <c r="R363" s="126" t="s">
        <v>24</v>
      </c>
      <c r="S363" s="126"/>
      <c r="T363" s="130" t="s">
        <v>120</v>
      </c>
      <c r="U363" s="126" t="s">
        <v>429</v>
      </c>
      <c r="V363" s="130" t="s">
        <v>120</v>
      </c>
      <c r="W363" s="126"/>
      <c r="X363" s="130" t="s">
        <v>120</v>
      </c>
      <c r="Y363" s="126" t="s">
        <v>404</v>
      </c>
      <c r="Z363" s="162" t="s">
        <v>125</v>
      </c>
      <c r="AA363" s="154"/>
      <c r="AB363" s="154"/>
      <c r="AC363" s="167" t="s">
        <v>123</v>
      </c>
      <c r="AD363" s="126" t="s">
        <v>430</v>
      </c>
      <c r="AE363" s="130" t="s">
        <v>125</v>
      </c>
      <c r="AF363" s="127"/>
      <c r="AG363" s="131"/>
      <c r="AH363" s="131"/>
      <c r="AI363" s="126" t="s">
        <v>387</v>
      </c>
      <c r="AJ363" s="130" t="s">
        <v>120</v>
      </c>
      <c r="AK363" s="126" t="s">
        <v>240</v>
      </c>
      <c r="AL363" s="126"/>
      <c r="AM363" s="130"/>
      <c r="AN363" s="126"/>
      <c r="AO363" s="132"/>
      <c r="AP363" s="126"/>
      <c r="AQ363" s="126"/>
      <c r="AR363" s="130"/>
      <c r="AS363" s="126"/>
      <c r="AT363" s="127"/>
      <c r="AU363" s="127"/>
      <c r="AV363" s="127"/>
      <c r="AW363" s="127"/>
      <c r="AX363" s="127"/>
      <c r="AY363" s="127"/>
      <c r="AZ363" s="133"/>
      <c r="BA36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3" s="135">
        <f>COUNTIFS(_05preva_view43[Site ID],_05preva_view43[[#This Row],[Site ID]],_05preva_view43[Prevalidation Status],"Under Prevalidation")</f>
        <v>1</v>
      </c>
      <c r="BC363" s="153" t="str">
        <f ca="1">HYPERLINK(CheckPath(_05preva_view43[[#This Row],[File Path]],_05preva_view43[[#This Row],[File Path]],_05preva_view43[[#This Row],[Folder Path3]]),CheckPath(_05preva_view43[[#This Row],[File Path]],"Open File","No File"))</f>
        <v>No File</v>
      </c>
      <c r="BD363" s="136" t="str">
        <f>CONCATENATE(_05preva_view43[[#This Row],[Site ID]]," (",_05preva_view43[[#This Row],[tenant id]],") Application",IF(_05preva_view43[[#This Row],[Colo Rev]]&gt;0," Rev "&amp;_05preva_view43[[#This Row],[Colo Rev]],""),".xlsx")</f>
        <v>AYYN_0534 (YAW7825) Application.xlsx</v>
      </c>
      <c r="BE363" s="64">
        <f t="shared" ca="1" si="7"/>
        <v>50</v>
      </c>
      <c r="BF363" s="104" t="str">
        <f ca="1">LEFT(CELL("filename",A348),_05preva_view43[[#This Row],[Find Process &amp; Database]]-1)</f>
        <v>D:\OneDrive - apollo-towers.com\Apollo Towers\00-</v>
      </c>
      <c r="BG363" s="104" t="str">
        <f ca="1">_05preva_view43[Folder Path1]&amp;"Process &amp; Database\Documentation\Colo Applications"</f>
        <v>D:\OneDrive - apollo-towers.com\Apollo Towers\00-Process &amp; Database\Documentation\Colo Applications</v>
      </c>
      <c r="BH363" s="104" t="str">
        <f ca="1">_05preva_view43[Folder Path2]&amp;"\Colo App "&amp;_05preva_view43[[#This Row],[Operator]]&amp;"\"</f>
        <v>D:\OneDrive - apollo-towers.com\Apollo Towers\00-Process &amp; Database\Documentation\Colo Applications\Colo App OML\</v>
      </c>
      <c r="BI363" s="63" t="str">
        <f ca="1">_05preva_view43[[#This Row],[Folder Path3]]&amp;_05preva_view43[[#This Row],[File Name]]</f>
        <v>D:\OneDrive - apollo-towers.com\Apollo Towers\00-Process &amp; Database\Documentation\Colo Applications\Colo App OML\AYYN_0534 (YAW7825) Application.xlsx</v>
      </c>
      <c r="BJ363" s="104"/>
      <c r="BK363" s="3"/>
      <c r="BL363" s="3"/>
      <c r="CJ363" s="5"/>
      <c r="CK363" s="5"/>
      <c r="CL363" s="3"/>
      <c r="CN363" s="5"/>
      <c r="CR363" s="3"/>
      <c r="CS363" s="3"/>
      <c r="CT363" s="5"/>
      <c r="CV363" s="3"/>
      <c r="DR363" s="5"/>
      <c r="DT363" s="3"/>
      <c r="EF363" s="7"/>
      <c r="EG363" s="7"/>
      <c r="EJ363" s="4"/>
      <c r="EK363" s="4"/>
      <c r="EU363" s="2"/>
      <c r="EV363" s="2"/>
    </row>
    <row r="364" spans="1:152">
      <c r="A364" s="125">
        <v>95</v>
      </c>
      <c r="B364" s="126" t="s">
        <v>433</v>
      </c>
      <c r="C364" s="126" t="s">
        <v>116</v>
      </c>
      <c r="D364" s="126" t="s">
        <v>163</v>
      </c>
      <c r="E364" s="126" t="s">
        <v>434</v>
      </c>
      <c r="F364" s="126" t="s">
        <v>40</v>
      </c>
      <c r="G364" s="126" t="s">
        <v>118</v>
      </c>
      <c r="H364" s="126"/>
      <c r="I364" s="126" t="s">
        <v>118</v>
      </c>
      <c r="J364" s="126"/>
      <c r="K364" s="127">
        <v>43236</v>
      </c>
      <c r="L364" s="128"/>
      <c r="M364" s="128">
        <v>3</v>
      </c>
      <c r="N364" s="126"/>
      <c r="O364" s="126" t="s">
        <v>119</v>
      </c>
      <c r="P364" s="129"/>
      <c r="Q364" s="129"/>
      <c r="R364" s="126" t="s">
        <v>26</v>
      </c>
      <c r="S364" s="126"/>
      <c r="T364" s="130" t="s">
        <v>144</v>
      </c>
      <c r="U364" s="126" t="s">
        <v>435</v>
      </c>
      <c r="V364" s="130" t="s">
        <v>144</v>
      </c>
      <c r="W364" s="126"/>
      <c r="X364" s="130"/>
      <c r="Y364" s="126"/>
      <c r="Z364" s="162" t="s">
        <v>120</v>
      </c>
      <c r="AA364" s="154"/>
      <c r="AB364" s="154"/>
      <c r="AC364" s="167"/>
      <c r="AD364" s="126" t="s">
        <v>419</v>
      </c>
      <c r="AE364" s="130" t="s">
        <v>120</v>
      </c>
      <c r="AF364" s="127" t="s">
        <v>241</v>
      </c>
      <c r="AG364" s="131"/>
      <c r="AH364" s="131">
        <v>3.5</v>
      </c>
      <c r="AI364" s="126" t="s">
        <v>436</v>
      </c>
      <c r="AJ364" s="130"/>
      <c r="AK364" s="126"/>
      <c r="AL364" s="126"/>
      <c r="AM364" s="130"/>
      <c r="AN364" s="126"/>
      <c r="AO364" s="132"/>
      <c r="AP364" s="126"/>
      <c r="AQ364" s="126"/>
      <c r="AR364" s="130"/>
      <c r="AS364" s="126"/>
      <c r="AT364" s="127"/>
      <c r="AU364" s="127">
        <v>43453.378985185198</v>
      </c>
      <c r="AV364" s="127"/>
      <c r="AW364" s="127"/>
      <c r="AX364" s="127"/>
      <c r="AY364" s="127"/>
      <c r="AZ364" s="133">
        <v>43236</v>
      </c>
      <c r="BA36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4" s="135">
        <f>COUNTIFS(_05preva_view43[Site ID],_05preva_view43[[#This Row],[Site ID]],_05preva_view43[Prevalidation Status],"Under Prevalidation")</f>
        <v>0</v>
      </c>
      <c r="BC364" s="153" t="str">
        <f ca="1">HYPERLINK(CheckPath(_05preva_view43[[#This Row],[File Path]],_05preva_view43[[#This Row],[File Path]],_05preva_view43[[#This Row],[Folder Path3]]),CheckPath(_05preva_view43[[#This Row],[File Path]],"Open File","No File"))</f>
        <v>No File</v>
      </c>
      <c r="BD364" s="136" t="str">
        <f>CONCATENATE(_05preva_view43[[#This Row],[Site ID]]," (",_05preva_view43[[#This Row],[tenant id]],") Application",IF(_05preva_view43[[#This Row],[Colo Rev]]&gt;0," Rev "&amp;_05preva_view43[[#This Row],[Colo Rev]],""),".xlsx")</f>
        <v>AYYN_0119 (YAW7500) Application.xlsx</v>
      </c>
      <c r="BE364" s="64">
        <f t="shared" ca="1" si="7"/>
        <v>50</v>
      </c>
      <c r="BF364" s="104" t="str">
        <f ca="1">LEFT(CELL("filename",A349),_05preva_view43[[#This Row],[Find Process &amp; Database]]-1)</f>
        <v>D:\OneDrive - apollo-towers.com\Apollo Towers\00-</v>
      </c>
      <c r="BG364" s="104" t="str">
        <f ca="1">_05preva_view43[Folder Path1]&amp;"Process &amp; Database\Documentation\Colo Applications"</f>
        <v>D:\OneDrive - apollo-towers.com\Apollo Towers\00-Process &amp; Database\Documentation\Colo Applications</v>
      </c>
      <c r="BH364" s="104" t="str">
        <f ca="1">_05preva_view43[Folder Path2]&amp;"\Colo App "&amp;_05preva_view43[[#This Row],[Operator]]&amp;"\"</f>
        <v>D:\OneDrive - apollo-towers.com\Apollo Towers\00-Process &amp; Database\Documentation\Colo Applications\Colo App OML\</v>
      </c>
      <c r="BI364" s="63" t="str">
        <f ca="1">_05preva_view43[[#This Row],[Folder Path3]]&amp;_05preva_view43[[#This Row],[File Name]]</f>
        <v>D:\OneDrive - apollo-towers.com\Apollo Towers\00-Process &amp; Database\Documentation\Colo Applications\Colo App OML\AYYN_0119 (YAW7500) Application.xlsx</v>
      </c>
      <c r="BJ364" s="104"/>
      <c r="BK364" s="3"/>
      <c r="BL364" s="3"/>
      <c r="CJ364" s="5"/>
      <c r="CK364" s="5"/>
      <c r="CL364" s="3"/>
      <c r="CN364" s="5"/>
      <c r="CR364" s="3"/>
      <c r="CS364" s="3"/>
      <c r="CT364" s="5"/>
      <c r="CV364" s="3"/>
      <c r="DR364" s="5"/>
      <c r="DT364" s="3"/>
      <c r="EF364" s="7"/>
      <c r="EG364" s="7"/>
      <c r="EJ364" s="4"/>
      <c r="EK364" s="4"/>
      <c r="EU364" s="2"/>
      <c r="EV364" s="2"/>
    </row>
    <row r="365" spans="1:152">
      <c r="A365" s="125">
        <v>96</v>
      </c>
      <c r="B365" s="126" t="s">
        <v>437</v>
      </c>
      <c r="C365" s="126" t="s">
        <v>116</v>
      </c>
      <c r="D365" s="126" t="s">
        <v>163</v>
      </c>
      <c r="E365" s="126" t="s">
        <v>438</v>
      </c>
      <c r="F365" s="126" t="s">
        <v>40</v>
      </c>
      <c r="G365" s="126" t="s">
        <v>1579</v>
      </c>
      <c r="H365" s="126" t="s">
        <v>1580</v>
      </c>
      <c r="I365" s="126" t="s">
        <v>118</v>
      </c>
      <c r="J365" s="126"/>
      <c r="K365" s="127">
        <v>43236</v>
      </c>
      <c r="L365" s="128"/>
      <c r="M365" s="128">
        <v>3</v>
      </c>
      <c r="N365" s="126"/>
      <c r="O365" s="126" t="s">
        <v>119</v>
      </c>
      <c r="P365" s="129"/>
      <c r="Q365" s="129"/>
      <c r="R365" s="126" t="s">
        <v>24</v>
      </c>
      <c r="S365" s="126"/>
      <c r="T365" s="130" t="s">
        <v>120</v>
      </c>
      <c r="U365" s="126" t="s">
        <v>378</v>
      </c>
      <c r="V365" s="130" t="s">
        <v>120</v>
      </c>
      <c r="W365" s="126"/>
      <c r="X365" s="130" t="s">
        <v>120</v>
      </c>
      <c r="Y365" s="126" t="s">
        <v>120</v>
      </c>
      <c r="Z365" s="162" t="s">
        <v>125</v>
      </c>
      <c r="AA365" s="154"/>
      <c r="AB365" s="154"/>
      <c r="AC365" s="167"/>
      <c r="AD365" s="126" t="s">
        <v>439</v>
      </c>
      <c r="AE365" s="130" t="s">
        <v>125</v>
      </c>
      <c r="AF365" s="127"/>
      <c r="AG365" s="131"/>
      <c r="AH365" s="131"/>
      <c r="AI365" s="126" t="s">
        <v>440</v>
      </c>
      <c r="AJ365" s="130" t="s">
        <v>120</v>
      </c>
      <c r="AK365" s="126" t="s">
        <v>123</v>
      </c>
      <c r="AL365" s="126"/>
      <c r="AM365" s="130"/>
      <c r="AN365" s="126"/>
      <c r="AO365" s="132"/>
      <c r="AP365" s="126"/>
      <c r="AQ365" s="126"/>
      <c r="AR365" s="130"/>
      <c r="AS365" s="126"/>
      <c r="AT365" s="127"/>
      <c r="AU365" s="127"/>
      <c r="AV365" s="127"/>
      <c r="AW365" s="127"/>
      <c r="AX365" s="127"/>
      <c r="AY365" s="127"/>
      <c r="AZ365" s="133"/>
      <c r="BA36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5" s="135">
        <f>COUNTIFS(_05preva_view43[Site ID],_05preva_view43[[#This Row],[Site ID]],_05preva_view43[Prevalidation Status],"Under Prevalidation")</f>
        <v>0</v>
      </c>
      <c r="BC365" s="153" t="str">
        <f ca="1">HYPERLINK(CheckPath(_05preva_view43[[#This Row],[File Path]],_05preva_view43[[#This Row],[File Path]],_05preva_view43[[#This Row],[Folder Path3]]),CheckPath(_05preva_view43[[#This Row],[File Path]],"Open File","No File"))</f>
        <v>No File</v>
      </c>
      <c r="BD365" s="136" t="str">
        <f>CONCATENATE(_05preva_view43[[#This Row],[Site ID]]," (",_05preva_view43[[#This Row],[tenant id]],") Application",IF(_05preva_view43[[#This Row],[Colo Rev]]&gt;0," Rev "&amp;_05preva_view43[[#This Row],[Colo Rev]],""),".xlsx")</f>
        <v>AYYN_0128 (YAW7818) Application.xlsx</v>
      </c>
      <c r="BE365" s="64">
        <f t="shared" ca="1" si="7"/>
        <v>50</v>
      </c>
      <c r="BF365" s="104" t="str">
        <f ca="1">LEFT(CELL("filename",A350),_05preva_view43[[#This Row],[Find Process &amp; Database]]-1)</f>
        <v>D:\OneDrive - apollo-towers.com\Apollo Towers\00-</v>
      </c>
      <c r="BG365" s="104" t="str">
        <f ca="1">_05preva_view43[Folder Path1]&amp;"Process &amp; Database\Documentation\Colo Applications"</f>
        <v>D:\OneDrive - apollo-towers.com\Apollo Towers\00-Process &amp; Database\Documentation\Colo Applications</v>
      </c>
      <c r="BH365" s="104" t="str">
        <f ca="1">_05preva_view43[Folder Path2]&amp;"\Colo App "&amp;_05preva_view43[[#This Row],[Operator]]&amp;"\"</f>
        <v>D:\OneDrive - apollo-towers.com\Apollo Towers\00-Process &amp; Database\Documentation\Colo Applications\Colo App OML\</v>
      </c>
      <c r="BI365" s="63" t="str">
        <f ca="1">_05preva_view43[[#This Row],[Folder Path3]]&amp;_05preva_view43[[#This Row],[File Name]]</f>
        <v>D:\OneDrive - apollo-towers.com\Apollo Towers\00-Process &amp; Database\Documentation\Colo Applications\Colo App OML\AYYN_0128 (YAW7818) Application.xlsx</v>
      </c>
      <c r="BJ365" s="104"/>
      <c r="BK365" s="3"/>
      <c r="BL365" s="3"/>
      <c r="CJ365" s="5"/>
      <c r="CK365" s="5"/>
      <c r="CL365" s="3"/>
      <c r="CN365" s="5"/>
      <c r="CR365" s="3"/>
      <c r="CS365" s="3"/>
      <c r="CT365" s="5"/>
      <c r="CV365" s="3"/>
      <c r="DR365" s="5"/>
      <c r="DT365" s="3"/>
      <c r="EF365" s="7"/>
      <c r="EG365" s="7"/>
      <c r="EJ365" s="4"/>
      <c r="EK365" s="4"/>
      <c r="EU365" s="2"/>
      <c r="EV365" s="2"/>
    </row>
    <row r="366" spans="1:152">
      <c r="A366" s="125">
        <v>97</v>
      </c>
      <c r="B366" s="126" t="s">
        <v>441</v>
      </c>
      <c r="C366" s="126" t="s">
        <v>116</v>
      </c>
      <c r="D366" s="126" t="s">
        <v>163</v>
      </c>
      <c r="E366" s="126" t="s">
        <v>442</v>
      </c>
      <c r="F366" s="126" t="s">
        <v>40</v>
      </c>
      <c r="G366" s="126" t="s">
        <v>118</v>
      </c>
      <c r="H366" s="126"/>
      <c r="I366" s="126" t="s">
        <v>118</v>
      </c>
      <c r="J366" s="126"/>
      <c r="K366" s="127">
        <v>43236</v>
      </c>
      <c r="L366" s="128"/>
      <c r="M366" s="128">
        <v>3</v>
      </c>
      <c r="N366" s="126"/>
      <c r="O366" s="126" t="s">
        <v>119</v>
      </c>
      <c r="P366" s="129"/>
      <c r="Q366" s="129"/>
      <c r="R366" s="126" t="s">
        <v>27</v>
      </c>
      <c r="S366" s="126"/>
      <c r="T366" s="130" t="s">
        <v>120</v>
      </c>
      <c r="U366" s="126" t="s">
        <v>403</v>
      </c>
      <c r="V366" s="130" t="s">
        <v>120</v>
      </c>
      <c r="W366" s="126"/>
      <c r="X366" s="130" t="s">
        <v>120</v>
      </c>
      <c r="Y366" s="126" t="s">
        <v>404</v>
      </c>
      <c r="Z366" s="162" t="s">
        <v>125</v>
      </c>
      <c r="AA366" s="154"/>
      <c r="AB366" s="154"/>
      <c r="AC366" s="167" t="s">
        <v>123</v>
      </c>
      <c r="AD366" s="126" t="s">
        <v>405</v>
      </c>
      <c r="AE366" s="130" t="s">
        <v>125</v>
      </c>
      <c r="AF366" s="127"/>
      <c r="AG366" s="131"/>
      <c r="AH366" s="131"/>
      <c r="AI366" s="126" t="s">
        <v>366</v>
      </c>
      <c r="AJ366" s="130" t="s">
        <v>120</v>
      </c>
      <c r="AK366" s="126" t="s">
        <v>123</v>
      </c>
      <c r="AL366" s="126"/>
      <c r="AM366" s="130"/>
      <c r="AN366" s="126"/>
      <c r="AO366" s="132"/>
      <c r="AP366" s="126"/>
      <c r="AQ366" s="126"/>
      <c r="AR366" s="130"/>
      <c r="AS366" s="126"/>
      <c r="AT366" s="127"/>
      <c r="AU366" s="127"/>
      <c r="AV366" s="127"/>
      <c r="AW366" s="127"/>
      <c r="AX366" s="127"/>
      <c r="AY366" s="127"/>
      <c r="AZ366" s="133"/>
      <c r="BA36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6" s="135">
        <f>COUNTIFS(_05preva_view43[Site ID],_05preva_view43[[#This Row],[Site ID]],_05preva_view43[Prevalidation Status],"Under Prevalidation")</f>
        <v>0</v>
      </c>
      <c r="BC366" s="153" t="str">
        <f ca="1">HYPERLINK(CheckPath(_05preva_view43[[#This Row],[File Path]],_05preva_view43[[#This Row],[File Path]],_05preva_view43[[#This Row],[Folder Path3]]),CheckPath(_05preva_view43[[#This Row],[File Path]],"Open File","No File"))</f>
        <v>No File</v>
      </c>
      <c r="BD366" s="136" t="str">
        <f>CONCATENATE(_05preva_view43[[#This Row],[Site ID]]," (",_05preva_view43[[#This Row],[tenant id]],") Application",IF(_05preva_view43[[#This Row],[Colo Rev]]&gt;0," Rev "&amp;_05preva_view43[[#This Row],[Colo Rev]],""),".xlsx")</f>
        <v>AYYN_0456 (YAW7768) Application.xlsx</v>
      </c>
      <c r="BE366" s="64">
        <f t="shared" ca="1" si="7"/>
        <v>50</v>
      </c>
      <c r="BF366" s="104" t="str">
        <f ca="1">LEFT(CELL("filename",A351),_05preva_view43[[#This Row],[Find Process &amp; Database]]-1)</f>
        <v>D:\OneDrive - apollo-towers.com\Apollo Towers\00-</v>
      </c>
      <c r="BG366" s="104" t="str">
        <f ca="1">_05preva_view43[Folder Path1]&amp;"Process &amp; Database\Documentation\Colo Applications"</f>
        <v>D:\OneDrive - apollo-towers.com\Apollo Towers\00-Process &amp; Database\Documentation\Colo Applications</v>
      </c>
      <c r="BH366" s="104" t="str">
        <f ca="1">_05preva_view43[Folder Path2]&amp;"\Colo App "&amp;_05preva_view43[[#This Row],[Operator]]&amp;"\"</f>
        <v>D:\OneDrive - apollo-towers.com\Apollo Towers\00-Process &amp; Database\Documentation\Colo Applications\Colo App OML\</v>
      </c>
      <c r="BI366" s="63" t="str">
        <f ca="1">_05preva_view43[[#This Row],[Folder Path3]]&amp;_05preva_view43[[#This Row],[File Name]]</f>
        <v>D:\OneDrive - apollo-towers.com\Apollo Towers\00-Process &amp; Database\Documentation\Colo Applications\Colo App OML\AYYN_0456 (YAW7768) Application.xlsx</v>
      </c>
      <c r="BJ366" s="104"/>
      <c r="BK366" s="3"/>
      <c r="BL366" s="3"/>
      <c r="CJ366" s="5"/>
      <c r="CK366" s="5"/>
      <c r="CL366" s="3"/>
      <c r="CN366" s="5"/>
      <c r="CR366" s="3"/>
      <c r="CS366" s="3"/>
      <c r="CT366" s="5"/>
      <c r="CV366" s="3"/>
      <c r="DR366" s="5"/>
      <c r="DT366" s="3"/>
      <c r="EF366" s="7"/>
      <c r="EG366" s="7"/>
      <c r="EJ366" s="4"/>
      <c r="EK366" s="4"/>
      <c r="EU366" s="2"/>
      <c r="EV366" s="2"/>
    </row>
    <row r="367" spans="1:152">
      <c r="A367" s="125">
        <v>98</v>
      </c>
      <c r="B367" s="126" t="s">
        <v>443</v>
      </c>
      <c r="C367" s="126" t="s">
        <v>116</v>
      </c>
      <c r="D367" s="126" t="s">
        <v>163</v>
      </c>
      <c r="E367" s="126" t="s">
        <v>444</v>
      </c>
      <c r="F367" s="126" t="s">
        <v>40</v>
      </c>
      <c r="G367" s="126" t="s">
        <v>1579</v>
      </c>
      <c r="H367" s="126" t="s">
        <v>1580</v>
      </c>
      <c r="I367" s="126" t="s">
        <v>118</v>
      </c>
      <c r="J367" s="126"/>
      <c r="K367" s="127">
        <v>43236</v>
      </c>
      <c r="L367" s="128"/>
      <c r="M367" s="128">
        <v>3</v>
      </c>
      <c r="N367" s="126"/>
      <c r="O367" s="126" t="s">
        <v>119</v>
      </c>
      <c r="P367" s="129"/>
      <c r="Q367" s="129"/>
      <c r="R367" s="126" t="s">
        <v>24</v>
      </c>
      <c r="S367" s="126"/>
      <c r="T367" s="130" t="s">
        <v>120</v>
      </c>
      <c r="U367" s="126" t="s">
        <v>378</v>
      </c>
      <c r="V367" s="130" t="s">
        <v>120</v>
      </c>
      <c r="W367" s="126"/>
      <c r="X367" s="130" t="s">
        <v>120</v>
      </c>
      <c r="Y367" s="126" t="s">
        <v>120</v>
      </c>
      <c r="Z367" s="162" t="s">
        <v>120</v>
      </c>
      <c r="AA367" s="154"/>
      <c r="AB367" s="154"/>
      <c r="AC367" s="167"/>
      <c r="AD367" s="126" t="s">
        <v>419</v>
      </c>
      <c r="AE367" s="130" t="s">
        <v>120</v>
      </c>
      <c r="AF367" s="127" t="s">
        <v>241</v>
      </c>
      <c r="AG367" s="131"/>
      <c r="AH367" s="131">
        <v>3.5</v>
      </c>
      <c r="AI367" s="126" t="s">
        <v>387</v>
      </c>
      <c r="AJ367" s="130" t="s">
        <v>120</v>
      </c>
      <c r="AK367" s="126" t="s">
        <v>123</v>
      </c>
      <c r="AL367" s="126"/>
      <c r="AM367" s="130"/>
      <c r="AN367" s="126"/>
      <c r="AO367" s="132"/>
      <c r="AP367" s="126"/>
      <c r="AQ367" s="126"/>
      <c r="AR367" s="130"/>
      <c r="AS367" s="126"/>
      <c r="AT367" s="127"/>
      <c r="AU367" s="127">
        <v>43453.378986458301</v>
      </c>
      <c r="AV367" s="127"/>
      <c r="AW367" s="127"/>
      <c r="AX367" s="127"/>
      <c r="AY367" s="127"/>
      <c r="AZ367" s="133">
        <v>43236</v>
      </c>
      <c r="BA36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7" s="135">
        <f>COUNTIFS(_05preva_view43[Site ID],_05preva_view43[[#This Row],[Site ID]],_05preva_view43[Prevalidation Status],"Under Prevalidation")</f>
        <v>0</v>
      </c>
      <c r="BC367" s="153" t="str">
        <f ca="1">HYPERLINK(CheckPath(_05preva_view43[[#This Row],[File Path]],_05preva_view43[[#This Row],[File Path]],_05preva_view43[[#This Row],[Folder Path3]]),CheckPath(_05preva_view43[[#This Row],[File Path]],"Open File","No File"))</f>
        <v>No File</v>
      </c>
      <c r="BD367" s="136" t="str">
        <f>CONCATENATE(_05preva_view43[[#This Row],[Site ID]]," (",_05preva_view43[[#This Row],[tenant id]],") Application",IF(_05preva_view43[[#This Row],[Colo Rev]]&gt;0," Rev "&amp;_05preva_view43[[#This Row],[Colo Rev]],""),".xlsx")</f>
        <v>AYYN_0104 (YAW7816) Application.xlsx</v>
      </c>
      <c r="BE367" s="64">
        <f t="shared" ca="1" si="7"/>
        <v>50</v>
      </c>
      <c r="BF367" s="104" t="str">
        <f ca="1">LEFT(CELL("filename",A352),_05preva_view43[[#This Row],[Find Process &amp; Database]]-1)</f>
        <v>D:\OneDrive - apollo-towers.com\Apollo Towers\00-</v>
      </c>
      <c r="BG367" s="104" t="str">
        <f ca="1">_05preva_view43[Folder Path1]&amp;"Process &amp; Database\Documentation\Colo Applications"</f>
        <v>D:\OneDrive - apollo-towers.com\Apollo Towers\00-Process &amp; Database\Documentation\Colo Applications</v>
      </c>
      <c r="BH367" s="104" t="str">
        <f ca="1">_05preva_view43[Folder Path2]&amp;"\Colo App "&amp;_05preva_view43[[#This Row],[Operator]]&amp;"\"</f>
        <v>D:\OneDrive - apollo-towers.com\Apollo Towers\00-Process &amp; Database\Documentation\Colo Applications\Colo App OML\</v>
      </c>
      <c r="BI367" s="63" t="str">
        <f ca="1">_05preva_view43[[#This Row],[Folder Path3]]&amp;_05preva_view43[[#This Row],[File Name]]</f>
        <v>D:\OneDrive - apollo-towers.com\Apollo Towers\00-Process &amp; Database\Documentation\Colo Applications\Colo App OML\AYYN_0104 (YAW7816) Application.xlsx</v>
      </c>
      <c r="BJ367" s="104"/>
      <c r="BK367" s="3"/>
      <c r="BL367" s="3"/>
      <c r="CJ367" s="5"/>
      <c r="CK367" s="5"/>
      <c r="CL367" s="3"/>
      <c r="CN367" s="5"/>
      <c r="CR367" s="3"/>
      <c r="CS367" s="3"/>
      <c r="CT367" s="5"/>
      <c r="CV367" s="3"/>
      <c r="DR367" s="5"/>
      <c r="DT367" s="3"/>
      <c r="EF367" s="7"/>
      <c r="EG367" s="7"/>
      <c r="EJ367" s="4"/>
      <c r="EK367" s="4"/>
      <c r="EU367" s="2"/>
      <c r="EV367" s="2"/>
    </row>
    <row r="368" spans="1:152">
      <c r="A368" s="125">
        <v>99</v>
      </c>
      <c r="B368" s="126" t="s">
        <v>445</v>
      </c>
      <c r="C368" s="126" t="s">
        <v>116</v>
      </c>
      <c r="D368" s="126" t="s">
        <v>163</v>
      </c>
      <c r="E368" s="126" t="s">
        <v>446</v>
      </c>
      <c r="F368" s="126" t="s">
        <v>40</v>
      </c>
      <c r="G368" s="126" t="s">
        <v>118</v>
      </c>
      <c r="H368" s="126"/>
      <c r="I368" s="126" t="s">
        <v>118</v>
      </c>
      <c r="J368" s="126"/>
      <c r="K368" s="127">
        <v>43236</v>
      </c>
      <c r="L368" s="128"/>
      <c r="M368" s="128">
        <v>3</v>
      </c>
      <c r="N368" s="126"/>
      <c r="O368" s="126" t="s">
        <v>119</v>
      </c>
      <c r="P368" s="129"/>
      <c r="Q368" s="129"/>
      <c r="R368" s="126" t="s">
        <v>24</v>
      </c>
      <c r="S368" s="126"/>
      <c r="T368" s="130" t="s">
        <v>120</v>
      </c>
      <c r="U368" s="126" t="s">
        <v>378</v>
      </c>
      <c r="V368" s="130" t="s">
        <v>120</v>
      </c>
      <c r="W368" s="126"/>
      <c r="X368" s="130" t="s">
        <v>120</v>
      </c>
      <c r="Y368" s="126" t="s">
        <v>120</v>
      </c>
      <c r="Z368" s="162" t="s">
        <v>120</v>
      </c>
      <c r="AA368" s="154"/>
      <c r="AB368" s="154"/>
      <c r="AC368" s="167"/>
      <c r="AD368" s="126" t="s">
        <v>419</v>
      </c>
      <c r="AE368" s="130" t="s">
        <v>120</v>
      </c>
      <c r="AF368" s="127" t="s">
        <v>120</v>
      </c>
      <c r="AG368" s="131"/>
      <c r="AH368" s="131">
        <v>2</v>
      </c>
      <c r="AI368" s="126" t="s">
        <v>120</v>
      </c>
      <c r="AJ368" s="130" t="s">
        <v>120</v>
      </c>
      <c r="AK368" s="126" t="s">
        <v>123</v>
      </c>
      <c r="AL368" s="126"/>
      <c r="AM368" s="130"/>
      <c r="AN368" s="126"/>
      <c r="AO368" s="132"/>
      <c r="AP368" s="126"/>
      <c r="AQ368" s="126"/>
      <c r="AR368" s="130"/>
      <c r="AS368" s="126"/>
      <c r="AT368" s="127"/>
      <c r="AU368" s="127">
        <v>43453.378988194403</v>
      </c>
      <c r="AV368" s="127"/>
      <c r="AW368" s="127"/>
      <c r="AX368" s="127"/>
      <c r="AY368" s="127"/>
      <c r="AZ368" s="133">
        <v>43236</v>
      </c>
      <c r="BA36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8" s="135">
        <f>COUNTIFS(_05preva_view43[Site ID],_05preva_view43[[#This Row],[Site ID]],_05preva_view43[Prevalidation Status],"Under Prevalidation")</f>
        <v>0</v>
      </c>
      <c r="BC368" s="153" t="str">
        <f ca="1">HYPERLINK(CheckPath(_05preva_view43[[#This Row],[File Path]],_05preva_view43[[#This Row],[File Path]],_05preva_view43[[#This Row],[Folder Path3]]),CheckPath(_05preva_view43[[#This Row],[File Path]],"Open File","No File"))</f>
        <v>No File</v>
      </c>
      <c r="BD368" s="136" t="str">
        <f>CONCATENATE(_05preva_view43[[#This Row],[Site ID]]," (",_05preva_view43[[#This Row],[tenant id]],") Application",IF(_05preva_view43[[#This Row],[Colo Rev]]&gt;0," Rev "&amp;_05preva_view43[[#This Row],[Colo Rev]],""),".xlsx")</f>
        <v>AYYN_0580 (YAW7405) Application.xlsx</v>
      </c>
      <c r="BE368" s="64">
        <f t="shared" ca="1" si="7"/>
        <v>50</v>
      </c>
      <c r="BF368" s="104" t="str">
        <f ca="1">LEFT(CELL("filename",A353),_05preva_view43[[#This Row],[Find Process &amp; Database]]-1)</f>
        <v>D:\OneDrive - apollo-towers.com\Apollo Towers\00-</v>
      </c>
      <c r="BG368" s="104" t="str">
        <f ca="1">_05preva_view43[Folder Path1]&amp;"Process &amp; Database\Documentation\Colo Applications"</f>
        <v>D:\OneDrive - apollo-towers.com\Apollo Towers\00-Process &amp; Database\Documentation\Colo Applications</v>
      </c>
      <c r="BH368" s="104" t="str">
        <f ca="1">_05preva_view43[Folder Path2]&amp;"\Colo App "&amp;_05preva_view43[[#This Row],[Operator]]&amp;"\"</f>
        <v>D:\OneDrive - apollo-towers.com\Apollo Towers\00-Process &amp; Database\Documentation\Colo Applications\Colo App OML\</v>
      </c>
      <c r="BI368" s="63" t="str">
        <f ca="1">_05preva_view43[[#This Row],[Folder Path3]]&amp;_05preva_view43[[#This Row],[File Name]]</f>
        <v>D:\OneDrive - apollo-towers.com\Apollo Towers\00-Process &amp; Database\Documentation\Colo Applications\Colo App OML\AYYN_0580 (YAW7405) Application.xlsx</v>
      </c>
      <c r="BJ368" s="104"/>
      <c r="BK368" s="3"/>
      <c r="BL368" s="3"/>
      <c r="CJ368" s="5"/>
      <c r="CK368" s="5"/>
      <c r="CL368" s="3"/>
      <c r="CN368" s="5"/>
      <c r="CR368" s="3"/>
      <c r="CS368" s="3"/>
      <c r="CT368" s="5"/>
      <c r="CV368" s="3"/>
      <c r="DR368" s="5"/>
      <c r="DT368" s="3"/>
      <c r="EF368" s="7"/>
      <c r="EG368" s="7"/>
      <c r="EJ368" s="4"/>
      <c r="EK368" s="4"/>
      <c r="EU368" s="2"/>
      <c r="EV368" s="2"/>
    </row>
    <row r="369" spans="1:152">
      <c r="A369" s="125">
        <v>100</v>
      </c>
      <c r="B369" s="126" t="s">
        <v>447</v>
      </c>
      <c r="C369" s="126" t="s">
        <v>116</v>
      </c>
      <c r="D369" s="126" t="s">
        <v>163</v>
      </c>
      <c r="E369" s="126" t="s">
        <v>448</v>
      </c>
      <c r="F369" s="126" t="s">
        <v>40</v>
      </c>
      <c r="G369" s="126" t="s">
        <v>118</v>
      </c>
      <c r="H369" s="126"/>
      <c r="I369" s="126" t="s">
        <v>118</v>
      </c>
      <c r="J369" s="126"/>
      <c r="K369" s="127">
        <v>43236</v>
      </c>
      <c r="L369" s="128"/>
      <c r="M369" s="128">
        <v>3</v>
      </c>
      <c r="N369" s="126"/>
      <c r="O369" s="126" t="s">
        <v>119</v>
      </c>
      <c r="P369" s="129"/>
      <c r="Q369" s="129"/>
      <c r="R369" s="126" t="s">
        <v>26</v>
      </c>
      <c r="S369" s="126"/>
      <c r="T369" s="130" t="s">
        <v>120</v>
      </c>
      <c r="U369" s="126" t="s">
        <v>449</v>
      </c>
      <c r="V369" s="130" t="s">
        <v>144</v>
      </c>
      <c r="W369" s="126"/>
      <c r="X369" s="130"/>
      <c r="Y369" s="126"/>
      <c r="Z369" s="162" t="s">
        <v>125</v>
      </c>
      <c r="AA369" s="154"/>
      <c r="AB369" s="154"/>
      <c r="AC369" s="167"/>
      <c r="AD369" s="126" t="s">
        <v>430</v>
      </c>
      <c r="AE369" s="130" t="s">
        <v>120</v>
      </c>
      <c r="AF369" s="127" t="s">
        <v>241</v>
      </c>
      <c r="AG369" s="131"/>
      <c r="AH369" s="131">
        <v>3.5</v>
      </c>
      <c r="AI369" s="126" t="s">
        <v>242</v>
      </c>
      <c r="AJ369" s="130"/>
      <c r="AK369" s="126"/>
      <c r="AL369" s="126"/>
      <c r="AM369" s="130"/>
      <c r="AN369" s="126"/>
      <c r="AO369" s="132"/>
      <c r="AP369" s="126"/>
      <c r="AQ369" s="126"/>
      <c r="AR369" s="130"/>
      <c r="AS369" s="126"/>
      <c r="AT369" s="127"/>
      <c r="AU369" s="127">
        <v>43453.378989004603</v>
      </c>
      <c r="AV369" s="127"/>
      <c r="AW369" s="127"/>
      <c r="AX369" s="127"/>
      <c r="AY369" s="127"/>
      <c r="AZ369" s="133">
        <v>43236</v>
      </c>
      <c r="BA36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9" s="135">
        <f>COUNTIFS(_05preva_view43[Site ID],_05preva_view43[[#This Row],[Site ID]],_05preva_view43[Prevalidation Status],"Under Prevalidation")</f>
        <v>0</v>
      </c>
      <c r="BC369" s="153" t="str">
        <f ca="1">HYPERLINK(CheckPath(_05preva_view43[[#This Row],[File Path]],_05preva_view43[[#This Row],[File Path]],_05preva_view43[[#This Row],[Folder Path3]]),CheckPath(_05preva_view43[[#This Row],[File Path]],"Open File","No File"))</f>
        <v>No File</v>
      </c>
      <c r="BD369" s="136" t="str">
        <f>CONCATENATE(_05preva_view43[[#This Row],[Site ID]]," (",_05preva_view43[[#This Row],[tenant id]],") Application",IF(_05preva_view43[[#This Row],[Colo Rev]]&gt;0," Rev "&amp;_05preva_view43[[#This Row],[Colo Rev]],""),".xlsx")</f>
        <v>ACAY_0059 (AYW5560) Application.xlsx</v>
      </c>
      <c r="BE369" s="64">
        <f t="shared" ca="1" si="7"/>
        <v>50</v>
      </c>
      <c r="BF369" s="104" t="str">
        <f ca="1">LEFT(CELL("filename",A354),_05preva_view43[[#This Row],[Find Process &amp; Database]]-1)</f>
        <v>D:\OneDrive - apollo-towers.com\Apollo Towers\00-</v>
      </c>
      <c r="BG369" s="104" t="str">
        <f ca="1">_05preva_view43[Folder Path1]&amp;"Process &amp; Database\Documentation\Colo Applications"</f>
        <v>D:\OneDrive - apollo-towers.com\Apollo Towers\00-Process &amp; Database\Documentation\Colo Applications</v>
      </c>
      <c r="BH369" s="104" t="str">
        <f ca="1">_05preva_view43[Folder Path2]&amp;"\Colo App "&amp;_05preva_view43[[#This Row],[Operator]]&amp;"\"</f>
        <v>D:\OneDrive - apollo-towers.com\Apollo Towers\00-Process &amp; Database\Documentation\Colo Applications\Colo App OML\</v>
      </c>
      <c r="BI369" s="63" t="str">
        <f ca="1">_05preva_view43[[#This Row],[Folder Path3]]&amp;_05preva_view43[[#This Row],[File Name]]</f>
        <v>D:\OneDrive - apollo-towers.com\Apollo Towers\00-Process &amp; Database\Documentation\Colo Applications\Colo App OML\ACAY_0059 (AYW5560) Application.xlsx</v>
      </c>
      <c r="BJ369" s="104"/>
      <c r="BK369" s="3"/>
      <c r="BL369" s="3"/>
      <c r="CJ369" s="5"/>
      <c r="CK369" s="5"/>
      <c r="CL369" s="3"/>
      <c r="CN369" s="5"/>
      <c r="CR369" s="3"/>
      <c r="CS369" s="3"/>
      <c r="CT369" s="5"/>
      <c r="CV369" s="3"/>
      <c r="DR369" s="5"/>
      <c r="DT369" s="3"/>
      <c r="EF369" s="7"/>
      <c r="EG369" s="7"/>
      <c r="EJ369" s="4"/>
      <c r="EK369" s="4"/>
      <c r="EU369" s="2"/>
      <c r="EV369" s="2"/>
    </row>
    <row r="370" spans="1:152">
      <c r="A370" s="125">
        <v>101</v>
      </c>
      <c r="B370" s="126" t="s">
        <v>450</v>
      </c>
      <c r="C370" s="126" t="s">
        <v>116</v>
      </c>
      <c r="D370" s="126" t="s">
        <v>163</v>
      </c>
      <c r="E370" s="126" t="s">
        <v>451</v>
      </c>
      <c r="F370" s="126" t="s">
        <v>40</v>
      </c>
      <c r="G370" s="126" t="s">
        <v>118</v>
      </c>
      <c r="H370" s="126"/>
      <c r="I370" s="126" t="s">
        <v>118</v>
      </c>
      <c r="J370" s="126"/>
      <c r="K370" s="127">
        <v>43236</v>
      </c>
      <c r="L370" s="128"/>
      <c r="M370" s="128">
        <v>3</v>
      </c>
      <c r="N370" s="126"/>
      <c r="O370" s="126" t="s">
        <v>119</v>
      </c>
      <c r="P370" s="129"/>
      <c r="Q370" s="129"/>
      <c r="R370" s="126" t="s">
        <v>26</v>
      </c>
      <c r="S370" s="126" t="s">
        <v>452</v>
      </c>
      <c r="T370" s="130" t="s">
        <v>120</v>
      </c>
      <c r="U370" s="126" t="s">
        <v>378</v>
      </c>
      <c r="V370" s="130" t="s">
        <v>120</v>
      </c>
      <c r="W370" s="126"/>
      <c r="X370" s="130" t="s">
        <v>120</v>
      </c>
      <c r="Y370" s="126" t="s">
        <v>453</v>
      </c>
      <c r="Z370" s="162" t="s">
        <v>120</v>
      </c>
      <c r="AA370" s="154"/>
      <c r="AB370" s="154"/>
      <c r="AC370" s="167" t="s">
        <v>454</v>
      </c>
      <c r="AD370" s="126" t="s">
        <v>455</v>
      </c>
      <c r="AE370" s="130" t="s">
        <v>125</v>
      </c>
      <c r="AF370" s="127"/>
      <c r="AG370" s="131"/>
      <c r="AH370" s="131"/>
      <c r="AI370" s="126" t="s">
        <v>242</v>
      </c>
      <c r="AJ370" s="130" t="s">
        <v>120</v>
      </c>
      <c r="AK370" s="126" t="s">
        <v>123</v>
      </c>
      <c r="AL370" s="126"/>
      <c r="AM370" s="130"/>
      <c r="AN370" s="126"/>
      <c r="AO370" s="132"/>
      <c r="AP370" s="126"/>
      <c r="AQ370" s="126"/>
      <c r="AR370" s="130"/>
      <c r="AS370" s="126"/>
      <c r="AT370" s="127"/>
      <c r="AU370" s="127"/>
      <c r="AV370" s="127"/>
      <c r="AW370" s="127"/>
      <c r="AX370" s="127"/>
      <c r="AY370" s="127"/>
      <c r="AZ370" s="133">
        <v>43236</v>
      </c>
      <c r="BA37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0" s="135">
        <f>COUNTIFS(_05preva_view43[Site ID],_05preva_view43[[#This Row],[Site ID]],_05preva_view43[Prevalidation Status],"Under Prevalidation")</f>
        <v>0</v>
      </c>
      <c r="BC370" s="153" t="str">
        <f ca="1">HYPERLINK(CheckPath(_05preva_view43[[#This Row],[File Path]],_05preva_view43[[#This Row],[File Path]],_05preva_view43[[#This Row],[Folder Path3]]),CheckPath(_05preva_view43[[#This Row],[File Path]],"Open File","No File"))</f>
        <v>No File</v>
      </c>
      <c r="BD370" s="136" t="str">
        <f>CONCATENATE(_05preva_view43[[#This Row],[Site ID]]," (",_05preva_view43[[#This Row],[tenant id]],") Application",IF(_05preva_view43[[#This Row],[Colo Rev]]&gt;0," Rev "&amp;_05preva_view43[[#This Row],[Colo Rev]],""),".xlsx")</f>
        <v>AYYN_0081 (YAW7814) Application.xlsx</v>
      </c>
      <c r="BE370" s="64">
        <f t="shared" ca="1" si="7"/>
        <v>50</v>
      </c>
      <c r="BF370" s="104" t="str">
        <f ca="1">LEFT(CELL("filename",A355),_05preva_view43[[#This Row],[Find Process &amp; Database]]-1)</f>
        <v>D:\OneDrive - apollo-towers.com\Apollo Towers\00-</v>
      </c>
      <c r="BG370" s="104" t="str">
        <f ca="1">_05preva_view43[Folder Path1]&amp;"Process &amp; Database\Documentation\Colo Applications"</f>
        <v>D:\OneDrive - apollo-towers.com\Apollo Towers\00-Process &amp; Database\Documentation\Colo Applications</v>
      </c>
      <c r="BH370" s="104" t="str">
        <f ca="1">_05preva_view43[Folder Path2]&amp;"\Colo App "&amp;_05preva_view43[[#This Row],[Operator]]&amp;"\"</f>
        <v>D:\OneDrive - apollo-towers.com\Apollo Towers\00-Process &amp; Database\Documentation\Colo Applications\Colo App OML\</v>
      </c>
      <c r="BI370" s="63" t="str">
        <f ca="1">_05preva_view43[[#This Row],[Folder Path3]]&amp;_05preva_view43[[#This Row],[File Name]]</f>
        <v>D:\OneDrive - apollo-towers.com\Apollo Towers\00-Process &amp; Database\Documentation\Colo Applications\Colo App OML\AYYN_0081 (YAW7814) Application.xlsx</v>
      </c>
      <c r="BJ370" s="104"/>
      <c r="BK370" s="3"/>
      <c r="BL370" s="3"/>
      <c r="CJ370" s="5"/>
      <c r="CK370" s="5"/>
      <c r="CL370" s="3"/>
      <c r="CN370" s="5"/>
      <c r="CR370" s="3"/>
      <c r="CS370" s="3"/>
      <c r="CT370" s="5"/>
      <c r="CV370" s="3"/>
      <c r="DR370" s="5"/>
      <c r="DT370" s="3"/>
      <c r="EF370" s="7"/>
      <c r="EG370" s="7"/>
      <c r="EJ370" s="4"/>
      <c r="EK370" s="4"/>
      <c r="EU370" s="2"/>
      <c r="EV370" s="2"/>
    </row>
    <row r="371" spans="1:152">
      <c r="A371" s="125">
        <v>103</v>
      </c>
      <c r="B371" s="126" t="s">
        <v>456</v>
      </c>
      <c r="C371" s="126" t="s">
        <v>116</v>
      </c>
      <c r="D371" s="126" t="s">
        <v>163</v>
      </c>
      <c r="E371" s="126" t="s">
        <v>457</v>
      </c>
      <c r="F371" s="126" t="s">
        <v>40</v>
      </c>
      <c r="G371" s="126" t="s">
        <v>1579</v>
      </c>
      <c r="H371" s="126" t="s">
        <v>1580</v>
      </c>
      <c r="I371" s="126" t="s">
        <v>118</v>
      </c>
      <c r="J371" s="126"/>
      <c r="K371" s="127">
        <v>43236</v>
      </c>
      <c r="L371" s="128"/>
      <c r="M371" s="128">
        <v>3</v>
      </c>
      <c r="N371" s="126"/>
      <c r="O371" s="126" t="s">
        <v>119</v>
      </c>
      <c r="P371" s="129"/>
      <c r="Q371" s="129"/>
      <c r="R371" s="126" t="s">
        <v>24</v>
      </c>
      <c r="S371" s="126"/>
      <c r="T371" s="130" t="s">
        <v>120</v>
      </c>
      <c r="U371" s="126" t="s">
        <v>403</v>
      </c>
      <c r="V371" s="130" t="s">
        <v>120</v>
      </c>
      <c r="W371" s="126"/>
      <c r="X371" s="130" t="s">
        <v>120</v>
      </c>
      <c r="Y371" s="126" t="s">
        <v>404</v>
      </c>
      <c r="Z371" s="162" t="s">
        <v>125</v>
      </c>
      <c r="AA371" s="154"/>
      <c r="AB371" s="154"/>
      <c r="AC371" s="167" t="s">
        <v>123</v>
      </c>
      <c r="AD371" s="126" t="s">
        <v>430</v>
      </c>
      <c r="AE371" s="130" t="s">
        <v>125</v>
      </c>
      <c r="AF371" s="127"/>
      <c r="AG371" s="131"/>
      <c r="AH371" s="131"/>
      <c r="AI371" s="126" t="s">
        <v>242</v>
      </c>
      <c r="AJ371" s="130" t="s">
        <v>120</v>
      </c>
      <c r="AK371" s="126" t="s">
        <v>240</v>
      </c>
      <c r="AL371" s="126"/>
      <c r="AM371" s="130"/>
      <c r="AN371" s="126"/>
      <c r="AO371" s="132"/>
      <c r="AP371" s="126"/>
      <c r="AQ371" s="126"/>
      <c r="AR371" s="130"/>
      <c r="AS371" s="126"/>
      <c r="AT371" s="127"/>
      <c r="AU371" s="127"/>
      <c r="AV371" s="127"/>
      <c r="AW371" s="127"/>
      <c r="AX371" s="127"/>
      <c r="AY371" s="127"/>
      <c r="AZ371" s="133"/>
      <c r="BA37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1" s="135">
        <f>COUNTIFS(_05preva_view43[Site ID],_05preva_view43[[#This Row],[Site ID]],_05preva_view43[Prevalidation Status],"Under Prevalidation")</f>
        <v>0</v>
      </c>
      <c r="BC371" s="153" t="str">
        <f ca="1">HYPERLINK(CheckPath(_05preva_view43[[#This Row],[File Path]],_05preva_view43[[#This Row],[File Path]],_05preva_view43[[#This Row],[Folder Path3]]),CheckPath(_05preva_view43[[#This Row],[File Path]],"Open File","No File"))</f>
        <v>No File</v>
      </c>
      <c r="BD371" s="136" t="str">
        <f>CONCATENATE(_05preva_view43[[#This Row],[Site ID]]," (",_05preva_view43[[#This Row],[tenant id]],") Application",IF(_05preva_view43[[#This Row],[Colo Rev]]&gt;0," Rev "&amp;_05preva_view43[[#This Row],[Colo Rev]],""),".xlsx")</f>
        <v>AYYN_0576 (YAW7812) Application.xlsx</v>
      </c>
      <c r="BE371" s="64">
        <f t="shared" ca="1" si="7"/>
        <v>50</v>
      </c>
      <c r="BF371" s="104" t="str">
        <f ca="1">LEFT(CELL("filename",A356),_05preva_view43[[#This Row],[Find Process &amp; Database]]-1)</f>
        <v>D:\OneDrive - apollo-towers.com\Apollo Towers\00-</v>
      </c>
      <c r="BG371" s="104" t="str">
        <f ca="1">_05preva_view43[Folder Path1]&amp;"Process &amp; Database\Documentation\Colo Applications"</f>
        <v>D:\OneDrive - apollo-towers.com\Apollo Towers\00-Process &amp; Database\Documentation\Colo Applications</v>
      </c>
      <c r="BH371" s="104" t="str">
        <f ca="1">_05preva_view43[Folder Path2]&amp;"\Colo App "&amp;_05preva_view43[[#This Row],[Operator]]&amp;"\"</f>
        <v>D:\OneDrive - apollo-towers.com\Apollo Towers\00-Process &amp; Database\Documentation\Colo Applications\Colo App OML\</v>
      </c>
      <c r="BI371" s="63" t="str">
        <f ca="1">_05preva_view43[[#This Row],[Folder Path3]]&amp;_05preva_view43[[#This Row],[File Name]]</f>
        <v>D:\OneDrive - apollo-towers.com\Apollo Towers\00-Process &amp; Database\Documentation\Colo Applications\Colo App OML\AYYN_0576 (YAW7812) Application.xlsx</v>
      </c>
      <c r="BJ371" s="104"/>
      <c r="BK371" s="3"/>
      <c r="BL371" s="3"/>
      <c r="CJ371" s="5"/>
      <c r="CK371" s="5"/>
      <c r="CL371" s="3"/>
      <c r="CN371" s="5"/>
      <c r="CR371" s="3"/>
      <c r="CS371" s="3"/>
      <c r="CT371" s="5"/>
      <c r="CV371" s="3"/>
      <c r="DR371" s="5"/>
      <c r="DT371" s="3"/>
      <c r="EF371" s="7"/>
      <c r="EG371" s="7"/>
      <c r="EJ371" s="4"/>
      <c r="EK371" s="4"/>
      <c r="EU371" s="2"/>
      <c r="EV371" s="2"/>
    </row>
    <row r="372" spans="1:152">
      <c r="A372" s="125">
        <v>104</v>
      </c>
      <c r="B372" s="126" t="s">
        <v>458</v>
      </c>
      <c r="C372" s="126" t="s">
        <v>116</v>
      </c>
      <c r="D372" s="126" t="s">
        <v>163</v>
      </c>
      <c r="E372" s="126" t="s">
        <v>459</v>
      </c>
      <c r="F372" s="126" t="s">
        <v>40</v>
      </c>
      <c r="G372" s="126" t="s">
        <v>118</v>
      </c>
      <c r="H372" s="126"/>
      <c r="I372" s="126" t="s">
        <v>118</v>
      </c>
      <c r="J372" s="126"/>
      <c r="K372" s="127">
        <v>43236</v>
      </c>
      <c r="L372" s="128"/>
      <c r="M372" s="128">
        <v>3</v>
      </c>
      <c r="N372" s="126"/>
      <c r="O372" s="126" t="s">
        <v>119</v>
      </c>
      <c r="P372" s="129"/>
      <c r="Q372" s="129"/>
      <c r="R372" s="126" t="s">
        <v>27</v>
      </c>
      <c r="S372" s="126" t="s">
        <v>428</v>
      </c>
      <c r="T372" s="130" t="s">
        <v>120</v>
      </c>
      <c r="U372" s="126" t="s">
        <v>403</v>
      </c>
      <c r="V372" s="130" t="s">
        <v>120</v>
      </c>
      <c r="W372" s="126"/>
      <c r="X372" s="130" t="s">
        <v>120</v>
      </c>
      <c r="Y372" s="126" t="s">
        <v>404</v>
      </c>
      <c r="Z372" s="162" t="s">
        <v>125</v>
      </c>
      <c r="AA372" s="154"/>
      <c r="AB372" s="154"/>
      <c r="AC372" s="167" t="s">
        <v>123</v>
      </c>
      <c r="AD372" s="126" t="s">
        <v>430</v>
      </c>
      <c r="AE372" s="130" t="s">
        <v>120</v>
      </c>
      <c r="AF372" s="127" t="s">
        <v>461</v>
      </c>
      <c r="AG372" s="131"/>
      <c r="AH372" s="131">
        <v>2</v>
      </c>
      <c r="AI372" s="126" t="s">
        <v>462</v>
      </c>
      <c r="AJ372" s="130" t="s">
        <v>120</v>
      </c>
      <c r="AK372" s="126" t="s">
        <v>123</v>
      </c>
      <c r="AL372" s="126" t="s">
        <v>460</v>
      </c>
      <c r="AM372" s="130"/>
      <c r="AN372" s="126"/>
      <c r="AO372" s="132"/>
      <c r="AP372" s="126"/>
      <c r="AQ372" s="126"/>
      <c r="AR372" s="130"/>
      <c r="AS372" s="126"/>
      <c r="AT372" s="127"/>
      <c r="AU372" s="127">
        <v>43453.3789905093</v>
      </c>
      <c r="AV372" s="127"/>
      <c r="AW372" s="127"/>
      <c r="AX372" s="127"/>
      <c r="AY372" s="127"/>
      <c r="AZ372" s="133">
        <v>43453.3789905093</v>
      </c>
      <c r="BA372" s="134">
        <f ca="1">IF(_05preva_view43[[#This Row],[Prevalidation Status]]="Under Prevalidation",NOW()-_05preva_view43[[#This Row],[Request Date]],IF(_05preva_view43[[#This Row],[Close Date]]&gt;_05preva_view43[[#This Row],[Request Date]],_05preva_view43[[#This Row],[Close Date]]-_05preva_view43[[#This Row],[Request Date]],"Not  Calculated"))</f>
        <v>217.37899050929991</v>
      </c>
      <c r="BB372" s="135">
        <f>COUNTIFS(_05preva_view43[Site ID],_05preva_view43[[#This Row],[Site ID]],_05preva_view43[Prevalidation Status],"Under Prevalidation")</f>
        <v>0</v>
      </c>
      <c r="BC372" s="153" t="str">
        <f ca="1">HYPERLINK(CheckPath(_05preva_view43[[#This Row],[File Path]],_05preva_view43[[#This Row],[File Path]],_05preva_view43[[#This Row],[Folder Path3]]),CheckPath(_05preva_view43[[#This Row],[File Path]],"Open File","No File"))</f>
        <v>No File</v>
      </c>
      <c r="BD372" s="136" t="str">
        <f>CONCATENATE(_05preva_view43[[#This Row],[Site ID]]," (",_05preva_view43[[#This Row],[tenant id]],") Application",IF(_05preva_view43[[#This Row],[Colo Rev]]&gt;0," Rev "&amp;_05preva_view43[[#This Row],[Colo Rev]],""),".xlsx")</f>
        <v>AYYN_0574 (YAW4977) Application.xlsx</v>
      </c>
      <c r="BE372" s="64">
        <f t="shared" ca="1" si="7"/>
        <v>50</v>
      </c>
      <c r="BF372" s="104" t="str">
        <f ca="1">LEFT(CELL("filename",A357),_05preva_view43[[#This Row],[Find Process &amp; Database]]-1)</f>
        <v>D:\OneDrive - apollo-towers.com\Apollo Towers\00-</v>
      </c>
      <c r="BG372" s="104" t="str">
        <f ca="1">_05preva_view43[Folder Path1]&amp;"Process &amp; Database\Documentation\Colo Applications"</f>
        <v>D:\OneDrive - apollo-towers.com\Apollo Towers\00-Process &amp; Database\Documentation\Colo Applications</v>
      </c>
      <c r="BH372" s="104" t="str">
        <f ca="1">_05preva_view43[Folder Path2]&amp;"\Colo App "&amp;_05preva_view43[[#This Row],[Operator]]&amp;"\"</f>
        <v>D:\OneDrive - apollo-towers.com\Apollo Towers\00-Process &amp; Database\Documentation\Colo Applications\Colo App OML\</v>
      </c>
      <c r="BI372" s="63" t="str">
        <f ca="1">_05preva_view43[[#This Row],[Folder Path3]]&amp;_05preva_view43[[#This Row],[File Name]]</f>
        <v>D:\OneDrive - apollo-towers.com\Apollo Towers\00-Process &amp; Database\Documentation\Colo Applications\Colo App OML\AYYN_0574 (YAW4977) Application.xlsx</v>
      </c>
      <c r="BJ372" s="104"/>
      <c r="BK372" s="3"/>
      <c r="BL372" s="3"/>
      <c r="CJ372" s="5"/>
      <c r="CK372" s="5"/>
      <c r="CL372" s="3"/>
      <c r="CN372" s="5"/>
      <c r="CR372" s="3"/>
      <c r="CS372" s="3"/>
      <c r="CT372" s="5"/>
      <c r="CV372" s="3"/>
      <c r="DR372" s="5"/>
      <c r="DT372" s="3"/>
      <c r="EF372" s="7"/>
      <c r="EG372" s="7"/>
      <c r="EJ372" s="4"/>
      <c r="EK372" s="4"/>
      <c r="EU372" s="2"/>
      <c r="EV372" s="2"/>
    </row>
    <row r="373" spans="1:152">
      <c r="A373" s="125">
        <v>105</v>
      </c>
      <c r="B373" s="126" t="s">
        <v>463</v>
      </c>
      <c r="C373" s="126" t="s">
        <v>116</v>
      </c>
      <c r="D373" s="126" t="s">
        <v>163</v>
      </c>
      <c r="E373" s="126" t="s">
        <v>464</v>
      </c>
      <c r="F373" s="126" t="s">
        <v>40</v>
      </c>
      <c r="G373" s="126" t="s">
        <v>1579</v>
      </c>
      <c r="H373" s="126" t="s">
        <v>1580</v>
      </c>
      <c r="I373" s="126" t="s">
        <v>118</v>
      </c>
      <c r="J373" s="126"/>
      <c r="K373" s="127">
        <v>43236</v>
      </c>
      <c r="L373" s="128"/>
      <c r="M373" s="128">
        <v>3</v>
      </c>
      <c r="N373" s="126"/>
      <c r="O373" s="126" t="s">
        <v>119</v>
      </c>
      <c r="P373" s="129"/>
      <c r="Q373" s="129"/>
      <c r="R373" s="126" t="s">
        <v>24</v>
      </c>
      <c r="S373" s="126"/>
      <c r="T373" s="130" t="s">
        <v>120</v>
      </c>
      <c r="U373" s="126" t="s">
        <v>378</v>
      </c>
      <c r="V373" s="130" t="s">
        <v>120</v>
      </c>
      <c r="W373" s="126"/>
      <c r="X373" s="130" t="s">
        <v>120</v>
      </c>
      <c r="Y373" s="126" t="s">
        <v>120</v>
      </c>
      <c r="Z373" s="162" t="s">
        <v>120</v>
      </c>
      <c r="AA373" s="154"/>
      <c r="AB373" s="154"/>
      <c r="AC373" s="167"/>
      <c r="AD373" s="126" t="s">
        <v>419</v>
      </c>
      <c r="AE373" s="130" t="s">
        <v>120</v>
      </c>
      <c r="AF373" s="127" t="s">
        <v>241</v>
      </c>
      <c r="AG373" s="131"/>
      <c r="AH373" s="131">
        <v>3.5</v>
      </c>
      <c r="AI373" s="126" t="s">
        <v>387</v>
      </c>
      <c r="AJ373" s="130" t="s">
        <v>120</v>
      </c>
      <c r="AK373" s="126" t="s">
        <v>123</v>
      </c>
      <c r="AL373" s="126"/>
      <c r="AM373" s="130"/>
      <c r="AN373" s="126"/>
      <c r="AO373" s="132"/>
      <c r="AP373" s="126"/>
      <c r="AQ373" s="126"/>
      <c r="AR373" s="130"/>
      <c r="AS373" s="126"/>
      <c r="AT373" s="127"/>
      <c r="AU373" s="127">
        <v>43453.378991435202</v>
      </c>
      <c r="AV373" s="127"/>
      <c r="AW373" s="127"/>
      <c r="AX373" s="127"/>
      <c r="AY373" s="127"/>
      <c r="AZ373" s="133">
        <v>43236</v>
      </c>
      <c r="BA37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3" s="135">
        <f>COUNTIFS(_05preva_view43[Site ID],_05preva_view43[[#This Row],[Site ID]],_05preva_view43[Prevalidation Status],"Under Prevalidation")</f>
        <v>0</v>
      </c>
      <c r="BC373" s="153" t="str">
        <f ca="1">HYPERLINK(CheckPath(_05preva_view43[[#This Row],[File Path]],_05preva_view43[[#This Row],[File Path]],_05preva_view43[[#This Row],[Folder Path3]]),CheckPath(_05preva_view43[[#This Row],[File Path]],"Open File","No File"))</f>
        <v>No File</v>
      </c>
      <c r="BD373" s="136" t="str">
        <f>CONCATENATE(_05preva_view43[[#This Row],[Site ID]]," (",_05preva_view43[[#This Row],[tenant id]],") Application",IF(_05preva_view43[[#This Row],[Colo Rev]]&gt;0," Rev "&amp;_05preva_view43[[#This Row],[Colo Rev]],""),".xlsx")</f>
        <v>AYYN_0331 (YAW7807) Application.xlsx</v>
      </c>
      <c r="BE373" s="64">
        <f t="shared" ca="1" si="7"/>
        <v>50</v>
      </c>
      <c r="BF373" s="104" t="str">
        <f ca="1">LEFT(CELL("filename",A358),_05preva_view43[[#This Row],[Find Process &amp; Database]]-1)</f>
        <v>D:\OneDrive - apollo-towers.com\Apollo Towers\00-</v>
      </c>
      <c r="BG373" s="104" t="str">
        <f ca="1">_05preva_view43[Folder Path1]&amp;"Process &amp; Database\Documentation\Colo Applications"</f>
        <v>D:\OneDrive - apollo-towers.com\Apollo Towers\00-Process &amp; Database\Documentation\Colo Applications</v>
      </c>
      <c r="BH373" s="104" t="str">
        <f ca="1">_05preva_view43[Folder Path2]&amp;"\Colo App "&amp;_05preva_view43[[#This Row],[Operator]]&amp;"\"</f>
        <v>D:\OneDrive - apollo-towers.com\Apollo Towers\00-Process &amp; Database\Documentation\Colo Applications\Colo App OML\</v>
      </c>
      <c r="BI373" s="63" t="str">
        <f ca="1">_05preva_view43[[#This Row],[Folder Path3]]&amp;_05preva_view43[[#This Row],[File Name]]</f>
        <v>D:\OneDrive - apollo-towers.com\Apollo Towers\00-Process &amp; Database\Documentation\Colo Applications\Colo App OML\AYYN_0331 (YAW7807) Application.xlsx</v>
      </c>
      <c r="BJ373" s="104"/>
      <c r="BK373" s="3"/>
      <c r="BL373" s="3"/>
      <c r="CJ373" s="5"/>
      <c r="CK373" s="5"/>
      <c r="CL373" s="3"/>
      <c r="CN373" s="5"/>
      <c r="CR373" s="3"/>
      <c r="CS373" s="3"/>
      <c r="CT373" s="5"/>
      <c r="CV373" s="3"/>
      <c r="DR373" s="5"/>
      <c r="DT373" s="3"/>
      <c r="EF373" s="7"/>
      <c r="EG373" s="7"/>
      <c r="EJ373" s="4"/>
      <c r="EK373" s="4"/>
      <c r="EU373" s="2"/>
      <c r="EV373" s="2"/>
    </row>
    <row r="374" spans="1:152">
      <c r="A374" s="125">
        <v>107</v>
      </c>
      <c r="B374" s="126" t="s">
        <v>465</v>
      </c>
      <c r="C374" s="126" t="s">
        <v>116</v>
      </c>
      <c r="D374" s="126" t="s">
        <v>117</v>
      </c>
      <c r="E374" s="126" t="s">
        <v>466</v>
      </c>
      <c r="F374" s="126" t="s">
        <v>40</v>
      </c>
      <c r="G374" s="126" t="s">
        <v>1579</v>
      </c>
      <c r="H374" s="126" t="s">
        <v>1575</v>
      </c>
      <c r="I374" s="126" t="s">
        <v>118</v>
      </c>
      <c r="J374" s="126"/>
      <c r="K374" s="127">
        <v>43236</v>
      </c>
      <c r="L374" s="128"/>
      <c r="M374" s="128">
        <v>3</v>
      </c>
      <c r="N374" s="126"/>
      <c r="O374" s="126" t="s">
        <v>119</v>
      </c>
      <c r="P374" s="129"/>
      <c r="Q374" s="129"/>
      <c r="R374" s="126" t="s">
        <v>24</v>
      </c>
      <c r="S374" s="126"/>
      <c r="T374" s="130" t="s">
        <v>120</v>
      </c>
      <c r="U374" s="126" t="s">
        <v>378</v>
      </c>
      <c r="V374" s="130" t="s">
        <v>120</v>
      </c>
      <c r="W374" s="126"/>
      <c r="X374" s="130" t="s">
        <v>120</v>
      </c>
      <c r="Y374" s="126" t="s">
        <v>120</v>
      </c>
      <c r="Z374" s="162" t="s">
        <v>120</v>
      </c>
      <c r="AA374" s="154"/>
      <c r="AB374" s="154"/>
      <c r="AC374" s="167"/>
      <c r="AD374" s="126" t="s">
        <v>120</v>
      </c>
      <c r="AE374" s="130" t="s">
        <v>120</v>
      </c>
      <c r="AF374" s="127" t="s">
        <v>467</v>
      </c>
      <c r="AG374" s="131"/>
      <c r="AH374" s="131">
        <v>3.5</v>
      </c>
      <c r="AI374" s="126" t="s">
        <v>245</v>
      </c>
      <c r="AJ374" s="130" t="s">
        <v>120</v>
      </c>
      <c r="AK374" s="126" t="s">
        <v>123</v>
      </c>
      <c r="AL374" s="126"/>
      <c r="AM374" s="130"/>
      <c r="AN374" s="126"/>
      <c r="AO374" s="132"/>
      <c r="AP374" s="126"/>
      <c r="AQ374" s="126"/>
      <c r="AR374" s="130"/>
      <c r="AS374" s="126"/>
      <c r="AT374" s="127"/>
      <c r="AU374" s="127">
        <v>43453.378993518498</v>
      </c>
      <c r="AV374" s="127"/>
      <c r="AW374" s="127"/>
      <c r="AX374" s="127"/>
      <c r="AY374" s="127"/>
      <c r="AZ374" s="133">
        <v>43236</v>
      </c>
      <c r="BA37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4" s="135">
        <f>COUNTIFS(_05preva_view43[Site ID],_05preva_view43[[#This Row],[Site ID]],_05preva_view43[Prevalidation Status],"Under Prevalidation")</f>
        <v>0</v>
      </c>
      <c r="BC374" s="153" t="str">
        <f ca="1">HYPERLINK(CheckPath(_05preva_view43[[#This Row],[File Path]],_05preva_view43[[#This Row],[File Path]],_05preva_view43[[#This Row],[Folder Path3]]),CheckPath(_05preva_view43[[#This Row],[File Path]],"Open File","No File"))</f>
        <v>No File</v>
      </c>
      <c r="BD374" s="136" t="str">
        <f>CONCATENATE(_05preva_view43[[#This Row],[Site ID]]," (",_05preva_view43[[#This Row],[tenant id]],") Application",IF(_05preva_view43[[#This Row],[Colo Rev]]&gt;0," Rev "&amp;_05preva_view43[[#This Row],[Colo Rev]],""),".xlsx")</f>
        <v>ACBA_0108 (BAW5569) Application.xlsx</v>
      </c>
      <c r="BE374" s="64">
        <f t="shared" ca="1" si="7"/>
        <v>50</v>
      </c>
      <c r="BF374" s="104" t="str">
        <f ca="1">LEFT(CELL("filename",A359),_05preva_view43[[#This Row],[Find Process &amp; Database]]-1)</f>
        <v>D:\OneDrive - apollo-towers.com\Apollo Towers\00-</v>
      </c>
      <c r="BG374" s="104" t="str">
        <f ca="1">_05preva_view43[Folder Path1]&amp;"Process &amp; Database\Documentation\Colo Applications"</f>
        <v>D:\OneDrive - apollo-towers.com\Apollo Towers\00-Process &amp; Database\Documentation\Colo Applications</v>
      </c>
      <c r="BH374" s="104" t="str">
        <f ca="1">_05preva_view43[Folder Path2]&amp;"\Colo App "&amp;_05preva_view43[[#This Row],[Operator]]&amp;"\"</f>
        <v>D:\OneDrive - apollo-towers.com\Apollo Towers\00-Process &amp; Database\Documentation\Colo Applications\Colo App OML\</v>
      </c>
      <c r="BI374" s="63" t="str">
        <f ca="1">_05preva_view43[[#This Row],[Folder Path3]]&amp;_05preva_view43[[#This Row],[File Name]]</f>
        <v>D:\OneDrive - apollo-towers.com\Apollo Towers\00-Process &amp; Database\Documentation\Colo Applications\Colo App OML\ACBA_0108 (BAW5569) Application.xlsx</v>
      </c>
      <c r="BJ374" s="104"/>
      <c r="BK374" s="3"/>
      <c r="BL374" s="3"/>
      <c r="CJ374" s="5"/>
      <c r="CK374" s="5"/>
      <c r="CL374" s="3"/>
      <c r="CN374" s="5"/>
      <c r="CR374" s="3"/>
      <c r="CS374" s="3"/>
      <c r="CT374" s="5"/>
      <c r="CV374" s="3"/>
      <c r="DR374" s="5"/>
      <c r="DT374" s="3"/>
      <c r="EF374" s="7"/>
      <c r="EG374" s="7"/>
      <c r="EJ374" s="4"/>
      <c r="EK374" s="4"/>
      <c r="EU374" s="2"/>
      <c r="EV374" s="2"/>
    </row>
    <row r="375" spans="1:152">
      <c r="A375" s="125">
        <v>108</v>
      </c>
      <c r="B375" s="126" t="s">
        <v>468</v>
      </c>
      <c r="C375" s="126" t="s">
        <v>116</v>
      </c>
      <c r="D375" s="126" t="s">
        <v>163</v>
      </c>
      <c r="E375" s="126" t="s">
        <v>469</v>
      </c>
      <c r="F375" s="126" t="s">
        <v>40</v>
      </c>
      <c r="G375" s="126" t="s">
        <v>1579</v>
      </c>
      <c r="H375" s="126" t="s">
        <v>1575</v>
      </c>
      <c r="I375" s="126" t="s">
        <v>118</v>
      </c>
      <c r="J375" s="126"/>
      <c r="K375" s="127">
        <v>43236</v>
      </c>
      <c r="L375" s="128"/>
      <c r="M375" s="128">
        <v>3</v>
      </c>
      <c r="N375" s="126"/>
      <c r="O375" s="126" t="s">
        <v>119</v>
      </c>
      <c r="P375" s="129"/>
      <c r="Q375" s="129"/>
      <c r="R375" s="126" t="s">
        <v>24</v>
      </c>
      <c r="S375" s="126"/>
      <c r="T375" s="130" t="s">
        <v>120</v>
      </c>
      <c r="U375" s="126" t="s">
        <v>378</v>
      </c>
      <c r="V375" s="130" t="s">
        <v>120</v>
      </c>
      <c r="W375" s="126"/>
      <c r="X375" s="130" t="s">
        <v>120</v>
      </c>
      <c r="Y375" s="126" t="s">
        <v>120</v>
      </c>
      <c r="Z375" s="162" t="s">
        <v>120</v>
      </c>
      <c r="AA375" s="154"/>
      <c r="AB375" s="154"/>
      <c r="AC375" s="167"/>
      <c r="AD375" s="126" t="s">
        <v>120</v>
      </c>
      <c r="AE375" s="130" t="s">
        <v>120</v>
      </c>
      <c r="AF375" s="127" t="s">
        <v>241</v>
      </c>
      <c r="AG375" s="131"/>
      <c r="AH375" s="131">
        <v>3.5</v>
      </c>
      <c r="AI375" s="126" t="s">
        <v>242</v>
      </c>
      <c r="AJ375" s="130" t="s">
        <v>120</v>
      </c>
      <c r="AK375" s="126" t="s">
        <v>123</v>
      </c>
      <c r="AL375" s="126" t="s">
        <v>470</v>
      </c>
      <c r="AM375" s="130"/>
      <c r="AN375" s="126"/>
      <c r="AO375" s="132"/>
      <c r="AP375" s="126"/>
      <c r="AQ375" s="126"/>
      <c r="AR375" s="130"/>
      <c r="AS375" s="126"/>
      <c r="AT375" s="127"/>
      <c r="AU375" s="127">
        <v>43453.378994328697</v>
      </c>
      <c r="AV375" s="127"/>
      <c r="AW375" s="127"/>
      <c r="AX375" s="127"/>
      <c r="AY375" s="127"/>
      <c r="AZ375" s="133">
        <v>43236</v>
      </c>
      <c r="BA37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5" s="135">
        <f>COUNTIFS(_05preva_view43[Site ID],_05preva_view43[[#This Row],[Site ID]],_05preva_view43[Prevalidation Status],"Under Prevalidation")</f>
        <v>0</v>
      </c>
      <c r="BC375" s="153" t="str">
        <f ca="1">HYPERLINK(CheckPath(_05preva_view43[[#This Row],[File Path]],_05preva_view43[[#This Row],[File Path]],_05preva_view43[[#This Row],[Folder Path3]]),CheckPath(_05preva_view43[[#This Row],[File Path]],"Open File","No File"))</f>
        <v>No File</v>
      </c>
      <c r="BD375" s="136" t="str">
        <f>CONCATENATE(_05preva_view43[[#This Row],[Site ID]]," (",_05preva_view43[[#This Row],[tenant id]],") Application",IF(_05preva_view43[[#This Row],[Colo Rev]]&gt;0," Rev "&amp;_05preva_view43[[#This Row],[Colo Rev]],""),".xlsx")</f>
        <v>ASMO_0305 (MOW6308) Application.xlsx</v>
      </c>
      <c r="BE375" s="64">
        <f t="shared" ca="1" si="7"/>
        <v>50</v>
      </c>
      <c r="BF375" s="104" t="str">
        <f ca="1">LEFT(CELL("filename",A360),_05preva_view43[[#This Row],[Find Process &amp; Database]]-1)</f>
        <v>D:\OneDrive - apollo-towers.com\Apollo Towers\00-</v>
      </c>
      <c r="BG375" s="104" t="str">
        <f ca="1">_05preva_view43[Folder Path1]&amp;"Process &amp; Database\Documentation\Colo Applications"</f>
        <v>D:\OneDrive - apollo-towers.com\Apollo Towers\00-Process &amp; Database\Documentation\Colo Applications</v>
      </c>
      <c r="BH375" s="104" t="str">
        <f ca="1">_05preva_view43[Folder Path2]&amp;"\Colo App "&amp;_05preva_view43[[#This Row],[Operator]]&amp;"\"</f>
        <v>D:\OneDrive - apollo-towers.com\Apollo Towers\00-Process &amp; Database\Documentation\Colo Applications\Colo App OML\</v>
      </c>
      <c r="BI375" s="63" t="str">
        <f ca="1">_05preva_view43[[#This Row],[Folder Path3]]&amp;_05preva_view43[[#This Row],[File Name]]</f>
        <v>D:\OneDrive - apollo-towers.com\Apollo Towers\00-Process &amp; Database\Documentation\Colo Applications\Colo App OML\ASMO_0305 (MOW6308) Application.xlsx</v>
      </c>
      <c r="BJ375" s="104"/>
      <c r="BK375" s="3"/>
      <c r="BL375" s="3"/>
      <c r="CJ375" s="5"/>
      <c r="CK375" s="5"/>
      <c r="CL375" s="3"/>
      <c r="CN375" s="5"/>
      <c r="CR375" s="3"/>
      <c r="CS375" s="3"/>
      <c r="CT375" s="5"/>
      <c r="CV375" s="3"/>
      <c r="DR375" s="5"/>
      <c r="DT375" s="3"/>
      <c r="EF375" s="7"/>
      <c r="EG375" s="7"/>
      <c r="EJ375" s="4"/>
      <c r="EK375" s="4"/>
      <c r="EU375" s="2"/>
      <c r="EV375" s="2"/>
    </row>
    <row r="376" spans="1:152">
      <c r="A376" s="125">
        <v>109</v>
      </c>
      <c r="B376" s="126" t="s">
        <v>471</v>
      </c>
      <c r="C376" s="126" t="s">
        <v>116</v>
      </c>
      <c r="D376" s="126" t="s">
        <v>163</v>
      </c>
      <c r="E376" s="126" t="s">
        <v>472</v>
      </c>
      <c r="F376" s="126" t="s">
        <v>40</v>
      </c>
      <c r="G376" s="126" t="s">
        <v>118</v>
      </c>
      <c r="H376" s="126"/>
      <c r="I376" s="126" t="s">
        <v>118</v>
      </c>
      <c r="J376" s="126"/>
      <c r="K376" s="127">
        <v>43236</v>
      </c>
      <c r="L376" s="128"/>
      <c r="M376" s="128">
        <v>3</v>
      </c>
      <c r="N376" s="126"/>
      <c r="O376" s="126" t="s">
        <v>119</v>
      </c>
      <c r="P376" s="129"/>
      <c r="Q376" s="129"/>
      <c r="R376" s="126" t="s">
        <v>26</v>
      </c>
      <c r="S376" s="126"/>
      <c r="T376" s="130" t="s">
        <v>144</v>
      </c>
      <c r="U376" s="126" t="s">
        <v>371</v>
      </c>
      <c r="V376" s="130" t="s">
        <v>120</v>
      </c>
      <c r="W376" s="126"/>
      <c r="X376" s="130"/>
      <c r="Y376" s="126"/>
      <c r="Z376" s="162" t="s">
        <v>125</v>
      </c>
      <c r="AA376" s="154"/>
      <c r="AB376" s="154"/>
      <c r="AC376" s="167"/>
      <c r="AD376" s="126" t="s">
        <v>336</v>
      </c>
      <c r="AE376" s="130"/>
      <c r="AF376" s="127"/>
      <c r="AG376" s="131"/>
      <c r="AH376" s="131">
        <v>2</v>
      </c>
      <c r="AI376" s="126"/>
      <c r="AJ376" s="130"/>
      <c r="AK376" s="126"/>
      <c r="AL376" s="126"/>
      <c r="AM376" s="130"/>
      <c r="AN376" s="126"/>
      <c r="AO376" s="132"/>
      <c r="AP376" s="126"/>
      <c r="AQ376" s="126"/>
      <c r="AR376" s="130"/>
      <c r="AS376" s="126"/>
      <c r="AT376" s="127"/>
      <c r="AU376" s="127"/>
      <c r="AV376" s="127"/>
      <c r="AW376" s="127"/>
      <c r="AX376" s="127"/>
      <c r="AY376" s="127"/>
      <c r="AZ376" s="133">
        <v>43236</v>
      </c>
      <c r="BA37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6" s="135">
        <f>COUNTIFS(_05preva_view43[Site ID],_05preva_view43[[#This Row],[Site ID]],_05preva_view43[Prevalidation Status],"Under Prevalidation")</f>
        <v>0</v>
      </c>
      <c r="BC376" s="153" t="str">
        <f ca="1">HYPERLINK(CheckPath(_05preva_view43[[#This Row],[File Path]],_05preva_view43[[#This Row],[File Path]],_05preva_view43[[#This Row],[Folder Path3]]),CheckPath(_05preva_view43[[#This Row],[File Path]],"Open File","No File"))</f>
        <v>No File</v>
      </c>
      <c r="BD376" s="136" t="str">
        <f>CONCATENATE(_05preva_view43[[#This Row],[Site ID]]," (",_05preva_view43[[#This Row],[tenant id]],") Application",IF(_05preva_view43[[#This Row],[Colo Rev]]&gt;0," Rev "&amp;_05preva_view43[[#This Row],[Colo Rev]],""),".xlsx")</f>
        <v>AYYN_0321 (YAW4951) Application.xlsx</v>
      </c>
      <c r="BE376" s="64">
        <f t="shared" ca="1" si="7"/>
        <v>50</v>
      </c>
      <c r="BF376" s="104" t="str">
        <f ca="1">LEFT(CELL("filename",A361),_05preva_view43[[#This Row],[Find Process &amp; Database]]-1)</f>
        <v>D:\OneDrive - apollo-towers.com\Apollo Towers\00-</v>
      </c>
      <c r="BG376" s="104" t="str">
        <f ca="1">_05preva_view43[Folder Path1]&amp;"Process &amp; Database\Documentation\Colo Applications"</f>
        <v>D:\OneDrive - apollo-towers.com\Apollo Towers\00-Process &amp; Database\Documentation\Colo Applications</v>
      </c>
      <c r="BH376" s="104" t="str">
        <f ca="1">_05preva_view43[Folder Path2]&amp;"\Colo App "&amp;_05preva_view43[[#This Row],[Operator]]&amp;"\"</f>
        <v>D:\OneDrive - apollo-towers.com\Apollo Towers\00-Process &amp; Database\Documentation\Colo Applications\Colo App OML\</v>
      </c>
      <c r="BI376" s="63" t="str">
        <f ca="1">_05preva_view43[[#This Row],[Folder Path3]]&amp;_05preva_view43[[#This Row],[File Name]]</f>
        <v>D:\OneDrive - apollo-towers.com\Apollo Towers\00-Process &amp; Database\Documentation\Colo Applications\Colo App OML\AYYN_0321 (YAW4951) Application.xlsx</v>
      </c>
      <c r="BJ376" s="104"/>
      <c r="BK376" s="3"/>
      <c r="BL376" s="3"/>
      <c r="CJ376" s="5"/>
      <c r="CK376" s="5"/>
      <c r="CL376" s="3"/>
      <c r="CN376" s="5"/>
      <c r="CR376" s="3"/>
      <c r="CS376" s="3"/>
      <c r="CT376" s="5"/>
      <c r="CV376" s="3"/>
      <c r="DR376" s="5"/>
      <c r="DT376" s="3"/>
      <c r="EF376" s="7"/>
      <c r="EG376" s="7"/>
      <c r="EJ376" s="4"/>
      <c r="EK376" s="4"/>
      <c r="EU376" s="2"/>
      <c r="EV376" s="2"/>
    </row>
    <row r="377" spans="1:152">
      <c r="A377" s="125">
        <v>111</v>
      </c>
      <c r="B377" s="126" t="s">
        <v>473</v>
      </c>
      <c r="C377" s="126" t="s">
        <v>116</v>
      </c>
      <c r="D377" s="126" t="s">
        <v>163</v>
      </c>
      <c r="E377" s="126" t="s">
        <v>474</v>
      </c>
      <c r="F377" s="126" t="s">
        <v>40</v>
      </c>
      <c r="G377" s="126" t="s">
        <v>118</v>
      </c>
      <c r="H377" s="126"/>
      <c r="I377" s="126" t="s">
        <v>118</v>
      </c>
      <c r="J377" s="126"/>
      <c r="K377" s="127">
        <v>43236</v>
      </c>
      <c r="L377" s="128"/>
      <c r="M377" s="128">
        <v>3</v>
      </c>
      <c r="N377" s="126"/>
      <c r="O377" s="126" t="s">
        <v>119</v>
      </c>
      <c r="P377" s="129"/>
      <c r="Q377" s="129"/>
      <c r="R377" s="126" t="s">
        <v>27</v>
      </c>
      <c r="S377" s="126"/>
      <c r="T377" s="130" t="s">
        <v>120</v>
      </c>
      <c r="U377" s="126" t="s">
        <v>403</v>
      </c>
      <c r="V377" s="130" t="s">
        <v>120</v>
      </c>
      <c r="W377" s="126"/>
      <c r="X377" s="130" t="s">
        <v>120</v>
      </c>
      <c r="Y377" s="126" t="s">
        <v>404</v>
      </c>
      <c r="Z377" s="162" t="s">
        <v>125</v>
      </c>
      <c r="AA377" s="154"/>
      <c r="AB377" s="154"/>
      <c r="AC377" s="167" t="s">
        <v>123</v>
      </c>
      <c r="AD377" s="126" t="s">
        <v>405</v>
      </c>
      <c r="AE377" s="130" t="s">
        <v>125</v>
      </c>
      <c r="AF377" s="127"/>
      <c r="AG377" s="131"/>
      <c r="AH377" s="131"/>
      <c r="AI377" s="126" t="s">
        <v>366</v>
      </c>
      <c r="AJ377" s="130" t="s">
        <v>120</v>
      </c>
      <c r="AK377" s="126" t="s">
        <v>240</v>
      </c>
      <c r="AL377" s="126"/>
      <c r="AM377" s="130"/>
      <c r="AN377" s="126"/>
      <c r="AO377" s="132"/>
      <c r="AP377" s="126"/>
      <c r="AQ377" s="126"/>
      <c r="AR377" s="130"/>
      <c r="AS377" s="126"/>
      <c r="AT377" s="127"/>
      <c r="AU377" s="127"/>
      <c r="AV377" s="127"/>
      <c r="AW377" s="127"/>
      <c r="AX377" s="127"/>
      <c r="AY377" s="127"/>
      <c r="AZ377" s="133"/>
      <c r="BA37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7" s="135">
        <f>COUNTIFS(_05preva_view43[Site ID],_05preva_view43[[#This Row],[Site ID]],_05preva_view43[Prevalidation Status],"Under Prevalidation")</f>
        <v>0</v>
      </c>
      <c r="BC377" s="153" t="str">
        <f ca="1">HYPERLINK(CheckPath(_05preva_view43[[#This Row],[File Path]],_05preva_view43[[#This Row],[File Path]],_05preva_view43[[#This Row],[Folder Path3]]),CheckPath(_05preva_view43[[#This Row],[File Path]],"Open File","No File"))</f>
        <v>No File</v>
      </c>
      <c r="BD377" s="136" t="str">
        <f>CONCATENATE(_05preva_view43[[#This Row],[Site ID]]," (",_05preva_view43[[#This Row],[tenant id]],") Application",IF(_05preva_view43[[#This Row],[Colo Rev]]&gt;0," Rev "&amp;_05preva_view43[[#This Row],[Colo Rev]],""),".xlsx")</f>
        <v>AYYN_0405 (YAW7804) Application.xlsx</v>
      </c>
      <c r="BE377" s="64">
        <f t="shared" ca="1" si="7"/>
        <v>50</v>
      </c>
      <c r="BF377" s="104" t="str">
        <f ca="1">LEFT(CELL("filename",A362),_05preva_view43[[#This Row],[Find Process &amp; Database]]-1)</f>
        <v>D:\OneDrive - apollo-towers.com\Apollo Towers\00-</v>
      </c>
      <c r="BG377" s="104" t="str">
        <f ca="1">_05preva_view43[Folder Path1]&amp;"Process &amp; Database\Documentation\Colo Applications"</f>
        <v>D:\OneDrive - apollo-towers.com\Apollo Towers\00-Process &amp; Database\Documentation\Colo Applications</v>
      </c>
      <c r="BH377" s="104" t="str">
        <f ca="1">_05preva_view43[Folder Path2]&amp;"\Colo App "&amp;_05preva_view43[[#This Row],[Operator]]&amp;"\"</f>
        <v>D:\OneDrive - apollo-towers.com\Apollo Towers\00-Process &amp; Database\Documentation\Colo Applications\Colo App OML\</v>
      </c>
      <c r="BI377" s="63" t="str">
        <f ca="1">_05preva_view43[[#This Row],[Folder Path3]]&amp;_05preva_view43[[#This Row],[File Name]]</f>
        <v>D:\OneDrive - apollo-towers.com\Apollo Towers\00-Process &amp; Database\Documentation\Colo Applications\Colo App OML\AYYN_0405 (YAW7804) Application.xlsx</v>
      </c>
      <c r="BJ377" s="104"/>
      <c r="BK377" s="3"/>
      <c r="BL377" s="3"/>
      <c r="CJ377" s="5"/>
      <c r="CK377" s="5"/>
      <c r="CL377" s="3"/>
      <c r="CN377" s="5"/>
      <c r="CR377" s="3"/>
      <c r="CS377" s="3"/>
      <c r="CT377" s="5"/>
      <c r="CV377" s="3"/>
      <c r="DR377" s="5"/>
      <c r="DT377" s="3"/>
      <c r="EF377" s="7"/>
      <c r="EG377" s="7"/>
      <c r="EJ377" s="4"/>
      <c r="EK377" s="4"/>
      <c r="EU377" s="2"/>
      <c r="EV377" s="2"/>
    </row>
    <row r="378" spans="1:152">
      <c r="A378" s="125">
        <v>112</v>
      </c>
      <c r="B378" s="126" t="s">
        <v>475</v>
      </c>
      <c r="C378" s="126" t="s">
        <v>116</v>
      </c>
      <c r="D378" s="126" t="s">
        <v>163</v>
      </c>
      <c r="E378" s="126" t="s">
        <v>476</v>
      </c>
      <c r="F378" s="126" t="s">
        <v>40</v>
      </c>
      <c r="G378" s="126" t="s">
        <v>118</v>
      </c>
      <c r="H378" s="126"/>
      <c r="I378" s="126" t="s">
        <v>118</v>
      </c>
      <c r="J378" s="126"/>
      <c r="K378" s="127">
        <v>43236</v>
      </c>
      <c r="L378" s="128"/>
      <c r="M378" s="128">
        <v>3</v>
      </c>
      <c r="N378" s="126"/>
      <c r="O378" s="126" t="s">
        <v>119</v>
      </c>
      <c r="P378" s="129"/>
      <c r="Q378" s="129"/>
      <c r="R378" s="126" t="s">
        <v>27</v>
      </c>
      <c r="S378" s="126"/>
      <c r="T378" s="130" t="s">
        <v>120</v>
      </c>
      <c r="U378" s="126" t="s">
        <v>403</v>
      </c>
      <c r="V378" s="130" t="s">
        <v>120</v>
      </c>
      <c r="W378" s="126"/>
      <c r="X378" s="130" t="s">
        <v>120</v>
      </c>
      <c r="Y378" s="126" t="s">
        <v>404</v>
      </c>
      <c r="Z378" s="162" t="s">
        <v>125</v>
      </c>
      <c r="AA378" s="154"/>
      <c r="AB378" s="154"/>
      <c r="AC378" s="167" t="s">
        <v>123</v>
      </c>
      <c r="AD378" s="126" t="s">
        <v>405</v>
      </c>
      <c r="AE378" s="130" t="s">
        <v>125</v>
      </c>
      <c r="AF378" s="127"/>
      <c r="AG378" s="131"/>
      <c r="AH378" s="131"/>
      <c r="AI378" s="126" t="s">
        <v>366</v>
      </c>
      <c r="AJ378" s="130" t="s">
        <v>120</v>
      </c>
      <c r="AK378" s="126" t="s">
        <v>123</v>
      </c>
      <c r="AL378" s="126"/>
      <c r="AM378" s="130"/>
      <c r="AN378" s="126"/>
      <c r="AO378" s="132"/>
      <c r="AP378" s="126"/>
      <c r="AQ378" s="126"/>
      <c r="AR378" s="130"/>
      <c r="AS378" s="126"/>
      <c r="AT378" s="127"/>
      <c r="AU378" s="127"/>
      <c r="AV378" s="127"/>
      <c r="AW378" s="127"/>
      <c r="AX378" s="127"/>
      <c r="AY378" s="127"/>
      <c r="AZ378" s="133"/>
      <c r="BA37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8" s="135">
        <f>COUNTIFS(_05preva_view43[Site ID],_05preva_view43[[#This Row],[Site ID]],_05preva_view43[Prevalidation Status],"Under Prevalidation")</f>
        <v>0</v>
      </c>
      <c r="BC378" s="153" t="str">
        <f ca="1">HYPERLINK(CheckPath(_05preva_view43[[#This Row],[File Path]],_05preva_view43[[#This Row],[File Path]],_05preva_view43[[#This Row],[Folder Path3]]),CheckPath(_05preva_view43[[#This Row],[File Path]],"Open File","No File"))</f>
        <v>No File</v>
      </c>
      <c r="BD378" s="136" t="str">
        <f>CONCATENATE(_05preva_view43[[#This Row],[Site ID]]," (",_05preva_view43[[#This Row],[tenant id]],") Application",IF(_05preva_view43[[#This Row],[Colo Rev]]&gt;0," Rev "&amp;_05preva_view43[[#This Row],[Colo Rev]],""),".xlsx")</f>
        <v>AYYN_0552 (YAW7803) Application.xlsx</v>
      </c>
      <c r="BE378" s="64">
        <f t="shared" ca="1" si="7"/>
        <v>50</v>
      </c>
      <c r="BF378" s="104" t="str">
        <f ca="1">LEFT(CELL("filename",A363),_05preva_view43[[#This Row],[Find Process &amp; Database]]-1)</f>
        <v>D:\OneDrive - apollo-towers.com\Apollo Towers\00-</v>
      </c>
      <c r="BG378" s="104" t="str">
        <f ca="1">_05preva_view43[Folder Path1]&amp;"Process &amp; Database\Documentation\Colo Applications"</f>
        <v>D:\OneDrive - apollo-towers.com\Apollo Towers\00-Process &amp; Database\Documentation\Colo Applications</v>
      </c>
      <c r="BH378" s="104" t="str">
        <f ca="1">_05preva_view43[Folder Path2]&amp;"\Colo App "&amp;_05preva_view43[[#This Row],[Operator]]&amp;"\"</f>
        <v>D:\OneDrive - apollo-towers.com\Apollo Towers\00-Process &amp; Database\Documentation\Colo Applications\Colo App OML\</v>
      </c>
      <c r="BI378" s="63" t="str">
        <f ca="1">_05preva_view43[[#This Row],[Folder Path3]]&amp;_05preva_view43[[#This Row],[File Name]]</f>
        <v>D:\OneDrive - apollo-towers.com\Apollo Towers\00-Process &amp; Database\Documentation\Colo Applications\Colo App OML\AYYN_0552 (YAW7803) Application.xlsx</v>
      </c>
      <c r="BJ378" s="104"/>
      <c r="BK378" s="3"/>
      <c r="BL378" s="3"/>
      <c r="CJ378" s="5"/>
      <c r="CK378" s="5"/>
      <c r="CL378" s="3"/>
      <c r="CN378" s="5"/>
      <c r="CR378" s="3"/>
      <c r="CS378" s="3"/>
      <c r="CT378" s="5"/>
      <c r="CV378" s="3"/>
      <c r="DR378" s="5"/>
      <c r="DT378" s="3"/>
      <c r="EF378" s="7"/>
      <c r="EG378" s="7"/>
      <c r="EJ378" s="4"/>
      <c r="EK378" s="4"/>
      <c r="EU378" s="2"/>
      <c r="EV378" s="2"/>
    </row>
    <row r="379" spans="1:152">
      <c r="A379" s="125">
        <v>113</v>
      </c>
      <c r="B379" s="126" t="s">
        <v>477</v>
      </c>
      <c r="C379" s="126" t="s">
        <v>116</v>
      </c>
      <c r="D379" s="126" t="s">
        <v>163</v>
      </c>
      <c r="E379" s="126" t="s">
        <v>478</v>
      </c>
      <c r="F379" s="126" t="s">
        <v>40</v>
      </c>
      <c r="G379" s="126" t="s">
        <v>118</v>
      </c>
      <c r="H379" s="126"/>
      <c r="I379" s="126" t="s">
        <v>118</v>
      </c>
      <c r="J379" s="126"/>
      <c r="K379" s="127">
        <v>43236</v>
      </c>
      <c r="L379" s="128"/>
      <c r="M379" s="128">
        <v>3</v>
      </c>
      <c r="N379" s="126"/>
      <c r="O379" s="126" t="s">
        <v>119</v>
      </c>
      <c r="P379" s="129"/>
      <c r="Q379" s="129"/>
      <c r="R379" s="126" t="s">
        <v>24</v>
      </c>
      <c r="S379" s="126"/>
      <c r="T379" s="130" t="s">
        <v>120</v>
      </c>
      <c r="U379" s="126" t="s">
        <v>403</v>
      </c>
      <c r="V379" s="130" t="s">
        <v>120</v>
      </c>
      <c r="W379" s="126"/>
      <c r="X379" s="130" t="s">
        <v>120</v>
      </c>
      <c r="Y379" s="126" t="s">
        <v>404</v>
      </c>
      <c r="Z379" s="162" t="s">
        <v>120</v>
      </c>
      <c r="AA379" s="154"/>
      <c r="AB379" s="154"/>
      <c r="AC379" s="167" t="s">
        <v>123</v>
      </c>
      <c r="AD379" s="126" t="s">
        <v>419</v>
      </c>
      <c r="AE379" s="130" t="s">
        <v>120</v>
      </c>
      <c r="AF379" s="127" t="s">
        <v>479</v>
      </c>
      <c r="AG379" s="131"/>
      <c r="AH379" s="131">
        <v>2</v>
      </c>
      <c r="AI379" s="126" t="s">
        <v>480</v>
      </c>
      <c r="AJ379" s="130" t="s">
        <v>120</v>
      </c>
      <c r="AK379" s="126" t="s">
        <v>240</v>
      </c>
      <c r="AL379" s="126"/>
      <c r="AM379" s="130"/>
      <c r="AN379" s="126"/>
      <c r="AO379" s="132"/>
      <c r="AP379" s="126"/>
      <c r="AQ379" s="126"/>
      <c r="AR379" s="130"/>
      <c r="AS379" s="126"/>
      <c r="AT379" s="127"/>
      <c r="AU379" s="127">
        <v>43453.378997800901</v>
      </c>
      <c r="AV379" s="127"/>
      <c r="AW379" s="127"/>
      <c r="AX379" s="127"/>
      <c r="AY379" s="127"/>
      <c r="AZ379" s="133">
        <v>43236</v>
      </c>
      <c r="BA37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9" s="135">
        <f>COUNTIFS(_05preva_view43[Site ID],_05preva_view43[[#This Row],[Site ID]],_05preva_view43[Prevalidation Status],"Under Prevalidation")</f>
        <v>0</v>
      </c>
      <c r="BC379" s="153" t="str">
        <f ca="1">HYPERLINK(CheckPath(_05preva_view43[[#This Row],[File Path]],_05preva_view43[[#This Row],[File Path]],_05preva_view43[[#This Row],[Folder Path3]]),CheckPath(_05preva_view43[[#This Row],[File Path]],"Open File","No File"))</f>
        <v>No File</v>
      </c>
      <c r="BD379" s="136" t="str">
        <f>CONCATENATE(_05preva_view43[[#This Row],[Site ID]]," (",_05preva_view43[[#This Row],[tenant id]],") Application",IF(_05preva_view43[[#This Row],[Colo Rev]]&gt;0," Rev "&amp;_05preva_view43[[#This Row],[Colo Rev]],""),".xlsx")</f>
        <v>ASMO_0180 (MOW6311) Application.xlsx</v>
      </c>
      <c r="BE379" s="64">
        <f t="shared" ca="1" si="7"/>
        <v>50</v>
      </c>
      <c r="BF379" s="104" t="str">
        <f ca="1">LEFT(CELL("filename",A364),_05preva_view43[[#This Row],[Find Process &amp; Database]]-1)</f>
        <v>D:\OneDrive - apollo-towers.com\Apollo Towers\00-</v>
      </c>
      <c r="BG379" s="104" t="str">
        <f ca="1">_05preva_view43[Folder Path1]&amp;"Process &amp; Database\Documentation\Colo Applications"</f>
        <v>D:\OneDrive - apollo-towers.com\Apollo Towers\00-Process &amp; Database\Documentation\Colo Applications</v>
      </c>
      <c r="BH379" s="104" t="str">
        <f ca="1">_05preva_view43[Folder Path2]&amp;"\Colo App "&amp;_05preva_view43[[#This Row],[Operator]]&amp;"\"</f>
        <v>D:\OneDrive - apollo-towers.com\Apollo Towers\00-Process &amp; Database\Documentation\Colo Applications\Colo App OML\</v>
      </c>
      <c r="BI379" s="63" t="str">
        <f ca="1">_05preva_view43[[#This Row],[Folder Path3]]&amp;_05preva_view43[[#This Row],[File Name]]</f>
        <v>D:\OneDrive - apollo-towers.com\Apollo Towers\00-Process &amp; Database\Documentation\Colo Applications\Colo App OML\ASMO_0180 (MOW6311) Application.xlsx</v>
      </c>
      <c r="BJ379" s="104"/>
      <c r="BK379" s="3"/>
      <c r="BL379" s="3"/>
      <c r="CJ379" s="5"/>
      <c r="CK379" s="5"/>
      <c r="CL379" s="3"/>
      <c r="CN379" s="5"/>
      <c r="CR379" s="3"/>
      <c r="CS379" s="3"/>
      <c r="CT379" s="5"/>
      <c r="CV379" s="3"/>
      <c r="DR379" s="5"/>
      <c r="DT379" s="3"/>
      <c r="EF379" s="7"/>
      <c r="EG379" s="7"/>
      <c r="EJ379" s="4"/>
      <c r="EK379" s="4"/>
      <c r="EU379" s="2"/>
      <c r="EV379" s="2"/>
    </row>
    <row r="380" spans="1:152">
      <c r="A380" s="125">
        <v>114</v>
      </c>
      <c r="B380" s="126" t="s">
        <v>481</v>
      </c>
      <c r="C380" s="126" t="s">
        <v>116</v>
      </c>
      <c r="D380" s="126" t="s">
        <v>163</v>
      </c>
      <c r="E380" s="126" t="s">
        <v>482</v>
      </c>
      <c r="F380" s="126" t="s">
        <v>40</v>
      </c>
      <c r="G380" s="126" t="s">
        <v>118</v>
      </c>
      <c r="H380" s="126"/>
      <c r="I380" s="126" t="s">
        <v>118</v>
      </c>
      <c r="J380" s="126"/>
      <c r="K380" s="127">
        <v>43236</v>
      </c>
      <c r="L380" s="128"/>
      <c r="M380" s="128">
        <v>3</v>
      </c>
      <c r="N380" s="126"/>
      <c r="O380" s="126" t="s">
        <v>119</v>
      </c>
      <c r="P380" s="129"/>
      <c r="Q380" s="129"/>
      <c r="R380" s="126" t="s">
        <v>24</v>
      </c>
      <c r="S380" s="126"/>
      <c r="T380" s="130" t="s">
        <v>120</v>
      </c>
      <c r="U380" s="126" t="s">
        <v>403</v>
      </c>
      <c r="V380" s="130" t="s">
        <v>120</v>
      </c>
      <c r="W380" s="126"/>
      <c r="X380" s="130" t="s">
        <v>120</v>
      </c>
      <c r="Y380" s="126" t="s">
        <v>404</v>
      </c>
      <c r="Z380" s="162" t="s">
        <v>125</v>
      </c>
      <c r="AA380" s="154"/>
      <c r="AB380" s="154"/>
      <c r="AC380" s="167" t="s">
        <v>123</v>
      </c>
      <c r="AD380" s="126" t="s">
        <v>405</v>
      </c>
      <c r="AE380" s="130" t="s">
        <v>125</v>
      </c>
      <c r="AF380" s="127"/>
      <c r="AG380" s="131"/>
      <c r="AH380" s="131"/>
      <c r="AI380" s="126" t="s">
        <v>366</v>
      </c>
      <c r="AJ380" s="130" t="s">
        <v>120</v>
      </c>
      <c r="AK380" s="126" t="s">
        <v>240</v>
      </c>
      <c r="AL380" s="126"/>
      <c r="AM380" s="130"/>
      <c r="AN380" s="126"/>
      <c r="AO380" s="132"/>
      <c r="AP380" s="126"/>
      <c r="AQ380" s="126"/>
      <c r="AR380" s="130"/>
      <c r="AS380" s="126"/>
      <c r="AT380" s="127"/>
      <c r="AU380" s="127"/>
      <c r="AV380" s="127"/>
      <c r="AW380" s="127"/>
      <c r="AX380" s="127"/>
      <c r="AY380" s="127"/>
      <c r="AZ380" s="133">
        <v>43236</v>
      </c>
      <c r="BA38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0" s="135">
        <f>COUNTIFS(_05preva_view43[Site ID],_05preva_view43[[#This Row],[Site ID]],_05preva_view43[Prevalidation Status],"Under Prevalidation")</f>
        <v>0</v>
      </c>
      <c r="BC380" s="153" t="str">
        <f ca="1">HYPERLINK(CheckPath(_05preva_view43[[#This Row],[File Path]],_05preva_view43[[#This Row],[File Path]],_05preva_view43[[#This Row],[Folder Path3]]),CheckPath(_05preva_view43[[#This Row],[File Path]],"Open File","No File"))</f>
        <v>No File</v>
      </c>
      <c r="BD380" s="136" t="str">
        <f>CONCATENATE(_05preva_view43[[#This Row],[Site ID]]," (",_05preva_view43[[#This Row],[tenant id]],") Application",IF(_05preva_view43[[#This Row],[Colo Rev]]&gt;0," Rev "&amp;_05preva_view43[[#This Row],[Colo Rev]],""),".xlsx")</f>
        <v>AYYN_0536 (YAW7758) Application.xlsx</v>
      </c>
      <c r="BE380" s="64">
        <f t="shared" ca="1" si="7"/>
        <v>50</v>
      </c>
      <c r="BF380" s="104" t="str">
        <f ca="1">LEFT(CELL("filename",A365),_05preva_view43[[#This Row],[Find Process &amp; Database]]-1)</f>
        <v>D:\OneDrive - apollo-towers.com\Apollo Towers\00-</v>
      </c>
      <c r="BG380" s="104" t="str">
        <f ca="1">_05preva_view43[Folder Path1]&amp;"Process &amp; Database\Documentation\Colo Applications"</f>
        <v>D:\OneDrive - apollo-towers.com\Apollo Towers\00-Process &amp; Database\Documentation\Colo Applications</v>
      </c>
      <c r="BH380" s="104" t="str">
        <f ca="1">_05preva_view43[Folder Path2]&amp;"\Colo App "&amp;_05preva_view43[[#This Row],[Operator]]&amp;"\"</f>
        <v>D:\OneDrive - apollo-towers.com\Apollo Towers\00-Process &amp; Database\Documentation\Colo Applications\Colo App OML\</v>
      </c>
      <c r="BI380" s="63" t="str">
        <f ca="1">_05preva_view43[[#This Row],[Folder Path3]]&amp;_05preva_view43[[#This Row],[File Name]]</f>
        <v>D:\OneDrive - apollo-towers.com\Apollo Towers\00-Process &amp; Database\Documentation\Colo Applications\Colo App OML\AYYN_0536 (YAW7758) Application.xlsx</v>
      </c>
      <c r="BJ380" s="104"/>
      <c r="BK380" s="3"/>
      <c r="BL380" s="3"/>
      <c r="CJ380" s="5"/>
      <c r="CK380" s="5"/>
      <c r="CL380" s="3"/>
      <c r="CN380" s="5"/>
      <c r="CR380" s="3"/>
      <c r="CS380" s="3"/>
      <c r="CT380" s="5"/>
      <c r="CV380" s="3"/>
      <c r="DR380" s="5"/>
      <c r="DT380" s="3"/>
      <c r="EF380" s="7"/>
      <c r="EG380" s="7"/>
      <c r="EJ380" s="4"/>
      <c r="EK380" s="4"/>
      <c r="EU380" s="2"/>
      <c r="EV380" s="2"/>
    </row>
    <row r="381" spans="1:152">
      <c r="A381" s="125">
        <v>115</v>
      </c>
      <c r="B381" s="126" t="s">
        <v>483</v>
      </c>
      <c r="C381" s="126" t="s">
        <v>116</v>
      </c>
      <c r="D381" s="126" t="s">
        <v>163</v>
      </c>
      <c r="E381" s="126" t="s">
        <v>484</v>
      </c>
      <c r="F381" s="126" t="s">
        <v>40</v>
      </c>
      <c r="G381" s="126" t="s">
        <v>118</v>
      </c>
      <c r="H381" s="126"/>
      <c r="I381" s="126" t="s">
        <v>118</v>
      </c>
      <c r="J381" s="126"/>
      <c r="K381" s="127">
        <v>43236</v>
      </c>
      <c r="L381" s="128"/>
      <c r="M381" s="128">
        <v>3</v>
      </c>
      <c r="N381" s="126"/>
      <c r="O381" s="126" t="s">
        <v>119</v>
      </c>
      <c r="P381" s="129"/>
      <c r="Q381" s="129"/>
      <c r="R381" s="126" t="s">
        <v>26</v>
      </c>
      <c r="S381" s="126"/>
      <c r="T381" s="130" t="s">
        <v>120</v>
      </c>
      <c r="U381" s="126" t="s">
        <v>378</v>
      </c>
      <c r="V381" s="130" t="s">
        <v>120</v>
      </c>
      <c r="W381" s="126"/>
      <c r="X381" s="130" t="s">
        <v>120</v>
      </c>
      <c r="Y381" s="126" t="s">
        <v>120</v>
      </c>
      <c r="Z381" s="162" t="s">
        <v>125</v>
      </c>
      <c r="AA381" s="154"/>
      <c r="AB381" s="154"/>
      <c r="AC381" s="167"/>
      <c r="AD381" s="126" t="s">
        <v>430</v>
      </c>
      <c r="AE381" s="130" t="s">
        <v>125</v>
      </c>
      <c r="AF381" s="127"/>
      <c r="AG381" s="131"/>
      <c r="AH381" s="131"/>
      <c r="AI381" s="126" t="s">
        <v>387</v>
      </c>
      <c r="AJ381" s="130" t="s">
        <v>120</v>
      </c>
      <c r="AK381" s="126" t="s">
        <v>123</v>
      </c>
      <c r="AL381" s="126"/>
      <c r="AM381" s="130"/>
      <c r="AN381" s="126"/>
      <c r="AO381" s="132"/>
      <c r="AP381" s="126"/>
      <c r="AQ381" s="126"/>
      <c r="AR381" s="130"/>
      <c r="AS381" s="126"/>
      <c r="AT381" s="127"/>
      <c r="AU381" s="127"/>
      <c r="AV381" s="127"/>
      <c r="AW381" s="127"/>
      <c r="AX381" s="127"/>
      <c r="AY381" s="127"/>
      <c r="AZ381" s="133"/>
      <c r="BA38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1" s="135">
        <f>COUNTIFS(_05preva_view43[Site ID],_05preva_view43[[#This Row],[Site ID]],_05preva_view43[Prevalidation Status],"Under Prevalidation")</f>
        <v>0</v>
      </c>
      <c r="BC381" s="153" t="str">
        <f ca="1">HYPERLINK(CheckPath(_05preva_view43[[#This Row],[File Path]],_05preva_view43[[#This Row],[File Path]],_05preva_view43[[#This Row],[Folder Path3]]),CheckPath(_05preva_view43[[#This Row],[File Path]],"Open File","No File"))</f>
        <v>No File</v>
      </c>
      <c r="BD381" s="136" t="str">
        <f>CONCATENATE(_05preva_view43[[#This Row],[Site ID]]," (",_05preva_view43[[#This Row],[tenant id]],") Application",IF(_05preva_view43[[#This Row],[Colo Rev]]&gt;0," Rev "&amp;_05preva_view43[[#This Row],[Colo Rev]],""),".xlsx")</f>
        <v>AYYN_0508 (YAW7800) Application.xlsx</v>
      </c>
      <c r="BE381" s="64">
        <f t="shared" ca="1" si="7"/>
        <v>50</v>
      </c>
      <c r="BF381" s="104" t="str">
        <f ca="1">LEFT(CELL("filename",A366),_05preva_view43[[#This Row],[Find Process &amp; Database]]-1)</f>
        <v>D:\OneDrive - apollo-towers.com\Apollo Towers\00-</v>
      </c>
      <c r="BG381" s="104" t="str">
        <f ca="1">_05preva_view43[Folder Path1]&amp;"Process &amp; Database\Documentation\Colo Applications"</f>
        <v>D:\OneDrive - apollo-towers.com\Apollo Towers\00-Process &amp; Database\Documentation\Colo Applications</v>
      </c>
      <c r="BH381" s="104" t="str">
        <f ca="1">_05preva_view43[Folder Path2]&amp;"\Colo App "&amp;_05preva_view43[[#This Row],[Operator]]&amp;"\"</f>
        <v>D:\OneDrive - apollo-towers.com\Apollo Towers\00-Process &amp; Database\Documentation\Colo Applications\Colo App OML\</v>
      </c>
      <c r="BI381" s="63" t="str">
        <f ca="1">_05preva_view43[[#This Row],[Folder Path3]]&amp;_05preva_view43[[#This Row],[File Name]]</f>
        <v>D:\OneDrive - apollo-towers.com\Apollo Towers\00-Process &amp; Database\Documentation\Colo Applications\Colo App OML\AYYN_0508 (YAW7800) Application.xlsx</v>
      </c>
      <c r="BJ381" s="104"/>
      <c r="BK381" s="3"/>
      <c r="BL381" s="3"/>
      <c r="CJ381" s="5"/>
      <c r="CK381" s="5"/>
      <c r="CL381" s="3"/>
      <c r="CN381" s="5"/>
      <c r="CR381" s="3"/>
      <c r="CS381" s="3"/>
      <c r="CT381" s="5"/>
      <c r="CV381" s="3"/>
      <c r="DR381" s="5"/>
      <c r="DT381" s="3"/>
      <c r="EF381" s="7"/>
      <c r="EG381" s="7"/>
      <c r="EJ381" s="4"/>
      <c r="EK381" s="4"/>
      <c r="EU381" s="2"/>
      <c r="EV381" s="2"/>
    </row>
    <row r="382" spans="1:152">
      <c r="A382" s="125">
        <v>116</v>
      </c>
      <c r="B382" s="126" t="s">
        <v>485</v>
      </c>
      <c r="C382" s="126" t="s">
        <v>116</v>
      </c>
      <c r="D382" s="126" t="s">
        <v>163</v>
      </c>
      <c r="E382" s="126" t="s">
        <v>486</v>
      </c>
      <c r="F382" s="126" t="s">
        <v>40</v>
      </c>
      <c r="G382" s="126" t="s">
        <v>118</v>
      </c>
      <c r="H382" s="126"/>
      <c r="I382" s="126" t="s">
        <v>118</v>
      </c>
      <c r="J382" s="126"/>
      <c r="K382" s="127">
        <v>43236</v>
      </c>
      <c r="L382" s="128"/>
      <c r="M382" s="128">
        <v>3</v>
      </c>
      <c r="N382" s="126"/>
      <c r="O382" s="126" t="s">
        <v>119</v>
      </c>
      <c r="P382" s="129"/>
      <c r="Q382" s="129"/>
      <c r="R382" s="126" t="s">
        <v>26</v>
      </c>
      <c r="S382" s="126"/>
      <c r="T382" s="130" t="s">
        <v>120</v>
      </c>
      <c r="U382" s="126" t="s">
        <v>378</v>
      </c>
      <c r="V382" s="130" t="s">
        <v>144</v>
      </c>
      <c r="W382" s="126"/>
      <c r="X382" s="130" t="s">
        <v>120</v>
      </c>
      <c r="Y382" s="126" t="s">
        <v>379</v>
      </c>
      <c r="Z382" s="162" t="s">
        <v>120</v>
      </c>
      <c r="AA382" s="154"/>
      <c r="AB382" s="154"/>
      <c r="AC382" s="167"/>
      <c r="AD382" s="126" t="s">
        <v>120</v>
      </c>
      <c r="AE382" s="130" t="s">
        <v>120</v>
      </c>
      <c r="AF382" s="127" t="s">
        <v>241</v>
      </c>
      <c r="AG382" s="131"/>
      <c r="AH382" s="131">
        <v>3.5</v>
      </c>
      <c r="AI382" s="126" t="s">
        <v>487</v>
      </c>
      <c r="AJ382" s="130" t="s">
        <v>120</v>
      </c>
      <c r="AK382" s="126" t="s">
        <v>123</v>
      </c>
      <c r="AL382" s="126"/>
      <c r="AM382" s="130"/>
      <c r="AN382" s="126"/>
      <c r="AO382" s="132"/>
      <c r="AP382" s="126"/>
      <c r="AQ382" s="126"/>
      <c r="AR382" s="130"/>
      <c r="AS382" s="126"/>
      <c r="AT382" s="127"/>
      <c r="AU382" s="127">
        <v>43453.378999768502</v>
      </c>
      <c r="AV382" s="127"/>
      <c r="AW382" s="127"/>
      <c r="AX382" s="127"/>
      <c r="AY382" s="127"/>
      <c r="AZ382" s="133">
        <v>43236</v>
      </c>
      <c r="BA38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2" s="135">
        <f>COUNTIFS(_05preva_view43[Site ID],_05preva_view43[[#This Row],[Site ID]],_05preva_view43[Prevalidation Status],"Under Prevalidation")</f>
        <v>0</v>
      </c>
      <c r="BC382" s="153" t="str">
        <f ca="1">HYPERLINK(CheckPath(_05preva_view43[[#This Row],[File Path]],_05preva_view43[[#This Row],[File Path]],_05preva_view43[[#This Row],[Folder Path3]]),CheckPath(_05preva_view43[[#This Row],[File Path]],"Open File","No File"))</f>
        <v>No File</v>
      </c>
      <c r="BD382" s="136" t="str">
        <f>CONCATENATE(_05preva_view43[[#This Row],[Site ID]]," (",_05preva_view43[[#This Row],[tenant id]],") Application",IF(_05preva_view43[[#This Row],[Colo Rev]]&gt;0," Rev "&amp;_05preva_view43[[#This Row],[Colo Rev]],""),".xlsx")</f>
        <v>ASMO_0150 (MOW6312) Application.xlsx</v>
      </c>
      <c r="BE382" s="64">
        <f t="shared" ca="1" si="7"/>
        <v>50</v>
      </c>
      <c r="BF382" s="104" t="str">
        <f ca="1">LEFT(CELL("filename",A367),_05preva_view43[[#This Row],[Find Process &amp; Database]]-1)</f>
        <v>D:\OneDrive - apollo-towers.com\Apollo Towers\00-</v>
      </c>
      <c r="BG382" s="104" t="str">
        <f ca="1">_05preva_view43[Folder Path1]&amp;"Process &amp; Database\Documentation\Colo Applications"</f>
        <v>D:\OneDrive - apollo-towers.com\Apollo Towers\00-Process &amp; Database\Documentation\Colo Applications</v>
      </c>
      <c r="BH382" s="104" t="str">
        <f ca="1">_05preva_view43[Folder Path2]&amp;"\Colo App "&amp;_05preva_view43[[#This Row],[Operator]]&amp;"\"</f>
        <v>D:\OneDrive - apollo-towers.com\Apollo Towers\00-Process &amp; Database\Documentation\Colo Applications\Colo App OML\</v>
      </c>
      <c r="BI382" s="63" t="str">
        <f ca="1">_05preva_view43[[#This Row],[Folder Path3]]&amp;_05preva_view43[[#This Row],[File Name]]</f>
        <v>D:\OneDrive - apollo-towers.com\Apollo Towers\00-Process &amp; Database\Documentation\Colo Applications\Colo App OML\ASMO_0150 (MOW6312) Application.xlsx</v>
      </c>
      <c r="BJ382" s="104"/>
      <c r="BK382" s="3"/>
      <c r="BL382" s="3"/>
      <c r="CJ382" s="5"/>
      <c r="CK382" s="5"/>
      <c r="CL382" s="3"/>
      <c r="CN382" s="5"/>
      <c r="CR382" s="3"/>
      <c r="CS382" s="3"/>
      <c r="CT382" s="5"/>
      <c r="CV382" s="3"/>
      <c r="DR382" s="5"/>
      <c r="DT382" s="3"/>
      <c r="EF382" s="7"/>
      <c r="EG382" s="7"/>
      <c r="EJ382" s="4"/>
      <c r="EK382" s="4"/>
      <c r="EU382" s="2"/>
      <c r="EV382" s="2"/>
    </row>
    <row r="383" spans="1:152">
      <c r="A383" s="125">
        <v>117</v>
      </c>
      <c r="B383" s="126" t="s">
        <v>488</v>
      </c>
      <c r="C383" s="126" t="s">
        <v>116</v>
      </c>
      <c r="D383" s="126" t="s">
        <v>163</v>
      </c>
      <c r="E383" s="126" t="s">
        <v>489</v>
      </c>
      <c r="F383" s="126" t="s">
        <v>40</v>
      </c>
      <c r="G383" s="126" t="s">
        <v>118</v>
      </c>
      <c r="H383" s="126"/>
      <c r="I383" s="126" t="s">
        <v>118</v>
      </c>
      <c r="J383" s="126"/>
      <c r="K383" s="127">
        <v>43236</v>
      </c>
      <c r="L383" s="128"/>
      <c r="M383" s="128">
        <v>3</v>
      </c>
      <c r="N383" s="126"/>
      <c r="O383" s="126" t="s">
        <v>119</v>
      </c>
      <c r="P383" s="129"/>
      <c r="Q383" s="129"/>
      <c r="R383" s="126" t="s">
        <v>27</v>
      </c>
      <c r="S383" s="126"/>
      <c r="T383" s="130" t="s">
        <v>120</v>
      </c>
      <c r="U383" s="126" t="s">
        <v>378</v>
      </c>
      <c r="V383" s="130" t="s">
        <v>120</v>
      </c>
      <c r="W383" s="126"/>
      <c r="X383" s="130" t="s">
        <v>120</v>
      </c>
      <c r="Y383" s="126" t="s">
        <v>120</v>
      </c>
      <c r="Z383" s="162" t="s">
        <v>120</v>
      </c>
      <c r="AA383" s="154"/>
      <c r="AB383" s="154"/>
      <c r="AC383" s="167" t="s">
        <v>454</v>
      </c>
      <c r="AD383" s="126"/>
      <c r="AE383" s="130" t="s">
        <v>125</v>
      </c>
      <c r="AF383" s="127"/>
      <c r="AG383" s="131"/>
      <c r="AH383" s="131"/>
      <c r="AI383" s="126" t="s">
        <v>490</v>
      </c>
      <c r="AJ383" s="130" t="s">
        <v>120</v>
      </c>
      <c r="AK383" s="126" t="s">
        <v>123</v>
      </c>
      <c r="AL383" s="126"/>
      <c r="AM383" s="130"/>
      <c r="AN383" s="126"/>
      <c r="AO383" s="132"/>
      <c r="AP383" s="126"/>
      <c r="AQ383" s="126"/>
      <c r="AR383" s="130"/>
      <c r="AS383" s="126"/>
      <c r="AT383" s="127"/>
      <c r="AU383" s="127"/>
      <c r="AV383" s="127"/>
      <c r="AW383" s="127"/>
      <c r="AX383" s="127"/>
      <c r="AY383" s="127"/>
      <c r="AZ383" s="133"/>
      <c r="BA38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3" s="135">
        <f>COUNTIFS(_05preva_view43[Site ID],_05preva_view43[[#This Row],[Site ID]],_05preva_view43[Prevalidation Status],"Under Prevalidation")</f>
        <v>0</v>
      </c>
      <c r="BC383" s="153" t="str">
        <f ca="1">HYPERLINK(CheckPath(_05preva_view43[[#This Row],[File Path]],_05preva_view43[[#This Row],[File Path]],_05preva_view43[[#This Row],[Folder Path3]]),CheckPath(_05preva_view43[[#This Row],[File Path]],"Open File","No File"))</f>
        <v>No File</v>
      </c>
      <c r="BD383" s="136" t="str">
        <f>CONCATENATE(_05preva_view43[[#This Row],[Site ID]]," (",_05preva_view43[[#This Row],[tenant id]],") Application",IF(_05preva_view43[[#This Row],[Colo Rev]]&gt;0," Rev "&amp;_05preva_view43[[#This Row],[Colo Rev]],""),".xlsx")</f>
        <v>AYYN_0518 (YAW4931) Application.xlsx</v>
      </c>
      <c r="BE383" s="64">
        <f t="shared" ca="1" si="7"/>
        <v>50</v>
      </c>
      <c r="BF383" s="104" t="str">
        <f ca="1">LEFT(CELL("filename",A368),_05preva_view43[[#This Row],[Find Process &amp; Database]]-1)</f>
        <v>D:\OneDrive - apollo-towers.com\Apollo Towers\00-</v>
      </c>
      <c r="BG383" s="104" t="str">
        <f ca="1">_05preva_view43[Folder Path1]&amp;"Process &amp; Database\Documentation\Colo Applications"</f>
        <v>D:\OneDrive - apollo-towers.com\Apollo Towers\00-Process &amp; Database\Documentation\Colo Applications</v>
      </c>
      <c r="BH383" s="104" t="str">
        <f ca="1">_05preva_view43[Folder Path2]&amp;"\Colo App "&amp;_05preva_view43[[#This Row],[Operator]]&amp;"\"</f>
        <v>D:\OneDrive - apollo-towers.com\Apollo Towers\00-Process &amp; Database\Documentation\Colo Applications\Colo App OML\</v>
      </c>
      <c r="BI383" s="63" t="str">
        <f ca="1">_05preva_view43[[#This Row],[Folder Path3]]&amp;_05preva_view43[[#This Row],[File Name]]</f>
        <v>D:\OneDrive - apollo-towers.com\Apollo Towers\00-Process &amp; Database\Documentation\Colo Applications\Colo App OML\AYYN_0518 (YAW4931) Application.xlsx</v>
      </c>
      <c r="BJ383" s="104"/>
      <c r="BK383" s="3"/>
      <c r="BL383" s="3"/>
      <c r="CJ383" s="5"/>
      <c r="CK383" s="5"/>
      <c r="CL383" s="3"/>
      <c r="CN383" s="5"/>
      <c r="CR383" s="3"/>
      <c r="CS383" s="3"/>
      <c r="CT383" s="5"/>
      <c r="CV383" s="3"/>
      <c r="DR383" s="5"/>
      <c r="DT383" s="3"/>
      <c r="EF383" s="7"/>
      <c r="EG383" s="7"/>
      <c r="EJ383" s="4"/>
      <c r="EK383" s="4"/>
      <c r="EU383" s="2"/>
      <c r="EV383" s="2"/>
    </row>
    <row r="384" spans="1:152">
      <c r="A384" s="125">
        <v>118</v>
      </c>
      <c r="B384" s="126" t="s">
        <v>491</v>
      </c>
      <c r="C384" s="126" t="s">
        <v>116</v>
      </c>
      <c r="D384" s="126" t="s">
        <v>163</v>
      </c>
      <c r="E384" s="126" t="s">
        <v>492</v>
      </c>
      <c r="F384" s="126" t="s">
        <v>40</v>
      </c>
      <c r="G384" s="126" t="s">
        <v>118</v>
      </c>
      <c r="H384" s="126"/>
      <c r="I384" s="126" t="s">
        <v>118</v>
      </c>
      <c r="J384" s="126"/>
      <c r="K384" s="127">
        <v>43236</v>
      </c>
      <c r="L384" s="128"/>
      <c r="M384" s="128">
        <v>3</v>
      </c>
      <c r="N384" s="126"/>
      <c r="O384" s="126" t="s">
        <v>119</v>
      </c>
      <c r="P384" s="129"/>
      <c r="Q384" s="129"/>
      <c r="R384" s="126" t="s">
        <v>26</v>
      </c>
      <c r="S384" s="126"/>
      <c r="T384" s="130" t="s">
        <v>144</v>
      </c>
      <c r="U384" s="126" t="s">
        <v>371</v>
      </c>
      <c r="V384" s="130" t="s">
        <v>120</v>
      </c>
      <c r="W384" s="126"/>
      <c r="X384" s="130"/>
      <c r="Y384" s="126"/>
      <c r="Z384" s="162" t="s">
        <v>125</v>
      </c>
      <c r="AA384" s="154"/>
      <c r="AB384" s="154"/>
      <c r="AC384" s="167"/>
      <c r="AD384" s="126" t="s">
        <v>336</v>
      </c>
      <c r="AE384" s="130"/>
      <c r="AF384" s="127"/>
      <c r="AG384" s="131"/>
      <c r="AH384" s="131">
        <v>2</v>
      </c>
      <c r="AI384" s="126"/>
      <c r="AJ384" s="130"/>
      <c r="AK384" s="126"/>
      <c r="AL384" s="126"/>
      <c r="AM384" s="130"/>
      <c r="AN384" s="126"/>
      <c r="AO384" s="132"/>
      <c r="AP384" s="126"/>
      <c r="AQ384" s="126"/>
      <c r="AR384" s="130"/>
      <c r="AS384" s="126"/>
      <c r="AT384" s="127"/>
      <c r="AU384" s="127"/>
      <c r="AV384" s="127"/>
      <c r="AW384" s="127"/>
      <c r="AX384" s="127"/>
      <c r="AY384" s="127"/>
      <c r="AZ384" s="133">
        <v>43236</v>
      </c>
      <c r="BA38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4" s="135">
        <f>COUNTIFS(_05preva_view43[Site ID],_05preva_view43[[#This Row],[Site ID]],_05preva_view43[Prevalidation Status],"Under Prevalidation")</f>
        <v>0</v>
      </c>
      <c r="BC384" s="153" t="str">
        <f ca="1">HYPERLINK(CheckPath(_05preva_view43[[#This Row],[File Path]],_05preva_view43[[#This Row],[File Path]],_05preva_view43[[#This Row],[Folder Path3]]),CheckPath(_05preva_view43[[#This Row],[File Path]],"Open File","No File"))</f>
        <v>No File</v>
      </c>
      <c r="BD384" s="136" t="str">
        <f>CONCATENATE(_05preva_view43[[#This Row],[Site ID]]," (",_05preva_view43[[#This Row],[tenant id]],") Application",IF(_05preva_view43[[#This Row],[Colo Rev]]&gt;0," Rev "&amp;_05preva_view43[[#This Row],[Colo Rev]],""),".xlsx")</f>
        <v>AYYN_0474 (YAW4930) Application.xlsx</v>
      </c>
      <c r="BE384" s="64">
        <f t="shared" ca="1" si="7"/>
        <v>50</v>
      </c>
      <c r="BF384" s="104" t="str">
        <f ca="1">LEFT(CELL("filename",A369),_05preva_view43[[#This Row],[Find Process &amp; Database]]-1)</f>
        <v>D:\OneDrive - apollo-towers.com\Apollo Towers\00-</v>
      </c>
      <c r="BG384" s="104" t="str">
        <f ca="1">_05preva_view43[Folder Path1]&amp;"Process &amp; Database\Documentation\Colo Applications"</f>
        <v>D:\OneDrive - apollo-towers.com\Apollo Towers\00-Process &amp; Database\Documentation\Colo Applications</v>
      </c>
      <c r="BH384" s="104" t="str">
        <f ca="1">_05preva_view43[Folder Path2]&amp;"\Colo App "&amp;_05preva_view43[[#This Row],[Operator]]&amp;"\"</f>
        <v>D:\OneDrive - apollo-towers.com\Apollo Towers\00-Process &amp; Database\Documentation\Colo Applications\Colo App OML\</v>
      </c>
      <c r="BI384" s="63" t="str">
        <f ca="1">_05preva_view43[[#This Row],[Folder Path3]]&amp;_05preva_view43[[#This Row],[File Name]]</f>
        <v>D:\OneDrive - apollo-towers.com\Apollo Towers\00-Process &amp; Database\Documentation\Colo Applications\Colo App OML\AYYN_0474 (YAW4930) Application.xlsx</v>
      </c>
      <c r="BJ384" s="104"/>
      <c r="BK384" s="3"/>
      <c r="BL384" s="3"/>
      <c r="CJ384" s="5"/>
      <c r="CK384" s="5"/>
      <c r="CL384" s="3"/>
      <c r="CN384" s="5"/>
      <c r="CR384" s="3"/>
      <c r="CS384" s="3"/>
      <c r="CT384" s="5"/>
      <c r="CV384" s="3"/>
      <c r="DR384" s="5"/>
      <c r="DT384" s="3"/>
      <c r="EF384" s="7"/>
      <c r="EG384" s="7"/>
      <c r="EJ384" s="4"/>
      <c r="EK384" s="4"/>
      <c r="EU384" s="2"/>
      <c r="EV384" s="2"/>
    </row>
    <row r="385" spans="1:152">
      <c r="A385" s="125">
        <v>120</v>
      </c>
      <c r="B385" s="126" t="s">
        <v>493</v>
      </c>
      <c r="C385" s="126" t="s">
        <v>116</v>
      </c>
      <c r="D385" s="126" t="s">
        <v>163</v>
      </c>
      <c r="E385" s="126" t="s">
        <v>494</v>
      </c>
      <c r="F385" s="126" t="s">
        <v>40</v>
      </c>
      <c r="G385" s="126" t="s">
        <v>1579</v>
      </c>
      <c r="H385" s="126" t="s">
        <v>1580</v>
      </c>
      <c r="I385" s="126" t="s">
        <v>118</v>
      </c>
      <c r="J385" s="126"/>
      <c r="K385" s="127">
        <v>43236</v>
      </c>
      <c r="L385" s="128"/>
      <c r="M385" s="128">
        <v>3</v>
      </c>
      <c r="N385" s="126"/>
      <c r="O385" s="126" t="s">
        <v>119</v>
      </c>
      <c r="P385" s="129"/>
      <c r="Q385" s="129"/>
      <c r="R385" s="126" t="s">
        <v>24</v>
      </c>
      <c r="S385" s="126"/>
      <c r="T385" s="130" t="s">
        <v>120</v>
      </c>
      <c r="U385" s="126" t="s">
        <v>378</v>
      </c>
      <c r="V385" s="130" t="s">
        <v>120</v>
      </c>
      <c r="W385" s="126"/>
      <c r="X385" s="130" t="s">
        <v>120</v>
      </c>
      <c r="Y385" s="126" t="s">
        <v>495</v>
      </c>
      <c r="Z385" s="162" t="s">
        <v>120</v>
      </c>
      <c r="AA385" s="154"/>
      <c r="AB385" s="154"/>
      <c r="AC385" s="167"/>
      <c r="AD385" s="126" t="s">
        <v>120</v>
      </c>
      <c r="AE385" s="130" t="s">
        <v>120</v>
      </c>
      <c r="AF385" s="127" t="s">
        <v>467</v>
      </c>
      <c r="AG385" s="131"/>
      <c r="AH385" s="131">
        <v>3.5</v>
      </c>
      <c r="AI385" s="126" t="s">
        <v>440</v>
      </c>
      <c r="AJ385" s="130" t="s">
        <v>120</v>
      </c>
      <c r="AK385" s="126" t="s">
        <v>123</v>
      </c>
      <c r="AL385" s="126"/>
      <c r="AM385" s="130"/>
      <c r="AN385" s="126"/>
      <c r="AO385" s="132"/>
      <c r="AP385" s="126"/>
      <c r="AQ385" s="126"/>
      <c r="AR385" s="130"/>
      <c r="AS385" s="126"/>
      <c r="AT385" s="127"/>
      <c r="AU385" s="127">
        <v>43453.379002314803</v>
      </c>
      <c r="AV385" s="127"/>
      <c r="AW385" s="127"/>
      <c r="AX385" s="127"/>
      <c r="AY385" s="127"/>
      <c r="AZ385" s="133">
        <v>43236</v>
      </c>
      <c r="BA38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5" s="135">
        <f>COUNTIFS(_05preva_view43[Site ID],_05preva_view43[[#This Row],[Site ID]],_05preva_view43[Prevalidation Status],"Under Prevalidation")</f>
        <v>0</v>
      </c>
      <c r="BC385" s="153" t="str">
        <f ca="1">HYPERLINK(CheckPath(_05preva_view43[[#This Row],[File Path]],_05preva_view43[[#This Row],[File Path]],_05preva_view43[[#This Row],[Folder Path3]]),CheckPath(_05preva_view43[[#This Row],[File Path]],"Open File","No File"))</f>
        <v>No File</v>
      </c>
      <c r="BD385" s="136" t="str">
        <f>CONCATENATE(_05preva_view43[[#This Row],[Site ID]]," (",_05preva_view43[[#This Row],[tenant id]],") Application",IF(_05preva_view43[[#This Row],[Colo Rev]]&gt;0," Rev "&amp;_05preva_view43[[#This Row],[Colo Rev]],""),".xlsx")</f>
        <v>ACBA_0051 (BAW5574) Application.xlsx</v>
      </c>
      <c r="BE385" s="64">
        <f t="shared" ca="1" si="7"/>
        <v>50</v>
      </c>
      <c r="BF385" s="104" t="str">
        <f ca="1">LEFT(CELL("filename",A370),_05preva_view43[[#This Row],[Find Process &amp; Database]]-1)</f>
        <v>D:\OneDrive - apollo-towers.com\Apollo Towers\00-</v>
      </c>
      <c r="BG385" s="104" t="str">
        <f ca="1">_05preva_view43[Folder Path1]&amp;"Process &amp; Database\Documentation\Colo Applications"</f>
        <v>D:\OneDrive - apollo-towers.com\Apollo Towers\00-Process &amp; Database\Documentation\Colo Applications</v>
      </c>
      <c r="BH385" s="104" t="str">
        <f ca="1">_05preva_view43[Folder Path2]&amp;"\Colo App "&amp;_05preva_view43[[#This Row],[Operator]]&amp;"\"</f>
        <v>D:\OneDrive - apollo-towers.com\Apollo Towers\00-Process &amp; Database\Documentation\Colo Applications\Colo App OML\</v>
      </c>
      <c r="BI385" s="63" t="str">
        <f ca="1">_05preva_view43[[#This Row],[Folder Path3]]&amp;_05preva_view43[[#This Row],[File Name]]</f>
        <v>D:\OneDrive - apollo-towers.com\Apollo Towers\00-Process &amp; Database\Documentation\Colo Applications\Colo App OML\ACBA_0051 (BAW5574) Application.xlsx</v>
      </c>
      <c r="BJ385" s="104"/>
      <c r="BK385" s="3"/>
      <c r="BL385" s="3"/>
      <c r="CJ385" s="5"/>
      <c r="CK385" s="5"/>
      <c r="CL385" s="3"/>
      <c r="CN385" s="5"/>
      <c r="CR385" s="3"/>
      <c r="CS385" s="3"/>
      <c r="CT385" s="5"/>
      <c r="CV385" s="3"/>
      <c r="DR385" s="5"/>
      <c r="DT385" s="3"/>
      <c r="EF385" s="7"/>
      <c r="EG385" s="7"/>
      <c r="EJ385" s="4"/>
      <c r="EK385" s="4"/>
      <c r="EU385" s="2"/>
      <c r="EV385" s="2"/>
    </row>
    <row r="386" spans="1:152">
      <c r="A386" s="125">
        <v>121</v>
      </c>
      <c r="B386" s="126" t="s">
        <v>496</v>
      </c>
      <c r="C386" s="126" t="s">
        <v>116</v>
      </c>
      <c r="D386" s="126" t="s">
        <v>163</v>
      </c>
      <c r="E386" s="126" t="s">
        <v>497</v>
      </c>
      <c r="F386" s="126" t="s">
        <v>40</v>
      </c>
      <c r="G386" s="126" t="s">
        <v>118</v>
      </c>
      <c r="H386" s="126"/>
      <c r="I386" s="126" t="s">
        <v>118</v>
      </c>
      <c r="J386" s="126"/>
      <c r="K386" s="127">
        <v>43236</v>
      </c>
      <c r="L386" s="128"/>
      <c r="M386" s="128">
        <v>3</v>
      </c>
      <c r="N386" s="126"/>
      <c r="O386" s="126" t="s">
        <v>119</v>
      </c>
      <c r="P386" s="129"/>
      <c r="Q386" s="129"/>
      <c r="R386" s="126" t="s">
        <v>27</v>
      </c>
      <c r="S386" s="126"/>
      <c r="T386" s="130" t="s">
        <v>120</v>
      </c>
      <c r="U386" s="126" t="s">
        <v>403</v>
      </c>
      <c r="V386" s="130" t="s">
        <v>120</v>
      </c>
      <c r="W386" s="126"/>
      <c r="X386" s="130" t="s">
        <v>120</v>
      </c>
      <c r="Y386" s="126" t="s">
        <v>404</v>
      </c>
      <c r="Z386" s="162" t="s">
        <v>125</v>
      </c>
      <c r="AA386" s="154"/>
      <c r="AB386" s="154"/>
      <c r="AC386" s="167" t="s">
        <v>123</v>
      </c>
      <c r="AD386" s="126" t="s">
        <v>405</v>
      </c>
      <c r="AE386" s="130" t="s">
        <v>125</v>
      </c>
      <c r="AF386" s="127"/>
      <c r="AG386" s="131"/>
      <c r="AH386" s="131"/>
      <c r="AI386" s="126" t="s">
        <v>366</v>
      </c>
      <c r="AJ386" s="130" t="s">
        <v>120</v>
      </c>
      <c r="AK386" s="126" t="s">
        <v>240</v>
      </c>
      <c r="AL386" s="126"/>
      <c r="AM386" s="130"/>
      <c r="AN386" s="126"/>
      <c r="AO386" s="132"/>
      <c r="AP386" s="126"/>
      <c r="AQ386" s="126"/>
      <c r="AR386" s="130"/>
      <c r="AS386" s="126"/>
      <c r="AT386" s="127"/>
      <c r="AU386" s="127"/>
      <c r="AV386" s="127"/>
      <c r="AW386" s="127"/>
      <c r="AX386" s="127"/>
      <c r="AY386" s="127"/>
      <c r="AZ386" s="133"/>
      <c r="BA38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6" s="135">
        <f>COUNTIFS(_05preva_view43[Site ID],_05preva_view43[[#This Row],[Site ID]],_05preva_view43[Prevalidation Status],"Under Prevalidation")</f>
        <v>0</v>
      </c>
      <c r="BC386" s="153" t="str">
        <f ca="1">HYPERLINK(CheckPath(_05preva_view43[[#This Row],[File Path]],_05preva_view43[[#This Row],[File Path]],_05preva_view43[[#This Row],[Folder Path3]]),CheckPath(_05preva_view43[[#This Row],[File Path]],"Open File","No File"))</f>
        <v>No File</v>
      </c>
      <c r="BD386" s="136" t="str">
        <f>CONCATENATE(_05preva_view43[[#This Row],[Site ID]]," (",_05preva_view43[[#This Row],[tenant id]],") Application",IF(_05preva_view43[[#This Row],[Colo Rev]]&gt;0," Rev "&amp;_05preva_view43[[#This Row],[Colo Rev]],""),".xlsx")</f>
        <v>AYYN_0488 (YAW7795) Application.xlsx</v>
      </c>
      <c r="BE386" s="64">
        <f t="shared" ca="1" si="7"/>
        <v>50</v>
      </c>
      <c r="BF386" s="104" t="str">
        <f ca="1">LEFT(CELL("filename",A371),_05preva_view43[[#This Row],[Find Process &amp; Database]]-1)</f>
        <v>D:\OneDrive - apollo-towers.com\Apollo Towers\00-</v>
      </c>
      <c r="BG386" s="104" t="str">
        <f ca="1">_05preva_view43[Folder Path1]&amp;"Process &amp; Database\Documentation\Colo Applications"</f>
        <v>D:\OneDrive - apollo-towers.com\Apollo Towers\00-Process &amp; Database\Documentation\Colo Applications</v>
      </c>
      <c r="BH386" s="104" t="str">
        <f ca="1">_05preva_view43[Folder Path2]&amp;"\Colo App "&amp;_05preva_view43[[#This Row],[Operator]]&amp;"\"</f>
        <v>D:\OneDrive - apollo-towers.com\Apollo Towers\00-Process &amp; Database\Documentation\Colo Applications\Colo App OML\</v>
      </c>
      <c r="BI386" s="63" t="str">
        <f ca="1">_05preva_view43[[#This Row],[Folder Path3]]&amp;_05preva_view43[[#This Row],[File Name]]</f>
        <v>D:\OneDrive - apollo-towers.com\Apollo Towers\00-Process &amp; Database\Documentation\Colo Applications\Colo App OML\AYYN_0488 (YAW7795) Application.xlsx</v>
      </c>
      <c r="BJ386" s="104"/>
      <c r="BK386" s="3"/>
      <c r="BL386" s="3"/>
      <c r="CJ386" s="5"/>
      <c r="CK386" s="5"/>
      <c r="CL386" s="3"/>
      <c r="CN386" s="5"/>
      <c r="CR386" s="3"/>
      <c r="CS386" s="3"/>
      <c r="CT386" s="5"/>
      <c r="CV386" s="3"/>
      <c r="DR386" s="5"/>
      <c r="DT386" s="3"/>
      <c r="EF386" s="7"/>
      <c r="EG386" s="7"/>
      <c r="EJ386" s="4"/>
      <c r="EK386" s="4"/>
      <c r="EU386" s="2"/>
      <c r="EV386" s="2"/>
    </row>
    <row r="387" spans="1:152">
      <c r="A387" s="125">
        <v>122</v>
      </c>
      <c r="B387" s="126" t="s">
        <v>498</v>
      </c>
      <c r="C387" s="126" t="s">
        <v>116</v>
      </c>
      <c r="D387" s="126" t="s">
        <v>163</v>
      </c>
      <c r="E387" s="126" t="s">
        <v>499</v>
      </c>
      <c r="F387" s="126" t="s">
        <v>40</v>
      </c>
      <c r="G387" s="126" t="s">
        <v>118</v>
      </c>
      <c r="H387" s="126"/>
      <c r="I387" s="126" t="s">
        <v>118</v>
      </c>
      <c r="J387" s="126"/>
      <c r="K387" s="127">
        <v>43236</v>
      </c>
      <c r="L387" s="128"/>
      <c r="M387" s="128">
        <v>3</v>
      </c>
      <c r="N387" s="126"/>
      <c r="O387" s="126" t="s">
        <v>119</v>
      </c>
      <c r="P387" s="129"/>
      <c r="Q387" s="129"/>
      <c r="R387" s="126" t="s">
        <v>26</v>
      </c>
      <c r="S387" s="126"/>
      <c r="T387" s="130" t="s">
        <v>144</v>
      </c>
      <c r="U387" s="126" t="s">
        <v>371</v>
      </c>
      <c r="V387" s="130" t="s">
        <v>120</v>
      </c>
      <c r="W387" s="126"/>
      <c r="X387" s="130"/>
      <c r="Y387" s="126"/>
      <c r="Z387" s="162" t="s">
        <v>125</v>
      </c>
      <c r="AA387" s="154"/>
      <c r="AB387" s="154"/>
      <c r="AC387" s="167"/>
      <c r="AD387" s="126" t="s">
        <v>336</v>
      </c>
      <c r="AE387" s="130"/>
      <c r="AF387" s="127"/>
      <c r="AG387" s="131"/>
      <c r="AH387" s="131">
        <v>2</v>
      </c>
      <c r="AI387" s="126"/>
      <c r="AJ387" s="130"/>
      <c r="AK387" s="126"/>
      <c r="AL387" s="126"/>
      <c r="AM387" s="130"/>
      <c r="AN387" s="126"/>
      <c r="AO387" s="132"/>
      <c r="AP387" s="126"/>
      <c r="AQ387" s="126"/>
      <c r="AR387" s="130"/>
      <c r="AS387" s="126"/>
      <c r="AT387" s="127"/>
      <c r="AU387" s="127"/>
      <c r="AV387" s="127"/>
      <c r="AW387" s="127"/>
      <c r="AX387" s="127"/>
      <c r="AY387" s="127"/>
      <c r="AZ387" s="133">
        <v>43236</v>
      </c>
      <c r="BA38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7" s="135">
        <f>COUNTIFS(_05preva_view43[Site ID],_05preva_view43[[#This Row],[Site ID]],_05preva_view43[Prevalidation Status],"Under Prevalidation")</f>
        <v>0</v>
      </c>
      <c r="BC387" s="153" t="str">
        <f ca="1">HYPERLINK(CheckPath(_05preva_view43[[#This Row],[File Path]],_05preva_view43[[#This Row],[File Path]],_05preva_view43[[#This Row],[Folder Path3]]),CheckPath(_05preva_view43[[#This Row],[File Path]],"Open File","No File"))</f>
        <v>No File</v>
      </c>
      <c r="BD387" s="136" t="str">
        <f>CONCATENATE(_05preva_view43[[#This Row],[Site ID]]," (",_05preva_view43[[#This Row],[tenant id]],") Application",IF(_05preva_view43[[#This Row],[Colo Rev]]&gt;0," Rev "&amp;_05preva_view43[[#This Row],[Colo Rev]],""),".xlsx")</f>
        <v>AYYN_0544 (YAW4790) Application.xlsx</v>
      </c>
      <c r="BE387" s="64">
        <f t="shared" ca="1" si="7"/>
        <v>50</v>
      </c>
      <c r="BF387" s="104" t="str">
        <f ca="1">LEFT(CELL("filename",A372),_05preva_view43[[#This Row],[Find Process &amp; Database]]-1)</f>
        <v>D:\OneDrive - apollo-towers.com\Apollo Towers\00-</v>
      </c>
      <c r="BG387" s="104" t="str">
        <f ca="1">_05preva_view43[Folder Path1]&amp;"Process &amp; Database\Documentation\Colo Applications"</f>
        <v>D:\OneDrive - apollo-towers.com\Apollo Towers\00-Process &amp; Database\Documentation\Colo Applications</v>
      </c>
      <c r="BH387" s="104" t="str">
        <f ca="1">_05preva_view43[Folder Path2]&amp;"\Colo App "&amp;_05preva_view43[[#This Row],[Operator]]&amp;"\"</f>
        <v>D:\OneDrive - apollo-towers.com\Apollo Towers\00-Process &amp; Database\Documentation\Colo Applications\Colo App OML\</v>
      </c>
      <c r="BI387" s="63" t="str">
        <f ca="1">_05preva_view43[[#This Row],[Folder Path3]]&amp;_05preva_view43[[#This Row],[File Name]]</f>
        <v>D:\OneDrive - apollo-towers.com\Apollo Towers\00-Process &amp; Database\Documentation\Colo Applications\Colo App OML\AYYN_0544 (YAW4790) Application.xlsx</v>
      </c>
      <c r="BJ387" s="104"/>
      <c r="BK387" s="3"/>
      <c r="BL387" s="3"/>
      <c r="CJ387" s="5"/>
      <c r="CK387" s="5"/>
      <c r="CL387" s="3"/>
      <c r="CN387" s="5"/>
      <c r="CR387" s="3"/>
      <c r="CS387" s="3"/>
      <c r="CT387" s="5"/>
      <c r="CV387" s="3"/>
      <c r="DR387" s="5"/>
      <c r="DT387" s="3"/>
      <c r="EF387" s="7"/>
      <c r="EG387" s="7"/>
      <c r="EJ387" s="4"/>
      <c r="EK387" s="4"/>
      <c r="EU387" s="2"/>
      <c r="EV387" s="2"/>
    </row>
    <row r="388" spans="1:152">
      <c r="A388" s="125">
        <v>123</v>
      </c>
      <c r="B388" s="126" t="s">
        <v>500</v>
      </c>
      <c r="C388" s="126" t="s">
        <v>116</v>
      </c>
      <c r="D388" s="126" t="s">
        <v>163</v>
      </c>
      <c r="E388" s="126" t="s">
        <v>501</v>
      </c>
      <c r="F388" s="126" t="s">
        <v>40</v>
      </c>
      <c r="G388" s="126" t="s">
        <v>118</v>
      </c>
      <c r="H388" s="126"/>
      <c r="I388" s="126" t="s">
        <v>118</v>
      </c>
      <c r="J388" s="126"/>
      <c r="K388" s="127">
        <v>43236</v>
      </c>
      <c r="L388" s="128"/>
      <c r="M388" s="128">
        <v>3</v>
      </c>
      <c r="N388" s="126"/>
      <c r="O388" s="126" t="s">
        <v>119</v>
      </c>
      <c r="P388" s="129"/>
      <c r="Q388" s="129"/>
      <c r="R388" s="126" t="s">
        <v>26</v>
      </c>
      <c r="S388" s="126"/>
      <c r="T388" s="130" t="s">
        <v>144</v>
      </c>
      <c r="U388" s="126" t="s">
        <v>502</v>
      </c>
      <c r="V388" s="130" t="s">
        <v>120</v>
      </c>
      <c r="W388" s="126"/>
      <c r="X388" s="130"/>
      <c r="Y388" s="126"/>
      <c r="Z388" s="162" t="s">
        <v>125</v>
      </c>
      <c r="AA388" s="154"/>
      <c r="AB388" s="154"/>
      <c r="AC388" s="167"/>
      <c r="AD388" s="126" t="s">
        <v>336</v>
      </c>
      <c r="AE388" s="130"/>
      <c r="AF388" s="127"/>
      <c r="AG388" s="131"/>
      <c r="AH388" s="131">
        <v>2</v>
      </c>
      <c r="AI388" s="126"/>
      <c r="AJ388" s="130"/>
      <c r="AK388" s="126"/>
      <c r="AL388" s="126"/>
      <c r="AM388" s="130"/>
      <c r="AN388" s="126"/>
      <c r="AO388" s="132"/>
      <c r="AP388" s="126"/>
      <c r="AQ388" s="126"/>
      <c r="AR388" s="130"/>
      <c r="AS388" s="126"/>
      <c r="AT388" s="127"/>
      <c r="AU388" s="127"/>
      <c r="AV388" s="127"/>
      <c r="AW388" s="127"/>
      <c r="AX388" s="127"/>
      <c r="AY388" s="127"/>
      <c r="AZ388" s="133">
        <v>43236</v>
      </c>
      <c r="BA38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8" s="135">
        <f>COUNTIFS(_05preva_view43[Site ID],_05preva_view43[[#This Row],[Site ID]],_05preva_view43[Prevalidation Status],"Under Prevalidation")</f>
        <v>0</v>
      </c>
      <c r="BC388" s="153" t="str">
        <f ca="1">HYPERLINK(CheckPath(_05preva_view43[[#This Row],[File Path]],_05preva_view43[[#This Row],[File Path]],_05preva_view43[[#This Row],[Folder Path3]]),CheckPath(_05preva_view43[[#This Row],[File Path]],"Open File","No File"))</f>
        <v>No File</v>
      </c>
      <c r="BD388" s="136" t="str">
        <f>CONCATENATE(_05preva_view43[[#This Row],[Site ID]]," (",_05preva_view43[[#This Row],[tenant id]],") Application",IF(_05preva_view43[[#This Row],[Colo Rev]]&gt;0," Rev "&amp;_05preva_view43[[#This Row],[Colo Rev]],""),".xlsx")</f>
        <v>AYYN_0504 (YAW4769) Application.xlsx</v>
      </c>
      <c r="BE388" s="64">
        <f t="shared" ca="1" si="7"/>
        <v>50</v>
      </c>
      <c r="BF388" s="104" t="str">
        <f ca="1">LEFT(CELL("filename",A373),_05preva_view43[[#This Row],[Find Process &amp; Database]]-1)</f>
        <v>D:\OneDrive - apollo-towers.com\Apollo Towers\00-</v>
      </c>
      <c r="BG388" s="104" t="str">
        <f ca="1">_05preva_view43[Folder Path1]&amp;"Process &amp; Database\Documentation\Colo Applications"</f>
        <v>D:\OneDrive - apollo-towers.com\Apollo Towers\00-Process &amp; Database\Documentation\Colo Applications</v>
      </c>
      <c r="BH388" s="104" t="str">
        <f ca="1">_05preva_view43[Folder Path2]&amp;"\Colo App "&amp;_05preva_view43[[#This Row],[Operator]]&amp;"\"</f>
        <v>D:\OneDrive - apollo-towers.com\Apollo Towers\00-Process &amp; Database\Documentation\Colo Applications\Colo App OML\</v>
      </c>
      <c r="BI388" s="63" t="str">
        <f ca="1">_05preva_view43[[#This Row],[Folder Path3]]&amp;_05preva_view43[[#This Row],[File Name]]</f>
        <v>D:\OneDrive - apollo-towers.com\Apollo Towers\00-Process &amp; Database\Documentation\Colo Applications\Colo App OML\AYYN_0504 (YAW4769) Application.xlsx</v>
      </c>
      <c r="BJ388" s="104"/>
      <c r="BK388" s="3"/>
      <c r="BL388" s="3"/>
      <c r="CJ388" s="5"/>
      <c r="CK388" s="5"/>
      <c r="CL388" s="3"/>
      <c r="CN388" s="5"/>
      <c r="CR388" s="3"/>
      <c r="CS388" s="3"/>
      <c r="CT388" s="5"/>
      <c r="CV388" s="3"/>
      <c r="DR388" s="5"/>
      <c r="DT388" s="3"/>
      <c r="EF388" s="7"/>
      <c r="EG388" s="7"/>
      <c r="EJ388" s="4"/>
      <c r="EK388" s="4"/>
      <c r="EU388" s="2"/>
      <c r="EV388" s="2"/>
    </row>
    <row r="389" spans="1:152">
      <c r="A389" s="125">
        <v>124</v>
      </c>
      <c r="B389" s="126" t="s">
        <v>503</v>
      </c>
      <c r="C389" s="126" t="s">
        <v>116</v>
      </c>
      <c r="D389" s="126" t="s">
        <v>163</v>
      </c>
      <c r="E389" s="126" t="s">
        <v>504</v>
      </c>
      <c r="F389" s="126" t="s">
        <v>40</v>
      </c>
      <c r="G389" s="126" t="s">
        <v>118</v>
      </c>
      <c r="H389" s="126"/>
      <c r="I389" s="126" t="s">
        <v>118</v>
      </c>
      <c r="J389" s="126"/>
      <c r="K389" s="127">
        <v>43236</v>
      </c>
      <c r="L389" s="128"/>
      <c r="M389" s="128">
        <v>3</v>
      </c>
      <c r="N389" s="126"/>
      <c r="O389" s="126" t="s">
        <v>119</v>
      </c>
      <c r="P389" s="129"/>
      <c r="Q389" s="129"/>
      <c r="R389" s="126" t="s">
        <v>24</v>
      </c>
      <c r="S389" s="126"/>
      <c r="T389" s="130" t="s">
        <v>120</v>
      </c>
      <c r="U389" s="126" t="s">
        <v>425</v>
      </c>
      <c r="V389" s="130" t="s">
        <v>120</v>
      </c>
      <c r="W389" s="126"/>
      <c r="X389" s="130" t="s">
        <v>120</v>
      </c>
      <c r="Y389" s="126" t="s">
        <v>404</v>
      </c>
      <c r="Z389" s="162" t="s">
        <v>125</v>
      </c>
      <c r="AA389" s="154"/>
      <c r="AB389" s="154"/>
      <c r="AC389" s="167" t="s">
        <v>123</v>
      </c>
      <c r="AD389" s="126" t="s">
        <v>405</v>
      </c>
      <c r="AE389" s="130" t="s">
        <v>125</v>
      </c>
      <c r="AF389" s="127"/>
      <c r="AG389" s="131"/>
      <c r="AH389" s="131"/>
      <c r="AI389" s="126" t="s">
        <v>366</v>
      </c>
      <c r="AJ389" s="130" t="s">
        <v>120</v>
      </c>
      <c r="AK389" s="126" t="s">
        <v>240</v>
      </c>
      <c r="AL389" s="126"/>
      <c r="AM389" s="130"/>
      <c r="AN389" s="126"/>
      <c r="AO389" s="132"/>
      <c r="AP389" s="126"/>
      <c r="AQ389" s="126"/>
      <c r="AR389" s="130"/>
      <c r="AS389" s="126"/>
      <c r="AT389" s="127"/>
      <c r="AU389" s="127"/>
      <c r="AV389" s="127"/>
      <c r="AW389" s="127"/>
      <c r="AX389" s="127"/>
      <c r="AY389" s="127"/>
      <c r="AZ389" s="133"/>
      <c r="BA38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9" s="135">
        <f>COUNTIFS(_05preva_view43[Site ID],_05preva_view43[[#This Row],[Site ID]],_05preva_view43[Prevalidation Status],"Under Prevalidation")</f>
        <v>0</v>
      </c>
      <c r="BC389" s="153" t="str">
        <f ca="1">HYPERLINK(CheckPath(_05preva_view43[[#This Row],[File Path]],_05preva_view43[[#This Row],[File Path]],_05preva_view43[[#This Row],[Folder Path3]]),CheckPath(_05preva_view43[[#This Row],[File Path]],"Open File","No File"))</f>
        <v>No File</v>
      </c>
      <c r="BD389" s="136" t="str">
        <f>CONCATENATE(_05preva_view43[[#This Row],[Site ID]]," (",_05preva_view43[[#This Row],[tenant id]],") Application",IF(_05preva_view43[[#This Row],[Colo Rev]]&gt;0," Rev "&amp;_05preva_view43[[#This Row],[Colo Rev]],""),".xlsx")</f>
        <v>AYYN_0309 (YAW7787) Application.xlsx</v>
      </c>
      <c r="BE389" s="64">
        <f t="shared" ca="1" si="7"/>
        <v>50</v>
      </c>
      <c r="BF389" s="104" t="str">
        <f ca="1">LEFT(CELL("filename",A374),_05preva_view43[[#This Row],[Find Process &amp; Database]]-1)</f>
        <v>D:\OneDrive - apollo-towers.com\Apollo Towers\00-</v>
      </c>
      <c r="BG389" s="104" t="str">
        <f ca="1">_05preva_view43[Folder Path1]&amp;"Process &amp; Database\Documentation\Colo Applications"</f>
        <v>D:\OneDrive - apollo-towers.com\Apollo Towers\00-Process &amp; Database\Documentation\Colo Applications</v>
      </c>
      <c r="BH389" s="104" t="str">
        <f ca="1">_05preva_view43[Folder Path2]&amp;"\Colo App "&amp;_05preva_view43[[#This Row],[Operator]]&amp;"\"</f>
        <v>D:\OneDrive - apollo-towers.com\Apollo Towers\00-Process &amp; Database\Documentation\Colo Applications\Colo App OML\</v>
      </c>
      <c r="BI389" s="63" t="str">
        <f ca="1">_05preva_view43[[#This Row],[Folder Path3]]&amp;_05preva_view43[[#This Row],[File Name]]</f>
        <v>D:\OneDrive - apollo-towers.com\Apollo Towers\00-Process &amp; Database\Documentation\Colo Applications\Colo App OML\AYYN_0309 (YAW7787) Application.xlsx</v>
      </c>
      <c r="BJ389" s="104"/>
      <c r="BK389" s="3"/>
      <c r="BL389" s="3"/>
      <c r="CJ389" s="5"/>
      <c r="CK389" s="5"/>
      <c r="CL389" s="3"/>
      <c r="CN389" s="5"/>
      <c r="CR389" s="3"/>
      <c r="CS389" s="3"/>
      <c r="CT389" s="5"/>
      <c r="CV389" s="3"/>
      <c r="DR389" s="5"/>
      <c r="DT389" s="3"/>
      <c r="EF389" s="7"/>
      <c r="EG389" s="7"/>
      <c r="EJ389" s="4"/>
      <c r="EK389" s="4"/>
      <c r="EU389" s="2"/>
      <c r="EV389" s="2"/>
    </row>
    <row r="390" spans="1:152">
      <c r="A390" s="125">
        <v>125</v>
      </c>
      <c r="B390" s="126" t="s">
        <v>505</v>
      </c>
      <c r="C390" s="126" t="s">
        <v>116</v>
      </c>
      <c r="D390" s="126" t="s">
        <v>163</v>
      </c>
      <c r="E390" s="126" t="s">
        <v>506</v>
      </c>
      <c r="F390" s="126" t="s">
        <v>40</v>
      </c>
      <c r="G390" s="126" t="s">
        <v>118</v>
      </c>
      <c r="H390" s="126"/>
      <c r="I390" s="126" t="s">
        <v>118</v>
      </c>
      <c r="J390" s="126"/>
      <c r="K390" s="127">
        <v>43236</v>
      </c>
      <c r="L390" s="128"/>
      <c r="M390" s="128">
        <v>3</v>
      </c>
      <c r="N390" s="126"/>
      <c r="O390" s="126" t="s">
        <v>119</v>
      </c>
      <c r="P390" s="129"/>
      <c r="Q390" s="129"/>
      <c r="R390" s="126" t="s">
        <v>24</v>
      </c>
      <c r="S390" s="126"/>
      <c r="T390" s="130" t="s">
        <v>120</v>
      </c>
      <c r="U390" s="126" t="s">
        <v>378</v>
      </c>
      <c r="V390" s="130" t="s">
        <v>120</v>
      </c>
      <c r="W390" s="126"/>
      <c r="X390" s="130" t="s">
        <v>120</v>
      </c>
      <c r="Y390" s="126" t="s">
        <v>120</v>
      </c>
      <c r="Z390" s="162" t="s">
        <v>120</v>
      </c>
      <c r="AA390" s="154"/>
      <c r="AB390" s="154"/>
      <c r="AC390" s="167"/>
      <c r="AD390" s="126" t="s">
        <v>120</v>
      </c>
      <c r="AE390" s="130" t="s">
        <v>120</v>
      </c>
      <c r="AF390" s="127" t="s">
        <v>241</v>
      </c>
      <c r="AG390" s="131"/>
      <c r="AH390" s="131">
        <v>3.5</v>
      </c>
      <c r="AI390" s="126" t="s">
        <v>487</v>
      </c>
      <c r="AJ390" s="130" t="s">
        <v>120</v>
      </c>
      <c r="AK390" s="126" t="s">
        <v>123</v>
      </c>
      <c r="AL390" s="126"/>
      <c r="AM390" s="130"/>
      <c r="AN390" s="126"/>
      <c r="AO390" s="132"/>
      <c r="AP390" s="126"/>
      <c r="AQ390" s="126"/>
      <c r="AR390" s="130"/>
      <c r="AS390" s="126"/>
      <c r="AT390" s="127"/>
      <c r="AU390" s="127">
        <v>43453.379004629598</v>
      </c>
      <c r="AV390" s="127"/>
      <c r="AW390" s="127"/>
      <c r="AX390" s="127"/>
      <c r="AY390" s="127"/>
      <c r="AZ390" s="133">
        <v>43236</v>
      </c>
      <c r="BA39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0" s="135">
        <f>COUNTIFS(_05preva_view43[Site ID],_05preva_view43[[#This Row],[Site ID]],_05preva_view43[Prevalidation Status],"Under Prevalidation")</f>
        <v>0</v>
      </c>
      <c r="BC390" s="153" t="str">
        <f ca="1">HYPERLINK(CheckPath(_05preva_view43[[#This Row],[File Path]],_05preva_view43[[#This Row],[File Path]],_05preva_view43[[#This Row],[Folder Path3]]),CheckPath(_05preva_view43[[#This Row],[File Path]],"Open File","No File"))</f>
        <v>No File</v>
      </c>
      <c r="BD390" s="136" t="str">
        <f>CONCATENATE(_05preva_view43[[#This Row],[Site ID]]," (",_05preva_view43[[#This Row],[tenant id]],") Application",IF(_05preva_view43[[#This Row],[Colo Rev]]&gt;0," Rev "&amp;_05preva_view43[[#This Row],[Colo Rev]],""),".xlsx")</f>
        <v>ACAY_0142 (AYW5565) Application.xlsx</v>
      </c>
      <c r="BE390" s="64">
        <f t="shared" ca="1" si="7"/>
        <v>50</v>
      </c>
      <c r="BF390" s="104" t="str">
        <f ca="1">LEFT(CELL("filename",A375),_05preva_view43[[#This Row],[Find Process &amp; Database]]-1)</f>
        <v>D:\OneDrive - apollo-towers.com\Apollo Towers\00-</v>
      </c>
      <c r="BG390" s="104" t="str">
        <f ca="1">_05preva_view43[Folder Path1]&amp;"Process &amp; Database\Documentation\Colo Applications"</f>
        <v>D:\OneDrive - apollo-towers.com\Apollo Towers\00-Process &amp; Database\Documentation\Colo Applications</v>
      </c>
      <c r="BH390" s="104" t="str">
        <f ca="1">_05preva_view43[Folder Path2]&amp;"\Colo App "&amp;_05preva_view43[[#This Row],[Operator]]&amp;"\"</f>
        <v>D:\OneDrive - apollo-towers.com\Apollo Towers\00-Process &amp; Database\Documentation\Colo Applications\Colo App OML\</v>
      </c>
      <c r="BI390" s="63" t="str">
        <f ca="1">_05preva_view43[[#This Row],[Folder Path3]]&amp;_05preva_view43[[#This Row],[File Name]]</f>
        <v>D:\OneDrive - apollo-towers.com\Apollo Towers\00-Process &amp; Database\Documentation\Colo Applications\Colo App OML\ACAY_0142 (AYW5565) Application.xlsx</v>
      </c>
      <c r="BJ390" s="104"/>
      <c r="BK390" s="3"/>
      <c r="BL390" s="3"/>
      <c r="CJ390" s="5"/>
      <c r="CK390" s="5"/>
      <c r="CL390" s="3"/>
      <c r="CN390" s="5"/>
      <c r="CR390" s="3"/>
      <c r="CS390" s="3"/>
      <c r="CT390" s="5"/>
      <c r="CV390" s="3"/>
      <c r="DR390" s="5"/>
      <c r="DT390" s="3"/>
      <c r="EF390" s="7"/>
      <c r="EG390" s="7"/>
      <c r="EJ390" s="4"/>
      <c r="EK390" s="4"/>
      <c r="EU390" s="2"/>
      <c r="EV390" s="2"/>
    </row>
    <row r="391" spans="1:152">
      <c r="A391" s="125">
        <v>126</v>
      </c>
      <c r="B391" s="126" t="s">
        <v>507</v>
      </c>
      <c r="C391" s="126" t="s">
        <v>116</v>
      </c>
      <c r="D391" s="126" t="s">
        <v>117</v>
      </c>
      <c r="E391" s="126" t="s">
        <v>508</v>
      </c>
      <c r="F391" s="126" t="s">
        <v>40</v>
      </c>
      <c r="G391" s="126" t="s">
        <v>1579</v>
      </c>
      <c r="H391" s="126" t="s">
        <v>1575</v>
      </c>
      <c r="I391" s="126" t="s">
        <v>118</v>
      </c>
      <c r="J391" s="126"/>
      <c r="K391" s="127">
        <v>43236</v>
      </c>
      <c r="L391" s="128"/>
      <c r="M391" s="128">
        <v>3</v>
      </c>
      <c r="N391" s="126"/>
      <c r="O391" s="126" t="s">
        <v>119</v>
      </c>
      <c r="P391" s="129"/>
      <c r="Q391" s="129"/>
      <c r="R391" s="126" t="s">
        <v>24</v>
      </c>
      <c r="S391" s="126"/>
      <c r="T391" s="130" t="s">
        <v>120</v>
      </c>
      <c r="U391" s="126" t="s">
        <v>378</v>
      </c>
      <c r="V391" s="130" t="s">
        <v>120</v>
      </c>
      <c r="W391" s="126"/>
      <c r="X391" s="130" t="s">
        <v>120</v>
      </c>
      <c r="Y391" s="126" t="s">
        <v>120</v>
      </c>
      <c r="Z391" s="162" t="s">
        <v>120</v>
      </c>
      <c r="AA391" s="154"/>
      <c r="AB391" s="154"/>
      <c r="AC391" s="167"/>
      <c r="AD391" s="126" t="s">
        <v>120</v>
      </c>
      <c r="AE391" s="130" t="s">
        <v>120</v>
      </c>
      <c r="AF391" s="127" t="s">
        <v>241</v>
      </c>
      <c r="AG391" s="131"/>
      <c r="AH391" s="131">
        <v>3.5</v>
      </c>
      <c r="AI391" s="126" t="s">
        <v>387</v>
      </c>
      <c r="AJ391" s="130" t="s">
        <v>120</v>
      </c>
      <c r="AK391" s="126" t="s">
        <v>123</v>
      </c>
      <c r="AL391" s="126"/>
      <c r="AM391" s="130"/>
      <c r="AN391" s="126"/>
      <c r="AO391" s="132"/>
      <c r="AP391" s="126"/>
      <c r="AQ391" s="126"/>
      <c r="AR391" s="130"/>
      <c r="AS391" s="126"/>
      <c r="AT391" s="127"/>
      <c r="AU391" s="127">
        <v>43453.379005439798</v>
      </c>
      <c r="AV391" s="127"/>
      <c r="AW391" s="127"/>
      <c r="AX391" s="127"/>
      <c r="AY391" s="127"/>
      <c r="AZ391" s="133">
        <v>43236</v>
      </c>
      <c r="BA39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1" s="135">
        <f>COUNTIFS(_05preva_view43[Site ID],_05preva_view43[[#This Row],[Site ID]],_05preva_view43[Prevalidation Status],"Under Prevalidation")</f>
        <v>0</v>
      </c>
      <c r="BC391" s="153" t="str">
        <f ca="1">HYPERLINK(CheckPath(_05preva_view43[[#This Row],[File Path]],_05preva_view43[[#This Row],[File Path]],_05preva_view43[[#This Row],[Folder Path3]]),CheckPath(_05preva_view43[[#This Row],[File Path]],"Open File","No File"))</f>
        <v>No File</v>
      </c>
      <c r="BD391" s="136" t="str">
        <f>CONCATENATE(_05preva_view43[[#This Row],[Site ID]]," (",_05preva_view43[[#This Row],[tenant id]],") Application",IF(_05preva_view43[[#This Row],[Colo Rev]]&gt;0," Rev "&amp;_05preva_view43[[#This Row],[Colo Rev]],""),".xlsx")</f>
        <v>ACBA_0089 (BAW5581) Application.xlsx</v>
      </c>
      <c r="BE391" s="64">
        <f t="shared" ca="1" si="7"/>
        <v>50</v>
      </c>
      <c r="BF391" s="104" t="str">
        <f ca="1">LEFT(CELL("filename",A376),_05preva_view43[[#This Row],[Find Process &amp; Database]]-1)</f>
        <v>D:\OneDrive - apollo-towers.com\Apollo Towers\00-</v>
      </c>
      <c r="BG391" s="104" t="str">
        <f ca="1">_05preva_view43[Folder Path1]&amp;"Process &amp; Database\Documentation\Colo Applications"</f>
        <v>D:\OneDrive - apollo-towers.com\Apollo Towers\00-Process &amp; Database\Documentation\Colo Applications</v>
      </c>
      <c r="BH391" s="104" t="str">
        <f ca="1">_05preva_view43[Folder Path2]&amp;"\Colo App "&amp;_05preva_view43[[#This Row],[Operator]]&amp;"\"</f>
        <v>D:\OneDrive - apollo-towers.com\Apollo Towers\00-Process &amp; Database\Documentation\Colo Applications\Colo App OML\</v>
      </c>
      <c r="BI391" s="63" t="str">
        <f ca="1">_05preva_view43[[#This Row],[Folder Path3]]&amp;_05preva_view43[[#This Row],[File Name]]</f>
        <v>D:\OneDrive - apollo-towers.com\Apollo Towers\00-Process &amp; Database\Documentation\Colo Applications\Colo App OML\ACBA_0089 (BAW5581) Application.xlsx</v>
      </c>
      <c r="BJ391" s="104"/>
      <c r="BK391" s="3"/>
      <c r="BL391" s="3"/>
      <c r="CJ391" s="5"/>
      <c r="CK391" s="5"/>
      <c r="CL391" s="3"/>
      <c r="CN391" s="5"/>
      <c r="CR391" s="3"/>
      <c r="CS391" s="3"/>
      <c r="CT391" s="5"/>
      <c r="CV391" s="3"/>
      <c r="DR391" s="5"/>
      <c r="DT391" s="3"/>
      <c r="EF391" s="7"/>
      <c r="EG391" s="7"/>
      <c r="EJ391" s="4"/>
      <c r="EK391" s="4"/>
      <c r="EU391" s="2"/>
      <c r="EV391" s="2"/>
    </row>
    <row r="392" spans="1:152">
      <c r="A392" s="125">
        <v>127</v>
      </c>
      <c r="B392" s="126" t="s">
        <v>509</v>
      </c>
      <c r="C392" s="126" t="s">
        <v>116</v>
      </c>
      <c r="D392" s="126" t="s">
        <v>163</v>
      </c>
      <c r="E392" s="126" t="s">
        <v>510</v>
      </c>
      <c r="F392" s="126" t="s">
        <v>40</v>
      </c>
      <c r="G392" s="126" t="s">
        <v>118</v>
      </c>
      <c r="H392" s="126"/>
      <c r="I392" s="126" t="s">
        <v>118</v>
      </c>
      <c r="J392" s="126"/>
      <c r="K392" s="127">
        <v>43236</v>
      </c>
      <c r="L392" s="128"/>
      <c r="M392" s="128">
        <v>3</v>
      </c>
      <c r="N392" s="126"/>
      <c r="O392" s="126" t="s">
        <v>119</v>
      </c>
      <c r="P392" s="129"/>
      <c r="Q392" s="129"/>
      <c r="R392" s="126" t="s">
        <v>24</v>
      </c>
      <c r="S392" s="126"/>
      <c r="T392" s="130" t="s">
        <v>120</v>
      </c>
      <c r="U392" s="126" t="s">
        <v>403</v>
      </c>
      <c r="V392" s="130" t="s">
        <v>120</v>
      </c>
      <c r="W392" s="126"/>
      <c r="X392" s="130" t="s">
        <v>120</v>
      </c>
      <c r="Y392" s="126" t="s">
        <v>404</v>
      </c>
      <c r="Z392" s="162" t="s">
        <v>120</v>
      </c>
      <c r="AA392" s="154"/>
      <c r="AB392" s="154"/>
      <c r="AC392" s="167" t="s">
        <v>123</v>
      </c>
      <c r="AD392" s="126" t="s">
        <v>419</v>
      </c>
      <c r="AE392" s="130" t="s">
        <v>120</v>
      </c>
      <c r="AF392" s="127" t="s">
        <v>511</v>
      </c>
      <c r="AG392" s="131"/>
      <c r="AH392" s="131">
        <v>2</v>
      </c>
      <c r="AI392" s="126" t="s">
        <v>512</v>
      </c>
      <c r="AJ392" s="130" t="s">
        <v>120</v>
      </c>
      <c r="AK392" s="126" t="s">
        <v>123</v>
      </c>
      <c r="AL392" s="126"/>
      <c r="AM392" s="130"/>
      <c r="AN392" s="126"/>
      <c r="AO392" s="132"/>
      <c r="AP392" s="126"/>
      <c r="AQ392" s="126"/>
      <c r="AR392" s="130"/>
      <c r="AS392" s="126"/>
      <c r="AT392" s="127"/>
      <c r="AU392" s="127">
        <v>43453.379006249997</v>
      </c>
      <c r="AV392" s="127"/>
      <c r="AW392" s="127"/>
      <c r="AX392" s="127"/>
      <c r="AY392" s="127"/>
      <c r="AZ392" s="133">
        <v>43236</v>
      </c>
      <c r="BA39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2" s="135">
        <f>COUNTIFS(_05preva_view43[Site ID],_05preva_view43[[#This Row],[Site ID]],_05preva_view43[Prevalidation Status],"Under Prevalidation")</f>
        <v>0</v>
      </c>
      <c r="BC392" s="153" t="str">
        <f ca="1">HYPERLINK(CheckPath(_05preva_view43[[#This Row],[File Path]],_05preva_view43[[#This Row],[File Path]],_05preva_view43[[#This Row],[Folder Path3]]),CheckPath(_05preva_view43[[#This Row],[File Path]],"Open File","No File"))</f>
        <v>No File</v>
      </c>
      <c r="BD392" s="136" t="str">
        <f>CONCATENATE(_05preva_view43[[#This Row],[Site ID]]," (",_05preva_view43[[#This Row],[tenant id]],") Application",IF(_05preva_view43[[#This Row],[Colo Rev]]&gt;0," Rev "&amp;_05preva_view43[[#This Row],[Colo Rev]],""),".xlsx")</f>
        <v>AYYN_0088 (YAW4651) Application.xlsx</v>
      </c>
      <c r="BE392" s="64">
        <f t="shared" ca="1" si="7"/>
        <v>50</v>
      </c>
      <c r="BF392" s="104" t="str">
        <f ca="1">LEFT(CELL("filename",A377),_05preva_view43[[#This Row],[Find Process &amp; Database]]-1)</f>
        <v>D:\OneDrive - apollo-towers.com\Apollo Towers\00-</v>
      </c>
      <c r="BG392" s="104" t="str">
        <f ca="1">_05preva_view43[Folder Path1]&amp;"Process &amp; Database\Documentation\Colo Applications"</f>
        <v>D:\OneDrive - apollo-towers.com\Apollo Towers\00-Process &amp; Database\Documentation\Colo Applications</v>
      </c>
      <c r="BH392" s="104" t="str">
        <f ca="1">_05preva_view43[Folder Path2]&amp;"\Colo App "&amp;_05preva_view43[[#This Row],[Operator]]&amp;"\"</f>
        <v>D:\OneDrive - apollo-towers.com\Apollo Towers\00-Process &amp; Database\Documentation\Colo Applications\Colo App OML\</v>
      </c>
      <c r="BI392" s="63" t="str">
        <f ca="1">_05preva_view43[[#This Row],[Folder Path3]]&amp;_05preva_view43[[#This Row],[File Name]]</f>
        <v>D:\OneDrive - apollo-towers.com\Apollo Towers\00-Process &amp; Database\Documentation\Colo Applications\Colo App OML\AYYN_0088 (YAW4651) Application.xlsx</v>
      </c>
      <c r="BJ392" s="104"/>
      <c r="BK392" s="3"/>
      <c r="BL392" s="3"/>
      <c r="CJ392" s="5"/>
      <c r="CK392" s="5"/>
      <c r="CL392" s="3"/>
      <c r="CN392" s="5"/>
      <c r="CR392" s="3"/>
      <c r="CS392" s="3"/>
      <c r="CT392" s="5"/>
      <c r="CV392" s="3"/>
      <c r="DR392" s="5"/>
      <c r="DT392" s="3"/>
      <c r="EF392" s="7"/>
      <c r="EG392" s="7"/>
      <c r="EJ392" s="4"/>
      <c r="EK392" s="4"/>
      <c r="EU392" s="2"/>
      <c r="EV392" s="2"/>
    </row>
    <row r="393" spans="1:152">
      <c r="A393" s="125">
        <v>128</v>
      </c>
      <c r="B393" s="126" t="s">
        <v>513</v>
      </c>
      <c r="C393" s="126" t="s">
        <v>116</v>
      </c>
      <c r="D393" s="126" t="s">
        <v>163</v>
      </c>
      <c r="E393" s="126" t="s">
        <v>514</v>
      </c>
      <c r="F393" s="126" t="s">
        <v>40</v>
      </c>
      <c r="G393" s="126" t="s">
        <v>1579</v>
      </c>
      <c r="H393" s="126" t="s">
        <v>1575</v>
      </c>
      <c r="I393" s="126" t="s">
        <v>118</v>
      </c>
      <c r="J393" s="126"/>
      <c r="K393" s="127">
        <v>43236</v>
      </c>
      <c r="L393" s="128"/>
      <c r="M393" s="128">
        <v>3</v>
      </c>
      <c r="N393" s="126"/>
      <c r="O393" s="126" t="s">
        <v>119</v>
      </c>
      <c r="P393" s="129"/>
      <c r="Q393" s="129"/>
      <c r="R393" s="126" t="s">
        <v>24</v>
      </c>
      <c r="S393" s="126"/>
      <c r="T393" s="130" t="s">
        <v>120</v>
      </c>
      <c r="U393" s="126" t="s">
        <v>378</v>
      </c>
      <c r="V393" s="130" t="s">
        <v>120</v>
      </c>
      <c r="W393" s="126"/>
      <c r="X393" s="130" t="s">
        <v>120</v>
      </c>
      <c r="Y393" s="126" t="s">
        <v>120</v>
      </c>
      <c r="Z393" s="162" t="s">
        <v>120</v>
      </c>
      <c r="AA393" s="154"/>
      <c r="AB393" s="154"/>
      <c r="AC393" s="167"/>
      <c r="AD393" s="126" t="s">
        <v>120</v>
      </c>
      <c r="AE393" s="130" t="s">
        <v>120</v>
      </c>
      <c r="AF393" s="127" t="s">
        <v>241</v>
      </c>
      <c r="AG393" s="131"/>
      <c r="AH393" s="131">
        <v>3.5</v>
      </c>
      <c r="AI393" s="126" t="s">
        <v>242</v>
      </c>
      <c r="AJ393" s="130" t="s">
        <v>120</v>
      </c>
      <c r="AK393" s="126" t="s">
        <v>123</v>
      </c>
      <c r="AL393" s="126"/>
      <c r="AM393" s="130"/>
      <c r="AN393" s="126"/>
      <c r="AO393" s="132"/>
      <c r="AP393" s="126"/>
      <c r="AQ393" s="126"/>
      <c r="AR393" s="130"/>
      <c r="AS393" s="126"/>
      <c r="AT393" s="127"/>
      <c r="AU393" s="127">
        <v>43453.379008449097</v>
      </c>
      <c r="AV393" s="127"/>
      <c r="AW393" s="127"/>
      <c r="AX393" s="127"/>
      <c r="AY393" s="127"/>
      <c r="AZ393" s="133">
        <v>43236</v>
      </c>
      <c r="BA39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3" s="135">
        <f>COUNTIFS(_05preva_view43[Site ID],_05preva_view43[[#This Row],[Site ID]],_05preva_view43[Prevalidation Status],"Under Prevalidation")</f>
        <v>0</v>
      </c>
      <c r="BC393" s="153" t="str">
        <f ca="1">HYPERLINK(CheckPath(_05preva_view43[[#This Row],[File Path]],_05preva_view43[[#This Row],[File Path]],_05preva_view43[[#This Row],[Folder Path3]]),CheckPath(_05preva_view43[[#This Row],[File Path]],"Open File","No File"))</f>
        <v>No File</v>
      </c>
      <c r="BD393" s="136" t="str">
        <f>CONCATENATE(_05preva_view43[[#This Row],[Site ID]]," (",_05preva_view43[[#This Row],[tenant id]],") Application",IF(_05preva_view43[[#This Row],[Colo Rev]]&gt;0," Rev "&amp;_05preva_view43[[#This Row],[Colo Rev]],""),".xlsx")</f>
        <v>ACAY_0123 (AYW5569) Application.xlsx</v>
      </c>
      <c r="BE393" s="64">
        <f t="shared" ca="1" si="7"/>
        <v>50</v>
      </c>
      <c r="BF393" s="104" t="str">
        <f ca="1">LEFT(CELL("filename",A378),_05preva_view43[[#This Row],[Find Process &amp; Database]]-1)</f>
        <v>D:\OneDrive - apollo-towers.com\Apollo Towers\00-</v>
      </c>
      <c r="BG393" s="104" t="str">
        <f ca="1">_05preva_view43[Folder Path1]&amp;"Process &amp; Database\Documentation\Colo Applications"</f>
        <v>D:\OneDrive - apollo-towers.com\Apollo Towers\00-Process &amp; Database\Documentation\Colo Applications</v>
      </c>
      <c r="BH393" s="104" t="str">
        <f ca="1">_05preva_view43[Folder Path2]&amp;"\Colo App "&amp;_05preva_view43[[#This Row],[Operator]]&amp;"\"</f>
        <v>D:\OneDrive - apollo-towers.com\Apollo Towers\00-Process &amp; Database\Documentation\Colo Applications\Colo App OML\</v>
      </c>
      <c r="BI393" s="63" t="str">
        <f ca="1">_05preva_view43[[#This Row],[Folder Path3]]&amp;_05preva_view43[[#This Row],[File Name]]</f>
        <v>D:\OneDrive - apollo-towers.com\Apollo Towers\00-Process &amp; Database\Documentation\Colo Applications\Colo App OML\ACAY_0123 (AYW5569) Application.xlsx</v>
      </c>
      <c r="BJ393" s="104"/>
      <c r="BK393" s="3"/>
      <c r="BL393" s="3"/>
      <c r="CJ393" s="5"/>
      <c r="CK393" s="5"/>
      <c r="CL393" s="3"/>
      <c r="CN393" s="5"/>
      <c r="CR393" s="3"/>
      <c r="CS393" s="3"/>
      <c r="CT393" s="5"/>
      <c r="CV393" s="3"/>
      <c r="DR393" s="5"/>
      <c r="DT393" s="3"/>
      <c r="EF393" s="7"/>
      <c r="EG393" s="7"/>
      <c r="EJ393" s="4"/>
      <c r="EK393" s="4"/>
      <c r="EU393" s="2"/>
      <c r="EV393" s="2"/>
    </row>
    <row r="394" spans="1:152">
      <c r="A394" s="125">
        <v>129</v>
      </c>
      <c r="B394" s="126" t="s">
        <v>515</v>
      </c>
      <c r="C394" s="126" t="s">
        <v>116</v>
      </c>
      <c r="D394" s="126" t="s">
        <v>163</v>
      </c>
      <c r="E394" s="126" t="s">
        <v>516</v>
      </c>
      <c r="F394" s="126" t="s">
        <v>40</v>
      </c>
      <c r="G394" s="126" t="s">
        <v>118</v>
      </c>
      <c r="H394" s="126"/>
      <c r="I394" s="126" t="s">
        <v>118</v>
      </c>
      <c r="J394" s="126"/>
      <c r="K394" s="127">
        <v>43236</v>
      </c>
      <c r="L394" s="128"/>
      <c r="M394" s="128">
        <v>3</v>
      </c>
      <c r="N394" s="126"/>
      <c r="O394" s="126" t="s">
        <v>119</v>
      </c>
      <c r="P394" s="129"/>
      <c r="Q394" s="129"/>
      <c r="R394" s="126" t="s">
        <v>24</v>
      </c>
      <c r="S394" s="126"/>
      <c r="T394" s="130" t="s">
        <v>120</v>
      </c>
      <c r="U394" s="126" t="s">
        <v>378</v>
      </c>
      <c r="V394" s="130" t="s">
        <v>120</v>
      </c>
      <c r="W394" s="126"/>
      <c r="X394" s="130" t="s">
        <v>120</v>
      </c>
      <c r="Y394" s="126" t="s">
        <v>120</v>
      </c>
      <c r="Z394" s="162" t="s">
        <v>120</v>
      </c>
      <c r="AA394" s="154"/>
      <c r="AB394" s="154"/>
      <c r="AC394" s="167"/>
      <c r="AD394" s="126" t="s">
        <v>120</v>
      </c>
      <c r="AE394" s="130" t="s">
        <v>120</v>
      </c>
      <c r="AF394" s="127" t="s">
        <v>120</v>
      </c>
      <c r="AG394" s="131"/>
      <c r="AH394" s="131">
        <v>2</v>
      </c>
      <c r="AI394" s="126" t="s">
        <v>517</v>
      </c>
      <c r="AJ394" s="130" t="s">
        <v>120</v>
      </c>
      <c r="AK394" s="126" t="s">
        <v>123</v>
      </c>
      <c r="AL394" s="126"/>
      <c r="AM394" s="130"/>
      <c r="AN394" s="126"/>
      <c r="AO394" s="132"/>
      <c r="AP394" s="126"/>
      <c r="AQ394" s="126"/>
      <c r="AR394" s="130"/>
      <c r="AS394" s="126"/>
      <c r="AT394" s="127"/>
      <c r="AU394" s="127">
        <v>43453.379009259297</v>
      </c>
      <c r="AV394" s="127"/>
      <c r="AW394" s="127"/>
      <c r="AX394" s="127"/>
      <c r="AY394" s="127"/>
      <c r="AZ394" s="133">
        <v>43236</v>
      </c>
      <c r="BA39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4" s="135">
        <f>COUNTIFS(_05preva_view43[Site ID],_05preva_view43[[#This Row],[Site ID]],_05preva_view43[Prevalidation Status],"Under Prevalidation")</f>
        <v>1</v>
      </c>
      <c r="BC394" s="153" t="str">
        <f ca="1">HYPERLINK(CheckPath(_05preva_view43[[#This Row],[File Path]],_05preva_view43[[#This Row],[File Path]],_05preva_view43[[#This Row],[Folder Path3]]),CheckPath(_05preva_view43[[#This Row],[File Path]],"Open File","No File"))</f>
        <v>No File</v>
      </c>
      <c r="BD394" s="136" t="str">
        <f>CONCATENATE(_05preva_view43[[#This Row],[Site ID]]," (",_05preva_view43[[#This Row],[tenant id]],") Application",IF(_05preva_view43[[#This Row],[Colo Rev]]&gt;0," Rev "&amp;_05preva_view43[[#This Row],[Colo Rev]],""),".xlsx")</f>
        <v>ACBA_0032 (BAW5234) Application.xlsx</v>
      </c>
      <c r="BE394" s="64">
        <f t="shared" ca="1" si="7"/>
        <v>50</v>
      </c>
      <c r="BF394" s="104" t="str">
        <f ca="1">LEFT(CELL("filename",A379),_05preva_view43[[#This Row],[Find Process &amp; Database]]-1)</f>
        <v>D:\OneDrive - apollo-towers.com\Apollo Towers\00-</v>
      </c>
      <c r="BG394" s="104" t="str">
        <f ca="1">_05preva_view43[Folder Path1]&amp;"Process &amp; Database\Documentation\Colo Applications"</f>
        <v>D:\OneDrive - apollo-towers.com\Apollo Towers\00-Process &amp; Database\Documentation\Colo Applications</v>
      </c>
      <c r="BH394" s="104" t="str">
        <f ca="1">_05preva_view43[Folder Path2]&amp;"\Colo App "&amp;_05preva_view43[[#This Row],[Operator]]&amp;"\"</f>
        <v>D:\OneDrive - apollo-towers.com\Apollo Towers\00-Process &amp; Database\Documentation\Colo Applications\Colo App OML\</v>
      </c>
      <c r="BI394" s="63" t="str">
        <f ca="1">_05preva_view43[[#This Row],[Folder Path3]]&amp;_05preva_view43[[#This Row],[File Name]]</f>
        <v>D:\OneDrive - apollo-towers.com\Apollo Towers\00-Process &amp; Database\Documentation\Colo Applications\Colo App OML\ACBA_0032 (BAW5234) Application.xlsx</v>
      </c>
      <c r="BJ394" s="104"/>
      <c r="BK394" s="3"/>
      <c r="BL394" s="3"/>
      <c r="CJ394" s="5"/>
      <c r="CK394" s="5"/>
      <c r="CL394" s="3"/>
      <c r="CN394" s="5"/>
      <c r="CR394" s="3"/>
      <c r="CS394" s="3"/>
      <c r="CT394" s="5"/>
      <c r="CV394" s="3"/>
      <c r="DR394" s="5"/>
      <c r="DT394" s="3"/>
      <c r="EF394" s="7"/>
      <c r="EG394" s="7"/>
      <c r="EJ394" s="4"/>
      <c r="EK394" s="4"/>
      <c r="EU394" s="2"/>
      <c r="EV394" s="2"/>
    </row>
    <row r="395" spans="1:152">
      <c r="A395" s="125">
        <v>130</v>
      </c>
      <c r="B395" s="126" t="s">
        <v>518</v>
      </c>
      <c r="C395" s="126" t="s">
        <v>116</v>
      </c>
      <c r="D395" s="126" t="s">
        <v>163</v>
      </c>
      <c r="E395" s="126" t="s">
        <v>519</v>
      </c>
      <c r="F395" s="126" t="s">
        <v>40</v>
      </c>
      <c r="G395" s="126" t="s">
        <v>1579</v>
      </c>
      <c r="H395" s="126" t="s">
        <v>1575</v>
      </c>
      <c r="I395" s="126" t="s">
        <v>118</v>
      </c>
      <c r="J395" s="126"/>
      <c r="K395" s="127">
        <v>43236</v>
      </c>
      <c r="L395" s="128"/>
      <c r="M395" s="128">
        <v>3</v>
      </c>
      <c r="N395" s="126"/>
      <c r="O395" s="126" t="s">
        <v>119</v>
      </c>
      <c r="P395" s="129"/>
      <c r="Q395" s="129"/>
      <c r="R395" s="126" t="s">
        <v>24</v>
      </c>
      <c r="S395" s="126"/>
      <c r="T395" s="130" t="s">
        <v>120</v>
      </c>
      <c r="U395" s="126" t="s">
        <v>378</v>
      </c>
      <c r="V395" s="130" t="s">
        <v>120</v>
      </c>
      <c r="W395" s="126"/>
      <c r="X395" s="130" t="s">
        <v>120</v>
      </c>
      <c r="Y395" s="126" t="s">
        <v>120</v>
      </c>
      <c r="Z395" s="162" t="s">
        <v>120</v>
      </c>
      <c r="AA395" s="154"/>
      <c r="AB395" s="154"/>
      <c r="AC395" s="167"/>
      <c r="AD395" s="126" t="s">
        <v>419</v>
      </c>
      <c r="AE395" s="130" t="s">
        <v>120</v>
      </c>
      <c r="AF395" s="127" t="s">
        <v>241</v>
      </c>
      <c r="AG395" s="131"/>
      <c r="AH395" s="131">
        <v>3.5</v>
      </c>
      <c r="AI395" s="126" t="s">
        <v>242</v>
      </c>
      <c r="AJ395" s="130" t="s">
        <v>120</v>
      </c>
      <c r="AK395" s="126" t="s">
        <v>123</v>
      </c>
      <c r="AL395" s="126"/>
      <c r="AM395" s="130"/>
      <c r="AN395" s="126"/>
      <c r="AO395" s="132"/>
      <c r="AP395" s="126"/>
      <c r="AQ395" s="126"/>
      <c r="AR395" s="130"/>
      <c r="AS395" s="126"/>
      <c r="AT395" s="127"/>
      <c r="AU395" s="127">
        <v>43453.379010185199</v>
      </c>
      <c r="AV395" s="127"/>
      <c r="AW395" s="127"/>
      <c r="AX395" s="127"/>
      <c r="AY395" s="127"/>
      <c r="AZ395" s="133">
        <v>43236</v>
      </c>
      <c r="BA39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5" s="135">
        <f>COUNTIFS(_05preva_view43[Site ID],_05preva_view43[[#This Row],[Site ID]],_05preva_view43[Prevalidation Status],"Under Prevalidation")</f>
        <v>0</v>
      </c>
      <c r="BC395" s="153" t="str">
        <f ca="1">HYPERLINK(CheckPath(_05preva_view43[[#This Row],[File Path]],_05preva_view43[[#This Row],[File Path]],_05preva_view43[[#This Row],[Folder Path3]]),CheckPath(_05preva_view43[[#This Row],[File Path]],"Open File","No File"))</f>
        <v>No File</v>
      </c>
      <c r="BD395" s="136" t="str">
        <f>CONCATENATE(_05preva_view43[[#This Row],[Site ID]]," (",_05preva_view43[[#This Row],[tenant id]],") Application",IF(_05preva_view43[[#This Row],[Colo Rev]]&gt;0," Rev "&amp;_05preva_view43[[#This Row],[Colo Rev]],""),".xlsx")</f>
        <v>ASMO_0162 (MOW6294) Application.xlsx</v>
      </c>
      <c r="BE395" s="64">
        <f t="shared" ca="1" si="7"/>
        <v>50</v>
      </c>
      <c r="BF395" s="104" t="str">
        <f ca="1">LEFT(CELL("filename",A380),_05preva_view43[[#This Row],[Find Process &amp; Database]]-1)</f>
        <v>D:\OneDrive - apollo-towers.com\Apollo Towers\00-</v>
      </c>
      <c r="BG395" s="104" t="str">
        <f ca="1">_05preva_view43[Folder Path1]&amp;"Process &amp; Database\Documentation\Colo Applications"</f>
        <v>D:\OneDrive - apollo-towers.com\Apollo Towers\00-Process &amp; Database\Documentation\Colo Applications</v>
      </c>
      <c r="BH395" s="104" t="str">
        <f ca="1">_05preva_view43[Folder Path2]&amp;"\Colo App "&amp;_05preva_view43[[#This Row],[Operator]]&amp;"\"</f>
        <v>D:\OneDrive - apollo-towers.com\Apollo Towers\00-Process &amp; Database\Documentation\Colo Applications\Colo App OML\</v>
      </c>
      <c r="BI395" s="63" t="str">
        <f ca="1">_05preva_view43[[#This Row],[Folder Path3]]&amp;_05preva_view43[[#This Row],[File Name]]</f>
        <v>D:\OneDrive - apollo-towers.com\Apollo Towers\00-Process &amp; Database\Documentation\Colo Applications\Colo App OML\ASMO_0162 (MOW6294) Application.xlsx</v>
      </c>
      <c r="BJ395" s="104"/>
      <c r="BK395" s="3"/>
      <c r="BL395" s="3"/>
      <c r="CJ395" s="5"/>
      <c r="CK395" s="5"/>
      <c r="CL395" s="3"/>
      <c r="CN395" s="5"/>
      <c r="CR395" s="3"/>
      <c r="CS395" s="3"/>
      <c r="CT395" s="5"/>
      <c r="CV395" s="3"/>
      <c r="DR395" s="5"/>
      <c r="DT395" s="3"/>
      <c r="EF395" s="7"/>
      <c r="EG395" s="7"/>
      <c r="EJ395" s="4"/>
      <c r="EK395" s="4"/>
      <c r="EU395" s="2"/>
      <c r="EV395" s="2"/>
    </row>
    <row r="396" spans="1:152">
      <c r="A396" s="125">
        <v>131</v>
      </c>
      <c r="B396" s="126" t="s">
        <v>520</v>
      </c>
      <c r="C396" s="126" t="s">
        <v>116</v>
      </c>
      <c r="D396" s="126" t="s">
        <v>163</v>
      </c>
      <c r="E396" s="126" t="s">
        <v>521</v>
      </c>
      <c r="F396" s="126" t="s">
        <v>40</v>
      </c>
      <c r="G396" s="126" t="s">
        <v>118</v>
      </c>
      <c r="H396" s="126"/>
      <c r="I396" s="126" t="s">
        <v>118</v>
      </c>
      <c r="J396" s="126"/>
      <c r="K396" s="127">
        <v>43236</v>
      </c>
      <c r="L396" s="128"/>
      <c r="M396" s="128">
        <v>3</v>
      </c>
      <c r="N396" s="126"/>
      <c r="O396" s="126" t="s">
        <v>119</v>
      </c>
      <c r="P396" s="129"/>
      <c r="Q396" s="129"/>
      <c r="R396" s="126" t="s">
        <v>27</v>
      </c>
      <c r="S396" s="126"/>
      <c r="T396" s="130" t="s">
        <v>120</v>
      </c>
      <c r="U396" s="126" t="s">
        <v>378</v>
      </c>
      <c r="V396" s="130" t="s">
        <v>120</v>
      </c>
      <c r="W396" s="126"/>
      <c r="X396" s="130" t="s">
        <v>120</v>
      </c>
      <c r="Y396" s="126" t="s">
        <v>120</v>
      </c>
      <c r="Z396" s="162" t="s">
        <v>120</v>
      </c>
      <c r="AA396" s="154"/>
      <c r="AB396" s="154"/>
      <c r="AC396" s="167"/>
      <c r="AD396" s="126" t="s">
        <v>120</v>
      </c>
      <c r="AE396" s="130" t="s">
        <v>125</v>
      </c>
      <c r="AF396" s="127"/>
      <c r="AG396" s="131"/>
      <c r="AH396" s="131"/>
      <c r="AI396" s="126" t="s">
        <v>522</v>
      </c>
      <c r="AJ396" s="130" t="s">
        <v>120</v>
      </c>
      <c r="AK396" s="126" t="s">
        <v>123</v>
      </c>
      <c r="AL396" s="126"/>
      <c r="AM396" s="130"/>
      <c r="AN396" s="126"/>
      <c r="AO396" s="132"/>
      <c r="AP396" s="126"/>
      <c r="AQ396" s="126"/>
      <c r="AR396" s="130"/>
      <c r="AS396" s="126"/>
      <c r="AT396" s="127"/>
      <c r="AU396" s="127"/>
      <c r="AV396" s="127"/>
      <c r="AW396" s="127"/>
      <c r="AX396" s="127"/>
      <c r="AY396" s="127"/>
      <c r="AZ396" s="133"/>
      <c r="BA39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6" s="135">
        <f>COUNTIFS(_05preva_view43[Site ID],_05preva_view43[[#This Row],[Site ID]],_05preva_view43[Prevalidation Status],"Under Prevalidation")</f>
        <v>0</v>
      </c>
      <c r="BC396" s="153" t="str">
        <f ca="1">HYPERLINK(CheckPath(_05preva_view43[[#This Row],[File Path]],_05preva_view43[[#This Row],[File Path]],_05preva_view43[[#This Row],[Folder Path3]]),CheckPath(_05preva_view43[[#This Row],[File Path]],"Open File","No File"))</f>
        <v>No File</v>
      </c>
      <c r="BD396" s="136" t="str">
        <f>CONCATENATE(_05preva_view43[[#This Row],[Site ID]]," (",_05preva_view43[[#This Row],[tenant id]],") Application",IF(_05preva_view43[[#This Row],[Colo Rev]]&gt;0," Rev "&amp;_05preva_view43[[#This Row],[Colo Rev]],""),".xlsx")</f>
        <v>ASMO_0164 (MOT6240) Application.xlsx</v>
      </c>
      <c r="BE396" s="64">
        <f t="shared" ca="1" si="7"/>
        <v>50</v>
      </c>
      <c r="BF396" s="104" t="str">
        <f ca="1">LEFT(CELL("filename",A381),_05preva_view43[[#This Row],[Find Process &amp; Database]]-1)</f>
        <v>D:\OneDrive - apollo-towers.com\Apollo Towers\00-</v>
      </c>
      <c r="BG396" s="104" t="str">
        <f ca="1">_05preva_view43[Folder Path1]&amp;"Process &amp; Database\Documentation\Colo Applications"</f>
        <v>D:\OneDrive - apollo-towers.com\Apollo Towers\00-Process &amp; Database\Documentation\Colo Applications</v>
      </c>
      <c r="BH396" s="104" t="str">
        <f ca="1">_05preva_view43[Folder Path2]&amp;"\Colo App "&amp;_05preva_view43[[#This Row],[Operator]]&amp;"\"</f>
        <v>D:\OneDrive - apollo-towers.com\Apollo Towers\00-Process &amp; Database\Documentation\Colo Applications\Colo App OML\</v>
      </c>
      <c r="BI396" s="63" t="str">
        <f ca="1">_05preva_view43[[#This Row],[Folder Path3]]&amp;_05preva_view43[[#This Row],[File Name]]</f>
        <v>D:\OneDrive - apollo-towers.com\Apollo Towers\00-Process &amp; Database\Documentation\Colo Applications\Colo App OML\ASMO_0164 (MOT6240) Application.xlsx</v>
      </c>
      <c r="BJ396" s="104"/>
      <c r="BK396" s="3"/>
      <c r="BL396" s="3"/>
      <c r="CJ396" s="5"/>
      <c r="CK396" s="5"/>
      <c r="CL396" s="3"/>
      <c r="CN396" s="5"/>
      <c r="CR396" s="3"/>
      <c r="CS396" s="3"/>
      <c r="CT396" s="5"/>
      <c r="CV396" s="3"/>
      <c r="DR396" s="5"/>
      <c r="DT396" s="3"/>
      <c r="EF396" s="7"/>
      <c r="EG396" s="7"/>
      <c r="EJ396" s="4"/>
      <c r="EK396" s="4"/>
      <c r="EU396" s="2"/>
      <c r="EV396" s="2"/>
    </row>
    <row r="397" spans="1:152">
      <c r="A397" s="125">
        <v>132</v>
      </c>
      <c r="B397" s="126" t="s">
        <v>523</v>
      </c>
      <c r="C397" s="126" t="s">
        <v>116</v>
      </c>
      <c r="D397" s="126" t="s">
        <v>163</v>
      </c>
      <c r="E397" s="126" t="s">
        <v>524</v>
      </c>
      <c r="F397" s="126" t="s">
        <v>40</v>
      </c>
      <c r="G397" s="126" t="s">
        <v>118</v>
      </c>
      <c r="H397" s="126"/>
      <c r="I397" s="126" t="s">
        <v>118</v>
      </c>
      <c r="J397" s="126"/>
      <c r="K397" s="127">
        <v>43236</v>
      </c>
      <c r="L397" s="128"/>
      <c r="M397" s="128">
        <v>3</v>
      </c>
      <c r="N397" s="126"/>
      <c r="O397" s="126" t="s">
        <v>119</v>
      </c>
      <c r="P397" s="129"/>
      <c r="Q397" s="129"/>
      <c r="R397" s="126" t="s">
        <v>24</v>
      </c>
      <c r="S397" s="126"/>
      <c r="T397" s="130" t="s">
        <v>120</v>
      </c>
      <c r="U397" s="126" t="s">
        <v>378</v>
      </c>
      <c r="V397" s="130" t="s">
        <v>120</v>
      </c>
      <c r="W397" s="126"/>
      <c r="X397" s="130" t="s">
        <v>120</v>
      </c>
      <c r="Y397" s="126" t="s">
        <v>120</v>
      </c>
      <c r="Z397" s="162" t="s">
        <v>120</v>
      </c>
      <c r="AA397" s="154"/>
      <c r="AB397" s="154"/>
      <c r="AC397" s="167"/>
      <c r="AD397" s="126" t="s">
        <v>120</v>
      </c>
      <c r="AE397" s="130" t="s">
        <v>120</v>
      </c>
      <c r="AF397" s="127" t="s">
        <v>120</v>
      </c>
      <c r="AG397" s="131"/>
      <c r="AH397" s="131">
        <v>2</v>
      </c>
      <c r="AI397" s="126" t="s">
        <v>326</v>
      </c>
      <c r="AJ397" s="130" t="s">
        <v>120</v>
      </c>
      <c r="AK397" s="126" t="s">
        <v>123</v>
      </c>
      <c r="AL397" s="126"/>
      <c r="AM397" s="130"/>
      <c r="AN397" s="126"/>
      <c r="AO397" s="132"/>
      <c r="AP397" s="126"/>
      <c r="AQ397" s="126"/>
      <c r="AR397" s="130"/>
      <c r="AS397" s="126"/>
      <c r="AT397" s="127"/>
      <c r="AU397" s="127">
        <v>43453.379013078702</v>
      </c>
      <c r="AV397" s="127"/>
      <c r="AW397" s="127"/>
      <c r="AX397" s="127"/>
      <c r="AY397" s="127"/>
      <c r="AZ397" s="133">
        <v>43236</v>
      </c>
      <c r="BA39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7" s="135">
        <f>COUNTIFS(_05preva_view43[Site ID],_05preva_view43[[#This Row],[Site ID]],_05preva_view43[Prevalidation Status],"Under Prevalidation")</f>
        <v>0</v>
      </c>
      <c r="BC397" s="153" t="str">
        <f ca="1">HYPERLINK(CheckPath(_05preva_view43[[#This Row],[File Path]],_05preva_view43[[#This Row],[File Path]],_05preva_view43[[#This Row],[Folder Path3]]),CheckPath(_05preva_view43[[#This Row],[File Path]],"Open File","No File"))</f>
        <v>No File</v>
      </c>
      <c r="BD397" s="136" t="str">
        <f>CONCATENATE(_05preva_view43[[#This Row],[Site ID]]," (",_05preva_view43[[#This Row],[tenant id]],") Application",IF(_05preva_view43[[#This Row],[Colo Rev]]&gt;0," Rev "&amp;_05preva_view43[[#This Row],[Colo Rev]],""),".xlsx")</f>
        <v>ASMO_0166 (MOW6237) Application.xlsx</v>
      </c>
      <c r="BE397" s="64">
        <f t="shared" ca="1" si="7"/>
        <v>50</v>
      </c>
      <c r="BF397" s="104" t="str">
        <f ca="1">LEFT(CELL("filename",A382),_05preva_view43[[#This Row],[Find Process &amp; Database]]-1)</f>
        <v>D:\OneDrive - apollo-towers.com\Apollo Towers\00-</v>
      </c>
      <c r="BG397" s="104" t="str">
        <f ca="1">_05preva_view43[Folder Path1]&amp;"Process &amp; Database\Documentation\Colo Applications"</f>
        <v>D:\OneDrive - apollo-towers.com\Apollo Towers\00-Process &amp; Database\Documentation\Colo Applications</v>
      </c>
      <c r="BH397" s="104" t="str">
        <f ca="1">_05preva_view43[Folder Path2]&amp;"\Colo App "&amp;_05preva_view43[[#This Row],[Operator]]&amp;"\"</f>
        <v>D:\OneDrive - apollo-towers.com\Apollo Towers\00-Process &amp; Database\Documentation\Colo Applications\Colo App OML\</v>
      </c>
      <c r="BI397" s="63" t="str">
        <f ca="1">_05preva_view43[[#This Row],[Folder Path3]]&amp;_05preva_view43[[#This Row],[File Name]]</f>
        <v>D:\OneDrive - apollo-towers.com\Apollo Towers\00-Process &amp; Database\Documentation\Colo Applications\Colo App OML\ASMO_0166 (MOW6237) Application.xlsx</v>
      </c>
      <c r="BJ397" s="104"/>
      <c r="BK397" s="3"/>
      <c r="BL397" s="3"/>
      <c r="CJ397" s="5"/>
      <c r="CK397" s="5"/>
      <c r="CL397" s="3"/>
      <c r="CN397" s="5"/>
      <c r="CR397" s="3"/>
      <c r="CS397" s="3"/>
      <c r="CT397" s="5"/>
      <c r="CV397" s="3"/>
      <c r="DR397" s="5"/>
      <c r="DT397" s="3"/>
      <c r="EF397" s="7"/>
      <c r="EG397" s="7"/>
      <c r="EJ397" s="4"/>
      <c r="EK397" s="4"/>
      <c r="EU397" s="2"/>
      <c r="EV397" s="2"/>
    </row>
    <row r="398" spans="1:152">
      <c r="A398" s="125">
        <v>133</v>
      </c>
      <c r="B398" s="126" t="s">
        <v>525</v>
      </c>
      <c r="C398" s="126" t="s">
        <v>116</v>
      </c>
      <c r="D398" s="126" t="s">
        <v>163</v>
      </c>
      <c r="E398" s="126" t="s">
        <v>526</v>
      </c>
      <c r="F398" s="126" t="s">
        <v>40</v>
      </c>
      <c r="G398" s="126" t="s">
        <v>118</v>
      </c>
      <c r="H398" s="126"/>
      <c r="I398" s="126" t="s">
        <v>118</v>
      </c>
      <c r="J398" s="126"/>
      <c r="K398" s="127">
        <v>43236</v>
      </c>
      <c r="L398" s="128"/>
      <c r="M398" s="128">
        <v>3</v>
      </c>
      <c r="N398" s="126"/>
      <c r="O398" s="126" t="s">
        <v>119</v>
      </c>
      <c r="P398" s="129"/>
      <c r="Q398" s="129"/>
      <c r="R398" s="126" t="s">
        <v>24</v>
      </c>
      <c r="S398" s="126"/>
      <c r="T398" s="130" t="s">
        <v>120</v>
      </c>
      <c r="U398" s="126" t="s">
        <v>378</v>
      </c>
      <c r="V398" s="130" t="s">
        <v>120</v>
      </c>
      <c r="W398" s="126"/>
      <c r="X398" s="130" t="s">
        <v>120</v>
      </c>
      <c r="Y398" s="126" t="s">
        <v>120</v>
      </c>
      <c r="Z398" s="162" t="s">
        <v>120</v>
      </c>
      <c r="AA398" s="154"/>
      <c r="AB398" s="154"/>
      <c r="AC398" s="167" t="s">
        <v>454</v>
      </c>
      <c r="AD398" s="126" t="s">
        <v>527</v>
      </c>
      <c r="AE398" s="130" t="s">
        <v>125</v>
      </c>
      <c r="AF398" s="127"/>
      <c r="AG398" s="131"/>
      <c r="AH398" s="131"/>
      <c r="AI398" s="126" t="s">
        <v>528</v>
      </c>
      <c r="AJ398" s="130" t="s">
        <v>120</v>
      </c>
      <c r="AK398" s="126" t="s">
        <v>123</v>
      </c>
      <c r="AL398" s="126"/>
      <c r="AM398" s="130"/>
      <c r="AN398" s="126"/>
      <c r="AO398" s="132"/>
      <c r="AP398" s="126"/>
      <c r="AQ398" s="126"/>
      <c r="AR398" s="130"/>
      <c r="AS398" s="126"/>
      <c r="AT398" s="127"/>
      <c r="AU398" s="127"/>
      <c r="AV398" s="127"/>
      <c r="AW398" s="127"/>
      <c r="AX398" s="127"/>
      <c r="AY398" s="127"/>
      <c r="AZ398" s="133">
        <v>43236</v>
      </c>
      <c r="BA39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8" s="135">
        <f>COUNTIFS(_05preva_view43[Site ID],_05preva_view43[[#This Row],[Site ID]],_05preva_view43[Prevalidation Status],"Under Prevalidation")</f>
        <v>0</v>
      </c>
      <c r="BC398" s="153" t="str">
        <f ca="1">HYPERLINK(CheckPath(_05preva_view43[[#This Row],[File Path]],_05preva_view43[[#This Row],[File Path]],_05preva_view43[[#This Row],[Folder Path3]]),CheckPath(_05preva_view43[[#This Row],[File Path]],"Open File","No File"))</f>
        <v>No File</v>
      </c>
      <c r="BD398" s="136" t="str">
        <f>CONCATENATE(_05preva_view43[[#This Row],[Site ID]]," (",_05preva_view43[[#This Row],[tenant id]],") Application",IF(_05preva_view43[[#This Row],[Colo Rev]]&gt;0," Rev "&amp;_05preva_view43[[#This Row],[Colo Rev]],""),".xlsx")</f>
        <v>ASMO_0165 (MOW6176) Application.xlsx</v>
      </c>
      <c r="BE398" s="64">
        <f t="shared" ca="1" si="7"/>
        <v>50</v>
      </c>
      <c r="BF398" s="104" t="str">
        <f ca="1">LEFT(CELL("filename",A383),_05preva_view43[[#This Row],[Find Process &amp; Database]]-1)</f>
        <v>D:\OneDrive - apollo-towers.com\Apollo Towers\00-</v>
      </c>
      <c r="BG398" s="104" t="str">
        <f ca="1">_05preva_view43[Folder Path1]&amp;"Process &amp; Database\Documentation\Colo Applications"</f>
        <v>D:\OneDrive - apollo-towers.com\Apollo Towers\00-Process &amp; Database\Documentation\Colo Applications</v>
      </c>
      <c r="BH398" s="104" t="str">
        <f ca="1">_05preva_view43[Folder Path2]&amp;"\Colo App "&amp;_05preva_view43[[#This Row],[Operator]]&amp;"\"</f>
        <v>D:\OneDrive - apollo-towers.com\Apollo Towers\00-Process &amp; Database\Documentation\Colo Applications\Colo App OML\</v>
      </c>
      <c r="BI398" s="63" t="str">
        <f ca="1">_05preva_view43[[#This Row],[Folder Path3]]&amp;_05preva_view43[[#This Row],[File Name]]</f>
        <v>D:\OneDrive - apollo-towers.com\Apollo Towers\00-Process &amp; Database\Documentation\Colo Applications\Colo App OML\ASMO_0165 (MOW6176) Application.xlsx</v>
      </c>
      <c r="BJ398" s="104"/>
      <c r="BK398" s="3"/>
      <c r="BL398" s="3"/>
      <c r="CJ398" s="5"/>
      <c r="CK398" s="5"/>
      <c r="CL398" s="3"/>
      <c r="CN398" s="5"/>
      <c r="CR398" s="3"/>
      <c r="CS398" s="3"/>
      <c r="CT398" s="5"/>
      <c r="CV398" s="3"/>
      <c r="DR398" s="5"/>
      <c r="DT398" s="3"/>
      <c r="EF398" s="7"/>
      <c r="EG398" s="7"/>
      <c r="EJ398" s="4"/>
      <c r="EK398" s="4"/>
      <c r="EU398" s="2"/>
      <c r="EV398" s="2"/>
    </row>
    <row r="399" spans="1:152">
      <c r="A399" s="125">
        <v>134</v>
      </c>
      <c r="B399" s="126" t="s">
        <v>529</v>
      </c>
      <c r="C399" s="126" t="s">
        <v>116</v>
      </c>
      <c r="D399" s="126" t="s">
        <v>163</v>
      </c>
      <c r="E399" s="126" t="s">
        <v>530</v>
      </c>
      <c r="F399" s="126" t="s">
        <v>40</v>
      </c>
      <c r="G399" s="126" t="s">
        <v>118</v>
      </c>
      <c r="H399" s="126"/>
      <c r="I399" s="126" t="s">
        <v>118</v>
      </c>
      <c r="J399" s="126"/>
      <c r="K399" s="127">
        <v>43236</v>
      </c>
      <c r="L399" s="128"/>
      <c r="M399" s="128">
        <v>3</v>
      </c>
      <c r="N399" s="126"/>
      <c r="O399" s="126" t="s">
        <v>119</v>
      </c>
      <c r="P399" s="129"/>
      <c r="Q399" s="129"/>
      <c r="R399" s="126" t="s">
        <v>24</v>
      </c>
      <c r="S399" s="126"/>
      <c r="T399" s="130" t="s">
        <v>120</v>
      </c>
      <c r="U399" s="126" t="s">
        <v>531</v>
      </c>
      <c r="V399" s="130" t="s">
        <v>125</v>
      </c>
      <c r="W399" s="126"/>
      <c r="X399" s="130" t="s">
        <v>120</v>
      </c>
      <c r="Y399" s="126" t="s">
        <v>404</v>
      </c>
      <c r="Z399" s="162" t="s">
        <v>125</v>
      </c>
      <c r="AA399" s="154"/>
      <c r="AB399" s="154"/>
      <c r="AC399" s="167" t="s">
        <v>123</v>
      </c>
      <c r="AD399" s="126" t="s">
        <v>439</v>
      </c>
      <c r="AE399" s="130" t="s">
        <v>125</v>
      </c>
      <c r="AF399" s="127"/>
      <c r="AG399" s="131"/>
      <c r="AH399" s="131"/>
      <c r="AI399" s="126" t="s">
        <v>533</v>
      </c>
      <c r="AJ399" s="130" t="s">
        <v>120</v>
      </c>
      <c r="AK399" s="126" t="s">
        <v>123</v>
      </c>
      <c r="AL399" s="126" t="s">
        <v>532</v>
      </c>
      <c r="AM399" s="130"/>
      <c r="AN399" s="126"/>
      <c r="AO399" s="132"/>
      <c r="AP399" s="126"/>
      <c r="AQ399" s="126"/>
      <c r="AR399" s="130"/>
      <c r="AS399" s="126"/>
      <c r="AT399" s="127"/>
      <c r="AU399" s="127"/>
      <c r="AV399" s="127"/>
      <c r="AW399" s="127"/>
      <c r="AX399" s="127"/>
      <c r="AY399" s="127"/>
      <c r="AZ399" s="133"/>
      <c r="BA39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9" s="135">
        <f>COUNTIFS(_05preva_view43[Site ID],_05preva_view43[[#This Row],[Site ID]],_05preva_view43[Prevalidation Status],"Under Prevalidation")</f>
        <v>0</v>
      </c>
      <c r="BC399" s="153" t="str">
        <f ca="1">HYPERLINK(CheckPath(_05preva_view43[[#This Row],[File Path]],_05preva_view43[[#This Row],[File Path]],_05preva_view43[[#This Row],[Folder Path3]]),CheckPath(_05preva_view43[[#This Row],[File Path]],"Open File","No File"))</f>
        <v>No File</v>
      </c>
      <c r="BD399" s="136" t="str">
        <f>CONCATENATE(_05preva_view43[[#This Row],[Site ID]]," (",_05preva_view43[[#This Row],[tenant id]],") Application",IF(_05preva_view43[[#This Row],[Colo Rev]]&gt;0," Rev "&amp;_05preva_view43[[#This Row],[Colo Rev]],""),".xlsx")</f>
        <v>ASMO_0171 (MOW6290) Application.xlsx</v>
      </c>
      <c r="BE399" s="64">
        <f t="shared" ca="1" si="7"/>
        <v>50</v>
      </c>
      <c r="BF399" s="104" t="str">
        <f ca="1">LEFT(CELL("filename",A384),_05preva_view43[[#This Row],[Find Process &amp; Database]]-1)</f>
        <v>D:\OneDrive - apollo-towers.com\Apollo Towers\00-</v>
      </c>
      <c r="BG399" s="104" t="str">
        <f ca="1">_05preva_view43[Folder Path1]&amp;"Process &amp; Database\Documentation\Colo Applications"</f>
        <v>D:\OneDrive - apollo-towers.com\Apollo Towers\00-Process &amp; Database\Documentation\Colo Applications</v>
      </c>
      <c r="BH399" s="104" t="str">
        <f ca="1">_05preva_view43[Folder Path2]&amp;"\Colo App "&amp;_05preva_view43[[#This Row],[Operator]]&amp;"\"</f>
        <v>D:\OneDrive - apollo-towers.com\Apollo Towers\00-Process &amp; Database\Documentation\Colo Applications\Colo App OML\</v>
      </c>
      <c r="BI399" s="63" t="str">
        <f ca="1">_05preva_view43[[#This Row],[Folder Path3]]&amp;_05preva_view43[[#This Row],[File Name]]</f>
        <v>D:\OneDrive - apollo-towers.com\Apollo Towers\00-Process &amp; Database\Documentation\Colo Applications\Colo App OML\ASMO_0171 (MOW6290) Application.xlsx</v>
      </c>
      <c r="BJ399" s="104"/>
      <c r="BK399" s="3"/>
      <c r="BL399" s="3"/>
      <c r="CJ399" s="5"/>
      <c r="CK399" s="5"/>
      <c r="CL399" s="3"/>
      <c r="CN399" s="5"/>
      <c r="CR399" s="3"/>
      <c r="CS399" s="3"/>
      <c r="CT399" s="5"/>
      <c r="CV399" s="3"/>
      <c r="DR399" s="5"/>
      <c r="DT399" s="3"/>
      <c r="EF399" s="7"/>
      <c r="EG399" s="7"/>
      <c r="EJ399" s="4"/>
      <c r="EK399" s="4"/>
      <c r="EU399" s="2"/>
      <c r="EV399" s="2"/>
    </row>
    <row r="400" spans="1:152">
      <c r="A400" s="125">
        <v>135</v>
      </c>
      <c r="B400" s="126" t="s">
        <v>534</v>
      </c>
      <c r="C400" s="126" t="s">
        <v>116</v>
      </c>
      <c r="D400" s="126" t="s">
        <v>117</v>
      </c>
      <c r="E400" s="126" t="s">
        <v>535</v>
      </c>
      <c r="F400" s="126" t="s">
        <v>40</v>
      </c>
      <c r="G400" s="126" t="s">
        <v>118</v>
      </c>
      <c r="H400" s="126"/>
      <c r="I400" s="126" t="s">
        <v>118</v>
      </c>
      <c r="J400" s="126"/>
      <c r="K400" s="127">
        <v>43236</v>
      </c>
      <c r="L400" s="128"/>
      <c r="M400" s="128">
        <v>3</v>
      </c>
      <c r="N400" s="126"/>
      <c r="O400" s="126" t="s">
        <v>119</v>
      </c>
      <c r="P400" s="129"/>
      <c r="Q400" s="129"/>
      <c r="R400" s="126" t="s">
        <v>26</v>
      </c>
      <c r="S400" s="126" t="s">
        <v>536</v>
      </c>
      <c r="T400" s="130" t="s">
        <v>120</v>
      </c>
      <c r="U400" s="126" t="s">
        <v>378</v>
      </c>
      <c r="V400" s="130" t="s">
        <v>125</v>
      </c>
      <c r="W400" s="126"/>
      <c r="X400" s="130" t="s">
        <v>120</v>
      </c>
      <c r="Y400" s="126" t="s">
        <v>537</v>
      </c>
      <c r="Z400" s="162" t="s">
        <v>120</v>
      </c>
      <c r="AA400" s="154"/>
      <c r="AB400" s="154"/>
      <c r="AC400" s="167"/>
      <c r="AD400" s="126" t="s">
        <v>120</v>
      </c>
      <c r="AE400" s="130" t="s">
        <v>125</v>
      </c>
      <c r="AF400" s="127"/>
      <c r="AG400" s="131"/>
      <c r="AH400" s="131"/>
      <c r="AI400" s="126" t="s">
        <v>242</v>
      </c>
      <c r="AJ400" s="130" t="s">
        <v>120</v>
      </c>
      <c r="AK400" s="126" t="s">
        <v>123</v>
      </c>
      <c r="AL400" s="126" t="s">
        <v>470</v>
      </c>
      <c r="AM400" s="130"/>
      <c r="AN400" s="126"/>
      <c r="AO400" s="132"/>
      <c r="AP400" s="126"/>
      <c r="AQ400" s="126"/>
      <c r="AR400" s="130"/>
      <c r="AS400" s="126"/>
      <c r="AT400" s="127"/>
      <c r="AU400" s="127"/>
      <c r="AV400" s="127"/>
      <c r="AW400" s="127"/>
      <c r="AX400" s="127"/>
      <c r="AY400" s="127"/>
      <c r="AZ400" s="133">
        <v>43236</v>
      </c>
      <c r="BA40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0" s="135">
        <f>COUNTIFS(_05preva_view43[Site ID],_05preva_view43[[#This Row],[Site ID]],_05preva_view43[Prevalidation Status],"Under Prevalidation")</f>
        <v>0</v>
      </c>
      <c r="BC400" s="153" t="str">
        <f ca="1">HYPERLINK(CheckPath(_05preva_view43[[#This Row],[File Path]],_05preva_view43[[#This Row],[File Path]],_05preva_view43[[#This Row],[Folder Path3]]),CheckPath(_05preva_view43[[#This Row],[File Path]],"Open File","No File"))</f>
        <v>No File</v>
      </c>
      <c r="BD400" s="136" t="str">
        <f>CONCATENATE(_05preva_view43[[#This Row],[Site ID]]," (",_05preva_view43[[#This Row],[tenant id]],") Application",IF(_05preva_view43[[#This Row],[Colo Rev]]&gt;0," Rev "&amp;_05preva_view43[[#This Row],[Colo Rev]],""),".xlsx")</f>
        <v>ACBA_0230 (BAW5584) Application.xlsx</v>
      </c>
      <c r="BE400" s="64">
        <f t="shared" ref="BE400:BE463" ca="1" si="8">FIND("Process &amp; Database\",CELL("filename",$A$1))</f>
        <v>50</v>
      </c>
      <c r="BF400" s="104" t="str">
        <f ca="1">LEFT(CELL("filename",A385),_05preva_view43[[#This Row],[Find Process &amp; Database]]-1)</f>
        <v>D:\OneDrive - apollo-towers.com\Apollo Towers\00-</v>
      </c>
      <c r="BG400" s="104" t="str">
        <f ca="1">_05preva_view43[Folder Path1]&amp;"Process &amp; Database\Documentation\Colo Applications"</f>
        <v>D:\OneDrive - apollo-towers.com\Apollo Towers\00-Process &amp; Database\Documentation\Colo Applications</v>
      </c>
      <c r="BH400" s="104" t="str">
        <f ca="1">_05preva_view43[Folder Path2]&amp;"\Colo App "&amp;_05preva_view43[[#This Row],[Operator]]&amp;"\"</f>
        <v>D:\OneDrive - apollo-towers.com\Apollo Towers\00-Process &amp; Database\Documentation\Colo Applications\Colo App OML\</v>
      </c>
      <c r="BI400" s="63" t="str">
        <f ca="1">_05preva_view43[[#This Row],[Folder Path3]]&amp;_05preva_view43[[#This Row],[File Name]]</f>
        <v>D:\OneDrive - apollo-towers.com\Apollo Towers\00-Process &amp; Database\Documentation\Colo Applications\Colo App OML\ACBA_0230 (BAW5584) Application.xlsx</v>
      </c>
      <c r="BJ400" s="104"/>
      <c r="BK400" s="3"/>
      <c r="BL400" s="3"/>
      <c r="CJ400" s="5"/>
      <c r="CK400" s="5"/>
      <c r="CL400" s="3"/>
      <c r="CN400" s="5"/>
      <c r="CR400" s="3"/>
      <c r="CS400" s="3"/>
      <c r="CT400" s="5"/>
      <c r="CV400" s="3"/>
      <c r="DR400" s="5"/>
      <c r="DT400" s="3"/>
      <c r="EF400" s="7"/>
      <c r="EG400" s="7"/>
      <c r="EJ400" s="4"/>
      <c r="EK400" s="4"/>
      <c r="EU400" s="2"/>
      <c r="EV400" s="2"/>
    </row>
    <row r="401" spans="1:152">
      <c r="A401" s="125">
        <v>136</v>
      </c>
      <c r="B401" s="126" t="s">
        <v>538</v>
      </c>
      <c r="C401" s="126" t="s">
        <v>116</v>
      </c>
      <c r="D401" s="126" t="s">
        <v>163</v>
      </c>
      <c r="E401" s="126" t="s">
        <v>539</v>
      </c>
      <c r="F401" s="126" t="s">
        <v>40</v>
      </c>
      <c r="G401" s="126" t="s">
        <v>118</v>
      </c>
      <c r="H401" s="126"/>
      <c r="I401" s="126" t="s">
        <v>118</v>
      </c>
      <c r="J401" s="126"/>
      <c r="K401" s="127">
        <v>43236</v>
      </c>
      <c r="L401" s="128"/>
      <c r="M401" s="128">
        <v>3</v>
      </c>
      <c r="N401" s="126"/>
      <c r="O401" s="126" t="s">
        <v>119</v>
      </c>
      <c r="P401" s="129"/>
      <c r="Q401" s="129"/>
      <c r="R401" s="126" t="s">
        <v>27</v>
      </c>
      <c r="S401" s="126"/>
      <c r="T401" s="130" t="s">
        <v>120</v>
      </c>
      <c r="U401" s="126" t="s">
        <v>378</v>
      </c>
      <c r="V401" s="130" t="s">
        <v>120</v>
      </c>
      <c r="W401" s="126"/>
      <c r="X401" s="130" t="s">
        <v>120</v>
      </c>
      <c r="Y401" s="126" t="s">
        <v>120</v>
      </c>
      <c r="Z401" s="162" t="s">
        <v>120</v>
      </c>
      <c r="AA401" s="154"/>
      <c r="AB401" s="154"/>
      <c r="AC401" s="167"/>
      <c r="AD401" s="126" t="s">
        <v>419</v>
      </c>
      <c r="AE401" s="130" t="s">
        <v>125</v>
      </c>
      <c r="AF401" s="127"/>
      <c r="AG401" s="131"/>
      <c r="AH401" s="131"/>
      <c r="AI401" s="126" t="s">
        <v>522</v>
      </c>
      <c r="AJ401" s="130" t="s">
        <v>120</v>
      </c>
      <c r="AK401" s="126" t="s">
        <v>123</v>
      </c>
      <c r="AL401" s="126"/>
      <c r="AM401" s="130"/>
      <c r="AN401" s="126"/>
      <c r="AO401" s="132"/>
      <c r="AP401" s="126"/>
      <c r="AQ401" s="126"/>
      <c r="AR401" s="130"/>
      <c r="AS401" s="126"/>
      <c r="AT401" s="127"/>
      <c r="AU401" s="127"/>
      <c r="AV401" s="127"/>
      <c r="AW401" s="127"/>
      <c r="AX401" s="127"/>
      <c r="AY401" s="127"/>
      <c r="AZ401" s="133"/>
      <c r="BA40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1" s="135">
        <f>COUNTIFS(_05preva_view43[Site ID],_05preva_view43[[#This Row],[Site ID]],_05preva_view43[Prevalidation Status],"Under Prevalidation")</f>
        <v>0</v>
      </c>
      <c r="BC401" s="153" t="str">
        <f ca="1">HYPERLINK(CheckPath(_05preva_view43[[#This Row],[File Path]],_05preva_view43[[#This Row],[File Path]],_05preva_view43[[#This Row],[Folder Path3]]),CheckPath(_05preva_view43[[#This Row],[File Path]],"Open File","No File"))</f>
        <v>No File</v>
      </c>
      <c r="BD401" s="136" t="str">
        <f>CONCATENATE(_05preva_view43[[#This Row],[Site ID]]," (",_05preva_view43[[#This Row],[tenant id]],") Application",IF(_05preva_view43[[#This Row],[Colo Rev]]&gt;0," Rev "&amp;_05preva_view43[[#This Row],[Colo Rev]],""),".xlsx")</f>
        <v>ASMO_0172 (MOW6220) Application.xlsx</v>
      </c>
      <c r="BE401" s="64">
        <f t="shared" ca="1" si="8"/>
        <v>50</v>
      </c>
      <c r="BF401" s="104" t="str">
        <f ca="1">LEFT(CELL("filename",A386),_05preva_view43[[#This Row],[Find Process &amp; Database]]-1)</f>
        <v>D:\OneDrive - apollo-towers.com\Apollo Towers\00-</v>
      </c>
      <c r="BG401" s="104" t="str">
        <f ca="1">_05preva_view43[Folder Path1]&amp;"Process &amp; Database\Documentation\Colo Applications"</f>
        <v>D:\OneDrive - apollo-towers.com\Apollo Towers\00-Process &amp; Database\Documentation\Colo Applications</v>
      </c>
      <c r="BH401" s="104" t="str">
        <f ca="1">_05preva_view43[Folder Path2]&amp;"\Colo App "&amp;_05preva_view43[[#This Row],[Operator]]&amp;"\"</f>
        <v>D:\OneDrive - apollo-towers.com\Apollo Towers\00-Process &amp; Database\Documentation\Colo Applications\Colo App OML\</v>
      </c>
      <c r="BI401" s="63" t="str">
        <f ca="1">_05preva_view43[[#This Row],[Folder Path3]]&amp;_05preva_view43[[#This Row],[File Name]]</f>
        <v>D:\OneDrive - apollo-towers.com\Apollo Towers\00-Process &amp; Database\Documentation\Colo Applications\Colo App OML\ASMO_0172 (MOW6220) Application.xlsx</v>
      </c>
      <c r="BJ401" s="104"/>
      <c r="BK401" s="3"/>
      <c r="BL401" s="3"/>
      <c r="CJ401" s="5"/>
      <c r="CK401" s="5"/>
      <c r="CL401" s="3"/>
      <c r="CN401" s="5"/>
      <c r="CR401" s="3"/>
      <c r="CS401" s="3"/>
      <c r="CT401" s="5"/>
      <c r="CV401" s="3"/>
      <c r="DR401" s="5"/>
      <c r="DT401" s="3"/>
      <c r="EF401" s="7"/>
      <c r="EG401" s="7"/>
      <c r="EJ401" s="4"/>
      <c r="EK401" s="4"/>
      <c r="EU401" s="2"/>
      <c r="EV401" s="2"/>
    </row>
    <row r="402" spans="1:152">
      <c r="A402" s="125">
        <v>137</v>
      </c>
      <c r="B402" s="126" t="s">
        <v>540</v>
      </c>
      <c r="C402" s="126" t="s">
        <v>116</v>
      </c>
      <c r="D402" s="126" t="s">
        <v>163</v>
      </c>
      <c r="E402" s="126" t="s">
        <v>541</v>
      </c>
      <c r="F402" s="126" t="s">
        <v>40</v>
      </c>
      <c r="G402" s="126" t="s">
        <v>118</v>
      </c>
      <c r="H402" s="126"/>
      <c r="I402" s="126" t="s">
        <v>118</v>
      </c>
      <c r="J402" s="126"/>
      <c r="K402" s="127">
        <v>43236</v>
      </c>
      <c r="L402" s="128"/>
      <c r="M402" s="128">
        <v>3</v>
      </c>
      <c r="N402" s="126"/>
      <c r="O402" s="126" t="s">
        <v>119</v>
      </c>
      <c r="P402" s="129"/>
      <c r="Q402" s="129"/>
      <c r="R402" s="126" t="s">
        <v>24</v>
      </c>
      <c r="S402" s="126"/>
      <c r="T402" s="130" t="s">
        <v>120</v>
      </c>
      <c r="U402" s="126" t="s">
        <v>378</v>
      </c>
      <c r="V402" s="130" t="s">
        <v>120</v>
      </c>
      <c r="W402" s="126"/>
      <c r="X402" s="130" t="s">
        <v>120</v>
      </c>
      <c r="Y402" s="126" t="s">
        <v>120</v>
      </c>
      <c r="Z402" s="162" t="s">
        <v>120</v>
      </c>
      <c r="AA402" s="154"/>
      <c r="AB402" s="154"/>
      <c r="AC402" s="167" t="s">
        <v>454</v>
      </c>
      <c r="AD402" s="126"/>
      <c r="AE402" s="130" t="s">
        <v>265</v>
      </c>
      <c r="AF402" s="127"/>
      <c r="AG402" s="131"/>
      <c r="AH402" s="131"/>
      <c r="AI402" s="126" t="s">
        <v>326</v>
      </c>
      <c r="AJ402" s="130" t="s">
        <v>120</v>
      </c>
      <c r="AK402" s="126" t="s">
        <v>123</v>
      </c>
      <c r="AL402" s="126"/>
      <c r="AM402" s="130"/>
      <c r="AN402" s="126"/>
      <c r="AO402" s="132"/>
      <c r="AP402" s="126"/>
      <c r="AQ402" s="126"/>
      <c r="AR402" s="130"/>
      <c r="AS402" s="126"/>
      <c r="AT402" s="127"/>
      <c r="AU402" s="127">
        <v>43453.379015509301</v>
      </c>
      <c r="AV402" s="127"/>
      <c r="AW402" s="127"/>
      <c r="AX402" s="127"/>
      <c r="AY402" s="127"/>
      <c r="AZ402" s="133">
        <v>43236</v>
      </c>
      <c r="BA40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2" s="135">
        <f>COUNTIFS(_05preva_view43[Site ID],_05preva_view43[[#This Row],[Site ID]],_05preva_view43[Prevalidation Status],"Under Prevalidation")</f>
        <v>0</v>
      </c>
      <c r="BC402" s="153" t="str">
        <f ca="1">HYPERLINK(CheckPath(_05preva_view43[[#This Row],[File Path]],_05preva_view43[[#This Row],[File Path]],_05preva_view43[[#This Row],[Folder Path3]]),CheckPath(_05preva_view43[[#This Row],[File Path]],"Open File","No File"))</f>
        <v>No File</v>
      </c>
      <c r="BD402" s="136" t="str">
        <f>CONCATENATE(_05preva_view43[[#This Row],[Site ID]]," (",_05preva_view43[[#This Row],[tenant id]],") Application",IF(_05preva_view43[[#This Row],[Colo Rev]]&gt;0," Rev "&amp;_05preva_view43[[#This Row],[Colo Rev]],""),".xlsx")</f>
        <v>ACBA_0196 (BAW5585) Application.xlsx</v>
      </c>
      <c r="BE402" s="64">
        <f t="shared" ca="1" si="8"/>
        <v>50</v>
      </c>
      <c r="BF402" s="104" t="str">
        <f ca="1">LEFT(CELL("filename",A387),_05preva_view43[[#This Row],[Find Process &amp; Database]]-1)</f>
        <v>D:\OneDrive - apollo-towers.com\Apollo Towers\00-</v>
      </c>
      <c r="BG402" s="104" t="str">
        <f ca="1">_05preva_view43[Folder Path1]&amp;"Process &amp; Database\Documentation\Colo Applications"</f>
        <v>D:\OneDrive - apollo-towers.com\Apollo Towers\00-Process &amp; Database\Documentation\Colo Applications</v>
      </c>
      <c r="BH402" s="104" t="str">
        <f ca="1">_05preva_view43[Folder Path2]&amp;"\Colo App "&amp;_05preva_view43[[#This Row],[Operator]]&amp;"\"</f>
        <v>D:\OneDrive - apollo-towers.com\Apollo Towers\00-Process &amp; Database\Documentation\Colo Applications\Colo App OML\</v>
      </c>
      <c r="BI402" s="63" t="str">
        <f ca="1">_05preva_view43[[#This Row],[Folder Path3]]&amp;_05preva_view43[[#This Row],[File Name]]</f>
        <v>D:\OneDrive - apollo-towers.com\Apollo Towers\00-Process &amp; Database\Documentation\Colo Applications\Colo App OML\ACBA_0196 (BAW5585) Application.xlsx</v>
      </c>
      <c r="BJ402" s="104"/>
      <c r="BK402" s="3"/>
      <c r="BL402" s="3"/>
      <c r="CJ402" s="5"/>
      <c r="CK402" s="5"/>
      <c r="CL402" s="3"/>
      <c r="CN402" s="5"/>
      <c r="CR402" s="3"/>
      <c r="CS402" s="3"/>
      <c r="CT402" s="5"/>
      <c r="CV402" s="3"/>
      <c r="DR402" s="5"/>
      <c r="DT402" s="3"/>
      <c r="EF402" s="7"/>
      <c r="EG402" s="7"/>
      <c r="EJ402" s="4"/>
      <c r="EK402" s="4"/>
      <c r="EU402" s="2"/>
      <c r="EV402" s="2"/>
    </row>
    <row r="403" spans="1:152">
      <c r="A403" s="125">
        <v>138</v>
      </c>
      <c r="B403" s="126" t="s">
        <v>542</v>
      </c>
      <c r="C403" s="126" t="s">
        <v>116</v>
      </c>
      <c r="D403" s="126" t="s">
        <v>163</v>
      </c>
      <c r="E403" s="126" t="s">
        <v>543</v>
      </c>
      <c r="F403" s="126" t="s">
        <v>40</v>
      </c>
      <c r="G403" s="126" t="s">
        <v>118</v>
      </c>
      <c r="H403" s="126"/>
      <c r="I403" s="126" t="s">
        <v>118</v>
      </c>
      <c r="J403" s="126"/>
      <c r="K403" s="127">
        <v>43236</v>
      </c>
      <c r="L403" s="128"/>
      <c r="M403" s="128">
        <v>3</v>
      </c>
      <c r="N403" s="126"/>
      <c r="O403" s="126" t="s">
        <v>119</v>
      </c>
      <c r="P403" s="129"/>
      <c r="Q403" s="129"/>
      <c r="R403" s="126" t="s">
        <v>24</v>
      </c>
      <c r="S403" s="126"/>
      <c r="T403" s="130" t="s">
        <v>120</v>
      </c>
      <c r="U403" s="126" t="s">
        <v>403</v>
      </c>
      <c r="V403" s="130" t="s">
        <v>120</v>
      </c>
      <c r="W403" s="126"/>
      <c r="X403" s="130" t="s">
        <v>120</v>
      </c>
      <c r="Y403" s="126" t="s">
        <v>404</v>
      </c>
      <c r="Z403" s="162" t="s">
        <v>120</v>
      </c>
      <c r="AA403" s="154"/>
      <c r="AB403" s="154"/>
      <c r="AC403" s="167" t="s">
        <v>123</v>
      </c>
      <c r="AD403" s="126" t="s">
        <v>409</v>
      </c>
      <c r="AE403" s="130" t="s">
        <v>120</v>
      </c>
      <c r="AF403" s="127" t="s">
        <v>479</v>
      </c>
      <c r="AG403" s="131"/>
      <c r="AH403" s="131">
        <v>2</v>
      </c>
      <c r="AI403" s="126" t="s">
        <v>512</v>
      </c>
      <c r="AJ403" s="130" t="s">
        <v>120</v>
      </c>
      <c r="AK403" s="126" t="s">
        <v>240</v>
      </c>
      <c r="AL403" s="126"/>
      <c r="AM403" s="130"/>
      <c r="AN403" s="126"/>
      <c r="AO403" s="132"/>
      <c r="AP403" s="126"/>
      <c r="AQ403" s="126"/>
      <c r="AR403" s="130"/>
      <c r="AS403" s="126"/>
      <c r="AT403" s="127"/>
      <c r="AU403" s="127">
        <v>43453.379016319399</v>
      </c>
      <c r="AV403" s="127"/>
      <c r="AW403" s="127"/>
      <c r="AX403" s="127"/>
      <c r="AY403" s="127"/>
      <c r="AZ403" s="133">
        <v>43236</v>
      </c>
      <c r="BA40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3" s="135">
        <f>COUNTIFS(_05preva_view43[Site ID],_05preva_view43[[#This Row],[Site ID]],_05preva_view43[Prevalidation Status],"Under Prevalidation")</f>
        <v>0</v>
      </c>
      <c r="BC403" s="153" t="str">
        <f ca="1">HYPERLINK(CheckPath(_05preva_view43[[#This Row],[File Path]],_05preva_view43[[#This Row],[File Path]],_05preva_view43[[#This Row],[Folder Path3]]),CheckPath(_05preva_view43[[#This Row],[File Path]],"Open File","No File"))</f>
        <v>No File</v>
      </c>
      <c r="BD403" s="136" t="str">
        <f>CONCATENATE(_05preva_view43[[#This Row],[Site ID]]," (",_05preva_view43[[#This Row],[tenant id]],") Application",IF(_05preva_view43[[#This Row],[Colo Rev]]&gt;0," Rev "&amp;_05preva_view43[[#This Row],[Colo Rev]],""),".xlsx")</f>
        <v>ACBA_0038 (BAW5548) Application.xlsx</v>
      </c>
      <c r="BE403" s="64">
        <f t="shared" ca="1" si="8"/>
        <v>50</v>
      </c>
      <c r="BF403" s="104" t="str">
        <f ca="1">LEFT(CELL("filename",A388),_05preva_view43[[#This Row],[Find Process &amp; Database]]-1)</f>
        <v>D:\OneDrive - apollo-towers.com\Apollo Towers\00-</v>
      </c>
      <c r="BG403" s="104" t="str">
        <f ca="1">_05preva_view43[Folder Path1]&amp;"Process &amp; Database\Documentation\Colo Applications"</f>
        <v>D:\OneDrive - apollo-towers.com\Apollo Towers\00-Process &amp; Database\Documentation\Colo Applications</v>
      </c>
      <c r="BH403" s="104" t="str">
        <f ca="1">_05preva_view43[Folder Path2]&amp;"\Colo App "&amp;_05preva_view43[[#This Row],[Operator]]&amp;"\"</f>
        <v>D:\OneDrive - apollo-towers.com\Apollo Towers\00-Process &amp; Database\Documentation\Colo Applications\Colo App OML\</v>
      </c>
      <c r="BI403" s="63" t="str">
        <f ca="1">_05preva_view43[[#This Row],[Folder Path3]]&amp;_05preva_view43[[#This Row],[File Name]]</f>
        <v>D:\OneDrive - apollo-towers.com\Apollo Towers\00-Process &amp; Database\Documentation\Colo Applications\Colo App OML\ACBA_0038 (BAW5548) Application.xlsx</v>
      </c>
      <c r="BJ403" s="104"/>
      <c r="BK403" s="3"/>
      <c r="BL403" s="3"/>
      <c r="CJ403" s="5"/>
      <c r="CK403" s="5"/>
      <c r="CL403" s="3"/>
      <c r="CN403" s="5"/>
      <c r="CR403" s="3"/>
      <c r="CS403" s="3"/>
      <c r="CT403" s="5"/>
      <c r="CV403" s="3"/>
      <c r="DR403" s="5"/>
      <c r="DT403" s="3"/>
      <c r="EF403" s="7"/>
      <c r="EG403" s="7"/>
      <c r="EJ403" s="4"/>
      <c r="EK403" s="4"/>
      <c r="EU403" s="2"/>
      <c r="EV403" s="2"/>
    </row>
    <row r="404" spans="1:152">
      <c r="A404" s="125">
        <v>139</v>
      </c>
      <c r="B404" s="126" t="s">
        <v>544</v>
      </c>
      <c r="C404" s="126" t="s">
        <v>116</v>
      </c>
      <c r="D404" s="126" t="s">
        <v>163</v>
      </c>
      <c r="E404" s="126" t="s">
        <v>545</v>
      </c>
      <c r="F404" s="126" t="s">
        <v>40</v>
      </c>
      <c r="G404" s="126" t="s">
        <v>118</v>
      </c>
      <c r="H404" s="126"/>
      <c r="I404" s="126" t="s">
        <v>118</v>
      </c>
      <c r="J404" s="126"/>
      <c r="K404" s="127">
        <v>43236</v>
      </c>
      <c r="L404" s="128"/>
      <c r="M404" s="128">
        <v>3</v>
      </c>
      <c r="N404" s="126"/>
      <c r="O404" s="126" t="s">
        <v>119</v>
      </c>
      <c r="P404" s="129"/>
      <c r="Q404" s="129"/>
      <c r="R404" s="126" t="s">
        <v>24</v>
      </c>
      <c r="S404" s="126"/>
      <c r="T404" s="130" t="s">
        <v>120</v>
      </c>
      <c r="U404" s="126" t="s">
        <v>378</v>
      </c>
      <c r="V404" s="130" t="s">
        <v>120</v>
      </c>
      <c r="W404" s="126"/>
      <c r="X404" s="130" t="s">
        <v>120</v>
      </c>
      <c r="Y404" s="126" t="s">
        <v>546</v>
      </c>
      <c r="Z404" s="162" t="s">
        <v>120</v>
      </c>
      <c r="AA404" s="154"/>
      <c r="AB404" s="154"/>
      <c r="AC404" s="167"/>
      <c r="AD404" s="126" t="s">
        <v>120</v>
      </c>
      <c r="AE404" s="130" t="s">
        <v>120</v>
      </c>
      <c r="AF404" s="127" t="s">
        <v>120</v>
      </c>
      <c r="AG404" s="131"/>
      <c r="AH404" s="131">
        <v>2</v>
      </c>
      <c r="AI404" s="126" t="s">
        <v>547</v>
      </c>
      <c r="AJ404" s="130" t="s">
        <v>120</v>
      </c>
      <c r="AK404" s="126" t="s">
        <v>123</v>
      </c>
      <c r="AL404" s="126"/>
      <c r="AM404" s="130"/>
      <c r="AN404" s="126"/>
      <c r="AO404" s="132"/>
      <c r="AP404" s="126"/>
      <c r="AQ404" s="126"/>
      <c r="AR404" s="130"/>
      <c r="AS404" s="126"/>
      <c r="AT404" s="127"/>
      <c r="AU404" s="127">
        <v>43453.379017245403</v>
      </c>
      <c r="AV404" s="127"/>
      <c r="AW404" s="127"/>
      <c r="AX404" s="127"/>
      <c r="AY404" s="127"/>
      <c r="AZ404" s="133">
        <v>43236</v>
      </c>
      <c r="BA40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4" s="135">
        <f>COUNTIFS(_05preva_view43[Site ID],_05preva_view43[[#This Row],[Site ID]],_05preva_view43[Prevalidation Status],"Under Prevalidation")</f>
        <v>0</v>
      </c>
      <c r="BC404" s="153" t="str">
        <f ca="1">HYPERLINK(CheckPath(_05preva_view43[[#This Row],[File Path]],_05preva_view43[[#This Row],[File Path]],_05preva_view43[[#This Row],[Folder Path3]]),CheckPath(_05preva_view43[[#This Row],[File Path]],"Open File","No File"))</f>
        <v>No File</v>
      </c>
      <c r="BD404" s="136" t="str">
        <f>CONCATENATE(_05preva_view43[[#This Row],[Site ID]]," (",_05preva_view43[[#This Row],[tenant id]],") Application",IF(_05preva_view43[[#This Row],[Colo Rev]]&gt;0," Rev "&amp;_05preva_view43[[#This Row],[Colo Rev]],""),".xlsx")</f>
        <v>ACBA_0030 (BAW5260) Application.xlsx</v>
      </c>
      <c r="BE404" s="64">
        <f t="shared" ca="1" si="8"/>
        <v>50</v>
      </c>
      <c r="BF404" s="104" t="str">
        <f ca="1">LEFT(CELL("filename",A389),_05preva_view43[[#This Row],[Find Process &amp; Database]]-1)</f>
        <v>D:\OneDrive - apollo-towers.com\Apollo Towers\00-</v>
      </c>
      <c r="BG404" s="104" t="str">
        <f ca="1">_05preva_view43[Folder Path1]&amp;"Process &amp; Database\Documentation\Colo Applications"</f>
        <v>D:\OneDrive - apollo-towers.com\Apollo Towers\00-Process &amp; Database\Documentation\Colo Applications</v>
      </c>
      <c r="BH404" s="104" t="str">
        <f ca="1">_05preva_view43[Folder Path2]&amp;"\Colo App "&amp;_05preva_view43[[#This Row],[Operator]]&amp;"\"</f>
        <v>D:\OneDrive - apollo-towers.com\Apollo Towers\00-Process &amp; Database\Documentation\Colo Applications\Colo App OML\</v>
      </c>
      <c r="BI404" s="63" t="str">
        <f ca="1">_05preva_view43[[#This Row],[Folder Path3]]&amp;_05preva_view43[[#This Row],[File Name]]</f>
        <v>D:\OneDrive - apollo-towers.com\Apollo Towers\00-Process &amp; Database\Documentation\Colo Applications\Colo App OML\ACBA_0030 (BAW5260) Application.xlsx</v>
      </c>
      <c r="BJ404" s="104"/>
      <c r="BK404" s="3"/>
      <c r="BL404" s="3"/>
      <c r="CJ404" s="5"/>
      <c r="CK404" s="5"/>
      <c r="CL404" s="3"/>
      <c r="CN404" s="5"/>
      <c r="CR404" s="3"/>
      <c r="CS404" s="3"/>
      <c r="CT404" s="5"/>
      <c r="CV404" s="3"/>
      <c r="DR404" s="5"/>
      <c r="DT404" s="3"/>
      <c r="EF404" s="7"/>
      <c r="EG404" s="7"/>
      <c r="EJ404" s="4"/>
      <c r="EK404" s="4"/>
      <c r="EU404" s="2"/>
      <c r="EV404" s="2"/>
    </row>
    <row r="405" spans="1:152">
      <c r="A405" s="125">
        <v>140</v>
      </c>
      <c r="B405" s="126" t="s">
        <v>548</v>
      </c>
      <c r="C405" s="126" t="s">
        <v>116</v>
      </c>
      <c r="D405" s="126" t="s">
        <v>163</v>
      </c>
      <c r="E405" s="126" t="s">
        <v>549</v>
      </c>
      <c r="F405" s="126" t="s">
        <v>40</v>
      </c>
      <c r="G405" s="126" t="s">
        <v>118</v>
      </c>
      <c r="H405" s="126"/>
      <c r="I405" s="126" t="s">
        <v>118</v>
      </c>
      <c r="J405" s="126"/>
      <c r="K405" s="127">
        <v>43236</v>
      </c>
      <c r="L405" s="128"/>
      <c r="M405" s="128">
        <v>3</v>
      </c>
      <c r="N405" s="126"/>
      <c r="O405" s="126" t="s">
        <v>119</v>
      </c>
      <c r="P405" s="129"/>
      <c r="Q405" s="129"/>
      <c r="R405" s="126" t="s">
        <v>27</v>
      </c>
      <c r="S405" s="126"/>
      <c r="T405" s="130" t="s">
        <v>120</v>
      </c>
      <c r="U405" s="126" t="s">
        <v>403</v>
      </c>
      <c r="V405" s="130" t="s">
        <v>120</v>
      </c>
      <c r="W405" s="126"/>
      <c r="X405" s="130" t="s">
        <v>120</v>
      </c>
      <c r="Y405" s="126" t="s">
        <v>404</v>
      </c>
      <c r="Z405" s="162" t="s">
        <v>125</v>
      </c>
      <c r="AA405" s="154"/>
      <c r="AB405" s="154"/>
      <c r="AC405" s="167" t="s">
        <v>123</v>
      </c>
      <c r="AD405" s="126" t="s">
        <v>439</v>
      </c>
      <c r="AE405" s="130" t="s">
        <v>120</v>
      </c>
      <c r="AF405" s="127" t="s">
        <v>461</v>
      </c>
      <c r="AG405" s="131"/>
      <c r="AH405" s="131">
        <v>2</v>
      </c>
      <c r="AI405" s="126" t="s">
        <v>512</v>
      </c>
      <c r="AJ405" s="130" t="s">
        <v>120</v>
      </c>
      <c r="AK405" s="126" t="s">
        <v>240</v>
      </c>
      <c r="AL405" s="126"/>
      <c r="AM405" s="130"/>
      <c r="AN405" s="126"/>
      <c r="AO405" s="132"/>
      <c r="AP405" s="126"/>
      <c r="AQ405" s="126"/>
      <c r="AR405" s="130"/>
      <c r="AS405" s="126"/>
      <c r="AT405" s="127"/>
      <c r="AU405" s="127">
        <v>43453.379019328699</v>
      </c>
      <c r="AV405" s="127"/>
      <c r="AW405" s="127"/>
      <c r="AX405" s="127"/>
      <c r="AY405" s="127"/>
      <c r="AZ405" s="133">
        <v>43453.379019328699</v>
      </c>
      <c r="BA405" s="134">
        <f ca="1">IF(_05preva_view43[[#This Row],[Prevalidation Status]]="Under Prevalidation",NOW()-_05preva_view43[[#This Row],[Request Date]],IF(_05preva_view43[[#This Row],[Close Date]]&gt;_05preva_view43[[#This Row],[Request Date]],_05preva_view43[[#This Row],[Close Date]]-_05preva_view43[[#This Row],[Request Date]],"Not  Calculated"))</f>
        <v>217.37901932869863</v>
      </c>
      <c r="BB405" s="135">
        <f>COUNTIFS(_05preva_view43[Site ID],_05preva_view43[[#This Row],[Site ID]],_05preva_view43[Prevalidation Status],"Under Prevalidation")</f>
        <v>0</v>
      </c>
      <c r="BC405" s="153" t="str">
        <f ca="1">HYPERLINK(CheckPath(_05preva_view43[[#This Row],[File Path]],_05preva_view43[[#This Row],[File Path]],_05preva_view43[[#This Row],[Folder Path3]]),CheckPath(_05preva_view43[[#This Row],[File Path]],"Open File","No File"))</f>
        <v>No File</v>
      </c>
      <c r="BD405" s="136" t="str">
        <f>CONCATENATE(_05preva_view43[[#This Row],[Site ID]]," (",_05preva_view43[[#This Row],[tenant id]],") Application",IF(_05preva_view43[[#This Row],[Colo Rev]]&gt;0," Rev "&amp;_05preva_view43[[#This Row],[Colo Rev]],""),".xlsx")</f>
        <v>ACBA_0042 (BAW5255) Application.xlsx</v>
      </c>
      <c r="BE405" s="64">
        <f t="shared" ca="1" si="8"/>
        <v>50</v>
      </c>
      <c r="BF405" s="104" t="str">
        <f ca="1">LEFT(CELL("filename",A390),_05preva_view43[[#This Row],[Find Process &amp; Database]]-1)</f>
        <v>D:\OneDrive - apollo-towers.com\Apollo Towers\00-</v>
      </c>
      <c r="BG405" s="104" t="str">
        <f ca="1">_05preva_view43[Folder Path1]&amp;"Process &amp; Database\Documentation\Colo Applications"</f>
        <v>D:\OneDrive - apollo-towers.com\Apollo Towers\00-Process &amp; Database\Documentation\Colo Applications</v>
      </c>
      <c r="BH405" s="104" t="str">
        <f ca="1">_05preva_view43[Folder Path2]&amp;"\Colo App "&amp;_05preva_view43[[#This Row],[Operator]]&amp;"\"</f>
        <v>D:\OneDrive - apollo-towers.com\Apollo Towers\00-Process &amp; Database\Documentation\Colo Applications\Colo App OML\</v>
      </c>
      <c r="BI405" s="63" t="str">
        <f ca="1">_05preva_view43[[#This Row],[Folder Path3]]&amp;_05preva_view43[[#This Row],[File Name]]</f>
        <v>D:\OneDrive - apollo-towers.com\Apollo Towers\00-Process &amp; Database\Documentation\Colo Applications\Colo App OML\ACBA_0042 (BAW5255) Application.xlsx</v>
      </c>
      <c r="BJ405" s="104"/>
      <c r="BK405" s="3"/>
      <c r="BL405" s="3"/>
      <c r="CJ405" s="5"/>
      <c r="CK405" s="5"/>
      <c r="CL405" s="3"/>
      <c r="CN405" s="5"/>
      <c r="CR405" s="3"/>
      <c r="CS405" s="3"/>
      <c r="CT405" s="5"/>
      <c r="CV405" s="3"/>
      <c r="DR405" s="5"/>
      <c r="DT405" s="3"/>
      <c r="EF405" s="7"/>
      <c r="EG405" s="7"/>
      <c r="EJ405" s="4"/>
      <c r="EK405" s="4"/>
      <c r="EU405" s="2"/>
      <c r="EV405" s="2"/>
    </row>
    <row r="406" spans="1:152">
      <c r="A406" s="125">
        <v>141</v>
      </c>
      <c r="B406" s="126" t="s">
        <v>550</v>
      </c>
      <c r="C406" s="126" t="s">
        <v>116</v>
      </c>
      <c r="D406" s="126" t="s">
        <v>163</v>
      </c>
      <c r="E406" s="126" t="s">
        <v>551</v>
      </c>
      <c r="F406" s="126" t="s">
        <v>40</v>
      </c>
      <c r="G406" s="126" t="s">
        <v>118</v>
      </c>
      <c r="H406" s="126"/>
      <c r="I406" s="126" t="s">
        <v>118</v>
      </c>
      <c r="J406" s="126"/>
      <c r="K406" s="127">
        <v>43236</v>
      </c>
      <c r="L406" s="128"/>
      <c r="M406" s="128">
        <v>3</v>
      </c>
      <c r="N406" s="126"/>
      <c r="O406" s="126" t="s">
        <v>119</v>
      </c>
      <c r="P406" s="129"/>
      <c r="Q406" s="129"/>
      <c r="R406" s="126" t="s">
        <v>24</v>
      </c>
      <c r="S406" s="126"/>
      <c r="T406" s="130" t="s">
        <v>120</v>
      </c>
      <c r="U406" s="126" t="s">
        <v>378</v>
      </c>
      <c r="V406" s="130" t="s">
        <v>120</v>
      </c>
      <c r="W406" s="126"/>
      <c r="X406" s="130" t="s">
        <v>120</v>
      </c>
      <c r="Y406" s="126" t="s">
        <v>537</v>
      </c>
      <c r="Z406" s="162" t="s">
        <v>120</v>
      </c>
      <c r="AA406" s="154"/>
      <c r="AB406" s="154"/>
      <c r="AC406" s="167"/>
      <c r="AD406" s="126" t="s">
        <v>120</v>
      </c>
      <c r="AE406" s="130" t="s">
        <v>120</v>
      </c>
      <c r="AF406" s="127" t="s">
        <v>372</v>
      </c>
      <c r="AG406" s="131"/>
      <c r="AH406" s="131">
        <v>2</v>
      </c>
      <c r="AI406" s="126" t="s">
        <v>384</v>
      </c>
      <c r="AJ406" s="130" t="s">
        <v>120</v>
      </c>
      <c r="AK406" s="126" t="s">
        <v>123</v>
      </c>
      <c r="AL406" s="126"/>
      <c r="AM406" s="130"/>
      <c r="AN406" s="126"/>
      <c r="AO406" s="132"/>
      <c r="AP406" s="126"/>
      <c r="AQ406" s="126"/>
      <c r="AR406" s="130"/>
      <c r="AS406" s="126"/>
      <c r="AT406" s="127"/>
      <c r="AU406" s="127">
        <v>43453.379020254601</v>
      </c>
      <c r="AV406" s="127"/>
      <c r="AW406" s="127"/>
      <c r="AX406" s="127"/>
      <c r="AY406" s="127"/>
      <c r="AZ406" s="133">
        <v>43236</v>
      </c>
      <c r="BA40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6" s="135">
        <f>COUNTIFS(_05preva_view43[Site ID],_05preva_view43[[#This Row],[Site ID]],_05preva_view43[Prevalidation Status],"Under Prevalidation")</f>
        <v>0</v>
      </c>
      <c r="BC406" s="153" t="str">
        <f ca="1">HYPERLINK(CheckPath(_05preva_view43[[#This Row],[File Path]],_05preva_view43[[#This Row],[File Path]],_05preva_view43[[#This Row],[Folder Path3]]),CheckPath(_05preva_view43[[#This Row],[File Path]],"Open File","No File"))</f>
        <v>No File</v>
      </c>
      <c r="BD406" s="136" t="str">
        <f>CONCATENATE(_05preva_view43[[#This Row],[Site ID]]," (",_05preva_view43[[#This Row],[tenant id]],") Application",IF(_05preva_view43[[#This Row],[Colo Rev]]&gt;0," Rev "&amp;_05preva_view43[[#This Row],[Colo Rev]],""),".xlsx")</f>
        <v>ACBA_0028 (BAW5251) Application.xlsx</v>
      </c>
      <c r="BE406" s="64">
        <f t="shared" ca="1" si="8"/>
        <v>50</v>
      </c>
      <c r="BF406" s="104" t="str">
        <f ca="1">LEFT(CELL("filename",A391),_05preva_view43[[#This Row],[Find Process &amp; Database]]-1)</f>
        <v>D:\OneDrive - apollo-towers.com\Apollo Towers\00-</v>
      </c>
      <c r="BG406" s="104" t="str">
        <f ca="1">_05preva_view43[Folder Path1]&amp;"Process &amp; Database\Documentation\Colo Applications"</f>
        <v>D:\OneDrive - apollo-towers.com\Apollo Towers\00-Process &amp; Database\Documentation\Colo Applications</v>
      </c>
      <c r="BH406" s="104" t="str">
        <f ca="1">_05preva_view43[Folder Path2]&amp;"\Colo App "&amp;_05preva_view43[[#This Row],[Operator]]&amp;"\"</f>
        <v>D:\OneDrive - apollo-towers.com\Apollo Towers\00-Process &amp; Database\Documentation\Colo Applications\Colo App OML\</v>
      </c>
      <c r="BI406" s="63" t="str">
        <f ca="1">_05preva_view43[[#This Row],[Folder Path3]]&amp;_05preva_view43[[#This Row],[File Name]]</f>
        <v>D:\OneDrive - apollo-towers.com\Apollo Towers\00-Process &amp; Database\Documentation\Colo Applications\Colo App OML\ACBA_0028 (BAW5251) Application.xlsx</v>
      </c>
      <c r="BJ406" s="104"/>
      <c r="BK406" s="3"/>
      <c r="BL406" s="3"/>
      <c r="CJ406" s="5"/>
      <c r="CK406" s="5"/>
      <c r="CL406" s="3"/>
      <c r="CN406" s="5"/>
      <c r="CR406" s="3"/>
      <c r="CS406" s="3"/>
      <c r="CT406" s="5"/>
      <c r="CV406" s="3"/>
      <c r="DR406" s="5"/>
      <c r="DT406" s="3"/>
      <c r="EF406" s="7"/>
      <c r="EG406" s="7"/>
      <c r="EJ406" s="4"/>
      <c r="EK406" s="4"/>
      <c r="EU406" s="2"/>
      <c r="EV406" s="2"/>
    </row>
    <row r="407" spans="1:152">
      <c r="A407" s="125">
        <v>142</v>
      </c>
      <c r="B407" s="126" t="s">
        <v>552</v>
      </c>
      <c r="C407" s="126" t="s">
        <v>116</v>
      </c>
      <c r="D407" s="126" t="s">
        <v>163</v>
      </c>
      <c r="E407" s="126" t="s">
        <v>553</v>
      </c>
      <c r="F407" s="126" t="s">
        <v>40</v>
      </c>
      <c r="G407" s="126" t="s">
        <v>118</v>
      </c>
      <c r="H407" s="126"/>
      <c r="I407" s="126" t="s">
        <v>118</v>
      </c>
      <c r="J407" s="126"/>
      <c r="K407" s="127">
        <v>43236</v>
      </c>
      <c r="L407" s="128"/>
      <c r="M407" s="128">
        <v>3</v>
      </c>
      <c r="N407" s="126"/>
      <c r="O407" s="126" t="s">
        <v>119</v>
      </c>
      <c r="P407" s="129"/>
      <c r="Q407" s="129"/>
      <c r="R407" s="126" t="s">
        <v>27</v>
      </c>
      <c r="S407" s="126"/>
      <c r="T407" s="130" t="s">
        <v>120</v>
      </c>
      <c r="U407" s="126" t="s">
        <v>403</v>
      </c>
      <c r="V407" s="130" t="s">
        <v>120</v>
      </c>
      <c r="W407" s="126"/>
      <c r="X407" s="130" t="s">
        <v>120</v>
      </c>
      <c r="Y407" s="126" t="s">
        <v>404</v>
      </c>
      <c r="Z407" s="162" t="s">
        <v>125</v>
      </c>
      <c r="AA407" s="154"/>
      <c r="AB407" s="154"/>
      <c r="AC407" s="167" t="s">
        <v>123</v>
      </c>
      <c r="AD407" s="126" t="s">
        <v>430</v>
      </c>
      <c r="AE407" s="130" t="s">
        <v>120</v>
      </c>
      <c r="AF407" s="127" t="s">
        <v>554</v>
      </c>
      <c r="AG407" s="131"/>
      <c r="AH407" s="131">
        <v>2</v>
      </c>
      <c r="AI407" s="126" t="s">
        <v>512</v>
      </c>
      <c r="AJ407" s="130" t="s">
        <v>120</v>
      </c>
      <c r="AK407" s="126" t="s">
        <v>240</v>
      </c>
      <c r="AL407" s="126"/>
      <c r="AM407" s="130"/>
      <c r="AN407" s="126"/>
      <c r="AO407" s="132"/>
      <c r="AP407" s="126"/>
      <c r="AQ407" s="126"/>
      <c r="AR407" s="130"/>
      <c r="AS407" s="126"/>
      <c r="AT407" s="127"/>
      <c r="AU407" s="127">
        <v>43453.379021180597</v>
      </c>
      <c r="AV407" s="127"/>
      <c r="AW407" s="127"/>
      <c r="AX407" s="127"/>
      <c r="AY407" s="127"/>
      <c r="AZ407" s="133">
        <v>43453.379021180597</v>
      </c>
      <c r="BA407" s="134">
        <f ca="1">IF(_05preva_view43[[#This Row],[Prevalidation Status]]="Under Prevalidation",NOW()-_05preva_view43[[#This Row],[Request Date]],IF(_05preva_view43[[#This Row],[Close Date]]&gt;_05preva_view43[[#This Row],[Request Date]],_05preva_view43[[#This Row],[Close Date]]-_05preva_view43[[#This Row],[Request Date]],"Not  Calculated"))</f>
        <v>217.37902118059719</v>
      </c>
      <c r="BB407" s="135">
        <f>COUNTIFS(_05preva_view43[Site ID],_05preva_view43[[#This Row],[Site ID]],_05preva_view43[Prevalidation Status],"Under Prevalidation")</f>
        <v>0</v>
      </c>
      <c r="BC407" s="153" t="str">
        <f ca="1">HYPERLINK(CheckPath(_05preva_view43[[#This Row],[File Path]],_05preva_view43[[#This Row],[File Path]],_05preva_view43[[#This Row],[Folder Path3]]),CheckPath(_05preva_view43[[#This Row],[File Path]],"Open File","No File"))</f>
        <v>No File</v>
      </c>
      <c r="BD407" s="136" t="str">
        <f>CONCATENATE(_05preva_view43[[#This Row],[Site ID]]," (",_05preva_view43[[#This Row],[tenant id]],") Application",IF(_05preva_view43[[#This Row],[Colo Rev]]&gt;0," Rev "&amp;_05preva_view43[[#This Row],[Colo Rev]],""),".xlsx")</f>
        <v>ACBA_0035 (BAW5248) Application.xlsx</v>
      </c>
      <c r="BE407" s="64">
        <f t="shared" ca="1" si="8"/>
        <v>50</v>
      </c>
      <c r="BF407" s="104" t="str">
        <f ca="1">LEFT(CELL("filename",A392),_05preva_view43[[#This Row],[Find Process &amp; Database]]-1)</f>
        <v>D:\OneDrive - apollo-towers.com\Apollo Towers\00-</v>
      </c>
      <c r="BG407" s="104" t="str">
        <f ca="1">_05preva_view43[Folder Path1]&amp;"Process &amp; Database\Documentation\Colo Applications"</f>
        <v>D:\OneDrive - apollo-towers.com\Apollo Towers\00-Process &amp; Database\Documentation\Colo Applications</v>
      </c>
      <c r="BH407" s="104" t="str">
        <f ca="1">_05preva_view43[Folder Path2]&amp;"\Colo App "&amp;_05preva_view43[[#This Row],[Operator]]&amp;"\"</f>
        <v>D:\OneDrive - apollo-towers.com\Apollo Towers\00-Process &amp; Database\Documentation\Colo Applications\Colo App OML\</v>
      </c>
      <c r="BI407" s="63" t="str">
        <f ca="1">_05preva_view43[[#This Row],[Folder Path3]]&amp;_05preva_view43[[#This Row],[File Name]]</f>
        <v>D:\OneDrive - apollo-towers.com\Apollo Towers\00-Process &amp; Database\Documentation\Colo Applications\Colo App OML\ACBA_0035 (BAW5248) Application.xlsx</v>
      </c>
      <c r="BJ407" s="104"/>
      <c r="BK407" s="3"/>
      <c r="BL407" s="3"/>
      <c r="CJ407" s="5"/>
      <c r="CK407" s="5"/>
      <c r="CL407" s="3"/>
      <c r="CN407" s="5"/>
      <c r="CR407" s="3"/>
      <c r="CS407" s="3"/>
      <c r="CT407" s="5"/>
      <c r="CV407" s="3"/>
      <c r="DR407" s="5"/>
      <c r="DT407" s="3"/>
      <c r="EF407" s="7"/>
      <c r="EG407" s="7"/>
      <c r="EJ407" s="4"/>
      <c r="EK407" s="4"/>
      <c r="EU407" s="2"/>
      <c r="EV407" s="2"/>
    </row>
    <row r="408" spans="1:152">
      <c r="A408" s="125">
        <v>143</v>
      </c>
      <c r="B408" s="126" t="s">
        <v>555</v>
      </c>
      <c r="C408" s="126" t="s">
        <v>116</v>
      </c>
      <c r="D408" s="126" t="s">
        <v>163</v>
      </c>
      <c r="E408" s="126" t="s">
        <v>556</v>
      </c>
      <c r="F408" s="126" t="s">
        <v>40</v>
      </c>
      <c r="G408" s="126" t="s">
        <v>118</v>
      </c>
      <c r="H408" s="126"/>
      <c r="I408" s="126" t="s">
        <v>118</v>
      </c>
      <c r="J408" s="126"/>
      <c r="K408" s="127">
        <v>43236</v>
      </c>
      <c r="L408" s="128"/>
      <c r="M408" s="128">
        <v>3</v>
      </c>
      <c r="N408" s="126"/>
      <c r="O408" s="126" t="s">
        <v>119</v>
      </c>
      <c r="P408" s="129"/>
      <c r="Q408" s="129"/>
      <c r="R408" s="126" t="s">
        <v>24</v>
      </c>
      <c r="S408" s="126"/>
      <c r="T408" s="130" t="s">
        <v>120</v>
      </c>
      <c r="U408" s="126" t="s">
        <v>378</v>
      </c>
      <c r="V408" s="130" t="s">
        <v>120</v>
      </c>
      <c r="W408" s="126"/>
      <c r="X408" s="130" t="s">
        <v>120</v>
      </c>
      <c r="Y408" s="126" t="s">
        <v>120</v>
      </c>
      <c r="Z408" s="162" t="s">
        <v>120</v>
      </c>
      <c r="AA408" s="154"/>
      <c r="AB408" s="154"/>
      <c r="AC408" s="167"/>
      <c r="AD408" s="126" t="s">
        <v>120</v>
      </c>
      <c r="AE408" s="130" t="s">
        <v>120</v>
      </c>
      <c r="AF408" s="127" t="s">
        <v>120</v>
      </c>
      <c r="AG408" s="131"/>
      <c r="AH408" s="131">
        <v>2</v>
      </c>
      <c r="AI408" s="126" t="s">
        <v>557</v>
      </c>
      <c r="AJ408" s="130" t="s">
        <v>120</v>
      </c>
      <c r="AK408" s="126" t="s">
        <v>123</v>
      </c>
      <c r="AL408" s="126"/>
      <c r="AM408" s="130"/>
      <c r="AN408" s="126"/>
      <c r="AO408" s="132"/>
      <c r="AP408" s="126"/>
      <c r="AQ408" s="126"/>
      <c r="AR408" s="130"/>
      <c r="AS408" s="126"/>
      <c r="AT408" s="127"/>
      <c r="AU408" s="127">
        <v>43453.379021759298</v>
      </c>
      <c r="AV408" s="127"/>
      <c r="AW408" s="127"/>
      <c r="AX408" s="127"/>
      <c r="AY408" s="127"/>
      <c r="AZ408" s="133">
        <v>43236</v>
      </c>
      <c r="BA40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8" s="135">
        <f>COUNTIFS(_05preva_view43[Site ID],_05preva_view43[[#This Row],[Site ID]],_05preva_view43[Prevalidation Status],"Under Prevalidation")</f>
        <v>0</v>
      </c>
      <c r="BC408" s="153" t="str">
        <f ca="1">HYPERLINK(CheckPath(_05preva_view43[[#This Row],[File Path]],_05preva_view43[[#This Row],[File Path]],_05preva_view43[[#This Row],[Folder Path3]]),CheckPath(_05preva_view43[[#This Row],[File Path]],"Open File","No File"))</f>
        <v>No File</v>
      </c>
      <c r="BD408" s="136" t="str">
        <f>CONCATENATE(_05preva_view43[[#This Row],[Site ID]]," (",_05preva_view43[[#This Row],[tenant id]],") Application",IF(_05preva_view43[[#This Row],[Colo Rev]]&gt;0," Rev "&amp;_05preva_view43[[#This Row],[Colo Rev]],""),".xlsx")</f>
        <v>ACBA_0033 (BAW5224) Application.xlsx</v>
      </c>
      <c r="BE408" s="64">
        <f t="shared" ca="1" si="8"/>
        <v>50</v>
      </c>
      <c r="BF408" s="104" t="str">
        <f ca="1">LEFT(CELL("filename",A393),_05preva_view43[[#This Row],[Find Process &amp; Database]]-1)</f>
        <v>D:\OneDrive - apollo-towers.com\Apollo Towers\00-</v>
      </c>
      <c r="BG408" s="104" t="str">
        <f ca="1">_05preva_view43[Folder Path1]&amp;"Process &amp; Database\Documentation\Colo Applications"</f>
        <v>D:\OneDrive - apollo-towers.com\Apollo Towers\00-Process &amp; Database\Documentation\Colo Applications</v>
      </c>
      <c r="BH408" s="104" t="str">
        <f ca="1">_05preva_view43[Folder Path2]&amp;"\Colo App "&amp;_05preva_view43[[#This Row],[Operator]]&amp;"\"</f>
        <v>D:\OneDrive - apollo-towers.com\Apollo Towers\00-Process &amp; Database\Documentation\Colo Applications\Colo App OML\</v>
      </c>
      <c r="BI408" s="63" t="str">
        <f ca="1">_05preva_view43[[#This Row],[Folder Path3]]&amp;_05preva_view43[[#This Row],[File Name]]</f>
        <v>D:\OneDrive - apollo-towers.com\Apollo Towers\00-Process &amp; Database\Documentation\Colo Applications\Colo App OML\ACBA_0033 (BAW5224) Application.xlsx</v>
      </c>
      <c r="BJ408" s="104"/>
      <c r="BK408" s="3"/>
      <c r="BL408" s="3"/>
      <c r="CJ408" s="5"/>
      <c r="CK408" s="5"/>
      <c r="CL408" s="3"/>
      <c r="CN408" s="5"/>
      <c r="CR408" s="3"/>
      <c r="CS408" s="3"/>
      <c r="CT408" s="5"/>
      <c r="CV408" s="3"/>
      <c r="DR408" s="5"/>
      <c r="DT408" s="3"/>
      <c r="EF408" s="7"/>
      <c r="EG408" s="7"/>
      <c r="EJ408" s="4"/>
      <c r="EK408" s="4"/>
      <c r="EU408" s="2"/>
      <c r="EV408" s="2"/>
    </row>
    <row r="409" spans="1:152">
      <c r="A409" s="125">
        <v>144</v>
      </c>
      <c r="B409" s="126" t="s">
        <v>558</v>
      </c>
      <c r="C409" s="126" t="s">
        <v>116</v>
      </c>
      <c r="D409" s="126" t="s">
        <v>117</v>
      </c>
      <c r="E409" s="126" t="s">
        <v>559</v>
      </c>
      <c r="F409" s="126" t="s">
        <v>40</v>
      </c>
      <c r="G409" s="126" t="s">
        <v>118</v>
      </c>
      <c r="H409" s="126"/>
      <c r="I409" s="126" t="s">
        <v>118</v>
      </c>
      <c r="J409" s="126"/>
      <c r="K409" s="127">
        <v>43236</v>
      </c>
      <c r="L409" s="128"/>
      <c r="M409" s="128">
        <v>3</v>
      </c>
      <c r="N409" s="126"/>
      <c r="O409" s="126" t="s">
        <v>119</v>
      </c>
      <c r="P409" s="129"/>
      <c r="Q409" s="129"/>
      <c r="R409" s="126" t="s">
        <v>24</v>
      </c>
      <c r="S409" s="126"/>
      <c r="T409" s="130" t="s">
        <v>120</v>
      </c>
      <c r="U409" s="126" t="s">
        <v>378</v>
      </c>
      <c r="V409" s="130" t="s">
        <v>120</v>
      </c>
      <c r="W409" s="126"/>
      <c r="X409" s="130" t="s">
        <v>120</v>
      </c>
      <c r="Y409" s="126" t="s">
        <v>120</v>
      </c>
      <c r="Z409" s="162" t="s">
        <v>120</v>
      </c>
      <c r="AA409" s="154"/>
      <c r="AB409" s="154"/>
      <c r="AC409" s="167"/>
      <c r="AD409" s="126" t="s">
        <v>120</v>
      </c>
      <c r="AE409" s="130" t="s">
        <v>120</v>
      </c>
      <c r="AF409" s="127" t="s">
        <v>241</v>
      </c>
      <c r="AG409" s="131"/>
      <c r="AH409" s="131">
        <v>3.5</v>
      </c>
      <c r="AI409" s="126" t="s">
        <v>242</v>
      </c>
      <c r="AJ409" s="130" t="s">
        <v>120</v>
      </c>
      <c r="AK409" s="126" t="s">
        <v>123</v>
      </c>
      <c r="AL409" s="126"/>
      <c r="AM409" s="130"/>
      <c r="AN409" s="126"/>
      <c r="AO409" s="132"/>
      <c r="AP409" s="126"/>
      <c r="AQ409" s="126"/>
      <c r="AR409" s="130"/>
      <c r="AS409" s="126"/>
      <c r="AT409" s="127"/>
      <c r="AU409" s="127">
        <v>43453.379022453701</v>
      </c>
      <c r="AV409" s="127"/>
      <c r="AW409" s="127"/>
      <c r="AX409" s="127"/>
      <c r="AY409" s="127"/>
      <c r="AZ409" s="133">
        <v>43236</v>
      </c>
      <c r="BA40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9" s="135">
        <f>COUNTIFS(_05preva_view43[Site ID],_05preva_view43[[#This Row],[Site ID]],_05preva_view43[Prevalidation Status],"Under Prevalidation")</f>
        <v>0</v>
      </c>
      <c r="BC409" s="153" t="str">
        <f ca="1">HYPERLINK(CheckPath(_05preva_view43[[#This Row],[File Path]],_05preva_view43[[#This Row],[File Path]],_05preva_view43[[#This Row],[Folder Path3]]),CheckPath(_05preva_view43[[#This Row],[File Path]],"Open File","No File"))</f>
        <v>No File</v>
      </c>
      <c r="BD409" s="136" t="str">
        <f>CONCATENATE(_05preva_view43[[#This Row],[Site ID]]," (",_05preva_view43[[#This Row],[tenant id]],") Application",IF(_05preva_view43[[#This Row],[Colo Rev]]&gt;0," Rev "&amp;_05preva_view43[[#This Row],[Colo Rev]],""),".xlsx")</f>
        <v>ACBA_0185 (BAW5590) Application.xlsx</v>
      </c>
      <c r="BE409" s="64">
        <f t="shared" ca="1" si="8"/>
        <v>50</v>
      </c>
      <c r="BF409" s="104" t="str">
        <f ca="1">LEFT(CELL("filename",A394),_05preva_view43[[#This Row],[Find Process &amp; Database]]-1)</f>
        <v>D:\OneDrive - apollo-towers.com\Apollo Towers\00-</v>
      </c>
      <c r="BG409" s="104" t="str">
        <f ca="1">_05preva_view43[Folder Path1]&amp;"Process &amp; Database\Documentation\Colo Applications"</f>
        <v>D:\OneDrive - apollo-towers.com\Apollo Towers\00-Process &amp; Database\Documentation\Colo Applications</v>
      </c>
      <c r="BH409" s="104" t="str">
        <f ca="1">_05preva_view43[Folder Path2]&amp;"\Colo App "&amp;_05preva_view43[[#This Row],[Operator]]&amp;"\"</f>
        <v>D:\OneDrive - apollo-towers.com\Apollo Towers\00-Process &amp; Database\Documentation\Colo Applications\Colo App OML\</v>
      </c>
      <c r="BI409" s="63" t="str">
        <f ca="1">_05preva_view43[[#This Row],[Folder Path3]]&amp;_05preva_view43[[#This Row],[File Name]]</f>
        <v>D:\OneDrive - apollo-towers.com\Apollo Towers\00-Process &amp; Database\Documentation\Colo Applications\Colo App OML\ACBA_0185 (BAW5590) Application.xlsx</v>
      </c>
      <c r="BJ409" s="104"/>
      <c r="BK409" s="3"/>
      <c r="BL409" s="3"/>
      <c r="CJ409" s="5"/>
      <c r="CK409" s="5"/>
      <c r="CL409" s="3"/>
      <c r="CN409" s="5"/>
      <c r="CR409" s="3"/>
      <c r="CS409" s="3"/>
      <c r="CT409" s="5"/>
      <c r="CV409" s="3"/>
      <c r="DR409" s="5"/>
      <c r="DT409" s="3"/>
      <c r="EF409" s="7"/>
      <c r="EG409" s="7"/>
      <c r="EJ409" s="4"/>
      <c r="EK409" s="4"/>
      <c r="EU409" s="2"/>
      <c r="EV409" s="2"/>
    </row>
    <row r="410" spans="1:152">
      <c r="A410" s="125">
        <v>145</v>
      </c>
      <c r="B410" s="126" t="s">
        <v>560</v>
      </c>
      <c r="C410" s="126" t="s">
        <v>116</v>
      </c>
      <c r="D410" s="126" t="s">
        <v>163</v>
      </c>
      <c r="E410" s="126" t="s">
        <v>561</v>
      </c>
      <c r="F410" s="126" t="s">
        <v>40</v>
      </c>
      <c r="G410" s="126" t="s">
        <v>118</v>
      </c>
      <c r="H410" s="126"/>
      <c r="I410" s="126" t="s">
        <v>118</v>
      </c>
      <c r="J410" s="126"/>
      <c r="K410" s="127">
        <v>43236</v>
      </c>
      <c r="L410" s="128"/>
      <c r="M410" s="128">
        <v>3</v>
      </c>
      <c r="N410" s="126"/>
      <c r="O410" s="126" t="s">
        <v>119</v>
      </c>
      <c r="P410" s="129"/>
      <c r="Q410" s="129"/>
      <c r="R410" s="126" t="s">
        <v>24</v>
      </c>
      <c r="S410" s="126"/>
      <c r="T410" s="130" t="s">
        <v>120</v>
      </c>
      <c r="U410" s="126" t="s">
        <v>403</v>
      </c>
      <c r="V410" s="130" t="s">
        <v>120</v>
      </c>
      <c r="W410" s="126"/>
      <c r="X410" s="130" t="s">
        <v>120</v>
      </c>
      <c r="Y410" s="126" t="s">
        <v>404</v>
      </c>
      <c r="Z410" s="162" t="s">
        <v>120</v>
      </c>
      <c r="AA410" s="154"/>
      <c r="AB410" s="154"/>
      <c r="AC410" s="167" t="s">
        <v>123</v>
      </c>
      <c r="AD410" s="126" t="s">
        <v>419</v>
      </c>
      <c r="AE410" s="130" t="s">
        <v>120</v>
      </c>
      <c r="AF410" s="127" t="s">
        <v>461</v>
      </c>
      <c r="AG410" s="131"/>
      <c r="AH410" s="131">
        <v>2</v>
      </c>
      <c r="AI410" s="126" t="s">
        <v>512</v>
      </c>
      <c r="AJ410" s="130" t="s">
        <v>120</v>
      </c>
      <c r="AK410" s="126" t="s">
        <v>123</v>
      </c>
      <c r="AL410" s="126"/>
      <c r="AM410" s="130"/>
      <c r="AN410" s="126"/>
      <c r="AO410" s="132"/>
      <c r="AP410" s="126"/>
      <c r="AQ410" s="126"/>
      <c r="AR410" s="130"/>
      <c r="AS410" s="126"/>
      <c r="AT410" s="127"/>
      <c r="AU410" s="127">
        <v>43453.379025115697</v>
      </c>
      <c r="AV410" s="127"/>
      <c r="AW410" s="127"/>
      <c r="AX410" s="127"/>
      <c r="AY410" s="127"/>
      <c r="AZ410" s="133">
        <v>43236</v>
      </c>
      <c r="BA41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0" s="135">
        <f>COUNTIFS(_05preva_view43[Site ID],_05preva_view43[[#This Row],[Site ID]],_05preva_view43[Prevalidation Status],"Under Prevalidation")</f>
        <v>0</v>
      </c>
      <c r="BC410" s="153" t="str">
        <f ca="1">HYPERLINK(CheckPath(_05preva_view43[[#This Row],[File Path]],_05preva_view43[[#This Row],[File Path]],_05preva_view43[[#This Row],[Folder Path3]]),CheckPath(_05preva_view43[[#This Row],[File Path]],"Open File","No File"))</f>
        <v>No File</v>
      </c>
      <c r="BD410" s="136" t="str">
        <f>CONCATENATE(_05preva_view43[[#This Row],[Site ID]]," (",_05preva_view43[[#This Row],[tenant id]],") Application",IF(_05preva_view43[[#This Row],[Colo Rev]]&gt;0," Rev "&amp;_05preva_view43[[#This Row],[Colo Rev]],""),".xlsx")</f>
        <v>ACAY_0022 (AYW5540) Application.xlsx</v>
      </c>
      <c r="BE410" s="64">
        <f t="shared" ca="1" si="8"/>
        <v>50</v>
      </c>
      <c r="BF410" s="104" t="str">
        <f ca="1">LEFT(CELL("filename",A395),_05preva_view43[[#This Row],[Find Process &amp; Database]]-1)</f>
        <v>D:\OneDrive - apollo-towers.com\Apollo Towers\00-</v>
      </c>
      <c r="BG410" s="104" t="str">
        <f ca="1">_05preva_view43[Folder Path1]&amp;"Process &amp; Database\Documentation\Colo Applications"</f>
        <v>D:\OneDrive - apollo-towers.com\Apollo Towers\00-Process &amp; Database\Documentation\Colo Applications</v>
      </c>
      <c r="BH410" s="104" t="str">
        <f ca="1">_05preva_view43[Folder Path2]&amp;"\Colo App "&amp;_05preva_view43[[#This Row],[Operator]]&amp;"\"</f>
        <v>D:\OneDrive - apollo-towers.com\Apollo Towers\00-Process &amp; Database\Documentation\Colo Applications\Colo App OML\</v>
      </c>
      <c r="BI410" s="63" t="str">
        <f ca="1">_05preva_view43[[#This Row],[Folder Path3]]&amp;_05preva_view43[[#This Row],[File Name]]</f>
        <v>D:\OneDrive - apollo-towers.com\Apollo Towers\00-Process &amp; Database\Documentation\Colo Applications\Colo App OML\ACAY_0022 (AYW5540) Application.xlsx</v>
      </c>
      <c r="BJ410" s="104"/>
      <c r="BK410" s="3"/>
      <c r="BL410" s="3"/>
      <c r="CJ410" s="5"/>
      <c r="CK410" s="5"/>
      <c r="CL410" s="3"/>
      <c r="CN410" s="5"/>
      <c r="CR410" s="3"/>
      <c r="CS410" s="3"/>
      <c r="CT410" s="5"/>
      <c r="CV410" s="3"/>
      <c r="DR410" s="5"/>
      <c r="DT410" s="3"/>
      <c r="EF410" s="7"/>
      <c r="EG410" s="7"/>
      <c r="EJ410" s="4"/>
      <c r="EK410" s="4"/>
      <c r="EU410" s="2"/>
      <c r="EV410" s="2"/>
    </row>
    <row r="411" spans="1:152">
      <c r="A411" s="125">
        <v>146</v>
      </c>
      <c r="B411" s="126" t="s">
        <v>562</v>
      </c>
      <c r="C411" s="126" t="s">
        <v>116</v>
      </c>
      <c r="D411" s="126" t="s">
        <v>163</v>
      </c>
      <c r="E411" s="126" t="s">
        <v>563</v>
      </c>
      <c r="F411" s="126" t="s">
        <v>40</v>
      </c>
      <c r="G411" s="126" t="s">
        <v>118</v>
      </c>
      <c r="H411" s="126"/>
      <c r="I411" s="126" t="s">
        <v>118</v>
      </c>
      <c r="J411" s="126"/>
      <c r="K411" s="127">
        <v>43236</v>
      </c>
      <c r="L411" s="128"/>
      <c r="M411" s="128">
        <v>3</v>
      </c>
      <c r="N411" s="126"/>
      <c r="O411" s="126" t="s">
        <v>119</v>
      </c>
      <c r="P411" s="129"/>
      <c r="Q411" s="129"/>
      <c r="R411" s="126" t="s">
        <v>27</v>
      </c>
      <c r="S411" s="126"/>
      <c r="T411" s="130" t="s">
        <v>120</v>
      </c>
      <c r="U411" s="126" t="s">
        <v>403</v>
      </c>
      <c r="V411" s="130" t="s">
        <v>120</v>
      </c>
      <c r="W411" s="126"/>
      <c r="X411" s="130" t="s">
        <v>120</v>
      </c>
      <c r="Y411" s="126" t="s">
        <v>404</v>
      </c>
      <c r="Z411" s="162" t="s">
        <v>125</v>
      </c>
      <c r="AA411" s="154"/>
      <c r="AB411" s="154"/>
      <c r="AC411" s="167" t="s">
        <v>123</v>
      </c>
      <c r="AD411" s="126" t="s">
        <v>430</v>
      </c>
      <c r="AE411" s="130" t="s">
        <v>120</v>
      </c>
      <c r="AF411" s="127" t="s">
        <v>511</v>
      </c>
      <c r="AG411" s="131"/>
      <c r="AH411" s="131">
        <v>2</v>
      </c>
      <c r="AI411" s="126" t="s">
        <v>512</v>
      </c>
      <c r="AJ411" s="130" t="s">
        <v>120</v>
      </c>
      <c r="AK411" s="126" t="s">
        <v>123</v>
      </c>
      <c r="AL411" s="126"/>
      <c r="AM411" s="130"/>
      <c r="AN411" s="126"/>
      <c r="AO411" s="132"/>
      <c r="AP411" s="126"/>
      <c r="AQ411" s="126"/>
      <c r="AR411" s="130"/>
      <c r="AS411" s="126"/>
      <c r="AT411" s="127"/>
      <c r="AU411" s="127">
        <v>43453.379026157403</v>
      </c>
      <c r="AV411" s="127"/>
      <c r="AW411" s="127"/>
      <c r="AX411" s="127"/>
      <c r="AY411" s="127"/>
      <c r="AZ411" s="133">
        <v>43453.379026157403</v>
      </c>
      <c r="BA411" s="134">
        <f ca="1">IF(_05preva_view43[[#This Row],[Prevalidation Status]]="Under Prevalidation",NOW()-_05preva_view43[[#This Row],[Request Date]],IF(_05preva_view43[[#This Row],[Close Date]]&gt;_05preva_view43[[#This Row],[Request Date]],_05preva_view43[[#This Row],[Close Date]]-_05preva_view43[[#This Row],[Request Date]],"Not  Calculated"))</f>
        <v>217.37902615740313</v>
      </c>
      <c r="BB411" s="135">
        <f>COUNTIFS(_05preva_view43[Site ID],_05preva_view43[[#This Row],[Site ID]],_05preva_view43[Prevalidation Status],"Under Prevalidation")</f>
        <v>0</v>
      </c>
      <c r="BC411" s="153" t="str">
        <f ca="1">HYPERLINK(CheckPath(_05preva_view43[[#This Row],[File Path]],_05preva_view43[[#This Row],[File Path]],_05preva_view43[[#This Row],[Folder Path3]]),CheckPath(_05preva_view43[[#This Row],[File Path]],"Open File","No File"))</f>
        <v>No File</v>
      </c>
      <c r="BD411" s="136" t="str">
        <f>CONCATENATE(_05preva_view43[[#This Row],[Site ID]]," (",_05preva_view43[[#This Row],[tenant id]],") Application",IF(_05preva_view43[[#This Row],[Colo Rev]]&gt;0," Rev "&amp;_05preva_view43[[#This Row],[Colo Rev]],""),".xlsx")</f>
        <v>ACAY_0026 (AYW5130) Application.xlsx</v>
      </c>
      <c r="BE411" s="64">
        <f t="shared" ca="1" si="8"/>
        <v>50</v>
      </c>
      <c r="BF411" s="104" t="str">
        <f ca="1">LEFT(CELL("filename",A396),_05preva_view43[[#This Row],[Find Process &amp; Database]]-1)</f>
        <v>D:\OneDrive - apollo-towers.com\Apollo Towers\00-</v>
      </c>
      <c r="BG411" s="104" t="str">
        <f ca="1">_05preva_view43[Folder Path1]&amp;"Process &amp; Database\Documentation\Colo Applications"</f>
        <v>D:\OneDrive - apollo-towers.com\Apollo Towers\00-Process &amp; Database\Documentation\Colo Applications</v>
      </c>
      <c r="BH411" s="104" t="str">
        <f ca="1">_05preva_view43[Folder Path2]&amp;"\Colo App "&amp;_05preva_view43[[#This Row],[Operator]]&amp;"\"</f>
        <v>D:\OneDrive - apollo-towers.com\Apollo Towers\00-Process &amp; Database\Documentation\Colo Applications\Colo App OML\</v>
      </c>
      <c r="BI411" s="63" t="str">
        <f ca="1">_05preva_view43[[#This Row],[Folder Path3]]&amp;_05preva_view43[[#This Row],[File Name]]</f>
        <v>D:\OneDrive - apollo-towers.com\Apollo Towers\00-Process &amp; Database\Documentation\Colo Applications\Colo App OML\ACAY_0026 (AYW5130) Application.xlsx</v>
      </c>
      <c r="BJ411" s="104"/>
      <c r="BK411" s="3"/>
      <c r="BL411" s="3"/>
      <c r="CJ411" s="5"/>
      <c r="CK411" s="5"/>
      <c r="CL411" s="3"/>
      <c r="CN411" s="5"/>
      <c r="CR411" s="3"/>
      <c r="CS411" s="3"/>
      <c r="CT411" s="5"/>
      <c r="CV411" s="3"/>
      <c r="DR411" s="5"/>
      <c r="DT411" s="3"/>
      <c r="EF411" s="7"/>
      <c r="EG411" s="7"/>
      <c r="EJ411" s="4"/>
      <c r="EK411" s="4"/>
      <c r="EU411" s="2"/>
      <c r="EV411" s="2"/>
    </row>
    <row r="412" spans="1:152">
      <c r="A412" s="125">
        <v>147</v>
      </c>
      <c r="B412" s="126" t="s">
        <v>564</v>
      </c>
      <c r="C412" s="126" t="s">
        <v>116</v>
      </c>
      <c r="D412" s="126" t="s">
        <v>163</v>
      </c>
      <c r="E412" s="126" t="s">
        <v>565</v>
      </c>
      <c r="F412" s="126" t="s">
        <v>40</v>
      </c>
      <c r="G412" s="126" t="s">
        <v>118</v>
      </c>
      <c r="H412" s="126"/>
      <c r="I412" s="126" t="s">
        <v>118</v>
      </c>
      <c r="J412" s="126"/>
      <c r="K412" s="127">
        <v>43236</v>
      </c>
      <c r="L412" s="128"/>
      <c r="M412" s="128">
        <v>3</v>
      </c>
      <c r="N412" s="126"/>
      <c r="O412" s="126" t="s">
        <v>119</v>
      </c>
      <c r="P412" s="129"/>
      <c r="Q412" s="129"/>
      <c r="R412" s="126" t="s">
        <v>24</v>
      </c>
      <c r="S412" s="126"/>
      <c r="T412" s="130" t="s">
        <v>120</v>
      </c>
      <c r="U412" s="126" t="s">
        <v>378</v>
      </c>
      <c r="V412" s="130" t="s">
        <v>120</v>
      </c>
      <c r="W412" s="126"/>
      <c r="X412" s="130" t="s">
        <v>120</v>
      </c>
      <c r="Y412" s="126" t="s">
        <v>120</v>
      </c>
      <c r="Z412" s="162" t="s">
        <v>120</v>
      </c>
      <c r="AA412" s="154"/>
      <c r="AB412" s="154"/>
      <c r="AC412" s="167"/>
      <c r="AD412" s="126" t="s">
        <v>120</v>
      </c>
      <c r="AE412" s="130" t="s">
        <v>120</v>
      </c>
      <c r="AF412" s="127" t="s">
        <v>120</v>
      </c>
      <c r="AG412" s="131"/>
      <c r="AH412" s="131">
        <v>2</v>
      </c>
      <c r="AI412" s="126" t="s">
        <v>566</v>
      </c>
      <c r="AJ412" s="130" t="s">
        <v>120</v>
      </c>
      <c r="AK412" s="126" t="s">
        <v>123</v>
      </c>
      <c r="AL412" s="126"/>
      <c r="AM412" s="130"/>
      <c r="AN412" s="126"/>
      <c r="AO412" s="132"/>
      <c r="AP412" s="126"/>
      <c r="AQ412" s="126"/>
      <c r="AR412" s="130"/>
      <c r="AS412" s="126"/>
      <c r="AT412" s="127"/>
      <c r="AU412" s="127">
        <v>43453.379026967603</v>
      </c>
      <c r="AV412" s="127"/>
      <c r="AW412" s="127"/>
      <c r="AX412" s="127"/>
      <c r="AY412" s="127"/>
      <c r="AZ412" s="133">
        <v>43236</v>
      </c>
      <c r="BA41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2" s="135">
        <f>COUNTIFS(_05preva_view43[Site ID],_05preva_view43[[#This Row],[Site ID]],_05preva_view43[Prevalidation Status],"Under Prevalidation")</f>
        <v>0</v>
      </c>
      <c r="BC412" s="153" t="str">
        <f ca="1">HYPERLINK(CheckPath(_05preva_view43[[#This Row],[File Path]],_05preva_view43[[#This Row],[File Path]],_05preva_view43[[#This Row],[Folder Path3]]),CheckPath(_05preva_view43[[#This Row],[File Path]],"Open File","No File"))</f>
        <v>No File</v>
      </c>
      <c r="BD412" s="136" t="str">
        <f>CONCATENATE(_05preva_view43[[#This Row],[Site ID]]," (",_05preva_view43[[#This Row],[tenant id]],") Application",IF(_05preva_view43[[#This Row],[Colo Rev]]&gt;0," Rev "&amp;_05preva_view43[[#This Row],[Colo Rev]],""),".xlsx")</f>
        <v>ACAY_0017 (AYW5537) Application.xlsx</v>
      </c>
      <c r="BE412" s="64">
        <f t="shared" ca="1" si="8"/>
        <v>50</v>
      </c>
      <c r="BF412" s="104" t="str">
        <f ca="1">LEFT(CELL("filename",A397),_05preva_view43[[#This Row],[Find Process &amp; Database]]-1)</f>
        <v>D:\OneDrive - apollo-towers.com\Apollo Towers\00-</v>
      </c>
      <c r="BG412" s="104" t="str">
        <f ca="1">_05preva_view43[Folder Path1]&amp;"Process &amp; Database\Documentation\Colo Applications"</f>
        <v>D:\OneDrive - apollo-towers.com\Apollo Towers\00-Process &amp; Database\Documentation\Colo Applications</v>
      </c>
      <c r="BH412" s="104" t="str">
        <f ca="1">_05preva_view43[Folder Path2]&amp;"\Colo App "&amp;_05preva_view43[[#This Row],[Operator]]&amp;"\"</f>
        <v>D:\OneDrive - apollo-towers.com\Apollo Towers\00-Process &amp; Database\Documentation\Colo Applications\Colo App OML\</v>
      </c>
      <c r="BI412" s="63" t="str">
        <f ca="1">_05preva_view43[[#This Row],[Folder Path3]]&amp;_05preva_view43[[#This Row],[File Name]]</f>
        <v>D:\OneDrive - apollo-towers.com\Apollo Towers\00-Process &amp; Database\Documentation\Colo Applications\Colo App OML\ACAY_0017 (AYW5537) Application.xlsx</v>
      </c>
      <c r="BJ412" s="104"/>
      <c r="BK412" s="3"/>
      <c r="BL412" s="3"/>
      <c r="CJ412" s="5"/>
      <c r="CK412" s="5"/>
      <c r="CL412" s="3"/>
      <c r="CN412" s="5"/>
      <c r="CR412" s="3"/>
      <c r="CS412" s="3"/>
      <c r="CT412" s="5"/>
      <c r="CV412" s="3"/>
      <c r="DR412" s="5"/>
      <c r="DT412" s="3"/>
      <c r="EF412" s="7"/>
      <c r="EG412" s="7"/>
      <c r="EJ412" s="4"/>
      <c r="EK412" s="4"/>
      <c r="EU412" s="2"/>
      <c r="EV412" s="2"/>
    </row>
    <row r="413" spans="1:152">
      <c r="A413" s="125">
        <v>148</v>
      </c>
      <c r="B413" s="126" t="s">
        <v>567</v>
      </c>
      <c r="C413" s="126" t="s">
        <v>116</v>
      </c>
      <c r="D413" s="126" t="s">
        <v>163</v>
      </c>
      <c r="E413" s="126" t="s">
        <v>568</v>
      </c>
      <c r="F413" s="126" t="s">
        <v>40</v>
      </c>
      <c r="G413" s="126" t="s">
        <v>118</v>
      </c>
      <c r="H413" s="126"/>
      <c r="I413" s="126" t="s">
        <v>118</v>
      </c>
      <c r="J413" s="126"/>
      <c r="K413" s="127">
        <v>43236</v>
      </c>
      <c r="L413" s="128"/>
      <c r="M413" s="128">
        <v>3</v>
      </c>
      <c r="N413" s="126"/>
      <c r="O413" s="126" t="s">
        <v>119</v>
      </c>
      <c r="P413" s="129"/>
      <c r="Q413" s="129"/>
      <c r="R413" s="126" t="s">
        <v>26</v>
      </c>
      <c r="S413" s="126"/>
      <c r="T413" s="130" t="s">
        <v>120</v>
      </c>
      <c r="U413" s="126" t="s">
        <v>569</v>
      </c>
      <c r="V413" s="130" t="s">
        <v>120</v>
      </c>
      <c r="W413" s="126"/>
      <c r="X413" s="130"/>
      <c r="Y413" s="126"/>
      <c r="Z413" s="162" t="s">
        <v>144</v>
      </c>
      <c r="AA413" s="154"/>
      <c r="AB413" s="154"/>
      <c r="AC413" s="167"/>
      <c r="AD413" s="126" t="s">
        <v>145</v>
      </c>
      <c r="AE413" s="130"/>
      <c r="AF413" s="127"/>
      <c r="AG413" s="131"/>
      <c r="AH413" s="131">
        <v>2</v>
      </c>
      <c r="AI413" s="126"/>
      <c r="AJ413" s="130"/>
      <c r="AK413" s="126"/>
      <c r="AL413" s="126"/>
      <c r="AM413" s="130"/>
      <c r="AN413" s="126"/>
      <c r="AO413" s="132"/>
      <c r="AP413" s="126"/>
      <c r="AQ413" s="126"/>
      <c r="AR413" s="130"/>
      <c r="AS413" s="126"/>
      <c r="AT413" s="127"/>
      <c r="AU413" s="127"/>
      <c r="AV413" s="127"/>
      <c r="AW413" s="127"/>
      <c r="AX413" s="127"/>
      <c r="AY413" s="127"/>
      <c r="AZ413" s="133">
        <v>43236</v>
      </c>
      <c r="BA41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3" s="135">
        <f>COUNTIFS(_05preva_view43[Site ID],_05preva_view43[[#This Row],[Site ID]],_05preva_view43[Prevalidation Status],"Under Prevalidation")</f>
        <v>0</v>
      </c>
      <c r="BC413" s="153" t="str">
        <f ca="1">HYPERLINK(CheckPath(_05preva_view43[[#This Row],[File Path]],_05preva_view43[[#This Row],[File Path]],_05preva_view43[[#This Row],[Folder Path3]]),CheckPath(_05preva_view43[[#This Row],[File Path]],"Open File","No File"))</f>
        <v>No File</v>
      </c>
      <c r="BD413" s="136" t="str">
        <f>CONCATENATE(_05preva_view43[[#This Row],[Site ID]]," (",_05preva_view43[[#This Row],[tenant id]],") Application",IF(_05preva_view43[[#This Row],[Colo Rev]]&gt;0," Rev "&amp;_05preva_view43[[#This Row],[Colo Rev]],""),".xlsx")</f>
        <v>ASMO_0261 (MOW6219) Application.xlsx</v>
      </c>
      <c r="BE413" s="64">
        <f t="shared" ca="1" si="8"/>
        <v>50</v>
      </c>
      <c r="BF413" s="104" t="str">
        <f ca="1">LEFT(CELL("filename",A398),_05preva_view43[[#This Row],[Find Process &amp; Database]]-1)</f>
        <v>D:\OneDrive - apollo-towers.com\Apollo Towers\00-</v>
      </c>
      <c r="BG413" s="104" t="str">
        <f ca="1">_05preva_view43[Folder Path1]&amp;"Process &amp; Database\Documentation\Colo Applications"</f>
        <v>D:\OneDrive - apollo-towers.com\Apollo Towers\00-Process &amp; Database\Documentation\Colo Applications</v>
      </c>
      <c r="BH413" s="104" t="str">
        <f ca="1">_05preva_view43[Folder Path2]&amp;"\Colo App "&amp;_05preva_view43[[#This Row],[Operator]]&amp;"\"</f>
        <v>D:\OneDrive - apollo-towers.com\Apollo Towers\00-Process &amp; Database\Documentation\Colo Applications\Colo App OML\</v>
      </c>
      <c r="BI413" s="63" t="str">
        <f ca="1">_05preva_view43[[#This Row],[Folder Path3]]&amp;_05preva_view43[[#This Row],[File Name]]</f>
        <v>D:\OneDrive - apollo-towers.com\Apollo Towers\00-Process &amp; Database\Documentation\Colo Applications\Colo App OML\ASMO_0261 (MOW6219) Application.xlsx</v>
      </c>
      <c r="BJ413" s="104"/>
      <c r="BK413" s="3"/>
      <c r="BL413" s="3"/>
      <c r="CJ413" s="5"/>
      <c r="CK413" s="5"/>
      <c r="CL413" s="3"/>
      <c r="CN413" s="5"/>
      <c r="CR413" s="3"/>
      <c r="CS413" s="3"/>
      <c r="CT413" s="5"/>
      <c r="CV413" s="3"/>
      <c r="DR413" s="5"/>
      <c r="DT413" s="3"/>
      <c r="EF413" s="7"/>
      <c r="EG413" s="7"/>
      <c r="EJ413" s="4"/>
      <c r="EK413" s="4"/>
      <c r="EU413" s="2"/>
      <c r="EV413" s="2"/>
    </row>
    <row r="414" spans="1:152">
      <c r="A414" s="125">
        <v>150</v>
      </c>
      <c r="B414" s="126" t="s">
        <v>570</v>
      </c>
      <c r="C414" s="126" t="s">
        <v>116</v>
      </c>
      <c r="D414" s="126" t="s">
        <v>127</v>
      </c>
      <c r="E414" s="126" t="s">
        <v>571</v>
      </c>
      <c r="F414" s="126" t="s">
        <v>40</v>
      </c>
      <c r="G414" s="126" t="s">
        <v>118</v>
      </c>
      <c r="H414" s="126"/>
      <c r="I414" s="126" t="s">
        <v>118</v>
      </c>
      <c r="J414" s="126"/>
      <c r="K414" s="127">
        <v>43236</v>
      </c>
      <c r="L414" s="128"/>
      <c r="M414" s="128">
        <v>3</v>
      </c>
      <c r="N414" s="126"/>
      <c r="O414" s="126" t="s">
        <v>119</v>
      </c>
      <c r="P414" s="129"/>
      <c r="Q414" s="129"/>
      <c r="R414" s="126" t="s">
        <v>27</v>
      </c>
      <c r="S414" s="126"/>
      <c r="T414" s="130" t="s">
        <v>120</v>
      </c>
      <c r="U414" s="126" t="s">
        <v>378</v>
      </c>
      <c r="V414" s="130" t="s">
        <v>120</v>
      </c>
      <c r="W414" s="126"/>
      <c r="X414" s="130" t="s">
        <v>120</v>
      </c>
      <c r="Y414" s="126" t="s">
        <v>120</v>
      </c>
      <c r="Z414" s="162" t="s">
        <v>120</v>
      </c>
      <c r="AA414" s="154"/>
      <c r="AB414" s="154"/>
      <c r="AC414" s="167" t="s">
        <v>454</v>
      </c>
      <c r="AD414" s="126" t="s">
        <v>572</v>
      </c>
      <c r="AE414" s="130" t="s">
        <v>125</v>
      </c>
      <c r="AF414" s="127"/>
      <c r="AG414" s="131"/>
      <c r="AH414" s="131"/>
      <c r="AI414" s="126" t="s">
        <v>384</v>
      </c>
      <c r="AJ414" s="130" t="s">
        <v>120</v>
      </c>
      <c r="AK414" s="126" t="s">
        <v>123</v>
      </c>
      <c r="AL414" s="126"/>
      <c r="AM414" s="130"/>
      <c r="AN414" s="126"/>
      <c r="AO414" s="132"/>
      <c r="AP414" s="126"/>
      <c r="AQ414" s="126"/>
      <c r="AR414" s="130"/>
      <c r="AS414" s="126"/>
      <c r="AT414" s="127"/>
      <c r="AU414" s="127"/>
      <c r="AV414" s="127"/>
      <c r="AW414" s="127"/>
      <c r="AX414" s="127"/>
      <c r="AY414" s="127"/>
      <c r="AZ414" s="133"/>
      <c r="BA41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4" s="135">
        <f>COUNTIFS(_05preva_view43[Site ID],_05preva_view43[[#This Row],[Site ID]],_05preva_view43[Prevalidation Status],"Under Prevalidation")</f>
        <v>0</v>
      </c>
      <c r="BC414" s="153" t="str">
        <f ca="1">HYPERLINK(CheckPath(_05preva_view43[[#This Row],[File Path]],_05preva_view43[[#This Row],[File Path]],_05preva_view43[[#This Row],[Folder Path3]]),CheckPath(_05preva_view43[[#This Row],[File Path]],"Open File","No File"))</f>
        <v>No File</v>
      </c>
      <c r="BD414" s="136" t="str">
        <f>CONCATENATE(_05preva_view43[[#This Row],[Site ID]]," (",_05preva_view43[[#This Row],[tenant id]],") Application",IF(_05preva_view43[[#This Row],[Colo Rev]]&gt;0," Rev "&amp;_05preva_view43[[#This Row],[Colo Rev]],""),".xlsx")</f>
        <v>ANMD_0015 (MAW2998) Application.xlsx</v>
      </c>
      <c r="BE414" s="64">
        <f t="shared" ca="1" si="8"/>
        <v>50</v>
      </c>
      <c r="BF414" s="104" t="str">
        <f ca="1">LEFT(CELL("filename",A399),_05preva_view43[[#This Row],[Find Process &amp; Database]]-1)</f>
        <v>D:\OneDrive - apollo-towers.com\Apollo Towers\00-</v>
      </c>
      <c r="BG414" s="104" t="str">
        <f ca="1">_05preva_view43[Folder Path1]&amp;"Process &amp; Database\Documentation\Colo Applications"</f>
        <v>D:\OneDrive - apollo-towers.com\Apollo Towers\00-Process &amp; Database\Documentation\Colo Applications</v>
      </c>
      <c r="BH414" s="104" t="str">
        <f ca="1">_05preva_view43[Folder Path2]&amp;"\Colo App "&amp;_05preva_view43[[#This Row],[Operator]]&amp;"\"</f>
        <v>D:\OneDrive - apollo-towers.com\Apollo Towers\00-Process &amp; Database\Documentation\Colo Applications\Colo App OML\</v>
      </c>
      <c r="BI414" s="63" t="str">
        <f ca="1">_05preva_view43[[#This Row],[Folder Path3]]&amp;_05preva_view43[[#This Row],[File Name]]</f>
        <v>D:\OneDrive - apollo-towers.com\Apollo Towers\00-Process &amp; Database\Documentation\Colo Applications\Colo App OML\ANMD_0015 (MAW2998) Application.xlsx</v>
      </c>
      <c r="BJ414" s="104"/>
      <c r="BK414" s="3"/>
      <c r="BL414" s="3"/>
      <c r="CJ414" s="5"/>
      <c r="CK414" s="5"/>
      <c r="CL414" s="3"/>
      <c r="CN414" s="5"/>
      <c r="CR414" s="3"/>
      <c r="CS414" s="3"/>
      <c r="CT414" s="5"/>
      <c r="CV414" s="3"/>
      <c r="DR414" s="5"/>
      <c r="DT414" s="3"/>
      <c r="EF414" s="7"/>
      <c r="EG414" s="7"/>
      <c r="EJ414" s="4"/>
      <c r="EK414" s="4"/>
      <c r="EU414" s="2"/>
      <c r="EV414" s="2"/>
    </row>
    <row r="415" spans="1:152">
      <c r="A415" s="125">
        <v>151</v>
      </c>
      <c r="B415" s="126" t="s">
        <v>573</v>
      </c>
      <c r="C415" s="126" t="s">
        <v>116</v>
      </c>
      <c r="D415" s="126" t="s">
        <v>127</v>
      </c>
      <c r="E415" s="126" t="s">
        <v>574</v>
      </c>
      <c r="F415" s="126" t="s">
        <v>40</v>
      </c>
      <c r="G415" s="126" t="s">
        <v>118</v>
      </c>
      <c r="H415" s="126"/>
      <c r="I415" s="126" t="s">
        <v>118</v>
      </c>
      <c r="J415" s="126"/>
      <c r="K415" s="127">
        <v>43236</v>
      </c>
      <c r="L415" s="128"/>
      <c r="M415" s="128">
        <v>3</v>
      </c>
      <c r="N415" s="126"/>
      <c r="O415" s="126" t="s">
        <v>119</v>
      </c>
      <c r="P415" s="129"/>
      <c r="Q415" s="129"/>
      <c r="R415" s="126" t="s">
        <v>24</v>
      </c>
      <c r="S415" s="126"/>
      <c r="T415" s="130" t="s">
        <v>120</v>
      </c>
      <c r="U415" s="126" t="s">
        <v>378</v>
      </c>
      <c r="V415" s="130" t="s">
        <v>120</v>
      </c>
      <c r="W415" s="126"/>
      <c r="X415" s="130" t="s">
        <v>120</v>
      </c>
      <c r="Y415" s="126" t="s">
        <v>379</v>
      </c>
      <c r="Z415" s="162" t="s">
        <v>120</v>
      </c>
      <c r="AA415" s="154"/>
      <c r="AB415" s="154"/>
      <c r="AC415" s="167"/>
      <c r="AD415" s="126" t="s">
        <v>120</v>
      </c>
      <c r="AE415" s="130" t="s">
        <v>120</v>
      </c>
      <c r="AF415" s="127" t="s">
        <v>372</v>
      </c>
      <c r="AG415" s="131"/>
      <c r="AH415" s="131">
        <v>2</v>
      </c>
      <c r="AI415" s="126" t="s">
        <v>384</v>
      </c>
      <c r="AJ415" s="130" t="s">
        <v>120</v>
      </c>
      <c r="AK415" s="126" t="s">
        <v>123</v>
      </c>
      <c r="AL415" s="126"/>
      <c r="AM415" s="130"/>
      <c r="AN415" s="126"/>
      <c r="AO415" s="132"/>
      <c r="AP415" s="126"/>
      <c r="AQ415" s="126"/>
      <c r="AR415" s="130"/>
      <c r="AS415" s="126"/>
      <c r="AT415" s="127"/>
      <c r="AU415" s="127">
        <v>43453.379029513897</v>
      </c>
      <c r="AV415" s="127"/>
      <c r="AW415" s="127"/>
      <c r="AX415" s="127"/>
      <c r="AY415" s="127"/>
      <c r="AZ415" s="133">
        <v>43236</v>
      </c>
      <c r="BA41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5" s="135">
        <f>COUNTIFS(_05preva_view43[Site ID],_05preva_view43[[#This Row],[Site ID]],_05preva_view43[Prevalidation Status],"Under Prevalidation")</f>
        <v>0</v>
      </c>
      <c r="BC415" s="153" t="str">
        <f ca="1">HYPERLINK(CheckPath(_05preva_view43[[#This Row],[File Path]],_05preva_view43[[#This Row],[File Path]],_05preva_view43[[#This Row],[Folder Path3]]),CheckPath(_05preva_view43[[#This Row],[File Path]],"Open File","No File"))</f>
        <v>No File</v>
      </c>
      <c r="BD415" s="136" t="str">
        <f>CONCATENATE(_05preva_view43[[#This Row],[Site ID]]," (",_05preva_view43[[#This Row],[tenant id]],") Application",IF(_05preva_view43[[#This Row],[Colo Rev]]&gt;0," Rev "&amp;_05preva_view43[[#This Row],[Colo Rev]],""),".xlsx")</f>
        <v>ANSG_0351 (SAW0721) Application.xlsx</v>
      </c>
      <c r="BE415" s="64">
        <f t="shared" ca="1" si="8"/>
        <v>50</v>
      </c>
      <c r="BF415" s="104" t="str">
        <f ca="1">LEFT(CELL("filename",A400),_05preva_view43[[#This Row],[Find Process &amp; Database]]-1)</f>
        <v>D:\OneDrive - apollo-towers.com\Apollo Towers\00-</v>
      </c>
      <c r="BG415" s="104" t="str">
        <f ca="1">_05preva_view43[Folder Path1]&amp;"Process &amp; Database\Documentation\Colo Applications"</f>
        <v>D:\OneDrive - apollo-towers.com\Apollo Towers\00-Process &amp; Database\Documentation\Colo Applications</v>
      </c>
      <c r="BH415" s="104" t="str">
        <f ca="1">_05preva_view43[Folder Path2]&amp;"\Colo App "&amp;_05preva_view43[[#This Row],[Operator]]&amp;"\"</f>
        <v>D:\OneDrive - apollo-towers.com\Apollo Towers\00-Process &amp; Database\Documentation\Colo Applications\Colo App OML\</v>
      </c>
      <c r="BI415" s="63" t="str">
        <f ca="1">_05preva_view43[[#This Row],[Folder Path3]]&amp;_05preva_view43[[#This Row],[File Name]]</f>
        <v>D:\OneDrive - apollo-towers.com\Apollo Towers\00-Process &amp; Database\Documentation\Colo Applications\Colo App OML\ANSG_0351 (SAW0721) Application.xlsx</v>
      </c>
      <c r="BJ415" s="104"/>
      <c r="BK415" s="3"/>
      <c r="BL415" s="3"/>
      <c r="CJ415" s="5"/>
      <c r="CK415" s="5"/>
      <c r="CL415" s="3"/>
      <c r="CN415" s="5"/>
      <c r="CR415" s="3"/>
      <c r="CS415" s="3"/>
      <c r="CT415" s="5"/>
      <c r="CV415" s="3"/>
      <c r="DR415" s="5"/>
      <c r="DT415" s="3"/>
      <c r="EF415" s="7"/>
      <c r="EG415" s="7"/>
      <c r="EJ415" s="4"/>
      <c r="EK415" s="4"/>
      <c r="EU415" s="2"/>
      <c r="EV415" s="2"/>
    </row>
    <row r="416" spans="1:152">
      <c r="A416" s="125">
        <v>152</v>
      </c>
      <c r="B416" s="126" t="s">
        <v>575</v>
      </c>
      <c r="C416" s="126" t="s">
        <v>116</v>
      </c>
      <c r="D416" s="126" t="s">
        <v>127</v>
      </c>
      <c r="E416" s="126" t="s">
        <v>576</v>
      </c>
      <c r="F416" s="126" t="s">
        <v>40</v>
      </c>
      <c r="G416" s="126" t="s">
        <v>118</v>
      </c>
      <c r="H416" s="126"/>
      <c r="I416" s="126" t="s">
        <v>118</v>
      </c>
      <c r="J416" s="126"/>
      <c r="K416" s="127">
        <v>43236</v>
      </c>
      <c r="L416" s="128"/>
      <c r="M416" s="128">
        <v>3</v>
      </c>
      <c r="N416" s="126"/>
      <c r="O416" s="126" t="s">
        <v>119</v>
      </c>
      <c r="P416" s="129"/>
      <c r="Q416" s="129"/>
      <c r="R416" s="126" t="s">
        <v>24</v>
      </c>
      <c r="S416" s="126"/>
      <c r="T416" s="130" t="s">
        <v>120</v>
      </c>
      <c r="U416" s="126" t="s">
        <v>378</v>
      </c>
      <c r="V416" s="130" t="s">
        <v>120</v>
      </c>
      <c r="W416" s="126"/>
      <c r="X416" s="130" t="s">
        <v>120</v>
      </c>
      <c r="Y416" s="126" t="s">
        <v>120</v>
      </c>
      <c r="Z416" s="162" t="s">
        <v>120</v>
      </c>
      <c r="AA416" s="154"/>
      <c r="AB416" s="154"/>
      <c r="AC416" s="167"/>
      <c r="AD416" s="126" t="s">
        <v>120</v>
      </c>
      <c r="AE416" s="130" t="s">
        <v>120</v>
      </c>
      <c r="AF416" s="127" t="s">
        <v>372</v>
      </c>
      <c r="AG416" s="131"/>
      <c r="AH416" s="131">
        <v>2</v>
      </c>
      <c r="AI416" s="126" t="s">
        <v>384</v>
      </c>
      <c r="AJ416" s="130" t="s">
        <v>120</v>
      </c>
      <c r="AK416" s="126" t="s">
        <v>123</v>
      </c>
      <c r="AL416" s="126"/>
      <c r="AM416" s="130"/>
      <c r="AN416" s="126"/>
      <c r="AO416" s="132"/>
      <c r="AP416" s="126"/>
      <c r="AQ416" s="126"/>
      <c r="AR416" s="130"/>
      <c r="AS416" s="126"/>
      <c r="AT416" s="127"/>
      <c r="AU416" s="127">
        <v>43453.379030324097</v>
      </c>
      <c r="AV416" s="127"/>
      <c r="AW416" s="127"/>
      <c r="AX416" s="127"/>
      <c r="AY416" s="127"/>
      <c r="AZ416" s="133">
        <v>43236</v>
      </c>
      <c r="BA41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6" s="135">
        <f>COUNTIFS(_05preva_view43[Site ID],_05preva_view43[[#This Row],[Site ID]],_05preva_view43[Prevalidation Status],"Under Prevalidation")</f>
        <v>0</v>
      </c>
      <c r="BC416" s="153" t="str">
        <f ca="1">HYPERLINK(CheckPath(_05preva_view43[[#This Row],[File Path]],_05preva_view43[[#This Row],[File Path]],_05preva_view43[[#This Row],[Folder Path3]]),CheckPath(_05preva_view43[[#This Row],[File Path]],"Open File","No File"))</f>
        <v>No File</v>
      </c>
      <c r="BD416" s="136" t="str">
        <f>CONCATENATE(_05preva_view43[[#This Row],[Site ID]]," (",_05preva_view43[[#This Row],[tenant id]],") Application",IF(_05preva_view43[[#This Row],[Colo Rev]]&gt;0," Rev "&amp;_05preva_view43[[#This Row],[Colo Rev]],""),".xlsx")</f>
        <v>ANSG_0358 (SAW0716) Application.xlsx</v>
      </c>
      <c r="BE416" s="64">
        <f t="shared" ca="1" si="8"/>
        <v>50</v>
      </c>
      <c r="BF416" s="104" t="str">
        <f ca="1">LEFT(CELL("filename",A401),_05preva_view43[[#This Row],[Find Process &amp; Database]]-1)</f>
        <v>D:\OneDrive - apollo-towers.com\Apollo Towers\00-</v>
      </c>
      <c r="BG416" s="104" t="str">
        <f ca="1">_05preva_view43[Folder Path1]&amp;"Process &amp; Database\Documentation\Colo Applications"</f>
        <v>D:\OneDrive - apollo-towers.com\Apollo Towers\00-Process &amp; Database\Documentation\Colo Applications</v>
      </c>
      <c r="BH416" s="104" t="str">
        <f ca="1">_05preva_view43[Folder Path2]&amp;"\Colo App "&amp;_05preva_view43[[#This Row],[Operator]]&amp;"\"</f>
        <v>D:\OneDrive - apollo-towers.com\Apollo Towers\00-Process &amp; Database\Documentation\Colo Applications\Colo App OML\</v>
      </c>
      <c r="BI416" s="63" t="str">
        <f ca="1">_05preva_view43[[#This Row],[Folder Path3]]&amp;_05preva_view43[[#This Row],[File Name]]</f>
        <v>D:\OneDrive - apollo-towers.com\Apollo Towers\00-Process &amp; Database\Documentation\Colo Applications\Colo App OML\ANSG_0358 (SAW0716) Application.xlsx</v>
      </c>
      <c r="BJ416" s="104"/>
      <c r="BK416" s="3"/>
      <c r="BL416" s="3"/>
      <c r="CJ416" s="5"/>
      <c r="CK416" s="5"/>
      <c r="CL416" s="3"/>
      <c r="CN416" s="5"/>
      <c r="CR416" s="3"/>
      <c r="CS416" s="3"/>
      <c r="CT416" s="5"/>
      <c r="CV416" s="3"/>
      <c r="DR416" s="5"/>
      <c r="DT416" s="3"/>
      <c r="EF416" s="7"/>
      <c r="EG416" s="7"/>
      <c r="EJ416" s="4"/>
      <c r="EK416" s="4"/>
      <c r="EU416" s="2"/>
      <c r="EV416" s="2"/>
    </row>
    <row r="417" spans="1:152">
      <c r="A417" s="125">
        <v>153</v>
      </c>
      <c r="B417" s="126" t="s">
        <v>577</v>
      </c>
      <c r="C417" s="126" t="s">
        <v>116</v>
      </c>
      <c r="D417" s="126" t="s">
        <v>127</v>
      </c>
      <c r="E417" s="126" t="s">
        <v>578</v>
      </c>
      <c r="F417" s="126" t="s">
        <v>40</v>
      </c>
      <c r="G417" s="126" t="s">
        <v>118</v>
      </c>
      <c r="H417" s="126"/>
      <c r="I417" s="126" t="s">
        <v>118</v>
      </c>
      <c r="J417" s="126"/>
      <c r="K417" s="127">
        <v>43236</v>
      </c>
      <c r="L417" s="128"/>
      <c r="M417" s="128">
        <v>3</v>
      </c>
      <c r="N417" s="126"/>
      <c r="O417" s="126" t="s">
        <v>119</v>
      </c>
      <c r="P417" s="129"/>
      <c r="Q417" s="129"/>
      <c r="R417" s="126" t="s">
        <v>27</v>
      </c>
      <c r="S417" s="126" t="s">
        <v>428</v>
      </c>
      <c r="T417" s="130" t="s">
        <v>120</v>
      </c>
      <c r="U417" s="126" t="s">
        <v>403</v>
      </c>
      <c r="V417" s="130" t="s">
        <v>120</v>
      </c>
      <c r="W417" s="126"/>
      <c r="X417" s="130" t="s">
        <v>120</v>
      </c>
      <c r="Y417" s="126" t="s">
        <v>404</v>
      </c>
      <c r="Z417" s="162" t="s">
        <v>125</v>
      </c>
      <c r="AA417" s="154"/>
      <c r="AB417" s="154"/>
      <c r="AC417" s="167" t="s">
        <v>123</v>
      </c>
      <c r="AD417" s="126" t="s">
        <v>430</v>
      </c>
      <c r="AE417" s="130" t="s">
        <v>120</v>
      </c>
      <c r="AF417" s="127" t="s">
        <v>479</v>
      </c>
      <c r="AG417" s="131"/>
      <c r="AH417" s="131">
        <v>2</v>
      </c>
      <c r="AI417" s="126" t="s">
        <v>512</v>
      </c>
      <c r="AJ417" s="130" t="s">
        <v>120</v>
      </c>
      <c r="AK417" s="126" t="s">
        <v>123</v>
      </c>
      <c r="AL417" s="126" t="s">
        <v>579</v>
      </c>
      <c r="AM417" s="130"/>
      <c r="AN417" s="126"/>
      <c r="AO417" s="132"/>
      <c r="AP417" s="126"/>
      <c r="AQ417" s="126"/>
      <c r="AR417" s="130"/>
      <c r="AS417" s="126"/>
      <c r="AT417" s="127"/>
      <c r="AU417" s="127">
        <v>43453.3790310185</v>
      </c>
      <c r="AV417" s="127"/>
      <c r="AW417" s="127"/>
      <c r="AX417" s="127"/>
      <c r="AY417" s="127"/>
      <c r="AZ417" s="133">
        <v>43453.3790310185</v>
      </c>
      <c r="BA417" s="134">
        <f ca="1">IF(_05preva_view43[[#This Row],[Prevalidation Status]]="Under Prevalidation",NOW()-_05preva_view43[[#This Row],[Request Date]],IF(_05preva_view43[[#This Row],[Close Date]]&gt;_05preva_view43[[#This Row],[Request Date]],_05preva_view43[[#This Row],[Close Date]]-_05preva_view43[[#This Row],[Request Date]],"Not  Calculated"))</f>
        <v>217.37903101849952</v>
      </c>
      <c r="BB417" s="135">
        <f>COUNTIFS(_05preva_view43[Site ID],_05preva_view43[[#This Row],[Site ID]],_05preva_view43[Prevalidation Status],"Under Prevalidation")</f>
        <v>0</v>
      </c>
      <c r="BC417" s="153" t="str">
        <f ca="1">HYPERLINK(CheckPath(_05preva_view43[[#This Row],[File Path]],_05preva_view43[[#This Row],[File Path]],_05preva_view43[[#This Row],[Folder Path3]]),CheckPath(_05preva_view43[[#This Row],[File Path]],"Open File","No File"))</f>
        <v>No File</v>
      </c>
      <c r="BD417" s="136" t="str">
        <f>CONCATENATE(_05preva_view43[[#This Row],[Site ID]]," (",_05preva_view43[[#This Row],[tenant id]],") Application",IF(_05preva_view43[[#This Row],[Colo Rev]]&gt;0," Rev "&amp;_05preva_view43[[#This Row],[Colo Rev]],""),".xlsx")</f>
        <v>ANMD_0012 (MAW2977) Application.xlsx</v>
      </c>
      <c r="BE417" s="64">
        <f t="shared" ca="1" si="8"/>
        <v>50</v>
      </c>
      <c r="BF417" s="104" t="str">
        <f ca="1">LEFT(CELL("filename",A402),_05preva_view43[[#This Row],[Find Process &amp; Database]]-1)</f>
        <v>D:\OneDrive - apollo-towers.com\Apollo Towers\00-</v>
      </c>
      <c r="BG417" s="104" t="str">
        <f ca="1">_05preva_view43[Folder Path1]&amp;"Process &amp; Database\Documentation\Colo Applications"</f>
        <v>D:\OneDrive - apollo-towers.com\Apollo Towers\00-Process &amp; Database\Documentation\Colo Applications</v>
      </c>
      <c r="BH417" s="104" t="str">
        <f ca="1">_05preva_view43[Folder Path2]&amp;"\Colo App "&amp;_05preva_view43[[#This Row],[Operator]]&amp;"\"</f>
        <v>D:\OneDrive - apollo-towers.com\Apollo Towers\00-Process &amp; Database\Documentation\Colo Applications\Colo App OML\</v>
      </c>
      <c r="BI417" s="63" t="str">
        <f ca="1">_05preva_view43[[#This Row],[Folder Path3]]&amp;_05preva_view43[[#This Row],[File Name]]</f>
        <v>D:\OneDrive - apollo-towers.com\Apollo Towers\00-Process &amp; Database\Documentation\Colo Applications\Colo App OML\ANMD_0012 (MAW2977) Application.xlsx</v>
      </c>
      <c r="BJ417" s="104"/>
      <c r="BK417" s="3"/>
      <c r="BL417" s="3"/>
      <c r="CJ417" s="5"/>
      <c r="CK417" s="5"/>
      <c r="CL417" s="3"/>
      <c r="CN417" s="5"/>
      <c r="CR417" s="3"/>
      <c r="CS417" s="3"/>
      <c r="CT417" s="5"/>
      <c r="CV417" s="3"/>
      <c r="DR417" s="5"/>
      <c r="DT417" s="3"/>
      <c r="EF417" s="7"/>
      <c r="EG417" s="7"/>
      <c r="EJ417" s="4"/>
      <c r="EK417" s="4"/>
      <c r="EU417" s="2"/>
      <c r="EV417" s="2"/>
    </row>
    <row r="418" spans="1:152">
      <c r="A418" s="125">
        <v>155</v>
      </c>
      <c r="B418" s="126" t="s">
        <v>580</v>
      </c>
      <c r="C418" s="126" t="s">
        <v>116</v>
      </c>
      <c r="D418" s="126" t="s">
        <v>127</v>
      </c>
      <c r="E418" s="126" t="s">
        <v>581</v>
      </c>
      <c r="F418" s="126" t="s">
        <v>40</v>
      </c>
      <c r="G418" s="126" t="s">
        <v>118</v>
      </c>
      <c r="H418" s="126"/>
      <c r="I418" s="126" t="s">
        <v>118</v>
      </c>
      <c r="J418" s="126"/>
      <c r="K418" s="127">
        <v>43236</v>
      </c>
      <c r="L418" s="128"/>
      <c r="M418" s="128">
        <v>3</v>
      </c>
      <c r="N418" s="126"/>
      <c r="O418" s="126" t="s">
        <v>119</v>
      </c>
      <c r="P418" s="129"/>
      <c r="Q418" s="129"/>
      <c r="R418" s="126" t="s">
        <v>24</v>
      </c>
      <c r="S418" s="126"/>
      <c r="T418" s="130" t="s">
        <v>120</v>
      </c>
      <c r="U418" s="126" t="s">
        <v>378</v>
      </c>
      <c r="V418" s="130" t="s">
        <v>120</v>
      </c>
      <c r="W418" s="126"/>
      <c r="X418" s="130" t="s">
        <v>120</v>
      </c>
      <c r="Y418" s="126" t="s">
        <v>120</v>
      </c>
      <c r="Z418" s="162" t="s">
        <v>120</v>
      </c>
      <c r="AA418" s="154"/>
      <c r="AB418" s="154"/>
      <c r="AC418" s="167"/>
      <c r="AD418" s="126" t="s">
        <v>419</v>
      </c>
      <c r="AE418" s="130" t="s">
        <v>120</v>
      </c>
      <c r="AF418" s="127" t="s">
        <v>372</v>
      </c>
      <c r="AG418" s="131"/>
      <c r="AH418" s="131">
        <v>2</v>
      </c>
      <c r="AI418" s="126" t="s">
        <v>384</v>
      </c>
      <c r="AJ418" s="130" t="s">
        <v>120</v>
      </c>
      <c r="AK418" s="126" t="s">
        <v>123</v>
      </c>
      <c r="AL418" s="126"/>
      <c r="AM418" s="130"/>
      <c r="AN418" s="126"/>
      <c r="AO418" s="132"/>
      <c r="AP418" s="126"/>
      <c r="AQ418" s="126"/>
      <c r="AR418" s="130"/>
      <c r="AS418" s="126"/>
      <c r="AT418" s="127"/>
      <c r="AU418" s="127">
        <v>43453.379031712997</v>
      </c>
      <c r="AV418" s="127"/>
      <c r="AW418" s="127"/>
      <c r="AX418" s="127"/>
      <c r="AY418" s="127"/>
      <c r="AZ418" s="133">
        <v>43236</v>
      </c>
      <c r="BA41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8" s="135">
        <f>COUNTIFS(_05preva_view43[Site ID],_05preva_view43[[#This Row],[Site ID]],_05preva_view43[Prevalidation Status],"Under Prevalidation")</f>
        <v>0</v>
      </c>
      <c r="BC418" s="153" t="str">
        <f ca="1">HYPERLINK(CheckPath(_05preva_view43[[#This Row],[File Path]],_05preva_view43[[#This Row],[File Path]],_05preva_view43[[#This Row],[Folder Path3]]),CheckPath(_05preva_view43[[#This Row],[File Path]],"Open File","No File"))</f>
        <v>No File</v>
      </c>
      <c r="BD418" s="136" t="str">
        <f>CONCATENATE(_05preva_view43[[#This Row],[Site ID]]," (",_05preva_view43[[#This Row],[tenant id]],") Application",IF(_05preva_view43[[#This Row],[Colo Rev]]&gt;0," Rev "&amp;_05preva_view43[[#This Row],[Colo Rev]],""),".xlsx")</f>
        <v>ANSG_0349 (SAW0714) Application.xlsx</v>
      </c>
      <c r="BE418" s="64">
        <f t="shared" ca="1" si="8"/>
        <v>50</v>
      </c>
      <c r="BF418" s="104" t="str">
        <f ca="1">LEFT(CELL("filename",A403),_05preva_view43[[#This Row],[Find Process &amp; Database]]-1)</f>
        <v>D:\OneDrive - apollo-towers.com\Apollo Towers\00-</v>
      </c>
      <c r="BG418" s="104" t="str">
        <f ca="1">_05preva_view43[Folder Path1]&amp;"Process &amp; Database\Documentation\Colo Applications"</f>
        <v>D:\OneDrive - apollo-towers.com\Apollo Towers\00-Process &amp; Database\Documentation\Colo Applications</v>
      </c>
      <c r="BH418" s="104" t="str">
        <f ca="1">_05preva_view43[Folder Path2]&amp;"\Colo App "&amp;_05preva_view43[[#This Row],[Operator]]&amp;"\"</f>
        <v>D:\OneDrive - apollo-towers.com\Apollo Towers\00-Process &amp; Database\Documentation\Colo Applications\Colo App OML\</v>
      </c>
      <c r="BI418" s="63" t="str">
        <f ca="1">_05preva_view43[[#This Row],[Folder Path3]]&amp;_05preva_view43[[#This Row],[File Name]]</f>
        <v>D:\OneDrive - apollo-towers.com\Apollo Towers\00-Process &amp; Database\Documentation\Colo Applications\Colo App OML\ANSG_0349 (SAW0714) Application.xlsx</v>
      </c>
      <c r="BJ418" s="104"/>
      <c r="BK418" s="3"/>
      <c r="BL418" s="3"/>
      <c r="CJ418" s="5"/>
      <c r="CK418" s="5"/>
      <c r="CL418" s="3"/>
      <c r="CN418" s="5"/>
      <c r="CR418" s="3"/>
      <c r="CS418" s="3"/>
      <c r="CT418" s="5"/>
      <c r="CV418" s="3"/>
      <c r="DR418" s="5"/>
      <c r="DT418" s="3"/>
      <c r="EF418" s="7"/>
      <c r="EG418" s="7"/>
      <c r="EJ418" s="4"/>
      <c r="EK418" s="4"/>
      <c r="EU418" s="2"/>
      <c r="EV418" s="2"/>
    </row>
    <row r="419" spans="1:152">
      <c r="A419" s="125">
        <v>156</v>
      </c>
      <c r="B419" s="126" t="s">
        <v>582</v>
      </c>
      <c r="C419" s="126" t="s">
        <v>116</v>
      </c>
      <c r="D419" s="126" t="s">
        <v>127</v>
      </c>
      <c r="E419" s="126" t="s">
        <v>583</v>
      </c>
      <c r="F419" s="126" t="s">
        <v>40</v>
      </c>
      <c r="G419" s="126" t="s">
        <v>118</v>
      </c>
      <c r="H419" s="126"/>
      <c r="I419" s="126" t="s">
        <v>118</v>
      </c>
      <c r="J419" s="126"/>
      <c r="K419" s="127">
        <v>43236</v>
      </c>
      <c r="L419" s="128"/>
      <c r="M419" s="128">
        <v>3</v>
      </c>
      <c r="N419" s="126"/>
      <c r="O419" s="126" t="s">
        <v>119</v>
      </c>
      <c r="P419" s="129"/>
      <c r="Q419" s="129"/>
      <c r="R419" s="126" t="s">
        <v>24</v>
      </c>
      <c r="S419" s="126" t="s">
        <v>584</v>
      </c>
      <c r="T419" s="130" t="s">
        <v>120</v>
      </c>
      <c r="U419" s="126" t="s">
        <v>403</v>
      </c>
      <c r="V419" s="130" t="s">
        <v>120</v>
      </c>
      <c r="W419" s="126"/>
      <c r="X419" s="130" t="s">
        <v>120</v>
      </c>
      <c r="Y419" s="126" t="s">
        <v>404</v>
      </c>
      <c r="Z419" s="162" t="s">
        <v>125</v>
      </c>
      <c r="AA419" s="154"/>
      <c r="AB419" s="154"/>
      <c r="AC419" s="167" t="s">
        <v>123</v>
      </c>
      <c r="AD419" s="126" t="s">
        <v>405</v>
      </c>
      <c r="AE419" s="130" t="s">
        <v>120</v>
      </c>
      <c r="AF419" s="127" t="s">
        <v>511</v>
      </c>
      <c r="AG419" s="131"/>
      <c r="AH419" s="131">
        <v>2</v>
      </c>
      <c r="AI419" s="126" t="s">
        <v>512</v>
      </c>
      <c r="AJ419" s="130" t="s">
        <v>120</v>
      </c>
      <c r="AK419" s="126" t="s">
        <v>240</v>
      </c>
      <c r="AL419" s="126" t="s">
        <v>585</v>
      </c>
      <c r="AM419" s="130"/>
      <c r="AN419" s="126"/>
      <c r="AO419" s="132"/>
      <c r="AP419" s="126"/>
      <c r="AQ419" s="126"/>
      <c r="AR419" s="130"/>
      <c r="AS419" s="126"/>
      <c r="AT419" s="127"/>
      <c r="AU419" s="127">
        <v>43453.3790324074</v>
      </c>
      <c r="AV419" s="127"/>
      <c r="AW419" s="127"/>
      <c r="AX419" s="127"/>
      <c r="AY419" s="127"/>
      <c r="AZ419" s="133">
        <v>43236</v>
      </c>
      <c r="BA41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9" s="135">
        <f>COUNTIFS(_05preva_view43[Site ID],_05preva_view43[[#This Row],[Site ID]],_05preva_view43[Prevalidation Status],"Under Prevalidation")</f>
        <v>0</v>
      </c>
      <c r="BC419" s="153" t="str">
        <f ca="1">HYPERLINK(CheckPath(_05preva_view43[[#This Row],[File Path]],_05preva_view43[[#This Row],[File Path]],_05preva_view43[[#This Row],[Folder Path3]]),CheckPath(_05preva_view43[[#This Row],[File Path]],"Open File","No File"))</f>
        <v>No File</v>
      </c>
      <c r="BD419" s="136" t="str">
        <f>CONCATENATE(_05preva_view43[[#This Row],[Site ID]]," (",_05preva_view43[[#This Row],[tenant id]],") Application",IF(_05preva_view43[[#This Row],[Colo Rev]]&gt;0," Rev "&amp;_05preva_view43[[#This Row],[Colo Rev]],""),".xlsx")</f>
        <v>ANMD_0163 (MAW2983) Application.xlsx</v>
      </c>
      <c r="BE419" s="64">
        <f t="shared" ca="1" si="8"/>
        <v>50</v>
      </c>
      <c r="BF419" s="104" t="str">
        <f ca="1">LEFT(CELL("filename",A404),_05preva_view43[[#This Row],[Find Process &amp; Database]]-1)</f>
        <v>D:\OneDrive - apollo-towers.com\Apollo Towers\00-</v>
      </c>
      <c r="BG419" s="104" t="str">
        <f ca="1">_05preva_view43[Folder Path1]&amp;"Process &amp; Database\Documentation\Colo Applications"</f>
        <v>D:\OneDrive - apollo-towers.com\Apollo Towers\00-Process &amp; Database\Documentation\Colo Applications</v>
      </c>
      <c r="BH419" s="104" t="str">
        <f ca="1">_05preva_view43[Folder Path2]&amp;"\Colo App "&amp;_05preva_view43[[#This Row],[Operator]]&amp;"\"</f>
        <v>D:\OneDrive - apollo-towers.com\Apollo Towers\00-Process &amp; Database\Documentation\Colo Applications\Colo App OML\</v>
      </c>
      <c r="BI419" s="63" t="str">
        <f ca="1">_05preva_view43[[#This Row],[Folder Path3]]&amp;_05preva_view43[[#This Row],[File Name]]</f>
        <v>D:\OneDrive - apollo-towers.com\Apollo Towers\00-Process &amp; Database\Documentation\Colo Applications\Colo App OML\ANMD_0163 (MAW2983) Application.xlsx</v>
      </c>
      <c r="BJ419" s="104"/>
      <c r="BK419" s="3"/>
      <c r="BL419" s="3"/>
      <c r="CJ419" s="5"/>
      <c r="CK419" s="5"/>
      <c r="CL419" s="3"/>
      <c r="CN419" s="5"/>
      <c r="CR419" s="3"/>
      <c r="CS419" s="3"/>
      <c r="CT419" s="5"/>
      <c r="CV419" s="3"/>
      <c r="DR419" s="5"/>
      <c r="DT419" s="3"/>
      <c r="EF419" s="7"/>
      <c r="EG419" s="7"/>
      <c r="EJ419" s="4"/>
      <c r="EK419" s="4"/>
      <c r="EU419" s="2"/>
      <c r="EV419" s="2"/>
    </row>
    <row r="420" spans="1:152">
      <c r="A420" s="125">
        <v>157</v>
      </c>
      <c r="B420" s="126" t="s">
        <v>586</v>
      </c>
      <c r="C420" s="126" t="s">
        <v>116</v>
      </c>
      <c r="D420" s="126" t="s">
        <v>127</v>
      </c>
      <c r="E420" s="126" t="s">
        <v>587</v>
      </c>
      <c r="F420" s="126" t="s">
        <v>40</v>
      </c>
      <c r="G420" s="126" t="s">
        <v>118</v>
      </c>
      <c r="H420" s="126"/>
      <c r="I420" s="126" t="s">
        <v>118</v>
      </c>
      <c r="J420" s="126"/>
      <c r="K420" s="127">
        <v>43236</v>
      </c>
      <c r="L420" s="128"/>
      <c r="M420" s="128">
        <v>3</v>
      </c>
      <c r="N420" s="126"/>
      <c r="O420" s="126" t="s">
        <v>119</v>
      </c>
      <c r="P420" s="129"/>
      <c r="Q420" s="129"/>
      <c r="R420" s="126" t="s">
        <v>26</v>
      </c>
      <c r="S420" s="126"/>
      <c r="T420" s="130" t="s">
        <v>120</v>
      </c>
      <c r="U420" s="126" t="s">
        <v>378</v>
      </c>
      <c r="V420" s="130" t="s">
        <v>120</v>
      </c>
      <c r="W420" s="126"/>
      <c r="X420" s="130" t="s">
        <v>120</v>
      </c>
      <c r="Y420" s="126" t="s">
        <v>120</v>
      </c>
      <c r="Z420" s="162" t="s">
        <v>120</v>
      </c>
      <c r="AA420" s="154"/>
      <c r="AB420" s="154"/>
      <c r="AC420" s="167"/>
      <c r="AD420" s="126" t="s">
        <v>120</v>
      </c>
      <c r="AE420" s="130" t="s">
        <v>144</v>
      </c>
      <c r="AF420" s="127"/>
      <c r="AG420" s="131"/>
      <c r="AH420" s="131">
        <v>2</v>
      </c>
      <c r="AI420" s="126" t="s">
        <v>588</v>
      </c>
      <c r="AJ420" s="130" t="s">
        <v>120</v>
      </c>
      <c r="AK420" s="126" t="s">
        <v>123</v>
      </c>
      <c r="AL420" s="126"/>
      <c r="AM420" s="130"/>
      <c r="AN420" s="126"/>
      <c r="AO420" s="132"/>
      <c r="AP420" s="126"/>
      <c r="AQ420" s="126"/>
      <c r="AR420" s="130"/>
      <c r="AS420" s="126"/>
      <c r="AT420" s="127"/>
      <c r="AU420" s="127"/>
      <c r="AV420" s="127"/>
      <c r="AW420" s="127"/>
      <c r="AX420" s="127"/>
      <c r="AY420" s="127"/>
      <c r="AZ420" s="133">
        <v>43236</v>
      </c>
      <c r="BA42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0" s="135">
        <f>COUNTIFS(_05preva_view43[Site ID],_05preva_view43[[#This Row],[Site ID]],_05preva_view43[Prevalidation Status],"Under Prevalidation")</f>
        <v>0</v>
      </c>
      <c r="BC420" s="153" t="str">
        <f ca="1">HYPERLINK(CheckPath(_05preva_view43[[#This Row],[File Path]],_05preva_view43[[#This Row],[File Path]],_05preva_view43[[#This Row],[Folder Path3]]),CheckPath(_05preva_view43[[#This Row],[File Path]],"Open File","No File"))</f>
        <v>No File</v>
      </c>
      <c r="BD420" s="136" t="str">
        <f>CONCATENATE(_05preva_view43[[#This Row],[Site ID]]," (",_05preva_view43[[#This Row],[tenant id]],") Application",IF(_05preva_view43[[#This Row],[Colo Rev]]&gt;0," Rev "&amp;_05preva_view43[[#This Row],[Colo Rev]],""),".xlsx")</f>
        <v>ANSG_0377 (SAW0728) Application.xlsx</v>
      </c>
      <c r="BE420" s="64">
        <f t="shared" ca="1" si="8"/>
        <v>50</v>
      </c>
      <c r="BF420" s="104" t="str">
        <f ca="1">LEFT(CELL("filename",A405),_05preva_view43[[#This Row],[Find Process &amp; Database]]-1)</f>
        <v>D:\OneDrive - apollo-towers.com\Apollo Towers\00-</v>
      </c>
      <c r="BG420" s="104" t="str">
        <f ca="1">_05preva_view43[Folder Path1]&amp;"Process &amp; Database\Documentation\Colo Applications"</f>
        <v>D:\OneDrive - apollo-towers.com\Apollo Towers\00-Process &amp; Database\Documentation\Colo Applications</v>
      </c>
      <c r="BH420" s="104" t="str">
        <f ca="1">_05preva_view43[Folder Path2]&amp;"\Colo App "&amp;_05preva_view43[[#This Row],[Operator]]&amp;"\"</f>
        <v>D:\OneDrive - apollo-towers.com\Apollo Towers\00-Process &amp; Database\Documentation\Colo Applications\Colo App OML\</v>
      </c>
      <c r="BI420" s="63" t="str">
        <f ca="1">_05preva_view43[[#This Row],[Folder Path3]]&amp;_05preva_view43[[#This Row],[File Name]]</f>
        <v>D:\OneDrive - apollo-towers.com\Apollo Towers\00-Process &amp; Database\Documentation\Colo Applications\Colo App OML\ANSG_0377 (SAW0728) Application.xlsx</v>
      </c>
      <c r="BJ420" s="104"/>
      <c r="BK420" s="3"/>
      <c r="BL420" s="3"/>
      <c r="CJ420" s="5"/>
      <c r="CK420" s="5"/>
      <c r="CL420" s="3"/>
      <c r="CN420" s="5"/>
      <c r="CR420" s="3"/>
      <c r="CS420" s="3"/>
      <c r="CT420" s="5"/>
      <c r="CV420" s="3"/>
      <c r="DR420" s="5"/>
      <c r="DT420" s="3"/>
      <c r="EF420" s="7"/>
      <c r="EG420" s="7"/>
      <c r="EJ420" s="4"/>
      <c r="EK420" s="4"/>
      <c r="EU420" s="2"/>
      <c r="EV420" s="2"/>
    </row>
    <row r="421" spans="1:152">
      <c r="A421" s="125">
        <v>159</v>
      </c>
      <c r="B421" s="126" t="s">
        <v>589</v>
      </c>
      <c r="C421" s="126" t="s">
        <v>116</v>
      </c>
      <c r="D421" s="126" t="s">
        <v>163</v>
      </c>
      <c r="E421" s="126" t="s">
        <v>590</v>
      </c>
      <c r="F421" s="126" t="s">
        <v>40</v>
      </c>
      <c r="G421" s="126" t="s">
        <v>118</v>
      </c>
      <c r="H421" s="126"/>
      <c r="I421" s="126" t="s">
        <v>118</v>
      </c>
      <c r="J421" s="126"/>
      <c r="K421" s="127">
        <v>43236</v>
      </c>
      <c r="L421" s="128"/>
      <c r="M421" s="128">
        <v>3</v>
      </c>
      <c r="N421" s="126"/>
      <c r="O421" s="126" t="s">
        <v>119</v>
      </c>
      <c r="P421" s="129"/>
      <c r="Q421" s="129"/>
      <c r="R421" s="126" t="s">
        <v>27</v>
      </c>
      <c r="S421" s="126"/>
      <c r="T421" s="130" t="s">
        <v>120</v>
      </c>
      <c r="U421" s="126" t="s">
        <v>378</v>
      </c>
      <c r="V421" s="130" t="s">
        <v>125</v>
      </c>
      <c r="W421" s="126"/>
      <c r="X421" s="130" t="s">
        <v>120</v>
      </c>
      <c r="Y421" s="126" t="s">
        <v>120</v>
      </c>
      <c r="Z421" s="162" t="s">
        <v>120</v>
      </c>
      <c r="AA421" s="154"/>
      <c r="AB421" s="154"/>
      <c r="AC421" s="167" t="s">
        <v>454</v>
      </c>
      <c r="AD421" s="126"/>
      <c r="AE421" s="130" t="s">
        <v>125</v>
      </c>
      <c r="AF421" s="127"/>
      <c r="AG421" s="131"/>
      <c r="AH421" s="131"/>
      <c r="AI421" s="126" t="s">
        <v>591</v>
      </c>
      <c r="AJ421" s="130" t="s">
        <v>120</v>
      </c>
      <c r="AK421" s="126" t="s">
        <v>123</v>
      </c>
      <c r="AL421" s="126"/>
      <c r="AM421" s="130"/>
      <c r="AN421" s="126"/>
      <c r="AO421" s="132"/>
      <c r="AP421" s="126"/>
      <c r="AQ421" s="126"/>
      <c r="AR421" s="130"/>
      <c r="AS421" s="126"/>
      <c r="AT421" s="127"/>
      <c r="AU421" s="127"/>
      <c r="AV421" s="127"/>
      <c r="AW421" s="127"/>
      <c r="AX421" s="127"/>
      <c r="AY421" s="127"/>
      <c r="AZ421" s="133"/>
      <c r="BA42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1" s="135">
        <f>COUNTIFS(_05preva_view43[Site ID],_05preva_view43[[#This Row],[Site ID]],_05preva_view43[Prevalidation Status],"Under Prevalidation")</f>
        <v>0</v>
      </c>
      <c r="BC421" s="153" t="str">
        <f ca="1">HYPERLINK(CheckPath(_05preva_view43[[#This Row],[File Path]],_05preva_view43[[#This Row],[File Path]],_05preva_view43[[#This Row],[Folder Path3]]),CheckPath(_05preva_view43[[#This Row],[File Path]],"Open File","No File"))</f>
        <v>No File</v>
      </c>
      <c r="BD421" s="136" t="str">
        <f>CONCATENATE(_05preva_view43[[#This Row],[Site ID]]," (",_05preva_view43[[#This Row],[tenant id]],") Application",IF(_05preva_view43[[#This Row],[Colo Rev]]&gt;0," Rev "&amp;_05preva_view43[[#This Row],[Colo Rev]],""),".xlsx")</f>
        <v>ACAY_0146 (AYW5596) Application.xlsx</v>
      </c>
      <c r="BE421" s="64">
        <f t="shared" ca="1" si="8"/>
        <v>50</v>
      </c>
      <c r="BF421" s="104" t="str">
        <f ca="1">LEFT(CELL("filename",A406),_05preva_view43[[#This Row],[Find Process &amp; Database]]-1)</f>
        <v>D:\OneDrive - apollo-towers.com\Apollo Towers\00-</v>
      </c>
      <c r="BG421" s="104" t="str">
        <f ca="1">_05preva_view43[Folder Path1]&amp;"Process &amp; Database\Documentation\Colo Applications"</f>
        <v>D:\OneDrive - apollo-towers.com\Apollo Towers\00-Process &amp; Database\Documentation\Colo Applications</v>
      </c>
      <c r="BH421" s="104" t="str">
        <f ca="1">_05preva_view43[Folder Path2]&amp;"\Colo App "&amp;_05preva_view43[[#This Row],[Operator]]&amp;"\"</f>
        <v>D:\OneDrive - apollo-towers.com\Apollo Towers\00-Process &amp; Database\Documentation\Colo Applications\Colo App OML\</v>
      </c>
      <c r="BI421" s="63" t="str">
        <f ca="1">_05preva_view43[[#This Row],[Folder Path3]]&amp;_05preva_view43[[#This Row],[File Name]]</f>
        <v>D:\OneDrive - apollo-towers.com\Apollo Towers\00-Process &amp; Database\Documentation\Colo Applications\Colo App OML\ACAY_0146 (AYW5596) Application.xlsx</v>
      </c>
      <c r="BJ421" s="104"/>
      <c r="BK421" s="3"/>
      <c r="BL421" s="3"/>
      <c r="CJ421" s="5"/>
      <c r="CK421" s="5"/>
      <c r="CL421" s="3"/>
      <c r="CN421" s="5"/>
      <c r="CR421" s="3"/>
      <c r="CS421" s="3"/>
      <c r="CT421" s="5"/>
      <c r="CV421" s="3"/>
      <c r="DR421" s="5"/>
      <c r="DT421" s="3"/>
      <c r="EF421" s="7"/>
      <c r="EG421" s="7"/>
      <c r="EJ421" s="4"/>
      <c r="EK421" s="4"/>
      <c r="EU421" s="2"/>
      <c r="EV421" s="2"/>
    </row>
    <row r="422" spans="1:152">
      <c r="A422" s="125">
        <v>160</v>
      </c>
      <c r="B422" s="126" t="s">
        <v>592</v>
      </c>
      <c r="C422" s="126" t="s">
        <v>116</v>
      </c>
      <c r="D422" s="126" t="s">
        <v>127</v>
      </c>
      <c r="E422" s="126" t="s">
        <v>593</v>
      </c>
      <c r="F422" s="126" t="s">
        <v>40</v>
      </c>
      <c r="G422" s="126" t="s">
        <v>118</v>
      </c>
      <c r="H422" s="126"/>
      <c r="I422" s="126" t="s">
        <v>118</v>
      </c>
      <c r="J422" s="126"/>
      <c r="K422" s="127">
        <v>43236</v>
      </c>
      <c r="L422" s="128"/>
      <c r="M422" s="128">
        <v>3</v>
      </c>
      <c r="N422" s="126"/>
      <c r="O422" s="126" t="s">
        <v>119</v>
      </c>
      <c r="P422" s="129"/>
      <c r="Q422" s="129"/>
      <c r="R422" s="126" t="s">
        <v>26</v>
      </c>
      <c r="S422" s="126"/>
      <c r="T422" s="130" t="s">
        <v>120</v>
      </c>
      <c r="U422" s="126" t="s">
        <v>378</v>
      </c>
      <c r="V422" s="130" t="s">
        <v>120</v>
      </c>
      <c r="W422" s="126"/>
      <c r="X422" s="130" t="s">
        <v>120</v>
      </c>
      <c r="Y422" s="126" t="s">
        <v>399</v>
      </c>
      <c r="Z422" s="162" t="s">
        <v>120</v>
      </c>
      <c r="AA422" s="154"/>
      <c r="AB422" s="154"/>
      <c r="AC422" s="167"/>
      <c r="AD422" s="126" t="s">
        <v>419</v>
      </c>
      <c r="AE422" s="130" t="s">
        <v>144</v>
      </c>
      <c r="AF422" s="127"/>
      <c r="AG422" s="131"/>
      <c r="AH422" s="131">
        <v>2</v>
      </c>
      <c r="AI422" s="126" t="s">
        <v>594</v>
      </c>
      <c r="AJ422" s="130" t="s">
        <v>120</v>
      </c>
      <c r="AK422" s="126" t="s">
        <v>123</v>
      </c>
      <c r="AL422" s="126"/>
      <c r="AM422" s="130"/>
      <c r="AN422" s="126"/>
      <c r="AO422" s="132"/>
      <c r="AP422" s="126"/>
      <c r="AQ422" s="126"/>
      <c r="AR422" s="130"/>
      <c r="AS422" s="126"/>
      <c r="AT422" s="127"/>
      <c r="AU422" s="127"/>
      <c r="AV422" s="127"/>
      <c r="AW422" s="127"/>
      <c r="AX422" s="127"/>
      <c r="AY422" s="127"/>
      <c r="AZ422" s="133">
        <v>43236</v>
      </c>
      <c r="BA42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2" s="135">
        <f>COUNTIFS(_05preva_view43[Site ID],_05preva_view43[[#This Row],[Site ID]],_05preva_view43[Prevalidation Status],"Under Prevalidation")</f>
        <v>0</v>
      </c>
      <c r="BC422" s="153" t="str">
        <f ca="1">HYPERLINK(CheckPath(_05preva_view43[[#This Row],[File Path]],_05preva_view43[[#This Row],[File Path]],_05preva_view43[[#This Row],[Folder Path3]]),CheckPath(_05preva_view43[[#This Row],[File Path]],"Open File","No File"))</f>
        <v>No File</v>
      </c>
      <c r="BD422" s="136" t="str">
        <f>CONCATENATE(_05preva_view43[[#This Row],[Site ID]]," (",_05preva_view43[[#This Row],[tenant id]],") Application",IF(_05preva_view43[[#This Row],[Colo Rev]]&gt;0," Rev "&amp;_05preva_view43[[#This Row],[Colo Rev]],""),".xlsx")</f>
        <v>ANSG_0382 (SAW0727) Application.xlsx</v>
      </c>
      <c r="BE422" s="64">
        <f t="shared" ca="1" si="8"/>
        <v>50</v>
      </c>
      <c r="BF422" s="104" t="str">
        <f ca="1">LEFT(CELL("filename",A407),_05preva_view43[[#This Row],[Find Process &amp; Database]]-1)</f>
        <v>D:\OneDrive - apollo-towers.com\Apollo Towers\00-</v>
      </c>
      <c r="BG422" s="104" t="str">
        <f ca="1">_05preva_view43[Folder Path1]&amp;"Process &amp; Database\Documentation\Colo Applications"</f>
        <v>D:\OneDrive - apollo-towers.com\Apollo Towers\00-Process &amp; Database\Documentation\Colo Applications</v>
      </c>
      <c r="BH422" s="104" t="str">
        <f ca="1">_05preva_view43[Folder Path2]&amp;"\Colo App "&amp;_05preva_view43[[#This Row],[Operator]]&amp;"\"</f>
        <v>D:\OneDrive - apollo-towers.com\Apollo Towers\00-Process &amp; Database\Documentation\Colo Applications\Colo App OML\</v>
      </c>
      <c r="BI422" s="63" t="str">
        <f ca="1">_05preva_view43[[#This Row],[Folder Path3]]&amp;_05preva_view43[[#This Row],[File Name]]</f>
        <v>D:\OneDrive - apollo-towers.com\Apollo Towers\00-Process &amp; Database\Documentation\Colo Applications\Colo App OML\ANSG_0382 (SAW0727) Application.xlsx</v>
      </c>
      <c r="BJ422" s="104"/>
      <c r="BK422" s="3"/>
      <c r="BL422" s="3"/>
      <c r="CJ422" s="5"/>
      <c r="CK422" s="5"/>
      <c r="CL422" s="3"/>
      <c r="CN422" s="5"/>
      <c r="CR422" s="3"/>
      <c r="CS422" s="3"/>
      <c r="CT422" s="5"/>
      <c r="CV422" s="3"/>
      <c r="DR422" s="5"/>
      <c r="DT422" s="3"/>
      <c r="EF422" s="7"/>
      <c r="EG422" s="7"/>
      <c r="EJ422" s="4"/>
      <c r="EK422" s="4"/>
      <c r="EU422" s="2"/>
      <c r="EV422" s="2"/>
    </row>
    <row r="423" spans="1:152">
      <c r="A423" s="125">
        <v>162</v>
      </c>
      <c r="B423" s="126" t="s">
        <v>595</v>
      </c>
      <c r="C423" s="126" t="s">
        <v>116</v>
      </c>
      <c r="D423" s="126" t="s">
        <v>127</v>
      </c>
      <c r="E423" s="126" t="s">
        <v>596</v>
      </c>
      <c r="F423" s="126" t="s">
        <v>40</v>
      </c>
      <c r="G423" s="126" t="s">
        <v>118</v>
      </c>
      <c r="H423" s="126"/>
      <c r="I423" s="126" t="s">
        <v>118</v>
      </c>
      <c r="J423" s="126"/>
      <c r="K423" s="127">
        <v>43236</v>
      </c>
      <c r="L423" s="128"/>
      <c r="M423" s="128">
        <v>3</v>
      </c>
      <c r="N423" s="126"/>
      <c r="O423" s="126" t="s">
        <v>119</v>
      </c>
      <c r="P423" s="129"/>
      <c r="Q423" s="129"/>
      <c r="R423" s="126" t="s">
        <v>26</v>
      </c>
      <c r="S423" s="126"/>
      <c r="T423" s="130" t="s">
        <v>144</v>
      </c>
      <c r="U423" s="126" t="s">
        <v>371</v>
      </c>
      <c r="V423" s="130" t="s">
        <v>120</v>
      </c>
      <c r="W423" s="126"/>
      <c r="X423" s="130"/>
      <c r="Y423" s="126"/>
      <c r="Z423" s="162" t="s">
        <v>125</v>
      </c>
      <c r="AA423" s="154"/>
      <c r="AB423" s="154"/>
      <c r="AC423" s="167"/>
      <c r="AD423" s="126" t="s">
        <v>336</v>
      </c>
      <c r="AE423" s="130"/>
      <c r="AF423" s="127"/>
      <c r="AG423" s="131"/>
      <c r="AH423" s="131">
        <v>2</v>
      </c>
      <c r="AI423" s="126"/>
      <c r="AJ423" s="130"/>
      <c r="AK423" s="126"/>
      <c r="AL423" s="126"/>
      <c r="AM423" s="130"/>
      <c r="AN423" s="126"/>
      <c r="AO423" s="132"/>
      <c r="AP423" s="126"/>
      <c r="AQ423" s="126"/>
      <c r="AR423" s="130"/>
      <c r="AS423" s="126"/>
      <c r="AT423" s="127"/>
      <c r="AU423" s="127"/>
      <c r="AV423" s="127"/>
      <c r="AW423" s="127"/>
      <c r="AX423" s="127"/>
      <c r="AY423" s="127"/>
      <c r="AZ423" s="133">
        <v>43236</v>
      </c>
      <c r="BA42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3" s="135">
        <f>COUNTIFS(_05preva_view43[Site ID],_05preva_view43[[#This Row],[Site ID]],_05preva_view43[Prevalidation Status],"Under Prevalidation")</f>
        <v>0</v>
      </c>
      <c r="BC423" s="153" t="str">
        <f ca="1">HYPERLINK(CheckPath(_05preva_view43[[#This Row],[File Path]],_05preva_view43[[#This Row],[File Path]],_05preva_view43[[#This Row],[Folder Path3]]),CheckPath(_05preva_view43[[#This Row],[File Path]],"Open File","No File"))</f>
        <v>No File</v>
      </c>
      <c r="BD423" s="136" t="str">
        <f>CONCATENATE(_05preva_view43[[#This Row],[Site ID]]," (",_05preva_view43[[#This Row],[tenant id]],") Application",IF(_05preva_view43[[#This Row],[Colo Rev]]&gt;0," Rev "&amp;_05preva_view43[[#This Row],[Colo Rev]],""),".xlsx")</f>
        <v>ANMD_0018 (MAW2217) Application.xlsx</v>
      </c>
      <c r="BE423" s="64">
        <f t="shared" ca="1" si="8"/>
        <v>50</v>
      </c>
      <c r="BF423" s="104" t="str">
        <f ca="1">LEFT(CELL("filename",A408),_05preva_view43[[#This Row],[Find Process &amp; Database]]-1)</f>
        <v>D:\OneDrive - apollo-towers.com\Apollo Towers\00-</v>
      </c>
      <c r="BG423" s="104" t="str">
        <f ca="1">_05preva_view43[Folder Path1]&amp;"Process &amp; Database\Documentation\Colo Applications"</f>
        <v>D:\OneDrive - apollo-towers.com\Apollo Towers\00-Process &amp; Database\Documentation\Colo Applications</v>
      </c>
      <c r="BH423" s="104" t="str">
        <f ca="1">_05preva_view43[Folder Path2]&amp;"\Colo App "&amp;_05preva_view43[[#This Row],[Operator]]&amp;"\"</f>
        <v>D:\OneDrive - apollo-towers.com\Apollo Towers\00-Process &amp; Database\Documentation\Colo Applications\Colo App OML\</v>
      </c>
      <c r="BI423" s="63" t="str">
        <f ca="1">_05preva_view43[[#This Row],[Folder Path3]]&amp;_05preva_view43[[#This Row],[File Name]]</f>
        <v>D:\OneDrive - apollo-towers.com\Apollo Towers\00-Process &amp; Database\Documentation\Colo Applications\Colo App OML\ANMD_0018 (MAW2217) Application.xlsx</v>
      </c>
      <c r="BJ423" s="104"/>
      <c r="BK423" s="3"/>
      <c r="BL423" s="3"/>
      <c r="CJ423" s="5"/>
      <c r="CK423" s="5"/>
      <c r="CL423" s="3"/>
      <c r="CN423" s="5"/>
      <c r="CR423" s="3"/>
      <c r="CS423" s="3"/>
      <c r="CT423" s="5"/>
      <c r="CV423" s="3"/>
      <c r="DR423" s="5"/>
      <c r="DT423" s="3"/>
      <c r="EF423" s="7"/>
      <c r="EG423" s="7"/>
      <c r="EJ423" s="4"/>
      <c r="EK423" s="4"/>
      <c r="EU423" s="2"/>
      <c r="EV423" s="2"/>
    </row>
    <row r="424" spans="1:152">
      <c r="A424" s="125">
        <v>164</v>
      </c>
      <c r="B424" s="126" t="s">
        <v>597</v>
      </c>
      <c r="C424" s="126" t="s">
        <v>116</v>
      </c>
      <c r="D424" s="126" t="s">
        <v>127</v>
      </c>
      <c r="E424" s="126" t="s">
        <v>598</v>
      </c>
      <c r="F424" s="126" t="s">
        <v>40</v>
      </c>
      <c r="G424" s="126" t="s">
        <v>118</v>
      </c>
      <c r="H424" s="126"/>
      <c r="I424" s="126" t="s">
        <v>118</v>
      </c>
      <c r="J424" s="126"/>
      <c r="K424" s="127">
        <v>43236</v>
      </c>
      <c r="L424" s="128"/>
      <c r="M424" s="128">
        <v>3</v>
      </c>
      <c r="N424" s="126"/>
      <c r="O424" s="126" t="s">
        <v>119</v>
      </c>
      <c r="P424" s="129"/>
      <c r="Q424" s="129"/>
      <c r="R424" s="126" t="s">
        <v>26</v>
      </c>
      <c r="S424" s="126"/>
      <c r="T424" s="130" t="s">
        <v>144</v>
      </c>
      <c r="U424" s="126" t="s">
        <v>599</v>
      </c>
      <c r="V424" s="130" t="s">
        <v>120</v>
      </c>
      <c r="W424" s="126"/>
      <c r="X424" s="130"/>
      <c r="Y424" s="126"/>
      <c r="Z424" s="162" t="s">
        <v>125</v>
      </c>
      <c r="AA424" s="154"/>
      <c r="AB424" s="154"/>
      <c r="AC424" s="167"/>
      <c r="AD424" s="126" t="s">
        <v>336</v>
      </c>
      <c r="AE424" s="130"/>
      <c r="AF424" s="127"/>
      <c r="AG424" s="131"/>
      <c r="AH424" s="131">
        <v>2</v>
      </c>
      <c r="AI424" s="126"/>
      <c r="AJ424" s="130"/>
      <c r="AK424" s="126"/>
      <c r="AL424" s="126"/>
      <c r="AM424" s="130"/>
      <c r="AN424" s="126"/>
      <c r="AO424" s="132"/>
      <c r="AP424" s="126"/>
      <c r="AQ424" s="126"/>
      <c r="AR424" s="130"/>
      <c r="AS424" s="126"/>
      <c r="AT424" s="127"/>
      <c r="AU424" s="127"/>
      <c r="AV424" s="127"/>
      <c r="AW424" s="127"/>
      <c r="AX424" s="127"/>
      <c r="AY424" s="127"/>
      <c r="AZ424" s="133">
        <v>43236</v>
      </c>
      <c r="BA42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4" s="135">
        <f>COUNTIFS(_05preva_view43[Site ID],_05preva_view43[[#This Row],[Site ID]],_05preva_view43[Prevalidation Status],"Under Prevalidation")</f>
        <v>0</v>
      </c>
      <c r="BC424" s="153" t="str">
        <f ca="1">HYPERLINK(CheckPath(_05preva_view43[[#This Row],[File Path]],_05preva_view43[[#This Row],[File Path]],_05preva_view43[[#This Row],[Folder Path3]]),CheckPath(_05preva_view43[[#This Row],[File Path]],"Open File","No File"))</f>
        <v>No File</v>
      </c>
      <c r="BD424" s="136" t="str">
        <f>CONCATENATE(_05preva_view43[[#This Row],[Site ID]]," (",_05preva_view43[[#This Row],[tenant id]],") Application",IF(_05preva_view43[[#This Row],[Colo Rev]]&gt;0," Rev "&amp;_05preva_view43[[#This Row],[Colo Rev]],""),".xlsx")</f>
        <v>ANMD_0095 (MAW2996) Application.xlsx</v>
      </c>
      <c r="BE424" s="64">
        <f t="shared" ca="1" si="8"/>
        <v>50</v>
      </c>
      <c r="BF424" s="104" t="str">
        <f ca="1">LEFT(CELL("filename",A409),_05preva_view43[[#This Row],[Find Process &amp; Database]]-1)</f>
        <v>D:\OneDrive - apollo-towers.com\Apollo Towers\00-</v>
      </c>
      <c r="BG424" s="104" t="str">
        <f ca="1">_05preva_view43[Folder Path1]&amp;"Process &amp; Database\Documentation\Colo Applications"</f>
        <v>D:\OneDrive - apollo-towers.com\Apollo Towers\00-Process &amp; Database\Documentation\Colo Applications</v>
      </c>
      <c r="BH424" s="104" t="str">
        <f ca="1">_05preva_view43[Folder Path2]&amp;"\Colo App "&amp;_05preva_view43[[#This Row],[Operator]]&amp;"\"</f>
        <v>D:\OneDrive - apollo-towers.com\Apollo Towers\00-Process &amp; Database\Documentation\Colo Applications\Colo App OML\</v>
      </c>
      <c r="BI424" s="63" t="str">
        <f ca="1">_05preva_view43[[#This Row],[Folder Path3]]&amp;_05preva_view43[[#This Row],[File Name]]</f>
        <v>D:\OneDrive - apollo-towers.com\Apollo Towers\00-Process &amp; Database\Documentation\Colo Applications\Colo App OML\ANMD_0095 (MAW2996) Application.xlsx</v>
      </c>
      <c r="BJ424" s="104"/>
      <c r="BK424" s="3"/>
      <c r="BL424" s="3"/>
      <c r="CJ424" s="5"/>
      <c r="CK424" s="5"/>
      <c r="CL424" s="3"/>
      <c r="CN424" s="5"/>
      <c r="CR424" s="3"/>
      <c r="CS424" s="3"/>
      <c r="CT424" s="5"/>
      <c r="CV424" s="3"/>
      <c r="DR424" s="5"/>
      <c r="DT424" s="3"/>
      <c r="EF424" s="7"/>
      <c r="EG424" s="7"/>
      <c r="EJ424" s="4"/>
      <c r="EK424" s="4"/>
      <c r="EU424" s="2"/>
      <c r="EV424" s="2"/>
    </row>
    <row r="425" spans="1:152">
      <c r="A425" s="125">
        <v>165</v>
      </c>
      <c r="B425" s="126" t="s">
        <v>600</v>
      </c>
      <c r="C425" s="126" t="s">
        <v>116</v>
      </c>
      <c r="D425" s="126" t="s">
        <v>127</v>
      </c>
      <c r="E425" s="126" t="s">
        <v>601</v>
      </c>
      <c r="F425" s="126" t="s">
        <v>40</v>
      </c>
      <c r="G425" s="126" t="s">
        <v>118</v>
      </c>
      <c r="H425" s="126"/>
      <c r="I425" s="126" t="s">
        <v>118</v>
      </c>
      <c r="J425" s="126"/>
      <c r="K425" s="127">
        <v>43236</v>
      </c>
      <c r="L425" s="128"/>
      <c r="M425" s="128">
        <v>3</v>
      </c>
      <c r="N425" s="126"/>
      <c r="O425" s="126" t="s">
        <v>119</v>
      </c>
      <c r="P425" s="129"/>
      <c r="Q425" s="129"/>
      <c r="R425" s="126" t="s">
        <v>24</v>
      </c>
      <c r="S425" s="126"/>
      <c r="T425" s="130" t="s">
        <v>120</v>
      </c>
      <c r="U425" s="126" t="s">
        <v>378</v>
      </c>
      <c r="V425" s="130" t="s">
        <v>120</v>
      </c>
      <c r="W425" s="126"/>
      <c r="X425" s="130" t="s">
        <v>120</v>
      </c>
      <c r="Y425" s="126" t="s">
        <v>120</v>
      </c>
      <c r="Z425" s="162" t="s">
        <v>120</v>
      </c>
      <c r="AA425" s="154"/>
      <c r="AB425" s="154"/>
      <c r="AC425" s="167"/>
      <c r="AD425" s="126" t="s">
        <v>120</v>
      </c>
      <c r="AE425" s="130" t="s">
        <v>120</v>
      </c>
      <c r="AF425" s="127" t="s">
        <v>120</v>
      </c>
      <c r="AG425" s="131"/>
      <c r="AH425" s="131">
        <v>2</v>
      </c>
      <c r="AI425" s="126" t="s">
        <v>384</v>
      </c>
      <c r="AJ425" s="130" t="s">
        <v>120</v>
      </c>
      <c r="AK425" s="126" t="s">
        <v>123</v>
      </c>
      <c r="AL425" s="126"/>
      <c r="AM425" s="130"/>
      <c r="AN425" s="126"/>
      <c r="AO425" s="132"/>
      <c r="AP425" s="126"/>
      <c r="AQ425" s="126"/>
      <c r="AR425" s="130"/>
      <c r="AS425" s="126"/>
      <c r="AT425" s="127"/>
      <c r="AU425" s="127">
        <v>43453.379036458296</v>
      </c>
      <c r="AV425" s="127"/>
      <c r="AW425" s="127"/>
      <c r="AX425" s="127"/>
      <c r="AY425" s="127"/>
      <c r="AZ425" s="133">
        <v>43236</v>
      </c>
      <c r="BA42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5" s="135">
        <f>COUNTIFS(_05preva_view43[Site ID],_05preva_view43[[#This Row],[Site ID]],_05preva_view43[Prevalidation Status],"Under Prevalidation")</f>
        <v>0</v>
      </c>
      <c r="BC425" s="153" t="str">
        <f ca="1">HYPERLINK(CheckPath(_05preva_view43[[#This Row],[File Path]],_05preva_view43[[#This Row],[File Path]],_05preva_view43[[#This Row],[Folder Path3]]),CheckPath(_05preva_view43[[#This Row],[File Path]],"Open File","No File"))</f>
        <v>No File</v>
      </c>
      <c r="BD425" s="136" t="str">
        <f>CONCATENATE(_05preva_view43[[#This Row],[Site ID]]," (",_05preva_view43[[#This Row],[tenant id]],") Application",IF(_05preva_view43[[#This Row],[Colo Rev]]&gt;0," Rev "&amp;_05preva_view43[[#This Row],[Colo Rev]],""),".xlsx")</f>
        <v>ANMD_0171 (MAW2992) Application.xlsx</v>
      </c>
      <c r="BE425" s="64">
        <f t="shared" ca="1" si="8"/>
        <v>50</v>
      </c>
      <c r="BF425" s="104" t="str">
        <f ca="1">LEFT(CELL("filename",A410),_05preva_view43[[#This Row],[Find Process &amp; Database]]-1)</f>
        <v>D:\OneDrive - apollo-towers.com\Apollo Towers\00-</v>
      </c>
      <c r="BG425" s="104" t="str">
        <f ca="1">_05preva_view43[Folder Path1]&amp;"Process &amp; Database\Documentation\Colo Applications"</f>
        <v>D:\OneDrive - apollo-towers.com\Apollo Towers\00-Process &amp; Database\Documentation\Colo Applications</v>
      </c>
      <c r="BH425" s="104" t="str">
        <f ca="1">_05preva_view43[Folder Path2]&amp;"\Colo App "&amp;_05preva_view43[[#This Row],[Operator]]&amp;"\"</f>
        <v>D:\OneDrive - apollo-towers.com\Apollo Towers\00-Process &amp; Database\Documentation\Colo Applications\Colo App OML\</v>
      </c>
      <c r="BI425" s="63" t="str">
        <f ca="1">_05preva_view43[[#This Row],[Folder Path3]]&amp;_05preva_view43[[#This Row],[File Name]]</f>
        <v>D:\OneDrive - apollo-towers.com\Apollo Towers\00-Process &amp; Database\Documentation\Colo Applications\Colo App OML\ANMD_0171 (MAW2992) Application.xlsx</v>
      </c>
      <c r="BJ425" s="104"/>
      <c r="BK425" s="3"/>
      <c r="BL425" s="3"/>
      <c r="CJ425" s="5"/>
      <c r="CK425" s="5"/>
      <c r="CL425" s="3"/>
      <c r="CN425" s="5"/>
      <c r="CR425" s="3"/>
      <c r="CS425" s="3"/>
      <c r="CT425" s="5"/>
      <c r="CV425" s="3"/>
      <c r="DR425" s="5"/>
      <c r="DT425" s="3"/>
      <c r="EF425" s="7"/>
      <c r="EG425" s="7"/>
      <c r="EJ425" s="4"/>
      <c r="EK425" s="4"/>
      <c r="EU425" s="2"/>
      <c r="EV425" s="2"/>
    </row>
    <row r="426" spans="1:152">
      <c r="A426" s="125">
        <v>167</v>
      </c>
      <c r="B426" s="126" t="s">
        <v>602</v>
      </c>
      <c r="C426" s="126" t="s">
        <v>116</v>
      </c>
      <c r="D426" s="126" t="s">
        <v>163</v>
      </c>
      <c r="E426" s="126" t="s">
        <v>603</v>
      </c>
      <c r="F426" s="126" t="s">
        <v>40</v>
      </c>
      <c r="G426" s="126" t="s">
        <v>118</v>
      </c>
      <c r="H426" s="126"/>
      <c r="I426" s="126" t="s">
        <v>118</v>
      </c>
      <c r="J426" s="126"/>
      <c r="K426" s="127">
        <v>43236</v>
      </c>
      <c r="L426" s="128"/>
      <c r="M426" s="128">
        <v>3</v>
      </c>
      <c r="N426" s="126"/>
      <c r="O426" s="126" t="s">
        <v>119</v>
      </c>
      <c r="P426" s="129"/>
      <c r="Q426" s="129"/>
      <c r="R426" s="126" t="s">
        <v>26</v>
      </c>
      <c r="S426" s="126"/>
      <c r="T426" s="130" t="s">
        <v>120</v>
      </c>
      <c r="U426" s="126" t="s">
        <v>531</v>
      </c>
      <c r="V426" s="130" t="s">
        <v>144</v>
      </c>
      <c r="W426" s="126"/>
      <c r="X426" s="130"/>
      <c r="Y426" s="126"/>
      <c r="Z426" s="162" t="s">
        <v>120</v>
      </c>
      <c r="AA426" s="154"/>
      <c r="AB426" s="154"/>
      <c r="AC426" s="167"/>
      <c r="AD426" s="126" t="s">
        <v>419</v>
      </c>
      <c r="AE426" s="130" t="s">
        <v>120</v>
      </c>
      <c r="AF426" s="127" t="s">
        <v>241</v>
      </c>
      <c r="AG426" s="131"/>
      <c r="AH426" s="131">
        <v>3.5</v>
      </c>
      <c r="AI426" s="126" t="s">
        <v>487</v>
      </c>
      <c r="AJ426" s="130" t="s">
        <v>120</v>
      </c>
      <c r="AK426" s="126" t="s">
        <v>123</v>
      </c>
      <c r="AL426" s="126"/>
      <c r="AM426" s="130"/>
      <c r="AN426" s="126"/>
      <c r="AO426" s="132"/>
      <c r="AP426" s="126"/>
      <c r="AQ426" s="126"/>
      <c r="AR426" s="130"/>
      <c r="AS426" s="126"/>
      <c r="AT426" s="127"/>
      <c r="AU426" s="127">
        <v>43453.379037268503</v>
      </c>
      <c r="AV426" s="127"/>
      <c r="AW426" s="127"/>
      <c r="AX426" s="127"/>
      <c r="AY426" s="127"/>
      <c r="AZ426" s="133">
        <v>43236</v>
      </c>
      <c r="BA42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6" s="135">
        <f>COUNTIFS(_05preva_view43[Site ID],_05preva_view43[[#This Row],[Site ID]],_05preva_view43[Prevalidation Status],"Under Prevalidation")</f>
        <v>0</v>
      </c>
      <c r="BC426" s="153" t="str">
        <f ca="1">HYPERLINK(CheckPath(_05preva_view43[[#This Row],[File Path]],_05preva_view43[[#This Row],[File Path]],_05preva_view43[[#This Row],[Folder Path3]]),CheckPath(_05preva_view43[[#This Row],[File Path]],"Open File","No File"))</f>
        <v>No File</v>
      </c>
      <c r="BD426" s="136" t="str">
        <f>CONCATENATE(_05preva_view43[[#This Row],[Site ID]]," (",_05preva_view43[[#This Row],[tenant id]],") Application",IF(_05preva_view43[[#This Row],[Colo Rev]]&gt;0," Rev "&amp;_05preva_view43[[#This Row],[Colo Rev]],""),".xlsx")</f>
        <v>ACAY_0163 (AYW5526) Application.xlsx</v>
      </c>
      <c r="BE426" s="64">
        <f t="shared" ca="1" si="8"/>
        <v>50</v>
      </c>
      <c r="BF426" s="104" t="str">
        <f ca="1">LEFT(CELL("filename",A411),_05preva_view43[[#This Row],[Find Process &amp; Database]]-1)</f>
        <v>D:\OneDrive - apollo-towers.com\Apollo Towers\00-</v>
      </c>
      <c r="BG426" s="104" t="str">
        <f ca="1">_05preva_view43[Folder Path1]&amp;"Process &amp; Database\Documentation\Colo Applications"</f>
        <v>D:\OneDrive - apollo-towers.com\Apollo Towers\00-Process &amp; Database\Documentation\Colo Applications</v>
      </c>
      <c r="BH426" s="104" t="str">
        <f ca="1">_05preva_view43[Folder Path2]&amp;"\Colo App "&amp;_05preva_view43[[#This Row],[Operator]]&amp;"\"</f>
        <v>D:\OneDrive - apollo-towers.com\Apollo Towers\00-Process &amp; Database\Documentation\Colo Applications\Colo App OML\</v>
      </c>
      <c r="BI426" s="63" t="str">
        <f ca="1">_05preva_view43[[#This Row],[Folder Path3]]&amp;_05preva_view43[[#This Row],[File Name]]</f>
        <v>D:\OneDrive - apollo-towers.com\Apollo Towers\00-Process &amp; Database\Documentation\Colo Applications\Colo App OML\ACAY_0163 (AYW5526) Application.xlsx</v>
      </c>
      <c r="BJ426" s="104"/>
      <c r="BK426" s="3"/>
      <c r="BL426" s="3"/>
      <c r="CJ426" s="5"/>
      <c r="CK426" s="5"/>
      <c r="CL426" s="3"/>
      <c r="CN426" s="5"/>
      <c r="CR426" s="3"/>
      <c r="CS426" s="3"/>
      <c r="CT426" s="5"/>
      <c r="CV426" s="3"/>
      <c r="DR426" s="5"/>
      <c r="DT426" s="3"/>
      <c r="EF426" s="7"/>
      <c r="EG426" s="7"/>
      <c r="EJ426" s="4"/>
      <c r="EK426" s="4"/>
      <c r="EU426" s="2"/>
      <c r="EV426" s="2"/>
    </row>
    <row r="427" spans="1:152">
      <c r="A427" s="125">
        <v>168</v>
      </c>
      <c r="B427" s="126" t="s">
        <v>604</v>
      </c>
      <c r="C427" s="126" t="s">
        <v>116</v>
      </c>
      <c r="D427" s="126" t="s">
        <v>117</v>
      </c>
      <c r="E427" s="126" t="s">
        <v>605</v>
      </c>
      <c r="F427" s="126" t="s">
        <v>40</v>
      </c>
      <c r="G427" s="126" t="s">
        <v>118</v>
      </c>
      <c r="H427" s="126"/>
      <c r="I427" s="126" t="s">
        <v>118</v>
      </c>
      <c r="J427" s="126"/>
      <c r="K427" s="127">
        <v>43236</v>
      </c>
      <c r="L427" s="128"/>
      <c r="M427" s="128">
        <v>3</v>
      </c>
      <c r="N427" s="126"/>
      <c r="O427" s="126" t="s">
        <v>119</v>
      </c>
      <c r="P427" s="129"/>
      <c r="Q427" s="129"/>
      <c r="R427" s="126" t="s">
        <v>24</v>
      </c>
      <c r="S427" s="126"/>
      <c r="T427" s="130" t="s">
        <v>120</v>
      </c>
      <c r="U427" s="126" t="s">
        <v>378</v>
      </c>
      <c r="V427" s="130" t="s">
        <v>120</v>
      </c>
      <c r="W427" s="126"/>
      <c r="X427" s="130" t="s">
        <v>120</v>
      </c>
      <c r="Y427" s="126" t="s">
        <v>399</v>
      </c>
      <c r="Z427" s="162" t="s">
        <v>120</v>
      </c>
      <c r="AA427" s="154"/>
      <c r="AB427" s="154"/>
      <c r="AC427" s="167"/>
      <c r="AD427" s="126" t="s">
        <v>120</v>
      </c>
      <c r="AE427" s="130" t="s">
        <v>120</v>
      </c>
      <c r="AF427" s="127" t="s">
        <v>241</v>
      </c>
      <c r="AG427" s="131"/>
      <c r="AH427" s="131">
        <v>3.5</v>
      </c>
      <c r="AI427" s="126" t="s">
        <v>387</v>
      </c>
      <c r="AJ427" s="130" t="s">
        <v>120</v>
      </c>
      <c r="AK427" s="126" t="s">
        <v>123</v>
      </c>
      <c r="AL427" s="126"/>
      <c r="AM427" s="130"/>
      <c r="AN427" s="126"/>
      <c r="AO427" s="132"/>
      <c r="AP427" s="126"/>
      <c r="AQ427" s="126"/>
      <c r="AR427" s="130"/>
      <c r="AS427" s="126"/>
      <c r="AT427" s="127"/>
      <c r="AU427" s="127">
        <v>43453.379037963001</v>
      </c>
      <c r="AV427" s="127"/>
      <c r="AW427" s="127"/>
      <c r="AX427" s="127"/>
      <c r="AY427" s="127"/>
      <c r="AZ427" s="133">
        <v>43236</v>
      </c>
      <c r="BA42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7" s="135">
        <f>COUNTIFS(_05preva_view43[Site ID],_05preva_view43[[#This Row],[Site ID]],_05preva_view43[Prevalidation Status],"Under Prevalidation")</f>
        <v>0</v>
      </c>
      <c r="BC427" s="153" t="str">
        <f ca="1">HYPERLINK(CheckPath(_05preva_view43[[#This Row],[File Path]],_05preva_view43[[#This Row],[File Path]],_05preva_view43[[#This Row],[Folder Path3]]),CheckPath(_05preva_view43[[#This Row],[File Path]],"Open File","No File"))</f>
        <v>No File</v>
      </c>
      <c r="BD427" s="136" t="str">
        <f>CONCATENATE(_05preva_view43[[#This Row],[Site ID]]," (",_05preva_view43[[#This Row],[tenant id]],") Application",IF(_05preva_view43[[#This Row],[Colo Rev]]&gt;0," Rev "&amp;_05preva_view43[[#This Row],[Colo Rev]],""),".xlsx")</f>
        <v>ANMG_0052 (MWW3498) Application.xlsx</v>
      </c>
      <c r="BE427" s="64">
        <f t="shared" ca="1" si="8"/>
        <v>50</v>
      </c>
      <c r="BF427" s="104" t="str">
        <f ca="1">LEFT(CELL("filename",A412),_05preva_view43[[#This Row],[Find Process &amp; Database]]-1)</f>
        <v>D:\OneDrive - apollo-towers.com\Apollo Towers\00-</v>
      </c>
      <c r="BG427" s="104" t="str">
        <f ca="1">_05preva_view43[Folder Path1]&amp;"Process &amp; Database\Documentation\Colo Applications"</f>
        <v>D:\OneDrive - apollo-towers.com\Apollo Towers\00-Process &amp; Database\Documentation\Colo Applications</v>
      </c>
      <c r="BH427" s="104" t="str">
        <f ca="1">_05preva_view43[Folder Path2]&amp;"\Colo App "&amp;_05preva_view43[[#This Row],[Operator]]&amp;"\"</f>
        <v>D:\OneDrive - apollo-towers.com\Apollo Towers\00-Process &amp; Database\Documentation\Colo Applications\Colo App OML\</v>
      </c>
      <c r="BI427" s="63" t="str">
        <f ca="1">_05preva_view43[[#This Row],[Folder Path3]]&amp;_05preva_view43[[#This Row],[File Name]]</f>
        <v>D:\OneDrive - apollo-towers.com\Apollo Towers\00-Process &amp; Database\Documentation\Colo Applications\Colo App OML\ANMG_0052 (MWW3498) Application.xlsx</v>
      </c>
      <c r="BJ427" s="104"/>
      <c r="BK427" s="3"/>
      <c r="BL427" s="3"/>
      <c r="CJ427" s="5"/>
      <c r="CK427" s="5"/>
      <c r="CL427" s="3"/>
      <c r="CN427" s="5"/>
      <c r="CR427" s="3"/>
      <c r="CS427" s="3"/>
      <c r="CT427" s="5"/>
      <c r="CV427" s="3"/>
      <c r="DR427" s="5"/>
      <c r="DT427" s="3"/>
      <c r="EF427" s="7"/>
      <c r="EG427" s="7"/>
      <c r="EJ427" s="4"/>
      <c r="EK427" s="4"/>
      <c r="EU427" s="2"/>
      <c r="EV427" s="2"/>
    </row>
    <row r="428" spans="1:152">
      <c r="A428" s="125">
        <v>169</v>
      </c>
      <c r="B428" s="126" t="s">
        <v>606</v>
      </c>
      <c r="C428" s="126" t="s">
        <v>116</v>
      </c>
      <c r="D428" s="126" t="s">
        <v>117</v>
      </c>
      <c r="E428" s="126" t="s">
        <v>607</v>
      </c>
      <c r="F428" s="126" t="s">
        <v>40</v>
      </c>
      <c r="G428" s="126" t="s">
        <v>118</v>
      </c>
      <c r="H428" s="126"/>
      <c r="I428" s="126" t="s">
        <v>118</v>
      </c>
      <c r="J428" s="126"/>
      <c r="K428" s="127">
        <v>43236</v>
      </c>
      <c r="L428" s="128"/>
      <c r="M428" s="128">
        <v>3</v>
      </c>
      <c r="N428" s="126"/>
      <c r="O428" s="126" t="s">
        <v>119</v>
      </c>
      <c r="P428" s="129"/>
      <c r="Q428" s="129"/>
      <c r="R428" s="126" t="s">
        <v>24</v>
      </c>
      <c r="S428" s="126"/>
      <c r="T428" s="130" t="s">
        <v>120</v>
      </c>
      <c r="U428" s="126" t="s">
        <v>378</v>
      </c>
      <c r="V428" s="130" t="s">
        <v>120</v>
      </c>
      <c r="W428" s="126"/>
      <c r="X428" s="130" t="s">
        <v>120</v>
      </c>
      <c r="Y428" s="126" t="s">
        <v>120</v>
      </c>
      <c r="Z428" s="162" t="s">
        <v>120</v>
      </c>
      <c r="AA428" s="154"/>
      <c r="AB428" s="154"/>
      <c r="AC428" s="167"/>
      <c r="AD428" s="126" t="s">
        <v>120</v>
      </c>
      <c r="AE428" s="130" t="s">
        <v>120</v>
      </c>
      <c r="AF428" s="127" t="s">
        <v>241</v>
      </c>
      <c r="AG428" s="131"/>
      <c r="AH428" s="131">
        <v>3.5</v>
      </c>
      <c r="AI428" s="126" t="s">
        <v>387</v>
      </c>
      <c r="AJ428" s="130" t="s">
        <v>120</v>
      </c>
      <c r="AK428" s="126" t="s">
        <v>123</v>
      </c>
      <c r="AL428" s="126"/>
      <c r="AM428" s="130"/>
      <c r="AN428" s="126"/>
      <c r="AO428" s="132"/>
      <c r="AP428" s="126"/>
      <c r="AQ428" s="126"/>
      <c r="AR428" s="130"/>
      <c r="AS428" s="126"/>
      <c r="AT428" s="127"/>
      <c r="AU428" s="127">
        <v>43453.379038657396</v>
      </c>
      <c r="AV428" s="127"/>
      <c r="AW428" s="127"/>
      <c r="AX428" s="127"/>
      <c r="AY428" s="127"/>
      <c r="AZ428" s="133">
        <v>43236</v>
      </c>
      <c r="BA42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8" s="135">
        <f>COUNTIFS(_05preva_view43[Site ID],_05preva_view43[[#This Row],[Site ID]],_05preva_view43[Prevalidation Status],"Under Prevalidation")</f>
        <v>0</v>
      </c>
      <c r="BC428" s="153" t="str">
        <f ca="1">HYPERLINK(CheckPath(_05preva_view43[[#This Row],[File Path]],_05preva_view43[[#This Row],[File Path]],_05preva_view43[[#This Row],[Folder Path3]]),CheckPath(_05preva_view43[[#This Row],[File Path]],"Open File","No File"))</f>
        <v>No File</v>
      </c>
      <c r="BD428" s="136" t="str">
        <f>CONCATENATE(_05preva_view43[[#This Row],[Site ID]]," (",_05preva_view43[[#This Row],[tenant id]],") Application",IF(_05preva_view43[[#This Row],[Colo Rev]]&gt;0," Rev "&amp;_05preva_view43[[#This Row],[Colo Rev]],""),".xlsx")</f>
        <v>ANMG_0006 (MWW3499) Application.xlsx</v>
      </c>
      <c r="BE428" s="64">
        <f t="shared" ca="1" si="8"/>
        <v>50</v>
      </c>
      <c r="BF428" s="104" t="str">
        <f ca="1">LEFT(CELL("filename",A413),_05preva_view43[[#This Row],[Find Process &amp; Database]]-1)</f>
        <v>D:\OneDrive - apollo-towers.com\Apollo Towers\00-</v>
      </c>
      <c r="BG428" s="104" t="str">
        <f ca="1">_05preva_view43[Folder Path1]&amp;"Process &amp; Database\Documentation\Colo Applications"</f>
        <v>D:\OneDrive - apollo-towers.com\Apollo Towers\00-Process &amp; Database\Documentation\Colo Applications</v>
      </c>
      <c r="BH428" s="104" t="str">
        <f ca="1">_05preva_view43[Folder Path2]&amp;"\Colo App "&amp;_05preva_view43[[#This Row],[Operator]]&amp;"\"</f>
        <v>D:\OneDrive - apollo-towers.com\Apollo Towers\00-Process &amp; Database\Documentation\Colo Applications\Colo App OML\</v>
      </c>
      <c r="BI428" s="63" t="str">
        <f ca="1">_05preva_view43[[#This Row],[Folder Path3]]&amp;_05preva_view43[[#This Row],[File Name]]</f>
        <v>D:\OneDrive - apollo-towers.com\Apollo Towers\00-Process &amp; Database\Documentation\Colo Applications\Colo App OML\ANMG_0006 (MWW3499) Application.xlsx</v>
      </c>
      <c r="BJ428" s="104"/>
      <c r="BK428" s="3"/>
      <c r="BL428" s="3"/>
      <c r="CJ428" s="5"/>
      <c r="CK428" s="5"/>
      <c r="CL428" s="3"/>
      <c r="CN428" s="5"/>
      <c r="CR428" s="3"/>
      <c r="CS428" s="3"/>
      <c r="CT428" s="5"/>
      <c r="CV428" s="3"/>
      <c r="DR428" s="5"/>
      <c r="DT428" s="3"/>
      <c r="EF428" s="7"/>
      <c r="EG428" s="7"/>
      <c r="EJ428" s="4"/>
      <c r="EK428" s="4"/>
      <c r="EU428" s="2"/>
      <c r="EV428" s="2"/>
    </row>
    <row r="429" spans="1:152">
      <c r="A429" s="125">
        <v>170</v>
      </c>
      <c r="B429" s="126" t="s">
        <v>608</v>
      </c>
      <c r="C429" s="126" t="s">
        <v>116</v>
      </c>
      <c r="D429" s="126" t="s">
        <v>117</v>
      </c>
      <c r="E429" s="126" t="s">
        <v>609</v>
      </c>
      <c r="F429" s="126" t="s">
        <v>40</v>
      </c>
      <c r="G429" s="126" t="s">
        <v>118</v>
      </c>
      <c r="H429" s="126"/>
      <c r="I429" s="126" t="s">
        <v>118</v>
      </c>
      <c r="J429" s="126"/>
      <c r="K429" s="127">
        <v>43236</v>
      </c>
      <c r="L429" s="128"/>
      <c r="M429" s="128">
        <v>3</v>
      </c>
      <c r="N429" s="126"/>
      <c r="O429" s="126" t="s">
        <v>119</v>
      </c>
      <c r="P429" s="129"/>
      <c r="Q429" s="129"/>
      <c r="R429" s="126" t="s">
        <v>24</v>
      </c>
      <c r="S429" s="126"/>
      <c r="T429" s="130" t="s">
        <v>120</v>
      </c>
      <c r="U429" s="126" t="s">
        <v>378</v>
      </c>
      <c r="V429" s="130" t="s">
        <v>120</v>
      </c>
      <c r="W429" s="126"/>
      <c r="X429" s="130" t="s">
        <v>120</v>
      </c>
      <c r="Y429" s="126" t="s">
        <v>120</v>
      </c>
      <c r="Z429" s="162" t="s">
        <v>120</v>
      </c>
      <c r="AA429" s="154"/>
      <c r="AB429" s="154"/>
      <c r="AC429" s="167"/>
      <c r="AD429" s="126" t="s">
        <v>120</v>
      </c>
      <c r="AE429" s="130" t="s">
        <v>120</v>
      </c>
      <c r="AF429" s="127" t="s">
        <v>467</v>
      </c>
      <c r="AG429" s="131"/>
      <c r="AH429" s="131">
        <v>3.5</v>
      </c>
      <c r="AI429" s="126" t="s">
        <v>440</v>
      </c>
      <c r="AJ429" s="130" t="s">
        <v>120</v>
      </c>
      <c r="AK429" s="126" t="s">
        <v>123</v>
      </c>
      <c r="AL429" s="126"/>
      <c r="AM429" s="130"/>
      <c r="AN429" s="126"/>
      <c r="AO429" s="132"/>
      <c r="AP429" s="126"/>
      <c r="AQ429" s="126"/>
      <c r="AR429" s="130"/>
      <c r="AS429" s="126"/>
      <c r="AT429" s="127"/>
      <c r="AU429" s="127">
        <v>43453.379039351901</v>
      </c>
      <c r="AV429" s="127"/>
      <c r="AW429" s="127"/>
      <c r="AX429" s="127"/>
      <c r="AY429" s="127"/>
      <c r="AZ429" s="133">
        <v>43236</v>
      </c>
      <c r="BA42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9" s="135">
        <f>COUNTIFS(_05preva_view43[Site ID],_05preva_view43[[#This Row],[Site ID]],_05preva_view43[Prevalidation Status],"Under Prevalidation")</f>
        <v>0</v>
      </c>
      <c r="BC429" s="153" t="str">
        <f ca="1">HYPERLINK(CheckPath(_05preva_view43[[#This Row],[File Path]],_05preva_view43[[#This Row],[File Path]],_05preva_view43[[#This Row],[Folder Path3]]),CheckPath(_05preva_view43[[#This Row],[File Path]],"Open File","No File"))</f>
        <v>No File</v>
      </c>
      <c r="BD429" s="136" t="str">
        <f>CONCATENATE(_05preva_view43[[#This Row],[Site ID]]," (",_05preva_view43[[#This Row],[tenant id]],") Application",IF(_05preva_view43[[#This Row],[Colo Rev]]&gt;0," Rev "&amp;_05preva_view43[[#This Row],[Colo Rev]],""),".xlsx")</f>
        <v>ANMG_0026 (MWW3500) Application.xlsx</v>
      </c>
      <c r="BE429" s="64">
        <f t="shared" ca="1" si="8"/>
        <v>50</v>
      </c>
      <c r="BF429" s="104" t="str">
        <f ca="1">LEFT(CELL("filename",A414),_05preva_view43[[#This Row],[Find Process &amp; Database]]-1)</f>
        <v>D:\OneDrive - apollo-towers.com\Apollo Towers\00-</v>
      </c>
      <c r="BG429" s="104" t="str">
        <f ca="1">_05preva_view43[Folder Path1]&amp;"Process &amp; Database\Documentation\Colo Applications"</f>
        <v>D:\OneDrive - apollo-towers.com\Apollo Towers\00-Process &amp; Database\Documentation\Colo Applications</v>
      </c>
      <c r="BH429" s="104" t="str">
        <f ca="1">_05preva_view43[Folder Path2]&amp;"\Colo App "&amp;_05preva_view43[[#This Row],[Operator]]&amp;"\"</f>
        <v>D:\OneDrive - apollo-towers.com\Apollo Towers\00-Process &amp; Database\Documentation\Colo Applications\Colo App OML\</v>
      </c>
      <c r="BI429" s="63" t="str">
        <f ca="1">_05preva_view43[[#This Row],[Folder Path3]]&amp;_05preva_view43[[#This Row],[File Name]]</f>
        <v>D:\OneDrive - apollo-towers.com\Apollo Towers\00-Process &amp; Database\Documentation\Colo Applications\Colo App OML\ANMG_0026 (MWW3500) Application.xlsx</v>
      </c>
      <c r="BJ429" s="104"/>
      <c r="BK429" s="3"/>
      <c r="BL429" s="3"/>
      <c r="CJ429" s="5"/>
      <c r="CK429" s="5"/>
      <c r="CL429" s="3"/>
      <c r="CN429" s="5"/>
      <c r="CR429" s="3"/>
      <c r="CS429" s="3"/>
      <c r="CT429" s="5"/>
      <c r="CV429" s="3"/>
      <c r="DR429" s="5"/>
      <c r="DT429" s="3"/>
      <c r="EF429" s="7"/>
      <c r="EG429" s="7"/>
      <c r="EJ429" s="4"/>
      <c r="EK429" s="4"/>
      <c r="EU429" s="2"/>
      <c r="EV429" s="2"/>
    </row>
    <row r="430" spans="1:152">
      <c r="A430" s="125">
        <v>171</v>
      </c>
      <c r="B430" s="126" t="s">
        <v>610</v>
      </c>
      <c r="C430" s="126" t="s">
        <v>116</v>
      </c>
      <c r="D430" s="126" t="s">
        <v>127</v>
      </c>
      <c r="E430" s="126" t="s">
        <v>611</v>
      </c>
      <c r="F430" s="126" t="s">
        <v>40</v>
      </c>
      <c r="G430" s="126" t="s">
        <v>118</v>
      </c>
      <c r="H430" s="126"/>
      <c r="I430" s="126" t="s">
        <v>118</v>
      </c>
      <c r="J430" s="126"/>
      <c r="K430" s="127">
        <v>43236</v>
      </c>
      <c r="L430" s="128"/>
      <c r="M430" s="128">
        <v>3</v>
      </c>
      <c r="N430" s="126"/>
      <c r="O430" s="126" t="s">
        <v>119</v>
      </c>
      <c r="P430" s="129"/>
      <c r="Q430" s="129"/>
      <c r="R430" s="126" t="s">
        <v>24</v>
      </c>
      <c r="S430" s="126"/>
      <c r="T430" s="130" t="s">
        <v>120</v>
      </c>
      <c r="U430" s="126" t="s">
        <v>378</v>
      </c>
      <c r="V430" s="130" t="s">
        <v>120</v>
      </c>
      <c r="W430" s="126"/>
      <c r="X430" s="130" t="s">
        <v>120</v>
      </c>
      <c r="Y430" s="126" t="s">
        <v>120</v>
      </c>
      <c r="Z430" s="162" t="s">
        <v>120</v>
      </c>
      <c r="AA430" s="154"/>
      <c r="AB430" s="154"/>
      <c r="AC430" s="167"/>
      <c r="AD430" s="126" t="s">
        <v>120</v>
      </c>
      <c r="AE430" s="130" t="s">
        <v>120</v>
      </c>
      <c r="AF430" s="127" t="s">
        <v>120</v>
      </c>
      <c r="AG430" s="131"/>
      <c r="AH430" s="131">
        <v>2</v>
      </c>
      <c r="AI430" s="126" t="s">
        <v>384</v>
      </c>
      <c r="AJ430" s="130" t="s">
        <v>120</v>
      </c>
      <c r="AK430" s="126" t="s">
        <v>123</v>
      </c>
      <c r="AL430" s="126"/>
      <c r="AM430" s="130"/>
      <c r="AN430" s="126"/>
      <c r="AO430" s="132"/>
      <c r="AP430" s="126"/>
      <c r="AQ430" s="126"/>
      <c r="AR430" s="130"/>
      <c r="AS430" s="126"/>
      <c r="AT430" s="127"/>
      <c r="AU430" s="127">
        <v>43453.379041203698</v>
      </c>
      <c r="AV430" s="127"/>
      <c r="AW430" s="127"/>
      <c r="AX430" s="127"/>
      <c r="AY430" s="127"/>
      <c r="AZ430" s="133">
        <v>43236</v>
      </c>
      <c r="BA43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0" s="135">
        <f>COUNTIFS(_05preva_view43[Site ID],_05preva_view43[[#This Row],[Site ID]],_05preva_view43[Prevalidation Status],"Under Prevalidation")</f>
        <v>0</v>
      </c>
      <c r="BC430" s="153" t="str">
        <f ca="1">HYPERLINK(CheckPath(_05preva_view43[[#This Row],[File Path]],_05preva_view43[[#This Row],[File Path]],_05preva_view43[[#This Row],[Folder Path3]]),CheckPath(_05preva_view43[[#This Row],[File Path]],"Open File","No File"))</f>
        <v>No File</v>
      </c>
      <c r="BD430" s="136" t="str">
        <f>CONCATENATE(_05preva_view43[[#This Row],[Site ID]]," (",_05preva_view43[[#This Row],[tenant id]],") Application",IF(_05preva_view43[[#This Row],[Colo Rev]]&gt;0," Rev "&amp;_05preva_view43[[#This Row],[Colo Rev]],""),".xlsx")</f>
        <v>ANSG_0381 (SAW0731) Application.xlsx</v>
      </c>
      <c r="BE430" s="64">
        <f t="shared" ca="1" si="8"/>
        <v>50</v>
      </c>
      <c r="BF430" s="104" t="str">
        <f ca="1">LEFT(CELL("filename",A415),_05preva_view43[[#This Row],[Find Process &amp; Database]]-1)</f>
        <v>D:\OneDrive - apollo-towers.com\Apollo Towers\00-</v>
      </c>
      <c r="BG430" s="104" t="str">
        <f ca="1">_05preva_view43[Folder Path1]&amp;"Process &amp; Database\Documentation\Colo Applications"</f>
        <v>D:\OneDrive - apollo-towers.com\Apollo Towers\00-Process &amp; Database\Documentation\Colo Applications</v>
      </c>
      <c r="BH430" s="104" t="str">
        <f ca="1">_05preva_view43[Folder Path2]&amp;"\Colo App "&amp;_05preva_view43[[#This Row],[Operator]]&amp;"\"</f>
        <v>D:\OneDrive - apollo-towers.com\Apollo Towers\00-Process &amp; Database\Documentation\Colo Applications\Colo App OML\</v>
      </c>
      <c r="BI430" s="63" t="str">
        <f ca="1">_05preva_view43[[#This Row],[Folder Path3]]&amp;_05preva_view43[[#This Row],[File Name]]</f>
        <v>D:\OneDrive - apollo-towers.com\Apollo Towers\00-Process &amp; Database\Documentation\Colo Applications\Colo App OML\ANSG_0381 (SAW0731) Application.xlsx</v>
      </c>
      <c r="BJ430" s="104"/>
      <c r="BK430" s="3"/>
      <c r="BL430" s="3"/>
      <c r="CJ430" s="5"/>
      <c r="CK430" s="5"/>
      <c r="CL430" s="3"/>
      <c r="CN430" s="5"/>
      <c r="CR430" s="3"/>
      <c r="CS430" s="3"/>
      <c r="CT430" s="5"/>
      <c r="CV430" s="3"/>
      <c r="DR430" s="5"/>
      <c r="DT430" s="3"/>
      <c r="EF430" s="7"/>
      <c r="EG430" s="7"/>
      <c r="EJ430" s="4"/>
      <c r="EK430" s="4"/>
      <c r="EU430" s="2"/>
      <c r="EV430" s="2"/>
    </row>
    <row r="431" spans="1:152">
      <c r="A431" s="125">
        <v>172</v>
      </c>
      <c r="B431" s="126" t="s">
        <v>612</v>
      </c>
      <c r="C431" s="126" t="s">
        <v>116</v>
      </c>
      <c r="D431" s="126" t="s">
        <v>117</v>
      </c>
      <c r="E431" s="126" t="s">
        <v>613</v>
      </c>
      <c r="F431" s="126" t="s">
        <v>40</v>
      </c>
      <c r="G431" s="126" t="s">
        <v>118</v>
      </c>
      <c r="H431" s="126"/>
      <c r="I431" s="126" t="s">
        <v>118</v>
      </c>
      <c r="J431" s="126"/>
      <c r="K431" s="127">
        <v>43236</v>
      </c>
      <c r="L431" s="128"/>
      <c r="M431" s="128">
        <v>3</v>
      </c>
      <c r="N431" s="126"/>
      <c r="O431" s="126" t="s">
        <v>119</v>
      </c>
      <c r="P431" s="129"/>
      <c r="Q431" s="129"/>
      <c r="R431" s="126" t="s">
        <v>24</v>
      </c>
      <c r="S431" s="126"/>
      <c r="T431" s="130" t="s">
        <v>120</v>
      </c>
      <c r="U431" s="126" t="s">
        <v>378</v>
      </c>
      <c r="V431" s="130" t="s">
        <v>120</v>
      </c>
      <c r="W431" s="126"/>
      <c r="X431" s="130" t="s">
        <v>120</v>
      </c>
      <c r="Y431" s="126" t="s">
        <v>120</v>
      </c>
      <c r="Z431" s="162" t="s">
        <v>120</v>
      </c>
      <c r="AA431" s="154"/>
      <c r="AB431" s="154"/>
      <c r="AC431" s="167"/>
      <c r="AD431" s="126" t="s">
        <v>120</v>
      </c>
      <c r="AE431" s="130" t="s">
        <v>120</v>
      </c>
      <c r="AF431" s="127" t="s">
        <v>241</v>
      </c>
      <c r="AG431" s="131"/>
      <c r="AH431" s="131">
        <v>3.5</v>
      </c>
      <c r="AI431" s="126" t="s">
        <v>487</v>
      </c>
      <c r="AJ431" s="130" t="s">
        <v>120</v>
      </c>
      <c r="AK431" s="126" t="s">
        <v>123</v>
      </c>
      <c r="AL431" s="126"/>
      <c r="AM431" s="130"/>
      <c r="AN431" s="126"/>
      <c r="AO431" s="132"/>
      <c r="AP431" s="126"/>
      <c r="AQ431" s="126"/>
      <c r="AR431" s="130"/>
      <c r="AS431" s="126"/>
      <c r="AT431" s="127"/>
      <c r="AU431" s="127">
        <v>43453.379042013898</v>
      </c>
      <c r="AV431" s="127"/>
      <c r="AW431" s="127"/>
      <c r="AX431" s="127"/>
      <c r="AY431" s="127"/>
      <c r="AZ431" s="133">
        <v>43236</v>
      </c>
      <c r="BA43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1" s="135">
        <f>COUNTIFS(_05preva_view43[Site ID],_05preva_view43[[#This Row],[Site ID]],_05preva_view43[Prevalidation Status],"Under Prevalidation")</f>
        <v>0</v>
      </c>
      <c r="BC431" s="153" t="str">
        <f ca="1">HYPERLINK(CheckPath(_05preva_view43[[#This Row],[File Path]],_05preva_view43[[#This Row],[File Path]],_05preva_view43[[#This Row],[Folder Path3]]),CheckPath(_05preva_view43[[#This Row],[File Path]],"Open File","No File"))</f>
        <v>No File</v>
      </c>
      <c r="BD431" s="136" t="str">
        <f>CONCATENATE(_05preva_view43[[#This Row],[Site ID]]," (",_05preva_view43[[#This Row],[tenant id]],") Application",IF(_05preva_view43[[#This Row],[Colo Rev]]&gt;0," Rev "&amp;_05preva_view43[[#This Row],[Colo Rev]],""),".xlsx")</f>
        <v>ANMG_0167 (MWW3502) Application.xlsx</v>
      </c>
      <c r="BE431" s="64">
        <f t="shared" ca="1" si="8"/>
        <v>50</v>
      </c>
      <c r="BF431" s="104" t="str">
        <f ca="1">LEFT(CELL("filename",A416),_05preva_view43[[#This Row],[Find Process &amp; Database]]-1)</f>
        <v>D:\OneDrive - apollo-towers.com\Apollo Towers\00-</v>
      </c>
      <c r="BG431" s="104" t="str">
        <f ca="1">_05preva_view43[Folder Path1]&amp;"Process &amp; Database\Documentation\Colo Applications"</f>
        <v>D:\OneDrive - apollo-towers.com\Apollo Towers\00-Process &amp; Database\Documentation\Colo Applications</v>
      </c>
      <c r="BH431" s="104" t="str">
        <f ca="1">_05preva_view43[Folder Path2]&amp;"\Colo App "&amp;_05preva_view43[[#This Row],[Operator]]&amp;"\"</f>
        <v>D:\OneDrive - apollo-towers.com\Apollo Towers\00-Process &amp; Database\Documentation\Colo Applications\Colo App OML\</v>
      </c>
      <c r="BI431" s="63" t="str">
        <f ca="1">_05preva_view43[[#This Row],[Folder Path3]]&amp;_05preva_view43[[#This Row],[File Name]]</f>
        <v>D:\OneDrive - apollo-towers.com\Apollo Towers\00-Process &amp; Database\Documentation\Colo Applications\Colo App OML\ANMG_0167 (MWW3502) Application.xlsx</v>
      </c>
      <c r="BJ431" s="104"/>
      <c r="BK431" s="3"/>
      <c r="BL431" s="3"/>
      <c r="CJ431" s="5"/>
      <c r="CK431" s="5"/>
      <c r="CL431" s="3"/>
      <c r="CN431" s="5"/>
      <c r="CR431" s="3"/>
      <c r="CS431" s="3"/>
      <c r="CT431" s="5"/>
      <c r="CV431" s="3"/>
      <c r="DR431" s="5"/>
      <c r="DT431" s="3"/>
      <c r="EF431" s="7"/>
      <c r="EG431" s="7"/>
      <c r="EJ431" s="4"/>
      <c r="EK431" s="4"/>
      <c r="EU431" s="2"/>
      <c r="EV431" s="2"/>
    </row>
    <row r="432" spans="1:152">
      <c r="A432" s="125">
        <v>173</v>
      </c>
      <c r="B432" s="126" t="s">
        <v>614</v>
      </c>
      <c r="C432" s="126" t="s">
        <v>116</v>
      </c>
      <c r="D432" s="126" t="s">
        <v>127</v>
      </c>
      <c r="E432" s="126" t="s">
        <v>615</v>
      </c>
      <c r="F432" s="126" t="s">
        <v>40</v>
      </c>
      <c r="G432" s="126" t="s">
        <v>118</v>
      </c>
      <c r="H432" s="126"/>
      <c r="I432" s="126" t="s">
        <v>118</v>
      </c>
      <c r="J432" s="126"/>
      <c r="K432" s="127">
        <v>43236</v>
      </c>
      <c r="L432" s="128"/>
      <c r="M432" s="128">
        <v>3</v>
      </c>
      <c r="N432" s="126"/>
      <c r="O432" s="126" t="s">
        <v>119</v>
      </c>
      <c r="P432" s="129"/>
      <c r="Q432" s="129"/>
      <c r="R432" s="126" t="s">
        <v>24</v>
      </c>
      <c r="S432" s="126"/>
      <c r="T432" s="130" t="s">
        <v>120</v>
      </c>
      <c r="U432" s="126" t="s">
        <v>378</v>
      </c>
      <c r="V432" s="130" t="s">
        <v>120</v>
      </c>
      <c r="W432" s="126"/>
      <c r="X432" s="130" t="s">
        <v>120</v>
      </c>
      <c r="Y432" s="126" t="s">
        <v>399</v>
      </c>
      <c r="Z432" s="162" t="s">
        <v>120</v>
      </c>
      <c r="AA432" s="154"/>
      <c r="AB432" s="154"/>
      <c r="AC432" s="167"/>
      <c r="AD432" s="126" t="s">
        <v>120</v>
      </c>
      <c r="AE432" s="130" t="s">
        <v>120</v>
      </c>
      <c r="AF432" s="127" t="s">
        <v>120</v>
      </c>
      <c r="AG432" s="131"/>
      <c r="AH432" s="131">
        <v>2</v>
      </c>
      <c r="AI432" s="126" t="s">
        <v>384</v>
      </c>
      <c r="AJ432" s="130" t="s">
        <v>120</v>
      </c>
      <c r="AK432" s="126" t="s">
        <v>123</v>
      </c>
      <c r="AL432" s="126"/>
      <c r="AM432" s="130"/>
      <c r="AN432" s="126"/>
      <c r="AO432" s="132"/>
      <c r="AP432" s="126"/>
      <c r="AQ432" s="126"/>
      <c r="AR432" s="130"/>
      <c r="AS432" s="126"/>
      <c r="AT432" s="127"/>
      <c r="AU432" s="127">
        <v>43453.3790427083</v>
      </c>
      <c r="AV432" s="127"/>
      <c r="AW432" s="127"/>
      <c r="AX432" s="127"/>
      <c r="AY432" s="127"/>
      <c r="AZ432" s="133">
        <v>43236</v>
      </c>
      <c r="BA43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2" s="135">
        <f>COUNTIFS(_05preva_view43[Site ID],_05preva_view43[[#This Row],[Site ID]],_05preva_view43[Prevalidation Status],"Under Prevalidation")</f>
        <v>0</v>
      </c>
      <c r="BC432" s="153" t="str">
        <f ca="1">HYPERLINK(CheckPath(_05preva_view43[[#This Row],[File Path]],_05preva_view43[[#This Row],[File Path]],_05preva_view43[[#This Row],[Folder Path3]]),CheckPath(_05preva_view43[[#This Row],[File Path]],"Open File","No File"))</f>
        <v>No File</v>
      </c>
      <c r="BD432" s="136" t="str">
        <f>CONCATENATE(_05preva_view43[[#This Row],[Site ID]]," (",_05preva_view43[[#This Row],[tenant id]],") Application",IF(_05preva_view43[[#This Row],[Colo Rev]]&gt;0," Rev "&amp;_05preva_view43[[#This Row],[Colo Rev]],""),".xlsx")</f>
        <v>ANSG_0361 (SAW0719) Application.xlsx</v>
      </c>
      <c r="BE432" s="64">
        <f t="shared" ca="1" si="8"/>
        <v>50</v>
      </c>
      <c r="BF432" s="104" t="str">
        <f ca="1">LEFT(CELL("filename",A417),_05preva_view43[[#This Row],[Find Process &amp; Database]]-1)</f>
        <v>D:\OneDrive - apollo-towers.com\Apollo Towers\00-</v>
      </c>
      <c r="BG432" s="104" t="str">
        <f ca="1">_05preva_view43[Folder Path1]&amp;"Process &amp; Database\Documentation\Colo Applications"</f>
        <v>D:\OneDrive - apollo-towers.com\Apollo Towers\00-Process &amp; Database\Documentation\Colo Applications</v>
      </c>
      <c r="BH432" s="104" t="str">
        <f ca="1">_05preva_view43[Folder Path2]&amp;"\Colo App "&amp;_05preva_view43[[#This Row],[Operator]]&amp;"\"</f>
        <v>D:\OneDrive - apollo-towers.com\Apollo Towers\00-Process &amp; Database\Documentation\Colo Applications\Colo App OML\</v>
      </c>
      <c r="BI432" s="63" t="str">
        <f ca="1">_05preva_view43[[#This Row],[Folder Path3]]&amp;_05preva_view43[[#This Row],[File Name]]</f>
        <v>D:\OneDrive - apollo-towers.com\Apollo Towers\00-Process &amp; Database\Documentation\Colo Applications\Colo App OML\ANSG_0361 (SAW0719) Application.xlsx</v>
      </c>
      <c r="BJ432" s="104"/>
      <c r="BK432" s="3"/>
      <c r="BL432" s="3"/>
      <c r="CJ432" s="5"/>
      <c r="CK432" s="5"/>
      <c r="CL432" s="3"/>
      <c r="CN432" s="5"/>
      <c r="CR432" s="3"/>
      <c r="CS432" s="3"/>
      <c r="CT432" s="5"/>
      <c r="CV432" s="3"/>
      <c r="DR432" s="5"/>
      <c r="DT432" s="3"/>
      <c r="EF432" s="7"/>
      <c r="EG432" s="7"/>
      <c r="EJ432" s="4"/>
      <c r="EK432" s="4"/>
      <c r="EU432" s="2"/>
      <c r="EV432" s="2"/>
    </row>
    <row r="433" spans="1:152">
      <c r="A433" s="125">
        <v>174</v>
      </c>
      <c r="B433" s="126" t="s">
        <v>616</v>
      </c>
      <c r="C433" s="126" t="s">
        <v>116</v>
      </c>
      <c r="D433" s="126" t="s">
        <v>127</v>
      </c>
      <c r="E433" s="126" t="s">
        <v>617</v>
      </c>
      <c r="F433" s="126" t="s">
        <v>40</v>
      </c>
      <c r="G433" s="126" t="s">
        <v>118</v>
      </c>
      <c r="H433" s="126"/>
      <c r="I433" s="126" t="s">
        <v>118</v>
      </c>
      <c r="J433" s="126"/>
      <c r="K433" s="127">
        <v>43236</v>
      </c>
      <c r="L433" s="128"/>
      <c r="M433" s="128">
        <v>3</v>
      </c>
      <c r="N433" s="126"/>
      <c r="O433" s="126" t="s">
        <v>119</v>
      </c>
      <c r="P433" s="129"/>
      <c r="Q433" s="129"/>
      <c r="R433" s="126" t="s">
        <v>24</v>
      </c>
      <c r="S433" s="126"/>
      <c r="T433" s="130" t="s">
        <v>120</v>
      </c>
      <c r="U433" s="126" t="s">
        <v>403</v>
      </c>
      <c r="V433" s="130" t="s">
        <v>120</v>
      </c>
      <c r="W433" s="126"/>
      <c r="X433" s="130" t="s">
        <v>120</v>
      </c>
      <c r="Y433" s="126" t="s">
        <v>404</v>
      </c>
      <c r="Z433" s="162" t="s">
        <v>125</v>
      </c>
      <c r="AA433" s="154"/>
      <c r="AB433" s="154"/>
      <c r="AC433" s="167" t="s">
        <v>123</v>
      </c>
      <c r="AD433" s="126" t="s">
        <v>405</v>
      </c>
      <c r="AE433" s="130" t="s">
        <v>120</v>
      </c>
      <c r="AF433" s="127" t="s">
        <v>618</v>
      </c>
      <c r="AG433" s="131"/>
      <c r="AH433" s="131">
        <v>2</v>
      </c>
      <c r="AI433" s="126" t="s">
        <v>512</v>
      </c>
      <c r="AJ433" s="130" t="s">
        <v>120</v>
      </c>
      <c r="AK433" s="126" t="s">
        <v>240</v>
      </c>
      <c r="AL433" s="126" t="s">
        <v>585</v>
      </c>
      <c r="AM433" s="130"/>
      <c r="AN433" s="126"/>
      <c r="AO433" s="132"/>
      <c r="AP433" s="126"/>
      <c r="AQ433" s="126"/>
      <c r="AR433" s="130"/>
      <c r="AS433" s="126"/>
      <c r="AT433" s="127"/>
      <c r="AU433" s="127">
        <v>43453.379043287001</v>
      </c>
      <c r="AV433" s="127"/>
      <c r="AW433" s="127"/>
      <c r="AX433" s="127"/>
      <c r="AY433" s="127"/>
      <c r="AZ433" s="133">
        <v>43236</v>
      </c>
      <c r="BA43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3" s="135">
        <f>COUNTIFS(_05preva_view43[Site ID],_05preva_view43[[#This Row],[Site ID]],_05preva_view43[Prevalidation Status],"Under Prevalidation")</f>
        <v>0</v>
      </c>
      <c r="BC433" s="153" t="str">
        <f ca="1">HYPERLINK(CheckPath(_05preva_view43[[#This Row],[File Path]],_05preva_view43[[#This Row],[File Path]],_05preva_view43[[#This Row],[Folder Path3]]),CheckPath(_05preva_view43[[#This Row],[File Path]],"Open File","No File"))</f>
        <v>No File</v>
      </c>
      <c r="BD433" s="136" t="str">
        <f>CONCATENATE(_05preva_view43[[#This Row],[Site ID]]," (",_05preva_view43[[#This Row],[tenant id]],") Application",IF(_05preva_view43[[#This Row],[Colo Rev]]&gt;0," Rev "&amp;_05preva_view43[[#This Row],[Colo Rev]],""),".xlsx")</f>
        <v>ANMD_0118 (MAW2441) Application.xlsx</v>
      </c>
      <c r="BE433" s="64">
        <f t="shared" ca="1" si="8"/>
        <v>50</v>
      </c>
      <c r="BF433" s="104" t="str">
        <f ca="1">LEFT(CELL("filename",A418),_05preva_view43[[#This Row],[Find Process &amp; Database]]-1)</f>
        <v>D:\OneDrive - apollo-towers.com\Apollo Towers\00-</v>
      </c>
      <c r="BG433" s="104" t="str">
        <f ca="1">_05preva_view43[Folder Path1]&amp;"Process &amp; Database\Documentation\Colo Applications"</f>
        <v>D:\OneDrive - apollo-towers.com\Apollo Towers\00-Process &amp; Database\Documentation\Colo Applications</v>
      </c>
      <c r="BH433" s="104" t="str">
        <f ca="1">_05preva_view43[Folder Path2]&amp;"\Colo App "&amp;_05preva_view43[[#This Row],[Operator]]&amp;"\"</f>
        <v>D:\OneDrive - apollo-towers.com\Apollo Towers\00-Process &amp; Database\Documentation\Colo Applications\Colo App OML\</v>
      </c>
      <c r="BI433" s="63" t="str">
        <f ca="1">_05preva_view43[[#This Row],[Folder Path3]]&amp;_05preva_view43[[#This Row],[File Name]]</f>
        <v>D:\OneDrive - apollo-towers.com\Apollo Towers\00-Process &amp; Database\Documentation\Colo Applications\Colo App OML\ANMD_0118 (MAW2441) Application.xlsx</v>
      </c>
      <c r="BJ433" s="104"/>
      <c r="BK433" s="3"/>
      <c r="BL433" s="3"/>
      <c r="CJ433" s="5"/>
      <c r="CK433" s="5"/>
      <c r="CL433" s="3"/>
      <c r="CN433" s="5"/>
      <c r="CR433" s="3"/>
      <c r="CS433" s="3"/>
      <c r="CT433" s="5"/>
      <c r="CV433" s="3"/>
      <c r="DR433" s="5"/>
      <c r="DT433" s="3"/>
      <c r="EF433" s="7"/>
      <c r="EG433" s="7"/>
      <c r="EJ433" s="4"/>
      <c r="EK433" s="4"/>
      <c r="EU433" s="2"/>
      <c r="EV433" s="2"/>
    </row>
    <row r="434" spans="1:152">
      <c r="A434" s="125">
        <v>176</v>
      </c>
      <c r="B434" s="126" t="s">
        <v>619</v>
      </c>
      <c r="C434" s="126" t="s">
        <v>116</v>
      </c>
      <c r="D434" s="126" t="s">
        <v>127</v>
      </c>
      <c r="E434" s="126" t="s">
        <v>620</v>
      </c>
      <c r="F434" s="126" t="s">
        <v>40</v>
      </c>
      <c r="G434" s="126" t="s">
        <v>118</v>
      </c>
      <c r="H434" s="126"/>
      <c r="I434" s="126" t="s">
        <v>118</v>
      </c>
      <c r="J434" s="126"/>
      <c r="K434" s="127">
        <v>43236</v>
      </c>
      <c r="L434" s="128"/>
      <c r="M434" s="128">
        <v>3</v>
      </c>
      <c r="N434" s="126"/>
      <c r="O434" s="126" t="s">
        <v>119</v>
      </c>
      <c r="P434" s="129"/>
      <c r="Q434" s="129"/>
      <c r="R434" s="126" t="s">
        <v>25</v>
      </c>
      <c r="S434" s="126"/>
      <c r="T434" s="130" t="s">
        <v>120</v>
      </c>
      <c r="U434" s="126" t="s">
        <v>403</v>
      </c>
      <c r="V434" s="130" t="s">
        <v>120</v>
      </c>
      <c r="W434" s="126"/>
      <c r="X434" s="130" t="s">
        <v>120</v>
      </c>
      <c r="Y434" s="126" t="s">
        <v>404</v>
      </c>
      <c r="Z434" s="162" t="s">
        <v>125</v>
      </c>
      <c r="AA434" s="154"/>
      <c r="AB434" s="154"/>
      <c r="AC434" s="167" t="s">
        <v>123</v>
      </c>
      <c r="AD434" s="126" t="s">
        <v>405</v>
      </c>
      <c r="AE434" s="130" t="s">
        <v>120</v>
      </c>
      <c r="AF434" s="127" t="s">
        <v>618</v>
      </c>
      <c r="AG434" s="131"/>
      <c r="AH434" s="131">
        <v>2</v>
      </c>
      <c r="AI434" s="126" t="s">
        <v>512</v>
      </c>
      <c r="AJ434" s="130" t="s">
        <v>120</v>
      </c>
      <c r="AK434" s="126" t="s">
        <v>240</v>
      </c>
      <c r="AL434" s="126" t="s">
        <v>621</v>
      </c>
      <c r="AM434" s="130"/>
      <c r="AN434" s="126"/>
      <c r="AO434" s="132"/>
      <c r="AP434" s="126"/>
      <c r="AQ434" s="126"/>
      <c r="AR434" s="130" t="s">
        <v>120</v>
      </c>
      <c r="AS434" s="126" t="s">
        <v>1893</v>
      </c>
      <c r="AT434" s="127">
        <v>43417.622350231497</v>
      </c>
      <c r="AU434" s="127">
        <v>43417.673041087997</v>
      </c>
      <c r="AV434" s="127"/>
      <c r="AW434" s="127">
        <v>43417.729835069404</v>
      </c>
      <c r="AX434" s="127">
        <v>43417.688149884299</v>
      </c>
      <c r="AY434" s="127">
        <v>43417.684575347201</v>
      </c>
      <c r="AZ434" s="133"/>
      <c r="BA434" s="134">
        <f ca="1">IF(_05preva_view43[[#This Row],[Prevalidation Status]]="Under Prevalidation",NOW()-_05preva_view43[[#This Row],[Request Date]],IF(_05preva_view43[[#This Row],[Close Date]]&gt;_05preva_view43[[#This Row],[Request Date]],_05preva_view43[[#This Row],[Close Date]]-_05preva_view43[[#This Row],[Request Date]],"Not  Calculated"))</f>
        <v>251.50673414352059</v>
      </c>
      <c r="BB434" s="135">
        <f>COUNTIFS(_05preva_view43[Site ID],_05preva_view43[[#This Row],[Site ID]],_05preva_view43[Prevalidation Status],"Under Prevalidation")</f>
        <v>1</v>
      </c>
      <c r="BC434" s="153" t="str">
        <f ca="1">HYPERLINK(CheckPath(_05preva_view43[[#This Row],[File Path]],_05preva_view43[[#This Row],[File Path]],_05preva_view43[[#This Row],[Folder Path3]]),CheckPath(_05preva_view43[[#This Row],[File Path]],"Open File","No File"))</f>
        <v>No File</v>
      </c>
      <c r="BD434" s="136" t="str">
        <f>CONCATENATE(_05preva_view43[[#This Row],[Site ID]]," (",_05preva_view43[[#This Row],[tenant id]],") Application",IF(_05preva_view43[[#This Row],[Colo Rev]]&gt;0," Rev "&amp;_05preva_view43[[#This Row],[Colo Rev]],""),".xlsx")</f>
        <v>ANMD_0170 (MAW2986) Application.xlsx</v>
      </c>
      <c r="BE434" s="64">
        <f t="shared" ca="1" si="8"/>
        <v>50</v>
      </c>
      <c r="BF434" s="104" t="str">
        <f ca="1">LEFT(CELL("filename",A419),_05preva_view43[[#This Row],[Find Process &amp; Database]]-1)</f>
        <v>D:\OneDrive - apollo-towers.com\Apollo Towers\00-</v>
      </c>
      <c r="BG434" s="104" t="str">
        <f ca="1">_05preva_view43[Folder Path1]&amp;"Process &amp; Database\Documentation\Colo Applications"</f>
        <v>D:\OneDrive - apollo-towers.com\Apollo Towers\00-Process &amp; Database\Documentation\Colo Applications</v>
      </c>
      <c r="BH434" s="104" t="str">
        <f ca="1">_05preva_view43[Folder Path2]&amp;"\Colo App "&amp;_05preva_view43[[#This Row],[Operator]]&amp;"\"</f>
        <v>D:\OneDrive - apollo-towers.com\Apollo Towers\00-Process &amp; Database\Documentation\Colo Applications\Colo App OML\</v>
      </c>
      <c r="BI434" s="63" t="str">
        <f ca="1">_05preva_view43[[#This Row],[Folder Path3]]&amp;_05preva_view43[[#This Row],[File Name]]</f>
        <v>D:\OneDrive - apollo-towers.com\Apollo Towers\00-Process &amp; Database\Documentation\Colo Applications\Colo App OML\ANMD_0170 (MAW2986) Application.xlsx</v>
      </c>
      <c r="BJ434" s="104"/>
      <c r="BK434" s="3"/>
      <c r="BL434" s="3"/>
      <c r="CJ434" s="5"/>
      <c r="CK434" s="5"/>
      <c r="CL434" s="3"/>
      <c r="CN434" s="5"/>
      <c r="CR434" s="3"/>
      <c r="CS434" s="3"/>
      <c r="CT434" s="5"/>
      <c r="CV434" s="3"/>
      <c r="DR434" s="5"/>
      <c r="DT434" s="3"/>
      <c r="EF434" s="7"/>
      <c r="EG434" s="7"/>
      <c r="EJ434" s="4"/>
      <c r="EK434" s="4"/>
      <c r="EU434" s="2"/>
      <c r="EV434" s="2"/>
    </row>
    <row r="435" spans="1:152">
      <c r="A435" s="125">
        <v>177</v>
      </c>
      <c r="B435" s="126" t="s">
        <v>622</v>
      </c>
      <c r="C435" s="126" t="s">
        <v>116</v>
      </c>
      <c r="D435" s="126" t="s">
        <v>127</v>
      </c>
      <c r="E435" s="126" t="s">
        <v>623</v>
      </c>
      <c r="F435" s="126" t="s">
        <v>40</v>
      </c>
      <c r="G435" s="126" t="s">
        <v>118</v>
      </c>
      <c r="H435" s="126"/>
      <c r="I435" s="126" t="s">
        <v>118</v>
      </c>
      <c r="J435" s="126"/>
      <c r="K435" s="127">
        <v>43236</v>
      </c>
      <c r="L435" s="128"/>
      <c r="M435" s="128">
        <v>3</v>
      </c>
      <c r="N435" s="126"/>
      <c r="O435" s="126" t="s">
        <v>119</v>
      </c>
      <c r="P435" s="129"/>
      <c r="Q435" s="129"/>
      <c r="R435" s="126" t="s">
        <v>24</v>
      </c>
      <c r="S435" s="126"/>
      <c r="T435" s="130" t="s">
        <v>120</v>
      </c>
      <c r="U435" s="126" t="s">
        <v>378</v>
      </c>
      <c r="V435" s="130" t="s">
        <v>120</v>
      </c>
      <c r="W435" s="126"/>
      <c r="X435" s="130" t="s">
        <v>120</v>
      </c>
      <c r="Y435" s="126" t="s">
        <v>120</v>
      </c>
      <c r="Z435" s="162" t="s">
        <v>120</v>
      </c>
      <c r="AA435" s="154"/>
      <c r="AB435" s="154"/>
      <c r="AC435" s="167"/>
      <c r="AD435" s="126" t="s">
        <v>120</v>
      </c>
      <c r="AE435" s="130" t="s">
        <v>120</v>
      </c>
      <c r="AF435" s="127" t="s">
        <v>120</v>
      </c>
      <c r="AG435" s="131"/>
      <c r="AH435" s="131">
        <v>2</v>
      </c>
      <c r="AI435" s="126" t="s">
        <v>384</v>
      </c>
      <c r="AJ435" s="130" t="s">
        <v>120</v>
      </c>
      <c r="AK435" s="126" t="s">
        <v>123</v>
      </c>
      <c r="AL435" s="126"/>
      <c r="AM435" s="130"/>
      <c r="AN435" s="126"/>
      <c r="AO435" s="132"/>
      <c r="AP435" s="126"/>
      <c r="AQ435" s="126"/>
      <c r="AR435" s="130"/>
      <c r="AS435" s="126"/>
      <c r="AT435" s="127"/>
      <c r="AU435" s="127">
        <v>43453.379044212998</v>
      </c>
      <c r="AV435" s="127"/>
      <c r="AW435" s="127"/>
      <c r="AX435" s="127"/>
      <c r="AY435" s="127"/>
      <c r="AZ435" s="133">
        <v>43236</v>
      </c>
      <c r="BA43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5" s="135">
        <f>COUNTIFS(_05preva_view43[Site ID],_05preva_view43[[#This Row],[Site ID]],_05preva_view43[Prevalidation Status],"Under Prevalidation")</f>
        <v>0</v>
      </c>
      <c r="BC435" s="153" t="str">
        <f ca="1">HYPERLINK(CheckPath(_05preva_view43[[#This Row],[File Path]],_05preva_view43[[#This Row],[File Path]],_05preva_view43[[#This Row],[Folder Path3]]),CheckPath(_05preva_view43[[#This Row],[File Path]],"Open File","No File"))</f>
        <v>No File</v>
      </c>
      <c r="BD435" s="136" t="str">
        <f>CONCATENATE(_05preva_view43[[#This Row],[Site ID]]," (",_05preva_view43[[#This Row],[tenant id]],") Application",IF(_05preva_view43[[#This Row],[Colo Rev]]&gt;0," Rev "&amp;_05preva_view43[[#This Row],[Colo Rev]],""),".xlsx")</f>
        <v>ANMD_0266 (MAW2985) Application.xlsx</v>
      </c>
      <c r="BE435" s="64">
        <f t="shared" ca="1" si="8"/>
        <v>50</v>
      </c>
      <c r="BF435" s="104" t="str">
        <f ca="1">LEFT(CELL("filename",A420),_05preva_view43[[#This Row],[Find Process &amp; Database]]-1)</f>
        <v>D:\OneDrive - apollo-towers.com\Apollo Towers\00-</v>
      </c>
      <c r="BG435" s="104" t="str">
        <f ca="1">_05preva_view43[Folder Path1]&amp;"Process &amp; Database\Documentation\Colo Applications"</f>
        <v>D:\OneDrive - apollo-towers.com\Apollo Towers\00-Process &amp; Database\Documentation\Colo Applications</v>
      </c>
      <c r="BH435" s="104" t="str">
        <f ca="1">_05preva_view43[Folder Path2]&amp;"\Colo App "&amp;_05preva_view43[[#This Row],[Operator]]&amp;"\"</f>
        <v>D:\OneDrive - apollo-towers.com\Apollo Towers\00-Process &amp; Database\Documentation\Colo Applications\Colo App OML\</v>
      </c>
      <c r="BI435" s="63" t="str">
        <f ca="1">_05preva_view43[[#This Row],[Folder Path3]]&amp;_05preva_view43[[#This Row],[File Name]]</f>
        <v>D:\OneDrive - apollo-towers.com\Apollo Towers\00-Process &amp; Database\Documentation\Colo Applications\Colo App OML\ANMD_0266 (MAW2985) Application.xlsx</v>
      </c>
      <c r="BJ435" s="104"/>
      <c r="BK435" s="3"/>
      <c r="BL435" s="3"/>
      <c r="CJ435" s="5"/>
      <c r="CK435" s="5"/>
      <c r="CL435" s="3"/>
      <c r="CN435" s="5"/>
      <c r="CR435" s="3"/>
      <c r="CS435" s="3"/>
      <c r="CT435" s="5"/>
      <c r="CV435" s="3"/>
      <c r="DR435" s="5"/>
      <c r="DT435" s="3"/>
      <c r="EF435" s="7"/>
      <c r="EG435" s="7"/>
      <c r="EJ435" s="4"/>
      <c r="EK435" s="4"/>
      <c r="EU435" s="2"/>
      <c r="EV435" s="2"/>
    </row>
    <row r="436" spans="1:152">
      <c r="A436" s="125">
        <v>178</v>
      </c>
      <c r="B436" s="126" t="s">
        <v>624</v>
      </c>
      <c r="C436" s="126" t="s">
        <v>116</v>
      </c>
      <c r="D436" s="126" t="s">
        <v>127</v>
      </c>
      <c r="E436" s="126" t="s">
        <v>625</v>
      </c>
      <c r="F436" s="126" t="s">
        <v>40</v>
      </c>
      <c r="G436" s="126" t="s">
        <v>118</v>
      </c>
      <c r="H436" s="126"/>
      <c r="I436" s="126" t="s">
        <v>118</v>
      </c>
      <c r="J436" s="126"/>
      <c r="K436" s="127">
        <v>43236</v>
      </c>
      <c r="L436" s="128"/>
      <c r="M436" s="128">
        <v>3</v>
      </c>
      <c r="N436" s="126"/>
      <c r="O436" s="126" t="s">
        <v>119</v>
      </c>
      <c r="P436" s="129"/>
      <c r="Q436" s="129"/>
      <c r="R436" s="126" t="s">
        <v>24</v>
      </c>
      <c r="S436" s="126"/>
      <c r="T436" s="130" t="s">
        <v>120</v>
      </c>
      <c r="U436" s="126" t="s">
        <v>378</v>
      </c>
      <c r="V436" s="130" t="s">
        <v>120</v>
      </c>
      <c r="W436" s="126"/>
      <c r="X436" s="130" t="s">
        <v>120</v>
      </c>
      <c r="Y436" s="126" t="s">
        <v>537</v>
      </c>
      <c r="Z436" s="162" t="s">
        <v>120</v>
      </c>
      <c r="AA436" s="154"/>
      <c r="AB436" s="154"/>
      <c r="AC436" s="167"/>
      <c r="AD436" s="126" t="s">
        <v>120</v>
      </c>
      <c r="AE436" s="130" t="s">
        <v>125</v>
      </c>
      <c r="AF436" s="127"/>
      <c r="AG436" s="131"/>
      <c r="AH436" s="131"/>
      <c r="AI436" s="126" t="s">
        <v>626</v>
      </c>
      <c r="AJ436" s="130" t="s">
        <v>120</v>
      </c>
      <c r="AK436" s="126" t="s">
        <v>123</v>
      </c>
      <c r="AL436" s="126"/>
      <c r="AM436" s="130"/>
      <c r="AN436" s="126"/>
      <c r="AO436" s="132"/>
      <c r="AP436" s="126"/>
      <c r="AQ436" s="126"/>
      <c r="AR436" s="130"/>
      <c r="AS436" s="126"/>
      <c r="AT436" s="127"/>
      <c r="AU436" s="127"/>
      <c r="AV436" s="127"/>
      <c r="AW436" s="127"/>
      <c r="AX436" s="127"/>
      <c r="AY436" s="127"/>
      <c r="AZ436" s="133">
        <v>43236</v>
      </c>
      <c r="BA43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6" s="135">
        <f>COUNTIFS(_05preva_view43[Site ID],_05preva_view43[[#This Row],[Site ID]],_05preva_view43[Prevalidation Status],"Under Prevalidation")</f>
        <v>0</v>
      </c>
      <c r="BC436" s="153" t="str">
        <f ca="1">HYPERLINK(CheckPath(_05preva_view43[[#This Row],[File Path]],_05preva_view43[[#This Row],[File Path]],_05preva_view43[[#This Row],[Folder Path3]]),CheckPath(_05preva_view43[[#This Row],[File Path]],"Open File","No File"))</f>
        <v>No File</v>
      </c>
      <c r="BD436" s="136" t="str">
        <f>CONCATENATE(_05preva_view43[[#This Row],[Site ID]]," (",_05preva_view43[[#This Row],[tenant id]],") Application",IF(_05preva_view43[[#This Row],[Colo Rev]]&gt;0," Rev "&amp;_05preva_view43[[#This Row],[Colo Rev]],""),".xlsx")</f>
        <v>ANMD_0167 (MAW2984) Application.xlsx</v>
      </c>
      <c r="BE436" s="64">
        <f t="shared" ca="1" si="8"/>
        <v>50</v>
      </c>
      <c r="BF436" s="104" t="str">
        <f ca="1">LEFT(CELL("filename",A421),_05preva_view43[[#This Row],[Find Process &amp; Database]]-1)</f>
        <v>D:\OneDrive - apollo-towers.com\Apollo Towers\00-</v>
      </c>
      <c r="BG436" s="104" t="str">
        <f ca="1">_05preva_view43[Folder Path1]&amp;"Process &amp; Database\Documentation\Colo Applications"</f>
        <v>D:\OneDrive - apollo-towers.com\Apollo Towers\00-Process &amp; Database\Documentation\Colo Applications</v>
      </c>
      <c r="BH436" s="104" t="str">
        <f ca="1">_05preva_view43[Folder Path2]&amp;"\Colo App "&amp;_05preva_view43[[#This Row],[Operator]]&amp;"\"</f>
        <v>D:\OneDrive - apollo-towers.com\Apollo Towers\00-Process &amp; Database\Documentation\Colo Applications\Colo App OML\</v>
      </c>
      <c r="BI436" s="63" t="str">
        <f ca="1">_05preva_view43[[#This Row],[Folder Path3]]&amp;_05preva_view43[[#This Row],[File Name]]</f>
        <v>D:\OneDrive - apollo-towers.com\Apollo Towers\00-Process &amp; Database\Documentation\Colo Applications\Colo App OML\ANMD_0167 (MAW2984) Application.xlsx</v>
      </c>
      <c r="BJ436" s="104"/>
      <c r="BK436" s="3"/>
      <c r="BL436" s="3"/>
      <c r="CJ436" s="5"/>
      <c r="CK436" s="5"/>
      <c r="CL436" s="3"/>
      <c r="CN436" s="5"/>
      <c r="CR436" s="3"/>
      <c r="CS436" s="3"/>
      <c r="CT436" s="5"/>
      <c r="CV436" s="3"/>
      <c r="DR436" s="5"/>
      <c r="DT436" s="3"/>
      <c r="EF436" s="7"/>
      <c r="EG436" s="7"/>
      <c r="EJ436" s="4"/>
      <c r="EK436" s="4"/>
      <c r="EU436" s="2"/>
      <c r="EV436" s="2"/>
    </row>
    <row r="437" spans="1:152">
      <c r="A437" s="125">
        <v>179</v>
      </c>
      <c r="B437" s="126" t="s">
        <v>627</v>
      </c>
      <c r="C437" s="126" t="s">
        <v>116</v>
      </c>
      <c r="D437" s="126" t="s">
        <v>117</v>
      </c>
      <c r="E437" s="126" t="s">
        <v>628</v>
      </c>
      <c r="F437" s="126" t="s">
        <v>40</v>
      </c>
      <c r="G437" s="126" t="s">
        <v>118</v>
      </c>
      <c r="H437" s="126"/>
      <c r="I437" s="126" t="s">
        <v>118</v>
      </c>
      <c r="J437" s="126"/>
      <c r="K437" s="127">
        <v>43236</v>
      </c>
      <c r="L437" s="128"/>
      <c r="M437" s="128">
        <v>3</v>
      </c>
      <c r="N437" s="126"/>
      <c r="O437" s="126" t="s">
        <v>119</v>
      </c>
      <c r="P437" s="129"/>
      <c r="Q437" s="129"/>
      <c r="R437" s="126" t="s">
        <v>26</v>
      </c>
      <c r="S437" s="126" t="s">
        <v>629</v>
      </c>
      <c r="T437" s="130" t="s">
        <v>120</v>
      </c>
      <c r="U437" s="126" t="s">
        <v>378</v>
      </c>
      <c r="V437" s="130" t="s">
        <v>120</v>
      </c>
      <c r="W437" s="126"/>
      <c r="X437" s="130" t="s">
        <v>120</v>
      </c>
      <c r="Y437" s="126" t="s">
        <v>120</v>
      </c>
      <c r="Z437" s="162" t="s">
        <v>120</v>
      </c>
      <c r="AA437" s="154"/>
      <c r="AB437" s="154"/>
      <c r="AC437" s="167"/>
      <c r="AD437" s="126" t="s">
        <v>120</v>
      </c>
      <c r="AE437" s="130" t="s">
        <v>120</v>
      </c>
      <c r="AF437" s="127" t="s">
        <v>241</v>
      </c>
      <c r="AG437" s="131"/>
      <c r="AH437" s="131">
        <v>3.5</v>
      </c>
      <c r="AI437" s="126" t="s">
        <v>242</v>
      </c>
      <c r="AJ437" s="130" t="s">
        <v>120</v>
      </c>
      <c r="AK437" s="126" t="s">
        <v>123</v>
      </c>
      <c r="AL437" s="126"/>
      <c r="AM437" s="130"/>
      <c r="AN437" s="126"/>
      <c r="AO437" s="132"/>
      <c r="AP437" s="126"/>
      <c r="AQ437" s="126"/>
      <c r="AR437" s="130"/>
      <c r="AS437" s="126"/>
      <c r="AT437" s="127"/>
      <c r="AU437" s="127">
        <v>43453.379046064802</v>
      </c>
      <c r="AV437" s="127"/>
      <c r="AW437" s="127"/>
      <c r="AX437" s="127"/>
      <c r="AY437" s="127"/>
      <c r="AZ437" s="133">
        <v>43236</v>
      </c>
      <c r="BA43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7" s="135">
        <f>COUNTIFS(_05preva_view43[Site ID],_05preva_view43[[#This Row],[Site ID]],_05preva_view43[Prevalidation Status],"Under Prevalidation")</f>
        <v>0</v>
      </c>
      <c r="BC437" s="153" t="str">
        <f ca="1">HYPERLINK(CheckPath(_05preva_view43[[#This Row],[File Path]],_05preva_view43[[#This Row],[File Path]],_05preva_view43[[#This Row],[Folder Path3]]),CheckPath(_05preva_view43[[#This Row],[File Path]],"Open File","No File"))</f>
        <v>No File</v>
      </c>
      <c r="BD437" s="136" t="str">
        <f>CONCATENATE(_05preva_view43[[#This Row],[Site ID]]," (",_05preva_view43[[#This Row],[tenant id]],") Application",IF(_05preva_view43[[#This Row],[Colo Rev]]&gt;0," Rev "&amp;_05preva_view43[[#This Row],[Colo Rev]],""),".xlsx")</f>
        <v>ANMG_0172 (MWW3507) Application.xlsx</v>
      </c>
      <c r="BE437" s="64">
        <f t="shared" ca="1" si="8"/>
        <v>50</v>
      </c>
      <c r="BF437" s="104" t="str">
        <f ca="1">LEFT(CELL("filename",A422),_05preva_view43[[#This Row],[Find Process &amp; Database]]-1)</f>
        <v>D:\OneDrive - apollo-towers.com\Apollo Towers\00-</v>
      </c>
      <c r="BG437" s="104" t="str">
        <f ca="1">_05preva_view43[Folder Path1]&amp;"Process &amp; Database\Documentation\Colo Applications"</f>
        <v>D:\OneDrive - apollo-towers.com\Apollo Towers\00-Process &amp; Database\Documentation\Colo Applications</v>
      </c>
      <c r="BH437" s="104" t="str">
        <f ca="1">_05preva_view43[Folder Path2]&amp;"\Colo App "&amp;_05preva_view43[[#This Row],[Operator]]&amp;"\"</f>
        <v>D:\OneDrive - apollo-towers.com\Apollo Towers\00-Process &amp; Database\Documentation\Colo Applications\Colo App OML\</v>
      </c>
      <c r="BI437" s="63" t="str">
        <f ca="1">_05preva_view43[[#This Row],[Folder Path3]]&amp;_05preva_view43[[#This Row],[File Name]]</f>
        <v>D:\OneDrive - apollo-towers.com\Apollo Towers\00-Process &amp; Database\Documentation\Colo Applications\Colo App OML\ANMG_0172 (MWW3507) Application.xlsx</v>
      </c>
      <c r="BJ437" s="104"/>
      <c r="BK437" s="3"/>
      <c r="BL437" s="3"/>
      <c r="CJ437" s="5"/>
      <c r="CK437" s="5"/>
      <c r="CL437" s="3"/>
      <c r="CN437" s="5"/>
      <c r="CR437" s="3"/>
      <c r="CS437" s="3"/>
      <c r="CT437" s="5"/>
      <c r="CV437" s="3"/>
      <c r="DR437" s="5"/>
      <c r="DT437" s="3"/>
      <c r="EF437" s="7"/>
      <c r="EG437" s="7"/>
      <c r="EJ437" s="4"/>
      <c r="EK437" s="4"/>
      <c r="EU437" s="2"/>
      <c r="EV437" s="2"/>
    </row>
    <row r="438" spans="1:152">
      <c r="A438" s="125">
        <v>180</v>
      </c>
      <c r="B438" s="126" t="s">
        <v>630</v>
      </c>
      <c r="C438" s="126" t="s">
        <v>116</v>
      </c>
      <c r="D438" s="126" t="s">
        <v>117</v>
      </c>
      <c r="E438" s="126" t="s">
        <v>631</v>
      </c>
      <c r="F438" s="126" t="s">
        <v>40</v>
      </c>
      <c r="G438" s="126" t="s">
        <v>118</v>
      </c>
      <c r="H438" s="126"/>
      <c r="I438" s="126" t="s">
        <v>118</v>
      </c>
      <c r="J438" s="126"/>
      <c r="K438" s="127">
        <v>43236</v>
      </c>
      <c r="L438" s="128"/>
      <c r="M438" s="128">
        <v>3</v>
      </c>
      <c r="N438" s="126"/>
      <c r="O438" s="126" t="s">
        <v>119</v>
      </c>
      <c r="P438" s="129"/>
      <c r="Q438" s="129"/>
      <c r="R438" s="126" t="s">
        <v>24</v>
      </c>
      <c r="S438" s="126"/>
      <c r="T438" s="130" t="s">
        <v>120</v>
      </c>
      <c r="U438" s="126" t="s">
        <v>378</v>
      </c>
      <c r="V438" s="130" t="s">
        <v>120</v>
      </c>
      <c r="W438" s="126"/>
      <c r="X438" s="130" t="s">
        <v>120</v>
      </c>
      <c r="Y438" s="126" t="s">
        <v>120</v>
      </c>
      <c r="Z438" s="162" t="s">
        <v>120</v>
      </c>
      <c r="AA438" s="154"/>
      <c r="AB438" s="154"/>
      <c r="AC438" s="167"/>
      <c r="AD438" s="126" t="s">
        <v>120</v>
      </c>
      <c r="AE438" s="130" t="s">
        <v>120</v>
      </c>
      <c r="AF438" s="127" t="s">
        <v>467</v>
      </c>
      <c r="AG438" s="131"/>
      <c r="AH438" s="131">
        <v>3.5</v>
      </c>
      <c r="AI438" s="126" t="s">
        <v>245</v>
      </c>
      <c r="AJ438" s="130" t="s">
        <v>120</v>
      </c>
      <c r="AK438" s="126" t="s">
        <v>123</v>
      </c>
      <c r="AL438" s="126"/>
      <c r="AM438" s="130"/>
      <c r="AN438" s="126"/>
      <c r="AO438" s="132"/>
      <c r="AP438" s="126"/>
      <c r="AQ438" s="126"/>
      <c r="AR438" s="130"/>
      <c r="AS438" s="126"/>
      <c r="AT438" s="127"/>
      <c r="AU438" s="127">
        <v>43453.379046643502</v>
      </c>
      <c r="AV438" s="127"/>
      <c r="AW438" s="127"/>
      <c r="AX438" s="127"/>
      <c r="AY438" s="127"/>
      <c r="AZ438" s="133">
        <v>43236</v>
      </c>
      <c r="BA43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8" s="135">
        <f>COUNTIFS(_05preva_view43[Site ID],_05preva_view43[[#This Row],[Site ID]],_05preva_view43[Prevalidation Status],"Under Prevalidation")</f>
        <v>0</v>
      </c>
      <c r="BC438" s="153" t="str">
        <f ca="1">HYPERLINK(CheckPath(_05preva_view43[[#This Row],[File Path]],_05preva_view43[[#This Row],[File Path]],_05preva_view43[[#This Row],[Folder Path3]]),CheckPath(_05preva_view43[[#This Row],[File Path]],"Open File","No File"))</f>
        <v>No File</v>
      </c>
      <c r="BD438" s="136" t="str">
        <f>CONCATENATE(_05preva_view43[[#This Row],[Site ID]]," (",_05preva_view43[[#This Row],[tenant id]],") Application",IF(_05preva_view43[[#This Row],[Colo Rev]]&gt;0," Rev "&amp;_05preva_view43[[#This Row],[Colo Rev]],""),".xlsx")</f>
        <v>ANMG_0173 (MWW3508) Application.xlsx</v>
      </c>
      <c r="BE438" s="64">
        <f t="shared" ca="1" si="8"/>
        <v>50</v>
      </c>
      <c r="BF438" s="104" t="str">
        <f ca="1">LEFT(CELL("filename",A423),_05preva_view43[[#This Row],[Find Process &amp; Database]]-1)</f>
        <v>D:\OneDrive - apollo-towers.com\Apollo Towers\00-</v>
      </c>
      <c r="BG438" s="104" t="str">
        <f ca="1">_05preva_view43[Folder Path1]&amp;"Process &amp; Database\Documentation\Colo Applications"</f>
        <v>D:\OneDrive - apollo-towers.com\Apollo Towers\00-Process &amp; Database\Documentation\Colo Applications</v>
      </c>
      <c r="BH438" s="104" t="str">
        <f ca="1">_05preva_view43[Folder Path2]&amp;"\Colo App "&amp;_05preva_view43[[#This Row],[Operator]]&amp;"\"</f>
        <v>D:\OneDrive - apollo-towers.com\Apollo Towers\00-Process &amp; Database\Documentation\Colo Applications\Colo App OML\</v>
      </c>
      <c r="BI438" s="63" t="str">
        <f ca="1">_05preva_view43[[#This Row],[Folder Path3]]&amp;_05preva_view43[[#This Row],[File Name]]</f>
        <v>D:\OneDrive - apollo-towers.com\Apollo Towers\00-Process &amp; Database\Documentation\Colo Applications\Colo App OML\ANMG_0173 (MWW3508) Application.xlsx</v>
      </c>
      <c r="BJ438" s="104"/>
      <c r="BK438" s="3"/>
      <c r="BL438" s="3"/>
      <c r="CJ438" s="5"/>
      <c r="CK438" s="5"/>
      <c r="CL438" s="3"/>
      <c r="CN438" s="5"/>
      <c r="CR438" s="3"/>
      <c r="CS438" s="3"/>
      <c r="CT438" s="5"/>
      <c r="CV438" s="3"/>
      <c r="DR438" s="5"/>
      <c r="DT438" s="3"/>
      <c r="EF438" s="7"/>
      <c r="EG438" s="7"/>
      <c r="EJ438" s="4"/>
      <c r="EK438" s="4"/>
      <c r="EU438" s="2"/>
      <c r="EV438" s="2"/>
    </row>
    <row r="439" spans="1:152">
      <c r="A439" s="125">
        <v>181</v>
      </c>
      <c r="B439" s="126" t="s">
        <v>632</v>
      </c>
      <c r="C439" s="126" t="s">
        <v>116</v>
      </c>
      <c r="D439" s="126" t="s">
        <v>127</v>
      </c>
      <c r="E439" s="126" t="s">
        <v>633</v>
      </c>
      <c r="F439" s="126" t="s">
        <v>40</v>
      </c>
      <c r="G439" s="126" t="s">
        <v>118</v>
      </c>
      <c r="H439" s="126"/>
      <c r="I439" s="126" t="s">
        <v>118</v>
      </c>
      <c r="J439" s="126"/>
      <c r="K439" s="127">
        <v>43236</v>
      </c>
      <c r="L439" s="128"/>
      <c r="M439" s="128">
        <v>3</v>
      </c>
      <c r="N439" s="126"/>
      <c r="O439" s="126" t="s">
        <v>119</v>
      </c>
      <c r="P439" s="129"/>
      <c r="Q439" s="129"/>
      <c r="R439" s="126" t="s">
        <v>24</v>
      </c>
      <c r="S439" s="126"/>
      <c r="T439" s="130" t="s">
        <v>120</v>
      </c>
      <c r="U439" s="126" t="s">
        <v>378</v>
      </c>
      <c r="V439" s="130" t="s">
        <v>120</v>
      </c>
      <c r="W439" s="126"/>
      <c r="X439" s="130" t="s">
        <v>120</v>
      </c>
      <c r="Y439" s="126" t="s">
        <v>120</v>
      </c>
      <c r="Z439" s="162" t="s">
        <v>120</v>
      </c>
      <c r="AA439" s="154"/>
      <c r="AB439" s="154"/>
      <c r="AC439" s="167"/>
      <c r="AD439" s="126" t="s">
        <v>120</v>
      </c>
      <c r="AE439" s="130" t="s">
        <v>120</v>
      </c>
      <c r="AF439" s="127" t="s">
        <v>120</v>
      </c>
      <c r="AG439" s="131"/>
      <c r="AH439" s="131">
        <v>2</v>
      </c>
      <c r="AI439" s="126" t="s">
        <v>634</v>
      </c>
      <c r="AJ439" s="130" t="s">
        <v>120</v>
      </c>
      <c r="AK439" s="126" t="s">
        <v>123</v>
      </c>
      <c r="AL439" s="126"/>
      <c r="AM439" s="130"/>
      <c r="AN439" s="126"/>
      <c r="AO439" s="132"/>
      <c r="AP439" s="126"/>
      <c r="AQ439" s="126"/>
      <c r="AR439" s="130"/>
      <c r="AS439" s="126"/>
      <c r="AT439" s="127"/>
      <c r="AU439" s="127">
        <v>43453.379047338</v>
      </c>
      <c r="AV439" s="127"/>
      <c r="AW439" s="127"/>
      <c r="AX439" s="127"/>
      <c r="AY439" s="127"/>
      <c r="AZ439" s="133">
        <v>43236</v>
      </c>
      <c r="BA43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9" s="135">
        <f>COUNTIFS(_05preva_view43[Site ID],_05preva_view43[[#This Row],[Site ID]],_05preva_view43[Prevalidation Status],"Under Prevalidation")</f>
        <v>0</v>
      </c>
      <c r="BC439" s="153" t="str">
        <f ca="1">HYPERLINK(CheckPath(_05preva_view43[[#This Row],[File Path]],_05preva_view43[[#This Row],[File Path]],_05preva_view43[[#This Row],[Folder Path3]]),CheckPath(_05preva_view43[[#This Row],[File Path]],"Open File","No File"))</f>
        <v>No File</v>
      </c>
      <c r="BD439" s="136" t="str">
        <f>CONCATENATE(_05preva_view43[[#This Row],[Site ID]]," (",_05preva_view43[[#This Row],[tenant id]],") Application",IF(_05preva_view43[[#This Row],[Colo Rev]]&gt;0," Rev "&amp;_05preva_view43[[#This Row],[Colo Rev]],""),".xlsx")</f>
        <v>ANSH_0086 (SHW1908) Application.xlsx</v>
      </c>
      <c r="BE439" s="64">
        <f t="shared" ca="1" si="8"/>
        <v>50</v>
      </c>
      <c r="BF439" s="104" t="str">
        <f ca="1">LEFT(CELL("filename",A424),_05preva_view43[[#This Row],[Find Process &amp; Database]]-1)</f>
        <v>D:\OneDrive - apollo-towers.com\Apollo Towers\00-</v>
      </c>
      <c r="BG439" s="104" t="str">
        <f ca="1">_05preva_view43[Folder Path1]&amp;"Process &amp; Database\Documentation\Colo Applications"</f>
        <v>D:\OneDrive - apollo-towers.com\Apollo Towers\00-Process &amp; Database\Documentation\Colo Applications</v>
      </c>
      <c r="BH439" s="104" t="str">
        <f ca="1">_05preva_view43[Folder Path2]&amp;"\Colo App "&amp;_05preva_view43[[#This Row],[Operator]]&amp;"\"</f>
        <v>D:\OneDrive - apollo-towers.com\Apollo Towers\00-Process &amp; Database\Documentation\Colo Applications\Colo App OML\</v>
      </c>
      <c r="BI439" s="63" t="str">
        <f ca="1">_05preva_view43[[#This Row],[Folder Path3]]&amp;_05preva_view43[[#This Row],[File Name]]</f>
        <v>D:\OneDrive - apollo-towers.com\Apollo Towers\00-Process &amp; Database\Documentation\Colo Applications\Colo App OML\ANSH_0086 (SHW1908) Application.xlsx</v>
      </c>
      <c r="BJ439" s="104"/>
      <c r="BK439" s="3"/>
      <c r="BL439" s="3"/>
      <c r="CJ439" s="5"/>
      <c r="CK439" s="5"/>
      <c r="CL439" s="3"/>
      <c r="CN439" s="5"/>
      <c r="CR439" s="3"/>
      <c r="CS439" s="3"/>
      <c r="CT439" s="5"/>
      <c r="CV439" s="3"/>
      <c r="DR439" s="5"/>
      <c r="DT439" s="3"/>
      <c r="EF439" s="7"/>
      <c r="EG439" s="7"/>
      <c r="EJ439" s="4"/>
      <c r="EK439" s="4"/>
      <c r="EU439" s="2"/>
      <c r="EV439" s="2"/>
    </row>
    <row r="440" spans="1:152">
      <c r="A440" s="125">
        <v>182</v>
      </c>
      <c r="B440" s="126" t="s">
        <v>635</v>
      </c>
      <c r="C440" s="126" t="s">
        <v>116</v>
      </c>
      <c r="D440" s="126" t="s">
        <v>127</v>
      </c>
      <c r="E440" s="126" t="s">
        <v>636</v>
      </c>
      <c r="F440" s="126" t="s">
        <v>40</v>
      </c>
      <c r="G440" s="126" t="s">
        <v>118</v>
      </c>
      <c r="H440" s="126"/>
      <c r="I440" s="126" t="s">
        <v>118</v>
      </c>
      <c r="J440" s="126"/>
      <c r="K440" s="127">
        <v>43236</v>
      </c>
      <c r="L440" s="128"/>
      <c r="M440" s="128">
        <v>3</v>
      </c>
      <c r="N440" s="126"/>
      <c r="O440" s="126" t="s">
        <v>119</v>
      </c>
      <c r="P440" s="129"/>
      <c r="Q440" s="129"/>
      <c r="R440" s="126" t="s">
        <v>24</v>
      </c>
      <c r="S440" s="126"/>
      <c r="T440" s="130" t="s">
        <v>120</v>
      </c>
      <c r="U440" s="126" t="s">
        <v>378</v>
      </c>
      <c r="V440" s="130" t="s">
        <v>120</v>
      </c>
      <c r="W440" s="126"/>
      <c r="X440" s="130" t="s">
        <v>120</v>
      </c>
      <c r="Y440" s="126" t="s">
        <v>120</v>
      </c>
      <c r="Z440" s="162" t="s">
        <v>120</v>
      </c>
      <c r="AA440" s="154"/>
      <c r="AB440" s="154"/>
      <c r="AC440" s="167"/>
      <c r="AD440" s="126" t="s">
        <v>419</v>
      </c>
      <c r="AE440" s="130" t="s">
        <v>120</v>
      </c>
      <c r="AF440" s="127" t="s">
        <v>120</v>
      </c>
      <c r="AG440" s="131"/>
      <c r="AH440" s="131">
        <v>2</v>
      </c>
      <c r="AI440" s="126" t="s">
        <v>384</v>
      </c>
      <c r="AJ440" s="130" t="s">
        <v>120</v>
      </c>
      <c r="AK440" s="126" t="s">
        <v>123</v>
      </c>
      <c r="AL440" s="126"/>
      <c r="AM440" s="130"/>
      <c r="AN440" s="126"/>
      <c r="AO440" s="132"/>
      <c r="AP440" s="126"/>
      <c r="AQ440" s="126"/>
      <c r="AR440" s="130"/>
      <c r="AS440" s="126"/>
      <c r="AT440" s="127"/>
      <c r="AU440" s="127">
        <v>43453.379048148097</v>
      </c>
      <c r="AV440" s="127"/>
      <c r="AW440" s="127"/>
      <c r="AX440" s="127"/>
      <c r="AY440" s="127"/>
      <c r="AZ440" s="133">
        <v>43236</v>
      </c>
      <c r="BA44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0" s="135">
        <f>COUNTIFS(_05preva_view43[Site ID],_05preva_view43[[#This Row],[Site ID]],_05preva_view43[Prevalidation Status],"Under Prevalidation")</f>
        <v>0</v>
      </c>
      <c r="BC440" s="153" t="str">
        <f ca="1">HYPERLINK(CheckPath(_05preva_view43[[#This Row],[File Path]],_05preva_view43[[#This Row],[File Path]],_05preva_view43[[#This Row],[Folder Path3]]),CheckPath(_05preva_view43[[#This Row],[File Path]],"Open File","No File"))</f>
        <v>No File</v>
      </c>
      <c r="BD440" s="136" t="str">
        <f>CONCATENATE(_05preva_view43[[#This Row],[Site ID]]," (",_05preva_view43[[#This Row],[tenant id]],") Application",IF(_05preva_view43[[#This Row],[Colo Rev]]&gt;0," Rev "&amp;_05preva_view43[[#This Row],[Colo Rev]],""),".xlsx")</f>
        <v>ANSG_0379 (SAW0726) Application.xlsx</v>
      </c>
      <c r="BE440" s="64">
        <f t="shared" ca="1" si="8"/>
        <v>50</v>
      </c>
      <c r="BF440" s="104" t="str">
        <f ca="1">LEFT(CELL("filename",A425),_05preva_view43[[#This Row],[Find Process &amp; Database]]-1)</f>
        <v>D:\OneDrive - apollo-towers.com\Apollo Towers\00-</v>
      </c>
      <c r="BG440" s="104" t="str">
        <f ca="1">_05preva_view43[Folder Path1]&amp;"Process &amp; Database\Documentation\Colo Applications"</f>
        <v>D:\OneDrive - apollo-towers.com\Apollo Towers\00-Process &amp; Database\Documentation\Colo Applications</v>
      </c>
      <c r="BH440" s="104" t="str">
        <f ca="1">_05preva_view43[Folder Path2]&amp;"\Colo App "&amp;_05preva_view43[[#This Row],[Operator]]&amp;"\"</f>
        <v>D:\OneDrive - apollo-towers.com\Apollo Towers\00-Process &amp; Database\Documentation\Colo Applications\Colo App OML\</v>
      </c>
      <c r="BI440" s="63" t="str">
        <f ca="1">_05preva_view43[[#This Row],[Folder Path3]]&amp;_05preva_view43[[#This Row],[File Name]]</f>
        <v>D:\OneDrive - apollo-towers.com\Apollo Towers\00-Process &amp; Database\Documentation\Colo Applications\Colo App OML\ANSG_0379 (SAW0726) Application.xlsx</v>
      </c>
      <c r="BJ440" s="104"/>
      <c r="BK440" s="3"/>
      <c r="BL440" s="3"/>
      <c r="CJ440" s="5"/>
      <c r="CK440" s="5"/>
      <c r="CL440" s="3"/>
      <c r="CN440" s="5"/>
      <c r="CR440" s="3"/>
      <c r="CS440" s="3"/>
      <c r="CT440" s="5"/>
      <c r="CV440" s="3"/>
      <c r="DR440" s="5"/>
      <c r="DT440" s="3"/>
      <c r="EF440" s="7"/>
      <c r="EG440" s="7"/>
      <c r="EJ440" s="4"/>
      <c r="EK440" s="4"/>
      <c r="EU440" s="2"/>
      <c r="EV440" s="2"/>
    </row>
    <row r="441" spans="1:152">
      <c r="A441" s="125">
        <v>183</v>
      </c>
      <c r="B441" s="126" t="s">
        <v>637</v>
      </c>
      <c r="C441" s="126" t="s">
        <v>116</v>
      </c>
      <c r="D441" s="126" t="s">
        <v>127</v>
      </c>
      <c r="E441" s="126" t="s">
        <v>638</v>
      </c>
      <c r="F441" s="126" t="s">
        <v>40</v>
      </c>
      <c r="G441" s="126" t="s">
        <v>118</v>
      </c>
      <c r="H441" s="126"/>
      <c r="I441" s="126" t="s">
        <v>118</v>
      </c>
      <c r="J441" s="126"/>
      <c r="K441" s="127">
        <v>43236</v>
      </c>
      <c r="L441" s="128"/>
      <c r="M441" s="128">
        <v>3</v>
      </c>
      <c r="N441" s="126"/>
      <c r="O441" s="126" t="s">
        <v>119</v>
      </c>
      <c r="P441" s="129"/>
      <c r="Q441" s="129"/>
      <c r="R441" s="126" t="s">
        <v>27</v>
      </c>
      <c r="S441" s="126"/>
      <c r="T441" s="130" t="s">
        <v>120</v>
      </c>
      <c r="U441" s="126" t="s">
        <v>378</v>
      </c>
      <c r="V441" s="130" t="s">
        <v>120</v>
      </c>
      <c r="W441" s="126"/>
      <c r="X441" s="130" t="s">
        <v>120</v>
      </c>
      <c r="Y441" s="126" t="s">
        <v>120</v>
      </c>
      <c r="Z441" s="162" t="s">
        <v>120</v>
      </c>
      <c r="AA441" s="154"/>
      <c r="AB441" s="154"/>
      <c r="AC441" s="167"/>
      <c r="AD441" s="126" t="s">
        <v>639</v>
      </c>
      <c r="AE441" s="130" t="s">
        <v>125</v>
      </c>
      <c r="AF441" s="127"/>
      <c r="AG441" s="131"/>
      <c r="AH441" s="131"/>
      <c r="AI441" s="126" t="s">
        <v>640</v>
      </c>
      <c r="AJ441" s="130" t="s">
        <v>120</v>
      </c>
      <c r="AK441" s="126" t="s">
        <v>123</v>
      </c>
      <c r="AL441" s="126"/>
      <c r="AM441" s="130"/>
      <c r="AN441" s="126"/>
      <c r="AO441" s="132"/>
      <c r="AP441" s="126"/>
      <c r="AQ441" s="126"/>
      <c r="AR441" s="130"/>
      <c r="AS441" s="126"/>
      <c r="AT441" s="127"/>
      <c r="AU441" s="127"/>
      <c r="AV441" s="127"/>
      <c r="AW441" s="127"/>
      <c r="AX441" s="127"/>
      <c r="AY441" s="127"/>
      <c r="AZ441" s="133"/>
      <c r="BA44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1" s="135">
        <f>COUNTIFS(_05preva_view43[Site ID],_05preva_view43[[#This Row],[Site ID]],_05preva_view43[Prevalidation Status],"Under Prevalidation")</f>
        <v>0</v>
      </c>
      <c r="BC441" s="153" t="str">
        <f ca="1">HYPERLINK(CheckPath(_05preva_view43[[#This Row],[File Path]],_05preva_view43[[#This Row],[File Path]],_05preva_view43[[#This Row],[Folder Path3]]),CheckPath(_05preva_view43[[#This Row],[File Path]],"Open File","No File"))</f>
        <v>No File</v>
      </c>
      <c r="BD441" s="136" t="str">
        <f>CONCATENATE(_05preva_view43[[#This Row],[Site ID]]," (",_05preva_view43[[#This Row],[tenant id]],") Application",IF(_05preva_view43[[#This Row],[Colo Rev]]&gt;0," Rev "&amp;_05preva_view43[[#This Row],[Colo Rev]],""),".xlsx")</f>
        <v>ANMD_0098 (MAW2979) Application.xlsx</v>
      </c>
      <c r="BE441" s="64">
        <f t="shared" ca="1" si="8"/>
        <v>50</v>
      </c>
      <c r="BF441" s="104" t="str">
        <f ca="1">LEFT(CELL("filename",A426),_05preva_view43[[#This Row],[Find Process &amp; Database]]-1)</f>
        <v>D:\OneDrive - apollo-towers.com\Apollo Towers\00-</v>
      </c>
      <c r="BG441" s="104" t="str">
        <f ca="1">_05preva_view43[Folder Path1]&amp;"Process &amp; Database\Documentation\Colo Applications"</f>
        <v>D:\OneDrive - apollo-towers.com\Apollo Towers\00-Process &amp; Database\Documentation\Colo Applications</v>
      </c>
      <c r="BH441" s="104" t="str">
        <f ca="1">_05preva_view43[Folder Path2]&amp;"\Colo App "&amp;_05preva_view43[[#This Row],[Operator]]&amp;"\"</f>
        <v>D:\OneDrive - apollo-towers.com\Apollo Towers\00-Process &amp; Database\Documentation\Colo Applications\Colo App OML\</v>
      </c>
      <c r="BI441" s="63" t="str">
        <f ca="1">_05preva_view43[[#This Row],[Folder Path3]]&amp;_05preva_view43[[#This Row],[File Name]]</f>
        <v>D:\OneDrive - apollo-towers.com\Apollo Towers\00-Process &amp; Database\Documentation\Colo Applications\Colo App OML\ANMD_0098 (MAW2979) Application.xlsx</v>
      </c>
      <c r="BJ441" s="104"/>
      <c r="BK441" s="3"/>
      <c r="BL441" s="3"/>
      <c r="CJ441" s="5"/>
      <c r="CK441" s="5"/>
      <c r="CL441" s="3"/>
      <c r="CN441" s="5"/>
      <c r="CR441" s="3"/>
      <c r="CS441" s="3"/>
      <c r="CT441" s="5"/>
      <c r="CV441" s="3"/>
      <c r="DR441" s="5"/>
      <c r="DT441" s="3"/>
      <c r="EF441" s="7"/>
      <c r="EG441" s="7"/>
      <c r="EJ441" s="4"/>
      <c r="EK441" s="4"/>
      <c r="EU441" s="2"/>
      <c r="EV441" s="2"/>
    </row>
    <row r="442" spans="1:152">
      <c r="A442" s="125">
        <v>184</v>
      </c>
      <c r="B442" s="126" t="s">
        <v>641</v>
      </c>
      <c r="C442" s="126" t="s">
        <v>116</v>
      </c>
      <c r="D442" s="126" t="s">
        <v>127</v>
      </c>
      <c r="E442" s="126" t="s">
        <v>642</v>
      </c>
      <c r="F442" s="126" t="s">
        <v>40</v>
      </c>
      <c r="G442" s="126" t="s">
        <v>118</v>
      </c>
      <c r="H442" s="126"/>
      <c r="I442" s="126" t="s">
        <v>118</v>
      </c>
      <c r="J442" s="126"/>
      <c r="K442" s="127">
        <v>43236</v>
      </c>
      <c r="L442" s="128"/>
      <c r="M442" s="128">
        <v>3</v>
      </c>
      <c r="N442" s="126"/>
      <c r="O442" s="126" t="s">
        <v>119</v>
      </c>
      <c r="P442" s="129"/>
      <c r="Q442" s="129"/>
      <c r="R442" s="126" t="s">
        <v>24</v>
      </c>
      <c r="S442" s="126"/>
      <c r="T442" s="130" t="s">
        <v>120</v>
      </c>
      <c r="U442" s="126" t="s">
        <v>378</v>
      </c>
      <c r="V442" s="130" t="s">
        <v>120</v>
      </c>
      <c r="W442" s="126"/>
      <c r="X442" s="130" t="s">
        <v>120</v>
      </c>
      <c r="Y442" s="126" t="s">
        <v>537</v>
      </c>
      <c r="Z442" s="162" t="s">
        <v>120</v>
      </c>
      <c r="AA442" s="154"/>
      <c r="AB442" s="154"/>
      <c r="AC442" s="167"/>
      <c r="AD442" s="126" t="s">
        <v>120</v>
      </c>
      <c r="AE442" s="130" t="s">
        <v>120</v>
      </c>
      <c r="AF442" s="127" t="s">
        <v>120</v>
      </c>
      <c r="AG442" s="131"/>
      <c r="AH442" s="131">
        <v>2</v>
      </c>
      <c r="AI442" s="126" t="s">
        <v>384</v>
      </c>
      <c r="AJ442" s="130" t="s">
        <v>120</v>
      </c>
      <c r="AK442" s="126" t="s">
        <v>123</v>
      </c>
      <c r="AL442" s="126"/>
      <c r="AM442" s="130"/>
      <c r="AN442" s="126"/>
      <c r="AO442" s="132"/>
      <c r="AP442" s="126"/>
      <c r="AQ442" s="126"/>
      <c r="AR442" s="130"/>
      <c r="AS442" s="126"/>
      <c r="AT442" s="127"/>
      <c r="AU442" s="127">
        <v>43453.3790493056</v>
      </c>
      <c r="AV442" s="127"/>
      <c r="AW442" s="127"/>
      <c r="AX442" s="127"/>
      <c r="AY442" s="127"/>
      <c r="AZ442" s="133">
        <v>43236</v>
      </c>
      <c r="BA44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2" s="135">
        <f>COUNTIFS(_05preva_view43[Site ID],_05preva_view43[[#This Row],[Site ID]],_05preva_view43[Prevalidation Status],"Under Prevalidation")</f>
        <v>0</v>
      </c>
      <c r="BC442" s="153" t="str">
        <f ca="1">HYPERLINK(CheckPath(_05preva_view43[[#This Row],[File Path]],_05preva_view43[[#This Row],[File Path]],_05preva_view43[[#This Row],[Folder Path3]]),CheckPath(_05preva_view43[[#This Row],[File Path]],"Open File","No File"))</f>
        <v>No File</v>
      </c>
      <c r="BD442" s="136" t="str">
        <f>CONCATENATE(_05preva_view43[[#This Row],[Site ID]]," (",_05preva_view43[[#This Row],[tenant id]],") Application",IF(_05preva_view43[[#This Row],[Colo Rev]]&gt;0," Rev "&amp;_05preva_view43[[#This Row],[Colo Rev]],""),".xlsx")</f>
        <v>ANSG_0347 (SAW0717) Application.xlsx</v>
      </c>
      <c r="BE442" s="64">
        <f t="shared" ca="1" si="8"/>
        <v>50</v>
      </c>
      <c r="BF442" s="104" t="str">
        <f ca="1">LEFT(CELL("filename",A427),_05preva_view43[[#This Row],[Find Process &amp; Database]]-1)</f>
        <v>D:\OneDrive - apollo-towers.com\Apollo Towers\00-</v>
      </c>
      <c r="BG442" s="104" t="str">
        <f ca="1">_05preva_view43[Folder Path1]&amp;"Process &amp; Database\Documentation\Colo Applications"</f>
        <v>D:\OneDrive - apollo-towers.com\Apollo Towers\00-Process &amp; Database\Documentation\Colo Applications</v>
      </c>
      <c r="BH442" s="104" t="str">
        <f ca="1">_05preva_view43[Folder Path2]&amp;"\Colo App "&amp;_05preva_view43[[#This Row],[Operator]]&amp;"\"</f>
        <v>D:\OneDrive - apollo-towers.com\Apollo Towers\00-Process &amp; Database\Documentation\Colo Applications\Colo App OML\</v>
      </c>
      <c r="BI442" s="63" t="str">
        <f ca="1">_05preva_view43[[#This Row],[Folder Path3]]&amp;_05preva_view43[[#This Row],[File Name]]</f>
        <v>D:\OneDrive - apollo-towers.com\Apollo Towers\00-Process &amp; Database\Documentation\Colo Applications\Colo App OML\ANSG_0347 (SAW0717) Application.xlsx</v>
      </c>
      <c r="BJ442" s="104"/>
      <c r="BK442" s="3"/>
      <c r="BL442" s="3"/>
      <c r="CJ442" s="5"/>
      <c r="CK442" s="5"/>
      <c r="CL442" s="3"/>
      <c r="CN442" s="5"/>
      <c r="CR442" s="3"/>
      <c r="CS442" s="3"/>
      <c r="CT442" s="5"/>
      <c r="CV442" s="3"/>
      <c r="DR442" s="5"/>
      <c r="DT442" s="3"/>
      <c r="EF442" s="7"/>
      <c r="EG442" s="7"/>
      <c r="EJ442" s="4"/>
      <c r="EK442" s="4"/>
      <c r="EU442" s="2"/>
      <c r="EV442" s="2"/>
    </row>
    <row r="443" spans="1:152">
      <c r="A443" s="125">
        <v>185</v>
      </c>
      <c r="B443" s="126" t="s">
        <v>207</v>
      </c>
      <c r="C443" s="126" t="s">
        <v>116</v>
      </c>
      <c r="D443" s="126" t="s">
        <v>127</v>
      </c>
      <c r="E443" s="126" t="s">
        <v>643</v>
      </c>
      <c r="F443" s="126" t="s">
        <v>40</v>
      </c>
      <c r="G443" s="126" t="s">
        <v>118</v>
      </c>
      <c r="H443" s="126"/>
      <c r="I443" s="126" t="s">
        <v>118</v>
      </c>
      <c r="J443" s="126"/>
      <c r="K443" s="127">
        <v>43236</v>
      </c>
      <c r="L443" s="128"/>
      <c r="M443" s="128">
        <v>3</v>
      </c>
      <c r="N443" s="126"/>
      <c r="O443" s="126" t="s">
        <v>119</v>
      </c>
      <c r="P443" s="129"/>
      <c r="Q443" s="129"/>
      <c r="R443" s="126" t="s">
        <v>26</v>
      </c>
      <c r="S443" s="126" t="s">
        <v>644</v>
      </c>
      <c r="T443" s="130" t="s">
        <v>120</v>
      </c>
      <c r="U443" s="126" t="s">
        <v>403</v>
      </c>
      <c r="V443" s="130" t="s">
        <v>120</v>
      </c>
      <c r="W443" s="126"/>
      <c r="X443" s="130"/>
      <c r="Y443" s="126"/>
      <c r="Z443" s="162" t="s">
        <v>125</v>
      </c>
      <c r="AA443" s="154"/>
      <c r="AB443" s="154"/>
      <c r="AC443" s="167"/>
      <c r="AD443" s="126" t="s">
        <v>336</v>
      </c>
      <c r="AE443" s="130" t="s">
        <v>125</v>
      </c>
      <c r="AF443" s="127" t="s">
        <v>372</v>
      </c>
      <c r="AG443" s="131"/>
      <c r="AH443" s="131">
        <v>2</v>
      </c>
      <c r="AI443" s="126" t="s">
        <v>422</v>
      </c>
      <c r="AJ443" s="130"/>
      <c r="AK443" s="126"/>
      <c r="AL443" s="126"/>
      <c r="AM443" s="130"/>
      <c r="AN443" s="126"/>
      <c r="AO443" s="132"/>
      <c r="AP443" s="126"/>
      <c r="AQ443" s="126"/>
      <c r="AR443" s="130"/>
      <c r="AS443" s="126"/>
      <c r="AT443" s="127"/>
      <c r="AU443" s="127"/>
      <c r="AV443" s="127"/>
      <c r="AW443" s="127"/>
      <c r="AX443" s="127"/>
      <c r="AY443" s="127"/>
      <c r="AZ443" s="133">
        <v>43236</v>
      </c>
      <c r="BA44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3" s="135">
        <f>COUNTIFS(_05preva_view43[Site ID],_05preva_view43[[#This Row],[Site ID]],_05preva_view43[Prevalidation Status],"Under Prevalidation")</f>
        <v>0</v>
      </c>
      <c r="BC443" s="153" t="str">
        <f ca="1">HYPERLINK(CheckPath(_05preva_view43[[#This Row],[File Path]],_05preva_view43[[#This Row],[File Path]],_05preva_view43[[#This Row],[Folder Path3]]),CheckPath(_05preva_view43[[#This Row],[File Path]],"Open File","No File"))</f>
        <v>No File</v>
      </c>
      <c r="BD443" s="136" t="str">
        <f>CONCATENATE(_05preva_view43[[#This Row],[Site ID]]," (",_05preva_view43[[#This Row],[tenant id]],") Application",IF(_05preva_view43[[#This Row],[Colo Rev]]&gt;0," Rev "&amp;_05preva_view43[[#This Row],[Colo Rev]],""),".xlsx")</f>
        <v>ANMD_0273 (MAW2383) Application.xlsx</v>
      </c>
      <c r="BE443" s="64">
        <f t="shared" ca="1" si="8"/>
        <v>50</v>
      </c>
      <c r="BF443" s="104" t="str">
        <f ca="1">LEFT(CELL("filename",A428),_05preva_view43[[#This Row],[Find Process &amp; Database]]-1)</f>
        <v>D:\OneDrive - apollo-towers.com\Apollo Towers\00-</v>
      </c>
      <c r="BG443" s="104" t="str">
        <f ca="1">_05preva_view43[Folder Path1]&amp;"Process &amp; Database\Documentation\Colo Applications"</f>
        <v>D:\OneDrive - apollo-towers.com\Apollo Towers\00-Process &amp; Database\Documentation\Colo Applications</v>
      </c>
      <c r="BH443" s="104" t="str">
        <f ca="1">_05preva_view43[Folder Path2]&amp;"\Colo App "&amp;_05preva_view43[[#This Row],[Operator]]&amp;"\"</f>
        <v>D:\OneDrive - apollo-towers.com\Apollo Towers\00-Process &amp; Database\Documentation\Colo Applications\Colo App OML\</v>
      </c>
      <c r="BI443" s="63" t="str">
        <f ca="1">_05preva_view43[[#This Row],[Folder Path3]]&amp;_05preva_view43[[#This Row],[File Name]]</f>
        <v>D:\OneDrive - apollo-towers.com\Apollo Towers\00-Process &amp; Database\Documentation\Colo Applications\Colo App OML\ANMD_0273 (MAW2383) Application.xlsx</v>
      </c>
      <c r="BJ443" s="104"/>
      <c r="BK443" s="3"/>
      <c r="BL443" s="3"/>
      <c r="CJ443" s="5"/>
      <c r="CK443" s="5"/>
      <c r="CL443" s="3"/>
      <c r="CN443" s="5"/>
      <c r="CR443" s="3"/>
      <c r="CS443" s="3"/>
      <c r="CT443" s="5"/>
      <c r="CV443" s="3"/>
      <c r="DR443" s="5"/>
      <c r="DT443" s="3"/>
      <c r="EF443" s="7"/>
      <c r="EG443" s="7"/>
      <c r="EJ443" s="4"/>
      <c r="EK443" s="4"/>
      <c r="EU443" s="2"/>
      <c r="EV443" s="2"/>
    </row>
    <row r="444" spans="1:152">
      <c r="A444" s="125">
        <v>186</v>
      </c>
      <c r="B444" s="126" t="s">
        <v>645</v>
      </c>
      <c r="C444" s="126" t="s">
        <v>116</v>
      </c>
      <c r="D444" s="126" t="s">
        <v>127</v>
      </c>
      <c r="E444" s="126" t="s">
        <v>646</v>
      </c>
      <c r="F444" s="126" t="s">
        <v>40</v>
      </c>
      <c r="G444" s="126" t="s">
        <v>118</v>
      </c>
      <c r="H444" s="126"/>
      <c r="I444" s="126" t="s">
        <v>118</v>
      </c>
      <c r="J444" s="126"/>
      <c r="K444" s="127">
        <v>43236</v>
      </c>
      <c r="L444" s="128"/>
      <c r="M444" s="128">
        <v>3</v>
      </c>
      <c r="N444" s="126"/>
      <c r="O444" s="126" t="s">
        <v>119</v>
      </c>
      <c r="P444" s="129"/>
      <c r="Q444" s="129"/>
      <c r="R444" s="126" t="s">
        <v>26</v>
      </c>
      <c r="S444" s="126"/>
      <c r="T444" s="130" t="s">
        <v>144</v>
      </c>
      <c r="U444" s="126" t="s">
        <v>371</v>
      </c>
      <c r="V444" s="130" t="s">
        <v>120</v>
      </c>
      <c r="W444" s="126"/>
      <c r="X444" s="130"/>
      <c r="Y444" s="126"/>
      <c r="Z444" s="162" t="s">
        <v>125</v>
      </c>
      <c r="AA444" s="154"/>
      <c r="AB444" s="154"/>
      <c r="AC444" s="167"/>
      <c r="AD444" s="126" t="s">
        <v>336</v>
      </c>
      <c r="AE444" s="130"/>
      <c r="AF444" s="127"/>
      <c r="AG444" s="131"/>
      <c r="AH444" s="131">
        <v>2</v>
      </c>
      <c r="AI444" s="126"/>
      <c r="AJ444" s="130"/>
      <c r="AK444" s="126"/>
      <c r="AL444" s="126"/>
      <c r="AM444" s="130"/>
      <c r="AN444" s="126"/>
      <c r="AO444" s="132"/>
      <c r="AP444" s="126"/>
      <c r="AQ444" s="126"/>
      <c r="AR444" s="130"/>
      <c r="AS444" s="126"/>
      <c r="AT444" s="127"/>
      <c r="AU444" s="127"/>
      <c r="AV444" s="127"/>
      <c r="AW444" s="127"/>
      <c r="AX444" s="127"/>
      <c r="AY444" s="127"/>
      <c r="AZ444" s="133">
        <v>43236</v>
      </c>
      <c r="BA44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4" s="135">
        <f>COUNTIFS(_05preva_view43[Site ID],_05preva_view43[[#This Row],[Site ID]],_05preva_view43[Prevalidation Status],"Under Prevalidation")</f>
        <v>0</v>
      </c>
      <c r="BC444" s="153" t="str">
        <f ca="1">HYPERLINK(CheckPath(_05preva_view43[[#This Row],[File Path]],_05preva_view43[[#This Row],[File Path]],_05preva_view43[[#This Row],[Folder Path3]]),CheckPath(_05preva_view43[[#This Row],[File Path]],"Open File","No File"))</f>
        <v>No File</v>
      </c>
      <c r="BD444" s="136" t="str">
        <f>CONCATENATE(_05preva_view43[[#This Row],[Site ID]]," (",_05preva_view43[[#This Row],[tenant id]],") Application",IF(_05preva_view43[[#This Row],[Colo Rev]]&gt;0," Rev "&amp;_05preva_view43[[#This Row],[Colo Rev]],""),".xlsx")</f>
        <v>ANMD_0117 (MAW2999) Application.xlsx</v>
      </c>
      <c r="BE444" s="64">
        <f t="shared" ca="1" si="8"/>
        <v>50</v>
      </c>
      <c r="BF444" s="104" t="str">
        <f ca="1">LEFT(CELL("filename",A429),_05preva_view43[[#This Row],[Find Process &amp; Database]]-1)</f>
        <v>D:\OneDrive - apollo-towers.com\Apollo Towers\00-</v>
      </c>
      <c r="BG444" s="104" t="str">
        <f ca="1">_05preva_view43[Folder Path1]&amp;"Process &amp; Database\Documentation\Colo Applications"</f>
        <v>D:\OneDrive - apollo-towers.com\Apollo Towers\00-Process &amp; Database\Documentation\Colo Applications</v>
      </c>
      <c r="BH444" s="104" t="str">
        <f ca="1">_05preva_view43[Folder Path2]&amp;"\Colo App "&amp;_05preva_view43[[#This Row],[Operator]]&amp;"\"</f>
        <v>D:\OneDrive - apollo-towers.com\Apollo Towers\00-Process &amp; Database\Documentation\Colo Applications\Colo App OML\</v>
      </c>
      <c r="BI444" s="63" t="str">
        <f ca="1">_05preva_view43[[#This Row],[Folder Path3]]&amp;_05preva_view43[[#This Row],[File Name]]</f>
        <v>D:\OneDrive - apollo-towers.com\Apollo Towers\00-Process &amp; Database\Documentation\Colo Applications\Colo App OML\ANMD_0117 (MAW2999) Application.xlsx</v>
      </c>
      <c r="BJ444" s="104"/>
      <c r="BK444" s="3"/>
      <c r="BL444" s="3"/>
      <c r="CJ444" s="5"/>
      <c r="CK444" s="5"/>
      <c r="CL444" s="3"/>
      <c r="CN444" s="5"/>
      <c r="CR444" s="3"/>
      <c r="CS444" s="3"/>
      <c r="CT444" s="5"/>
      <c r="CV444" s="3"/>
      <c r="DR444" s="5"/>
      <c r="DT444" s="3"/>
      <c r="EF444" s="7"/>
      <c r="EG444" s="7"/>
      <c r="EJ444" s="4"/>
      <c r="EK444" s="4"/>
      <c r="EU444" s="2"/>
      <c r="EV444" s="2"/>
    </row>
    <row r="445" spans="1:152">
      <c r="A445" s="125">
        <v>187</v>
      </c>
      <c r="B445" s="126" t="s">
        <v>647</v>
      </c>
      <c r="C445" s="126" t="s">
        <v>116</v>
      </c>
      <c r="D445" s="126" t="s">
        <v>127</v>
      </c>
      <c r="E445" s="126" t="s">
        <v>648</v>
      </c>
      <c r="F445" s="126" t="s">
        <v>40</v>
      </c>
      <c r="G445" s="126" t="s">
        <v>118</v>
      </c>
      <c r="H445" s="126"/>
      <c r="I445" s="126" t="s">
        <v>118</v>
      </c>
      <c r="J445" s="126"/>
      <c r="K445" s="127">
        <v>43236</v>
      </c>
      <c r="L445" s="128"/>
      <c r="M445" s="128">
        <v>3</v>
      </c>
      <c r="N445" s="126"/>
      <c r="O445" s="126" t="s">
        <v>119</v>
      </c>
      <c r="P445" s="129"/>
      <c r="Q445" s="129"/>
      <c r="R445" s="126" t="s">
        <v>26</v>
      </c>
      <c r="S445" s="126"/>
      <c r="T445" s="130" t="s">
        <v>144</v>
      </c>
      <c r="U445" s="126" t="s">
        <v>649</v>
      </c>
      <c r="V445" s="130" t="s">
        <v>144</v>
      </c>
      <c r="W445" s="126"/>
      <c r="X445" s="130"/>
      <c r="Y445" s="126"/>
      <c r="Z445" s="162" t="s">
        <v>125</v>
      </c>
      <c r="AA445" s="154"/>
      <c r="AB445" s="154"/>
      <c r="AC445" s="167"/>
      <c r="AD445" s="126" t="s">
        <v>336</v>
      </c>
      <c r="AE445" s="130"/>
      <c r="AF445" s="127"/>
      <c r="AG445" s="131"/>
      <c r="AH445" s="131">
        <v>2</v>
      </c>
      <c r="AI445" s="126"/>
      <c r="AJ445" s="130"/>
      <c r="AK445" s="126"/>
      <c r="AL445" s="126"/>
      <c r="AM445" s="130"/>
      <c r="AN445" s="126"/>
      <c r="AO445" s="132"/>
      <c r="AP445" s="126"/>
      <c r="AQ445" s="126"/>
      <c r="AR445" s="130"/>
      <c r="AS445" s="126"/>
      <c r="AT445" s="127"/>
      <c r="AU445" s="127"/>
      <c r="AV445" s="127"/>
      <c r="AW445" s="127"/>
      <c r="AX445" s="127"/>
      <c r="AY445" s="127"/>
      <c r="AZ445" s="133">
        <v>43236</v>
      </c>
      <c r="BA44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5" s="135">
        <f>COUNTIFS(_05preva_view43[Site ID],_05preva_view43[[#This Row],[Site ID]],_05preva_view43[Prevalidation Status],"Under Prevalidation")</f>
        <v>0</v>
      </c>
      <c r="BC445" s="153" t="str">
        <f ca="1">HYPERLINK(CheckPath(_05preva_view43[[#This Row],[File Path]],_05preva_view43[[#This Row],[File Path]],_05preva_view43[[#This Row],[Folder Path3]]),CheckPath(_05preva_view43[[#This Row],[File Path]],"Open File","No File"))</f>
        <v>No File</v>
      </c>
      <c r="BD445" s="136" t="str">
        <f>CONCATENATE(_05preva_view43[[#This Row],[Site ID]]," (",_05preva_view43[[#This Row],[tenant id]],") Application",IF(_05preva_view43[[#This Row],[Colo Rev]]&gt;0," Rev "&amp;_05preva_view43[[#This Row],[Colo Rev]],""),".xlsx")</f>
        <v>ANMD_0005 (MAW2976) Application.xlsx</v>
      </c>
      <c r="BE445" s="64">
        <f t="shared" ca="1" si="8"/>
        <v>50</v>
      </c>
      <c r="BF445" s="104" t="str">
        <f ca="1">LEFT(CELL("filename",A430),_05preva_view43[[#This Row],[Find Process &amp; Database]]-1)</f>
        <v>D:\OneDrive - apollo-towers.com\Apollo Towers\00-</v>
      </c>
      <c r="BG445" s="104" t="str">
        <f ca="1">_05preva_view43[Folder Path1]&amp;"Process &amp; Database\Documentation\Colo Applications"</f>
        <v>D:\OneDrive - apollo-towers.com\Apollo Towers\00-Process &amp; Database\Documentation\Colo Applications</v>
      </c>
      <c r="BH445" s="104" t="str">
        <f ca="1">_05preva_view43[Folder Path2]&amp;"\Colo App "&amp;_05preva_view43[[#This Row],[Operator]]&amp;"\"</f>
        <v>D:\OneDrive - apollo-towers.com\Apollo Towers\00-Process &amp; Database\Documentation\Colo Applications\Colo App OML\</v>
      </c>
      <c r="BI445" s="63" t="str">
        <f ca="1">_05preva_view43[[#This Row],[Folder Path3]]&amp;_05preva_view43[[#This Row],[File Name]]</f>
        <v>D:\OneDrive - apollo-towers.com\Apollo Towers\00-Process &amp; Database\Documentation\Colo Applications\Colo App OML\ANMD_0005 (MAW2976) Application.xlsx</v>
      </c>
      <c r="BJ445" s="104"/>
      <c r="BK445" s="3"/>
      <c r="BL445" s="3"/>
      <c r="CJ445" s="5"/>
      <c r="CK445" s="5"/>
      <c r="CL445" s="3"/>
      <c r="CN445" s="5"/>
      <c r="CR445" s="3"/>
      <c r="CS445" s="3"/>
      <c r="CT445" s="5"/>
      <c r="CV445" s="3"/>
      <c r="DR445" s="5"/>
      <c r="DT445" s="3"/>
      <c r="EF445" s="7"/>
      <c r="EG445" s="7"/>
      <c r="EJ445" s="4"/>
      <c r="EK445" s="4"/>
      <c r="EU445" s="2"/>
      <c r="EV445" s="2"/>
    </row>
    <row r="446" spans="1:152">
      <c r="A446" s="125">
        <v>188</v>
      </c>
      <c r="B446" s="126" t="s">
        <v>650</v>
      </c>
      <c r="C446" s="126" t="s">
        <v>116</v>
      </c>
      <c r="D446" s="126" t="s">
        <v>127</v>
      </c>
      <c r="E446" s="126" t="s">
        <v>651</v>
      </c>
      <c r="F446" s="126" t="s">
        <v>40</v>
      </c>
      <c r="G446" s="126" t="s">
        <v>118</v>
      </c>
      <c r="H446" s="126"/>
      <c r="I446" s="126" t="s">
        <v>118</v>
      </c>
      <c r="J446" s="126"/>
      <c r="K446" s="127">
        <v>43236</v>
      </c>
      <c r="L446" s="128"/>
      <c r="M446" s="128">
        <v>3</v>
      </c>
      <c r="N446" s="126"/>
      <c r="O446" s="126" t="s">
        <v>119</v>
      </c>
      <c r="P446" s="129"/>
      <c r="Q446" s="129"/>
      <c r="R446" s="126" t="s">
        <v>26</v>
      </c>
      <c r="S446" s="126"/>
      <c r="T446" s="130" t="s">
        <v>144</v>
      </c>
      <c r="U446" s="126" t="s">
        <v>652</v>
      </c>
      <c r="V446" s="130" t="s">
        <v>120</v>
      </c>
      <c r="W446" s="126"/>
      <c r="X446" s="130"/>
      <c r="Y446" s="126"/>
      <c r="Z446" s="162" t="s">
        <v>125</v>
      </c>
      <c r="AA446" s="154"/>
      <c r="AB446" s="154"/>
      <c r="AC446" s="167"/>
      <c r="AD446" s="126" t="s">
        <v>336</v>
      </c>
      <c r="AE446" s="130"/>
      <c r="AF446" s="127"/>
      <c r="AG446" s="131"/>
      <c r="AH446" s="131">
        <v>2</v>
      </c>
      <c r="AI446" s="126"/>
      <c r="AJ446" s="130"/>
      <c r="AK446" s="126"/>
      <c r="AL446" s="126"/>
      <c r="AM446" s="130"/>
      <c r="AN446" s="126"/>
      <c r="AO446" s="132"/>
      <c r="AP446" s="126"/>
      <c r="AQ446" s="126"/>
      <c r="AR446" s="130"/>
      <c r="AS446" s="126"/>
      <c r="AT446" s="127"/>
      <c r="AU446" s="127"/>
      <c r="AV446" s="127"/>
      <c r="AW446" s="127"/>
      <c r="AX446" s="127"/>
      <c r="AY446" s="127"/>
      <c r="AZ446" s="133">
        <v>43236</v>
      </c>
      <c r="BA44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6" s="135">
        <f>COUNTIFS(_05preva_view43[Site ID],_05preva_view43[[#This Row],[Site ID]],_05preva_view43[Prevalidation Status],"Under Prevalidation")</f>
        <v>0</v>
      </c>
      <c r="BC446" s="153" t="str">
        <f ca="1">HYPERLINK(CheckPath(_05preva_view43[[#This Row],[File Path]],_05preva_view43[[#This Row],[File Path]],_05preva_view43[[#This Row],[Folder Path3]]),CheckPath(_05preva_view43[[#This Row],[File Path]],"Open File","No File"))</f>
        <v>No File</v>
      </c>
      <c r="BD446" s="136" t="str">
        <f>CONCATENATE(_05preva_view43[[#This Row],[Site ID]]," (",_05preva_view43[[#This Row],[tenant id]],") Application",IF(_05preva_view43[[#This Row],[Colo Rev]]&gt;0," Rev "&amp;_05preva_view43[[#This Row],[Colo Rev]],""),".xlsx")</f>
        <v>ANMD_0092 (MAW2196) Application.xlsx</v>
      </c>
      <c r="BE446" s="64">
        <f t="shared" ca="1" si="8"/>
        <v>50</v>
      </c>
      <c r="BF446" s="104" t="str">
        <f ca="1">LEFT(CELL("filename",A431),_05preva_view43[[#This Row],[Find Process &amp; Database]]-1)</f>
        <v>D:\OneDrive - apollo-towers.com\Apollo Towers\00-</v>
      </c>
      <c r="BG446" s="104" t="str">
        <f ca="1">_05preva_view43[Folder Path1]&amp;"Process &amp; Database\Documentation\Colo Applications"</f>
        <v>D:\OneDrive - apollo-towers.com\Apollo Towers\00-Process &amp; Database\Documentation\Colo Applications</v>
      </c>
      <c r="BH446" s="104" t="str">
        <f ca="1">_05preva_view43[Folder Path2]&amp;"\Colo App "&amp;_05preva_view43[[#This Row],[Operator]]&amp;"\"</f>
        <v>D:\OneDrive - apollo-towers.com\Apollo Towers\00-Process &amp; Database\Documentation\Colo Applications\Colo App OML\</v>
      </c>
      <c r="BI446" s="63" t="str">
        <f ca="1">_05preva_view43[[#This Row],[Folder Path3]]&amp;_05preva_view43[[#This Row],[File Name]]</f>
        <v>D:\OneDrive - apollo-towers.com\Apollo Towers\00-Process &amp; Database\Documentation\Colo Applications\Colo App OML\ANMD_0092 (MAW2196) Application.xlsx</v>
      </c>
      <c r="BJ446" s="104"/>
      <c r="BK446" s="3"/>
      <c r="BL446" s="3"/>
      <c r="CJ446" s="5"/>
      <c r="CK446" s="5"/>
      <c r="CL446" s="3"/>
      <c r="CN446" s="5"/>
      <c r="CR446" s="3"/>
      <c r="CS446" s="3"/>
      <c r="CT446" s="5"/>
      <c r="CV446" s="3"/>
      <c r="DR446" s="5"/>
      <c r="DT446" s="3"/>
      <c r="EF446" s="7"/>
      <c r="EG446" s="7"/>
      <c r="EJ446" s="4"/>
      <c r="EK446" s="4"/>
      <c r="EU446" s="2"/>
      <c r="EV446" s="2"/>
    </row>
    <row r="447" spans="1:152">
      <c r="A447" s="125">
        <v>189</v>
      </c>
      <c r="B447" s="126" t="s">
        <v>653</v>
      </c>
      <c r="C447" s="126" t="s">
        <v>116</v>
      </c>
      <c r="D447" s="126" t="s">
        <v>127</v>
      </c>
      <c r="E447" s="126" t="s">
        <v>654</v>
      </c>
      <c r="F447" s="126" t="s">
        <v>40</v>
      </c>
      <c r="G447" s="126" t="s">
        <v>118</v>
      </c>
      <c r="H447" s="126"/>
      <c r="I447" s="126" t="s">
        <v>118</v>
      </c>
      <c r="J447" s="126"/>
      <c r="K447" s="127">
        <v>43236</v>
      </c>
      <c r="L447" s="128"/>
      <c r="M447" s="128">
        <v>3</v>
      </c>
      <c r="N447" s="126"/>
      <c r="O447" s="126" t="s">
        <v>119</v>
      </c>
      <c r="P447" s="129"/>
      <c r="Q447" s="129"/>
      <c r="R447" s="126" t="s">
        <v>26</v>
      </c>
      <c r="S447" s="126"/>
      <c r="T447" s="130" t="s">
        <v>120</v>
      </c>
      <c r="U447" s="126" t="s">
        <v>378</v>
      </c>
      <c r="V447" s="130" t="s">
        <v>120</v>
      </c>
      <c r="W447" s="126"/>
      <c r="X447" s="130" t="s">
        <v>120</v>
      </c>
      <c r="Y447" s="126" t="s">
        <v>120</v>
      </c>
      <c r="Z447" s="162" t="s">
        <v>120</v>
      </c>
      <c r="AA447" s="154"/>
      <c r="AB447" s="154"/>
      <c r="AC447" s="167"/>
      <c r="AD447" s="126" t="s">
        <v>120</v>
      </c>
      <c r="AE447" s="130" t="s">
        <v>144</v>
      </c>
      <c r="AF447" s="127"/>
      <c r="AG447" s="131"/>
      <c r="AH447" s="131">
        <v>2</v>
      </c>
      <c r="AI447" s="126" t="s">
        <v>655</v>
      </c>
      <c r="AJ447" s="130" t="s">
        <v>120</v>
      </c>
      <c r="AK447" s="126" t="s">
        <v>123</v>
      </c>
      <c r="AL447" s="126"/>
      <c r="AM447" s="130"/>
      <c r="AN447" s="126"/>
      <c r="AO447" s="132"/>
      <c r="AP447" s="126"/>
      <c r="AQ447" s="126"/>
      <c r="AR447" s="130"/>
      <c r="AS447" s="126"/>
      <c r="AT447" s="127"/>
      <c r="AU447" s="127"/>
      <c r="AV447" s="127"/>
      <c r="AW447" s="127"/>
      <c r="AX447" s="127"/>
      <c r="AY447" s="127"/>
      <c r="AZ447" s="133">
        <v>43236</v>
      </c>
      <c r="BA44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7" s="135">
        <f>COUNTIFS(_05preva_view43[Site ID],_05preva_view43[[#This Row],[Site ID]],_05preva_view43[Prevalidation Status],"Under Prevalidation")</f>
        <v>0</v>
      </c>
      <c r="BC447" s="153" t="str">
        <f ca="1">HYPERLINK(CheckPath(_05preva_view43[[#This Row],[File Path]],_05preva_view43[[#This Row],[File Path]],_05preva_view43[[#This Row],[Folder Path3]]),CheckPath(_05preva_view43[[#This Row],[File Path]],"Open File","No File"))</f>
        <v>No File</v>
      </c>
      <c r="BD447" s="136" t="str">
        <f>CONCATENATE(_05preva_view43[[#This Row],[Site ID]]," (",_05preva_view43[[#This Row],[tenant id]],") Application",IF(_05preva_view43[[#This Row],[Colo Rev]]&gt;0," Rev "&amp;_05preva_view43[[#This Row],[Colo Rev]],""),".xlsx")</f>
        <v>ANMD_0164 (MAW2764) Application.xlsx</v>
      </c>
      <c r="BE447" s="64">
        <f t="shared" ca="1" si="8"/>
        <v>50</v>
      </c>
      <c r="BF447" s="104" t="str">
        <f ca="1">LEFT(CELL("filename",A432),_05preva_view43[[#This Row],[Find Process &amp; Database]]-1)</f>
        <v>D:\OneDrive - apollo-towers.com\Apollo Towers\00-</v>
      </c>
      <c r="BG447" s="104" t="str">
        <f ca="1">_05preva_view43[Folder Path1]&amp;"Process &amp; Database\Documentation\Colo Applications"</f>
        <v>D:\OneDrive - apollo-towers.com\Apollo Towers\00-Process &amp; Database\Documentation\Colo Applications</v>
      </c>
      <c r="BH447" s="104" t="str">
        <f ca="1">_05preva_view43[Folder Path2]&amp;"\Colo App "&amp;_05preva_view43[[#This Row],[Operator]]&amp;"\"</f>
        <v>D:\OneDrive - apollo-towers.com\Apollo Towers\00-Process &amp; Database\Documentation\Colo Applications\Colo App OML\</v>
      </c>
      <c r="BI447" s="63" t="str">
        <f ca="1">_05preva_view43[[#This Row],[Folder Path3]]&amp;_05preva_view43[[#This Row],[File Name]]</f>
        <v>D:\OneDrive - apollo-towers.com\Apollo Towers\00-Process &amp; Database\Documentation\Colo Applications\Colo App OML\ANMD_0164 (MAW2764) Application.xlsx</v>
      </c>
      <c r="BJ447" s="104"/>
      <c r="BK447" s="3"/>
      <c r="BL447" s="3"/>
      <c r="CJ447" s="5"/>
      <c r="CK447" s="5"/>
      <c r="CL447" s="3"/>
      <c r="CN447" s="5"/>
      <c r="CR447" s="3"/>
      <c r="CS447" s="3"/>
      <c r="CT447" s="5"/>
      <c r="CV447" s="3"/>
      <c r="DR447" s="5"/>
      <c r="DT447" s="3"/>
      <c r="EF447" s="7"/>
      <c r="EG447" s="7"/>
      <c r="EJ447" s="4"/>
      <c r="EK447" s="4"/>
      <c r="EU447" s="2"/>
      <c r="EV447" s="2"/>
    </row>
    <row r="448" spans="1:152">
      <c r="A448" s="125">
        <v>191</v>
      </c>
      <c r="B448" s="126" t="s">
        <v>280</v>
      </c>
      <c r="C448" s="126" t="s">
        <v>116</v>
      </c>
      <c r="D448" s="126" t="s">
        <v>127</v>
      </c>
      <c r="E448" s="126" t="s">
        <v>656</v>
      </c>
      <c r="F448" s="126" t="s">
        <v>40</v>
      </c>
      <c r="G448" s="126" t="s">
        <v>118</v>
      </c>
      <c r="H448" s="126"/>
      <c r="I448" s="126" t="s">
        <v>118</v>
      </c>
      <c r="J448" s="126"/>
      <c r="K448" s="127">
        <v>43236</v>
      </c>
      <c r="L448" s="128"/>
      <c r="M448" s="128">
        <v>3</v>
      </c>
      <c r="N448" s="126"/>
      <c r="O448" s="126" t="s">
        <v>119</v>
      </c>
      <c r="P448" s="129"/>
      <c r="Q448" s="129"/>
      <c r="R448" s="126" t="s">
        <v>24</v>
      </c>
      <c r="S448" s="126"/>
      <c r="T448" s="130" t="s">
        <v>120</v>
      </c>
      <c r="U448" s="126" t="s">
        <v>378</v>
      </c>
      <c r="V448" s="130" t="s">
        <v>120</v>
      </c>
      <c r="W448" s="126"/>
      <c r="X448" s="130" t="s">
        <v>120</v>
      </c>
      <c r="Y448" s="126" t="s">
        <v>657</v>
      </c>
      <c r="Z448" s="162" t="s">
        <v>120</v>
      </c>
      <c r="AA448" s="154"/>
      <c r="AB448" s="154"/>
      <c r="AC448" s="167"/>
      <c r="AD448" s="126" t="s">
        <v>120</v>
      </c>
      <c r="AE448" s="130" t="s">
        <v>120</v>
      </c>
      <c r="AF448" s="127" t="s">
        <v>120</v>
      </c>
      <c r="AG448" s="131"/>
      <c r="AH448" s="131">
        <v>2</v>
      </c>
      <c r="AI448" s="126" t="s">
        <v>658</v>
      </c>
      <c r="AJ448" s="130" t="s">
        <v>120</v>
      </c>
      <c r="AK448" s="126" t="s">
        <v>123</v>
      </c>
      <c r="AL448" s="126"/>
      <c r="AM448" s="130"/>
      <c r="AN448" s="126"/>
      <c r="AO448" s="132"/>
      <c r="AP448" s="126"/>
      <c r="AQ448" s="126"/>
      <c r="AR448" s="130"/>
      <c r="AS448" s="126"/>
      <c r="AT448" s="127"/>
      <c r="AU448" s="127">
        <v>43453.379052777796</v>
      </c>
      <c r="AV448" s="127"/>
      <c r="AW448" s="127"/>
      <c r="AX448" s="127"/>
      <c r="AY448" s="127"/>
      <c r="AZ448" s="133">
        <v>43236</v>
      </c>
      <c r="BA44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8" s="135">
        <f>COUNTIFS(_05preva_view43[Site ID],_05preva_view43[[#This Row],[Site ID]],_05preva_view43[Prevalidation Status],"Under Prevalidation")</f>
        <v>0</v>
      </c>
      <c r="BC448" s="153" t="str">
        <f ca="1">HYPERLINK(CheckPath(_05preva_view43[[#This Row],[File Path]],_05preva_view43[[#This Row],[File Path]],_05preva_view43[[#This Row],[Folder Path3]]),CheckPath(_05preva_view43[[#This Row],[File Path]],"Open File","No File"))</f>
        <v>No File</v>
      </c>
      <c r="BD448" s="136" t="str">
        <f>CONCATENATE(_05preva_view43[[#This Row],[Site ID]]," (",_05preva_view43[[#This Row],[tenant id]],") Application",IF(_05preva_view43[[#This Row],[Colo Rev]]&gt;0," Rev "&amp;_05preva_view43[[#This Row],[Colo Rev]],""),".xlsx")</f>
        <v>ANMD_0073 (MAW2959) Application.xlsx</v>
      </c>
      <c r="BE448" s="64">
        <f t="shared" ca="1" si="8"/>
        <v>50</v>
      </c>
      <c r="BF448" s="104" t="str">
        <f ca="1">LEFT(CELL("filename",A433),_05preva_view43[[#This Row],[Find Process &amp; Database]]-1)</f>
        <v>D:\OneDrive - apollo-towers.com\Apollo Towers\00-</v>
      </c>
      <c r="BG448" s="104" t="str">
        <f ca="1">_05preva_view43[Folder Path1]&amp;"Process &amp; Database\Documentation\Colo Applications"</f>
        <v>D:\OneDrive - apollo-towers.com\Apollo Towers\00-Process &amp; Database\Documentation\Colo Applications</v>
      </c>
      <c r="BH448" s="104" t="str">
        <f ca="1">_05preva_view43[Folder Path2]&amp;"\Colo App "&amp;_05preva_view43[[#This Row],[Operator]]&amp;"\"</f>
        <v>D:\OneDrive - apollo-towers.com\Apollo Towers\00-Process &amp; Database\Documentation\Colo Applications\Colo App OML\</v>
      </c>
      <c r="BI448" s="63" t="str">
        <f ca="1">_05preva_view43[[#This Row],[Folder Path3]]&amp;_05preva_view43[[#This Row],[File Name]]</f>
        <v>D:\OneDrive - apollo-towers.com\Apollo Towers\00-Process &amp; Database\Documentation\Colo Applications\Colo App OML\ANMD_0073 (MAW2959) Application.xlsx</v>
      </c>
      <c r="BJ448" s="104"/>
      <c r="BK448" s="3"/>
      <c r="BL448" s="3"/>
      <c r="CJ448" s="5"/>
      <c r="CK448" s="5"/>
      <c r="CL448" s="3"/>
      <c r="CN448" s="5"/>
      <c r="CR448" s="3"/>
      <c r="CS448" s="3"/>
      <c r="CT448" s="5"/>
      <c r="CV448" s="3"/>
      <c r="DR448" s="5"/>
      <c r="DT448" s="3"/>
      <c r="EF448" s="7"/>
      <c r="EG448" s="7"/>
      <c r="EJ448" s="4"/>
      <c r="EK448" s="4"/>
      <c r="EU448" s="2"/>
      <c r="EV448" s="2"/>
    </row>
    <row r="449" spans="1:152">
      <c r="A449" s="125">
        <v>192</v>
      </c>
      <c r="B449" s="126" t="s">
        <v>659</v>
      </c>
      <c r="C449" s="126" t="s">
        <v>116</v>
      </c>
      <c r="D449" s="126" t="s">
        <v>127</v>
      </c>
      <c r="E449" s="126" t="s">
        <v>660</v>
      </c>
      <c r="F449" s="126" t="s">
        <v>40</v>
      </c>
      <c r="G449" s="126" t="s">
        <v>118</v>
      </c>
      <c r="H449" s="126"/>
      <c r="I449" s="126" t="s">
        <v>118</v>
      </c>
      <c r="J449" s="126"/>
      <c r="K449" s="127">
        <v>43236</v>
      </c>
      <c r="L449" s="128"/>
      <c r="M449" s="128">
        <v>3</v>
      </c>
      <c r="N449" s="126"/>
      <c r="O449" s="126" t="s">
        <v>119</v>
      </c>
      <c r="P449" s="129"/>
      <c r="Q449" s="129"/>
      <c r="R449" s="126" t="s">
        <v>27</v>
      </c>
      <c r="S449" s="126"/>
      <c r="T449" s="130" t="s">
        <v>120</v>
      </c>
      <c r="U449" s="126" t="s">
        <v>378</v>
      </c>
      <c r="V449" s="130" t="s">
        <v>120</v>
      </c>
      <c r="W449" s="126"/>
      <c r="X449" s="130" t="s">
        <v>120</v>
      </c>
      <c r="Y449" s="126" t="s">
        <v>120</v>
      </c>
      <c r="Z449" s="162" t="s">
        <v>120</v>
      </c>
      <c r="AA449" s="154"/>
      <c r="AB449" s="154"/>
      <c r="AC449" s="167" t="s">
        <v>454</v>
      </c>
      <c r="AD449" s="126"/>
      <c r="AE449" s="130" t="s">
        <v>125</v>
      </c>
      <c r="AF449" s="127"/>
      <c r="AG449" s="131"/>
      <c r="AH449" s="131"/>
      <c r="AI449" s="126" t="s">
        <v>384</v>
      </c>
      <c r="AJ449" s="130" t="s">
        <v>120</v>
      </c>
      <c r="AK449" s="126" t="s">
        <v>123</v>
      </c>
      <c r="AL449" s="126"/>
      <c r="AM449" s="130"/>
      <c r="AN449" s="126"/>
      <c r="AO449" s="132"/>
      <c r="AP449" s="126"/>
      <c r="AQ449" s="126"/>
      <c r="AR449" s="130"/>
      <c r="AS449" s="126"/>
      <c r="AT449" s="127"/>
      <c r="AU449" s="127"/>
      <c r="AV449" s="127"/>
      <c r="AW449" s="127"/>
      <c r="AX449" s="127"/>
      <c r="AY449" s="127"/>
      <c r="AZ449" s="133"/>
      <c r="BA44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9" s="135">
        <f>COUNTIFS(_05preva_view43[Site ID],_05preva_view43[[#This Row],[Site ID]],_05preva_view43[Prevalidation Status],"Under Prevalidation")</f>
        <v>0</v>
      </c>
      <c r="BC449" s="153" t="str">
        <f ca="1">HYPERLINK(CheckPath(_05preva_view43[[#This Row],[File Path]],_05preva_view43[[#This Row],[File Path]],_05preva_view43[[#This Row],[Folder Path3]]),CheckPath(_05preva_view43[[#This Row],[File Path]],"Open File","No File"))</f>
        <v>No File</v>
      </c>
      <c r="BD449" s="136" t="str">
        <f>CONCATENATE(_05preva_view43[[#This Row],[Site ID]]," (",_05preva_view43[[#This Row],[tenant id]],") Application",IF(_05preva_view43[[#This Row],[Colo Rev]]&gt;0," Rev "&amp;_05preva_view43[[#This Row],[Colo Rev]],""),".xlsx")</f>
        <v>ANMD_0168 (MAW2993) Application.xlsx</v>
      </c>
      <c r="BE449" s="64">
        <f t="shared" ca="1" si="8"/>
        <v>50</v>
      </c>
      <c r="BF449" s="104" t="str">
        <f ca="1">LEFT(CELL("filename",A434),_05preva_view43[[#This Row],[Find Process &amp; Database]]-1)</f>
        <v>D:\OneDrive - apollo-towers.com\Apollo Towers\00-</v>
      </c>
      <c r="BG449" s="104" t="str">
        <f ca="1">_05preva_view43[Folder Path1]&amp;"Process &amp; Database\Documentation\Colo Applications"</f>
        <v>D:\OneDrive - apollo-towers.com\Apollo Towers\00-Process &amp; Database\Documentation\Colo Applications</v>
      </c>
      <c r="BH449" s="104" t="str">
        <f ca="1">_05preva_view43[Folder Path2]&amp;"\Colo App "&amp;_05preva_view43[[#This Row],[Operator]]&amp;"\"</f>
        <v>D:\OneDrive - apollo-towers.com\Apollo Towers\00-Process &amp; Database\Documentation\Colo Applications\Colo App OML\</v>
      </c>
      <c r="BI449" s="63" t="str">
        <f ca="1">_05preva_view43[[#This Row],[Folder Path3]]&amp;_05preva_view43[[#This Row],[File Name]]</f>
        <v>D:\OneDrive - apollo-towers.com\Apollo Towers\00-Process &amp; Database\Documentation\Colo Applications\Colo App OML\ANMD_0168 (MAW2993) Application.xlsx</v>
      </c>
      <c r="BJ449" s="104"/>
      <c r="BK449" s="3"/>
      <c r="BL449" s="3"/>
      <c r="CJ449" s="5"/>
      <c r="CK449" s="5"/>
      <c r="CL449" s="3"/>
      <c r="CN449" s="5"/>
      <c r="CR449" s="3"/>
      <c r="CS449" s="3"/>
      <c r="CT449" s="5"/>
      <c r="CV449" s="3"/>
      <c r="DR449" s="5"/>
      <c r="DT449" s="3"/>
      <c r="EF449" s="7"/>
      <c r="EG449" s="7"/>
      <c r="EJ449" s="4"/>
      <c r="EK449" s="4"/>
      <c r="EU449" s="2"/>
      <c r="EV449" s="2"/>
    </row>
    <row r="450" spans="1:152">
      <c r="A450" s="125">
        <v>193</v>
      </c>
      <c r="B450" s="126" t="s">
        <v>661</v>
      </c>
      <c r="C450" s="126" t="s">
        <v>116</v>
      </c>
      <c r="D450" s="126" t="s">
        <v>117</v>
      </c>
      <c r="E450" s="126" t="s">
        <v>662</v>
      </c>
      <c r="F450" s="126" t="s">
        <v>40</v>
      </c>
      <c r="G450" s="126" t="s">
        <v>118</v>
      </c>
      <c r="H450" s="126"/>
      <c r="I450" s="126" t="s">
        <v>118</v>
      </c>
      <c r="J450" s="126"/>
      <c r="K450" s="127">
        <v>43236</v>
      </c>
      <c r="L450" s="128"/>
      <c r="M450" s="128">
        <v>3</v>
      </c>
      <c r="N450" s="126"/>
      <c r="O450" s="126" t="s">
        <v>119</v>
      </c>
      <c r="P450" s="129"/>
      <c r="Q450" s="129"/>
      <c r="R450" s="126" t="s">
        <v>24</v>
      </c>
      <c r="S450" s="126"/>
      <c r="T450" s="130" t="s">
        <v>120</v>
      </c>
      <c r="U450" s="126" t="s">
        <v>378</v>
      </c>
      <c r="V450" s="130" t="s">
        <v>120</v>
      </c>
      <c r="W450" s="126"/>
      <c r="X450" s="130" t="s">
        <v>120</v>
      </c>
      <c r="Y450" s="126" t="s">
        <v>120</v>
      </c>
      <c r="Z450" s="162" t="s">
        <v>120</v>
      </c>
      <c r="AA450" s="154"/>
      <c r="AB450" s="154"/>
      <c r="AC450" s="167"/>
      <c r="AD450" s="126" t="s">
        <v>120</v>
      </c>
      <c r="AE450" s="130" t="s">
        <v>120</v>
      </c>
      <c r="AF450" s="127" t="s">
        <v>241</v>
      </c>
      <c r="AG450" s="131"/>
      <c r="AH450" s="131">
        <v>3.5</v>
      </c>
      <c r="AI450" s="126" t="s">
        <v>387</v>
      </c>
      <c r="AJ450" s="130" t="s">
        <v>120</v>
      </c>
      <c r="AK450" s="126" t="s">
        <v>123</v>
      </c>
      <c r="AL450" s="126"/>
      <c r="AM450" s="130"/>
      <c r="AN450" s="126"/>
      <c r="AO450" s="132"/>
      <c r="AP450" s="126"/>
      <c r="AQ450" s="126"/>
      <c r="AR450" s="130"/>
      <c r="AS450" s="126"/>
      <c r="AT450" s="127"/>
      <c r="AU450" s="127">
        <v>43453.379053935198</v>
      </c>
      <c r="AV450" s="127"/>
      <c r="AW450" s="127"/>
      <c r="AX450" s="127"/>
      <c r="AY450" s="127"/>
      <c r="AZ450" s="133">
        <v>43236</v>
      </c>
      <c r="BA45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0" s="135">
        <f>COUNTIFS(_05preva_view43[Site ID],_05preva_view43[[#This Row],[Site ID]],_05preva_view43[Prevalidation Status],"Under Prevalidation")</f>
        <v>0</v>
      </c>
      <c r="BC450" s="153" t="str">
        <f ca="1">HYPERLINK(CheckPath(_05preva_view43[[#This Row],[File Path]],_05preva_view43[[#This Row],[File Path]],_05preva_view43[[#This Row],[Folder Path3]]),CheckPath(_05preva_view43[[#This Row],[File Path]],"Open File","No File"))</f>
        <v>No File</v>
      </c>
      <c r="BD450" s="136" t="str">
        <f>CONCATENATE(_05preva_view43[[#This Row],[Site ID]]," (",_05preva_view43[[#This Row],[tenant id]],") Application",IF(_05preva_view43[[#This Row],[Colo Rev]]&gt;0," Rev "&amp;_05preva_view43[[#This Row],[Colo Rev]],""),".xlsx")</f>
        <v>ANMG_0017 (MWW3484) Application.xlsx</v>
      </c>
      <c r="BE450" s="64">
        <f t="shared" ca="1" si="8"/>
        <v>50</v>
      </c>
      <c r="BF450" s="104" t="str">
        <f ca="1">LEFT(CELL("filename",A435),_05preva_view43[[#This Row],[Find Process &amp; Database]]-1)</f>
        <v>D:\OneDrive - apollo-towers.com\Apollo Towers\00-</v>
      </c>
      <c r="BG450" s="104" t="str">
        <f ca="1">_05preva_view43[Folder Path1]&amp;"Process &amp; Database\Documentation\Colo Applications"</f>
        <v>D:\OneDrive - apollo-towers.com\Apollo Towers\00-Process &amp; Database\Documentation\Colo Applications</v>
      </c>
      <c r="BH450" s="104" t="str">
        <f ca="1">_05preva_view43[Folder Path2]&amp;"\Colo App "&amp;_05preva_view43[[#This Row],[Operator]]&amp;"\"</f>
        <v>D:\OneDrive - apollo-towers.com\Apollo Towers\00-Process &amp; Database\Documentation\Colo Applications\Colo App OML\</v>
      </c>
      <c r="BI450" s="63" t="str">
        <f ca="1">_05preva_view43[[#This Row],[Folder Path3]]&amp;_05preva_view43[[#This Row],[File Name]]</f>
        <v>D:\OneDrive - apollo-towers.com\Apollo Towers\00-Process &amp; Database\Documentation\Colo Applications\Colo App OML\ANMG_0017 (MWW3484) Application.xlsx</v>
      </c>
      <c r="BJ450" s="104"/>
      <c r="BK450" s="3"/>
      <c r="BL450" s="3"/>
      <c r="CJ450" s="5"/>
      <c r="CK450" s="5"/>
      <c r="CL450" s="3"/>
      <c r="CN450" s="5"/>
      <c r="CR450" s="3"/>
      <c r="CS450" s="3"/>
      <c r="CT450" s="5"/>
      <c r="CV450" s="3"/>
      <c r="DR450" s="5"/>
      <c r="DT450" s="3"/>
      <c r="EF450" s="7"/>
      <c r="EG450" s="7"/>
      <c r="EJ450" s="4"/>
      <c r="EK450" s="4"/>
      <c r="EU450" s="2"/>
      <c r="EV450" s="2"/>
    </row>
    <row r="451" spans="1:152">
      <c r="A451" s="125">
        <v>194</v>
      </c>
      <c r="B451" s="126" t="s">
        <v>663</v>
      </c>
      <c r="C451" s="126" t="s">
        <v>116</v>
      </c>
      <c r="D451" s="126" t="s">
        <v>117</v>
      </c>
      <c r="E451" s="126" t="s">
        <v>664</v>
      </c>
      <c r="F451" s="126" t="s">
        <v>40</v>
      </c>
      <c r="G451" s="126" t="s">
        <v>118</v>
      </c>
      <c r="H451" s="126"/>
      <c r="I451" s="126" t="s">
        <v>118</v>
      </c>
      <c r="J451" s="126"/>
      <c r="K451" s="127">
        <v>43236</v>
      </c>
      <c r="L451" s="128"/>
      <c r="M451" s="128">
        <v>3</v>
      </c>
      <c r="N451" s="126"/>
      <c r="O451" s="126" t="s">
        <v>119</v>
      </c>
      <c r="P451" s="129"/>
      <c r="Q451" s="129"/>
      <c r="R451" s="126" t="s">
        <v>24</v>
      </c>
      <c r="S451" s="126"/>
      <c r="T451" s="130" t="s">
        <v>120</v>
      </c>
      <c r="U451" s="126" t="s">
        <v>378</v>
      </c>
      <c r="V451" s="130" t="s">
        <v>120</v>
      </c>
      <c r="W451" s="126"/>
      <c r="X451" s="130" t="s">
        <v>120</v>
      </c>
      <c r="Y451" s="126" t="s">
        <v>120</v>
      </c>
      <c r="Z451" s="162" t="s">
        <v>120</v>
      </c>
      <c r="AA451" s="154"/>
      <c r="AB451" s="154"/>
      <c r="AC451" s="167" t="s">
        <v>454</v>
      </c>
      <c r="AD451" s="126" t="s">
        <v>665</v>
      </c>
      <c r="AE451" s="130" t="s">
        <v>125</v>
      </c>
      <c r="AF451" s="127"/>
      <c r="AG451" s="131"/>
      <c r="AH451" s="131"/>
      <c r="AI451" s="126" t="s">
        <v>384</v>
      </c>
      <c r="AJ451" s="130" t="s">
        <v>120</v>
      </c>
      <c r="AK451" s="126" t="s">
        <v>123</v>
      </c>
      <c r="AL451" s="126"/>
      <c r="AM451" s="130"/>
      <c r="AN451" s="126"/>
      <c r="AO451" s="132"/>
      <c r="AP451" s="126"/>
      <c r="AQ451" s="126"/>
      <c r="AR451" s="130"/>
      <c r="AS451" s="126"/>
      <c r="AT451" s="127"/>
      <c r="AU451" s="127"/>
      <c r="AV451" s="127"/>
      <c r="AW451" s="127"/>
      <c r="AX451" s="127"/>
      <c r="AY451" s="127"/>
      <c r="AZ451" s="133">
        <v>43236</v>
      </c>
      <c r="BA45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1" s="135">
        <f>COUNTIFS(_05preva_view43[Site ID],_05preva_view43[[#This Row],[Site ID]],_05preva_view43[Prevalidation Status],"Under Prevalidation")</f>
        <v>0</v>
      </c>
      <c r="BC451" s="153" t="str">
        <f ca="1">HYPERLINK(CheckPath(_05preva_view43[[#This Row],[File Path]],_05preva_view43[[#This Row],[File Path]],_05preva_view43[[#This Row],[Folder Path3]]),CheckPath(_05preva_view43[[#This Row],[File Path]],"Open File","No File"))</f>
        <v>No File</v>
      </c>
      <c r="BD451" s="136" t="str">
        <f>CONCATENATE(_05preva_view43[[#This Row],[Site ID]]," (",_05preva_view43[[#This Row],[tenant id]],") Application",IF(_05preva_view43[[#This Row],[Colo Rev]]&gt;0," Rev "&amp;_05preva_view43[[#This Row],[Colo Rev]],""),".xlsx")</f>
        <v>ANNP_0276 (Replacement_43) Application.xlsx</v>
      </c>
      <c r="BE451" s="64">
        <f t="shared" ca="1" si="8"/>
        <v>50</v>
      </c>
      <c r="BF451" s="104" t="str">
        <f ca="1">LEFT(CELL("filename",A436),_05preva_view43[[#This Row],[Find Process &amp; Database]]-1)</f>
        <v>D:\OneDrive - apollo-towers.com\Apollo Towers\00-</v>
      </c>
      <c r="BG451" s="104" t="str">
        <f ca="1">_05preva_view43[Folder Path1]&amp;"Process &amp; Database\Documentation\Colo Applications"</f>
        <v>D:\OneDrive - apollo-towers.com\Apollo Towers\00-Process &amp; Database\Documentation\Colo Applications</v>
      </c>
      <c r="BH451" s="104" t="str">
        <f ca="1">_05preva_view43[Folder Path2]&amp;"\Colo App "&amp;_05preva_view43[[#This Row],[Operator]]&amp;"\"</f>
        <v>D:\OneDrive - apollo-towers.com\Apollo Towers\00-Process &amp; Database\Documentation\Colo Applications\Colo App OML\</v>
      </c>
      <c r="BI451" s="63" t="str">
        <f ca="1">_05preva_view43[[#This Row],[Folder Path3]]&amp;_05preva_view43[[#This Row],[File Name]]</f>
        <v>D:\OneDrive - apollo-towers.com\Apollo Towers\00-Process &amp; Database\Documentation\Colo Applications\Colo App OML\ANNP_0276 (Replacement_43) Application.xlsx</v>
      </c>
      <c r="BJ451" s="104"/>
      <c r="BK451" s="3"/>
      <c r="BL451" s="3"/>
      <c r="CJ451" s="5"/>
      <c r="CK451" s="5"/>
      <c r="CL451" s="3"/>
      <c r="CN451" s="5"/>
      <c r="CR451" s="3"/>
      <c r="CS451" s="3"/>
      <c r="CT451" s="5"/>
      <c r="CV451" s="3"/>
      <c r="DR451" s="5"/>
      <c r="DT451" s="3"/>
      <c r="EF451" s="7"/>
      <c r="EG451" s="7"/>
      <c r="EJ451" s="4"/>
      <c r="EK451" s="4"/>
      <c r="EU451" s="2"/>
      <c r="EV451" s="2"/>
    </row>
    <row r="452" spans="1:152">
      <c r="A452" s="125">
        <v>195</v>
      </c>
      <c r="B452" s="126" t="s">
        <v>666</v>
      </c>
      <c r="C452" s="126" t="s">
        <v>116</v>
      </c>
      <c r="D452" s="126" t="s">
        <v>117</v>
      </c>
      <c r="E452" s="126" t="s">
        <v>667</v>
      </c>
      <c r="F452" s="126" t="s">
        <v>40</v>
      </c>
      <c r="G452" s="126" t="s">
        <v>118</v>
      </c>
      <c r="H452" s="126"/>
      <c r="I452" s="126" t="s">
        <v>118</v>
      </c>
      <c r="J452" s="126"/>
      <c r="K452" s="127">
        <v>43236</v>
      </c>
      <c r="L452" s="128"/>
      <c r="M452" s="128">
        <v>3</v>
      </c>
      <c r="N452" s="126"/>
      <c r="O452" s="126" t="s">
        <v>119</v>
      </c>
      <c r="P452" s="129"/>
      <c r="Q452" s="129"/>
      <c r="R452" s="126" t="s">
        <v>24</v>
      </c>
      <c r="S452" s="126"/>
      <c r="T452" s="130" t="s">
        <v>120</v>
      </c>
      <c r="U452" s="126" t="s">
        <v>378</v>
      </c>
      <c r="V452" s="130" t="s">
        <v>120</v>
      </c>
      <c r="W452" s="126"/>
      <c r="X452" s="130" t="s">
        <v>120</v>
      </c>
      <c r="Y452" s="126" t="s">
        <v>120</v>
      </c>
      <c r="Z452" s="162" t="s">
        <v>120</v>
      </c>
      <c r="AA452" s="154"/>
      <c r="AB452" s="154"/>
      <c r="AC452" s="167" t="s">
        <v>454</v>
      </c>
      <c r="AD452" s="126" t="s">
        <v>572</v>
      </c>
      <c r="AE452" s="130" t="s">
        <v>125</v>
      </c>
      <c r="AF452" s="127"/>
      <c r="AG452" s="131"/>
      <c r="AH452" s="131"/>
      <c r="AI452" s="126" t="s">
        <v>668</v>
      </c>
      <c r="AJ452" s="130" t="s">
        <v>120</v>
      </c>
      <c r="AK452" s="126" t="s">
        <v>240</v>
      </c>
      <c r="AL452" s="126" t="s">
        <v>470</v>
      </c>
      <c r="AM452" s="130"/>
      <c r="AN452" s="126"/>
      <c r="AO452" s="132"/>
      <c r="AP452" s="126"/>
      <c r="AQ452" s="126"/>
      <c r="AR452" s="130"/>
      <c r="AS452" s="126"/>
      <c r="AT452" s="127"/>
      <c r="AU452" s="127"/>
      <c r="AV452" s="127"/>
      <c r="AW452" s="127"/>
      <c r="AX452" s="127"/>
      <c r="AY452" s="127"/>
      <c r="AZ452" s="133">
        <v>43236</v>
      </c>
      <c r="BA45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2" s="135">
        <f>COUNTIFS(_05preva_view43[Site ID],_05preva_view43[[#This Row],[Site ID]],_05preva_view43[Prevalidation Status],"Under Prevalidation")</f>
        <v>0</v>
      </c>
      <c r="BC452" s="153" t="str">
        <f ca="1">HYPERLINK(CheckPath(_05preva_view43[[#This Row],[File Path]],_05preva_view43[[#This Row],[File Path]],_05preva_view43[[#This Row],[Folder Path3]]),CheckPath(_05preva_view43[[#This Row],[File Path]],"Open File","No File"))</f>
        <v>No File</v>
      </c>
      <c r="BD452" s="136" t="str">
        <f>CONCATENATE(_05preva_view43[[#This Row],[Site ID]]," (",_05preva_view43[[#This Row],[tenant id]],") Application",IF(_05preva_view43[[#This Row],[Colo Rev]]&gt;0," Rev "&amp;_05preva_view43[[#This Row],[Colo Rev]],""),".xlsx")</f>
        <v>ANNP_0203 (Replacement_45) Application.xlsx</v>
      </c>
      <c r="BE452" s="64">
        <f t="shared" ca="1" si="8"/>
        <v>50</v>
      </c>
      <c r="BF452" s="104" t="str">
        <f ca="1">LEFT(CELL("filename",A437),_05preva_view43[[#This Row],[Find Process &amp; Database]]-1)</f>
        <v>D:\OneDrive - apollo-towers.com\Apollo Towers\00-</v>
      </c>
      <c r="BG452" s="104" t="str">
        <f ca="1">_05preva_view43[Folder Path1]&amp;"Process &amp; Database\Documentation\Colo Applications"</f>
        <v>D:\OneDrive - apollo-towers.com\Apollo Towers\00-Process &amp; Database\Documentation\Colo Applications</v>
      </c>
      <c r="BH452" s="104" t="str">
        <f ca="1">_05preva_view43[Folder Path2]&amp;"\Colo App "&amp;_05preva_view43[[#This Row],[Operator]]&amp;"\"</f>
        <v>D:\OneDrive - apollo-towers.com\Apollo Towers\00-Process &amp; Database\Documentation\Colo Applications\Colo App OML\</v>
      </c>
      <c r="BI452" s="63" t="str">
        <f ca="1">_05preva_view43[[#This Row],[Folder Path3]]&amp;_05preva_view43[[#This Row],[File Name]]</f>
        <v>D:\OneDrive - apollo-towers.com\Apollo Towers\00-Process &amp; Database\Documentation\Colo Applications\Colo App OML\ANNP_0203 (Replacement_45) Application.xlsx</v>
      </c>
      <c r="BJ452" s="104"/>
      <c r="BK452" s="3"/>
      <c r="BL452" s="3"/>
      <c r="CJ452" s="5"/>
      <c r="CK452" s="5"/>
      <c r="CL452" s="3"/>
      <c r="CN452" s="5"/>
      <c r="CR452" s="3"/>
      <c r="CS452" s="3"/>
      <c r="CT452" s="5"/>
      <c r="CV452" s="3"/>
      <c r="DR452" s="5"/>
      <c r="DT452" s="3"/>
      <c r="EF452" s="7"/>
      <c r="EG452" s="7"/>
      <c r="EJ452" s="4"/>
      <c r="EK452" s="4"/>
      <c r="EU452" s="2"/>
      <c r="EV452" s="2"/>
    </row>
    <row r="453" spans="1:152">
      <c r="A453" s="125">
        <v>196</v>
      </c>
      <c r="B453" s="126" t="s">
        <v>669</v>
      </c>
      <c r="C453" s="126" t="s">
        <v>116</v>
      </c>
      <c r="D453" s="126" t="s">
        <v>127</v>
      </c>
      <c r="E453" s="126" t="s">
        <v>670</v>
      </c>
      <c r="F453" s="126" t="s">
        <v>40</v>
      </c>
      <c r="G453" s="126" t="s">
        <v>118</v>
      </c>
      <c r="H453" s="126"/>
      <c r="I453" s="126" t="s">
        <v>118</v>
      </c>
      <c r="J453" s="126"/>
      <c r="K453" s="127">
        <v>43236</v>
      </c>
      <c r="L453" s="128"/>
      <c r="M453" s="128">
        <v>3</v>
      </c>
      <c r="N453" s="126"/>
      <c r="O453" s="126" t="s">
        <v>119</v>
      </c>
      <c r="P453" s="129"/>
      <c r="Q453" s="129"/>
      <c r="R453" s="126" t="s">
        <v>26</v>
      </c>
      <c r="S453" s="126"/>
      <c r="T453" s="130" t="s">
        <v>144</v>
      </c>
      <c r="U453" s="126" t="s">
        <v>599</v>
      </c>
      <c r="V453" s="130" t="s">
        <v>120</v>
      </c>
      <c r="W453" s="126"/>
      <c r="X453" s="130"/>
      <c r="Y453" s="126"/>
      <c r="Z453" s="162" t="s">
        <v>125</v>
      </c>
      <c r="AA453" s="154"/>
      <c r="AB453" s="154"/>
      <c r="AC453" s="167"/>
      <c r="AD453" s="126" t="s">
        <v>336</v>
      </c>
      <c r="AE453" s="130"/>
      <c r="AF453" s="127"/>
      <c r="AG453" s="131"/>
      <c r="AH453" s="131">
        <v>2</v>
      </c>
      <c r="AI453" s="126"/>
      <c r="AJ453" s="130"/>
      <c r="AK453" s="126"/>
      <c r="AL453" s="126"/>
      <c r="AM453" s="130"/>
      <c r="AN453" s="126"/>
      <c r="AO453" s="132"/>
      <c r="AP453" s="126"/>
      <c r="AQ453" s="126"/>
      <c r="AR453" s="130"/>
      <c r="AS453" s="126"/>
      <c r="AT453" s="127"/>
      <c r="AU453" s="127"/>
      <c r="AV453" s="127"/>
      <c r="AW453" s="127"/>
      <c r="AX453" s="127"/>
      <c r="AY453" s="127"/>
      <c r="AZ453" s="133">
        <v>43236</v>
      </c>
      <c r="BA45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3" s="135">
        <f>COUNTIFS(_05preva_view43[Site ID],_05preva_view43[[#This Row],[Site ID]],_05preva_view43[Prevalidation Status],"Under Prevalidation")</f>
        <v>0</v>
      </c>
      <c r="BC453" s="153" t="str">
        <f ca="1">HYPERLINK(CheckPath(_05preva_view43[[#This Row],[File Path]],_05preva_view43[[#This Row],[File Path]],_05preva_view43[[#This Row],[Folder Path3]]),CheckPath(_05preva_view43[[#This Row],[File Path]],"Open File","No File"))</f>
        <v>No File</v>
      </c>
      <c r="BD453" s="136" t="str">
        <f>CONCATENATE(_05preva_view43[[#This Row],[Site ID]]," (",_05preva_view43[[#This Row],[tenant id]],") Application",IF(_05preva_view43[[#This Row],[Colo Rev]]&gt;0," Rev "&amp;_05preva_view43[[#This Row],[Colo Rev]],""),".xlsx")</f>
        <v>ANMD_0079 (MAW2908) Application.xlsx</v>
      </c>
      <c r="BE453" s="64">
        <f t="shared" ca="1" si="8"/>
        <v>50</v>
      </c>
      <c r="BF453" s="104" t="str">
        <f ca="1">LEFT(CELL("filename",A438),_05preva_view43[[#This Row],[Find Process &amp; Database]]-1)</f>
        <v>D:\OneDrive - apollo-towers.com\Apollo Towers\00-</v>
      </c>
      <c r="BG453" s="104" t="str">
        <f ca="1">_05preva_view43[Folder Path1]&amp;"Process &amp; Database\Documentation\Colo Applications"</f>
        <v>D:\OneDrive - apollo-towers.com\Apollo Towers\00-Process &amp; Database\Documentation\Colo Applications</v>
      </c>
      <c r="BH453" s="104" t="str">
        <f ca="1">_05preva_view43[Folder Path2]&amp;"\Colo App "&amp;_05preva_view43[[#This Row],[Operator]]&amp;"\"</f>
        <v>D:\OneDrive - apollo-towers.com\Apollo Towers\00-Process &amp; Database\Documentation\Colo Applications\Colo App OML\</v>
      </c>
      <c r="BI453" s="63" t="str">
        <f ca="1">_05preva_view43[[#This Row],[Folder Path3]]&amp;_05preva_view43[[#This Row],[File Name]]</f>
        <v>D:\OneDrive - apollo-towers.com\Apollo Towers\00-Process &amp; Database\Documentation\Colo Applications\Colo App OML\ANMD_0079 (MAW2908) Application.xlsx</v>
      </c>
      <c r="BJ453" s="104"/>
      <c r="BK453" s="3"/>
      <c r="BL453" s="3"/>
      <c r="CJ453" s="5"/>
      <c r="CK453" s="5"/>
      <c r="CL453" s="3"/>
      <c r="CN453" s="5"/>
      <c r="CR453" s="3"/>
      <c r="CS453" s="3"/>
      <c r="CT453" s="5"/>
      <c r="CV453" s="3"/>
      <c r="DR453" s="5"/>
      <c r="DT453" s="3"/>
      <c r="EF453" s="7"/>
      <c r="EG453" s="7"/>
      <c r="EJ453" s="4"/>
      <c r="EK453" s="4"/>
      <c r="EU453" s="2"/>
      <c r="EV453" s="2"/>
    </row>
    <row r="454" spans="1:152">
      <c r="A454" s="125">
        <v>197</v>
      </c>
      <c r="B454" s="126" t="s">
        <v>671</v>
      </c>
      <c r="C454" s="126" t="s">
        <v>116</v>
      </c>
      <c r="D454" s="126" t="s">
        <v>117</v>
      </c>
      <c r="E454" s="126" t="s">
        <v>672</v>
      </c>
      <c r="F454" s="126" t="s">
        <v>40</v>
      </c>
      <c r="G454" s="126" t="s">
        <v>118</v>
      </c>
      <c r="H454" s="126"/>
      <c r="I454" s="126" t="s">
        <v>118</v>
      </c>
      <c r="J454" s="126"/>
      <c r="K454" s="127">
        <v>43236</v>
      </c>
      <c r="L454" s="128"/>
      <c r="M454" s="128">
        <v>3</v>
      </c>
      <c r="N454" s="126"/>
      <c r="O454" s="126" t="s">
        <v>119</v>
      </c>
      <c r="P454" s="129"/>
      <c r="Q454" s="129"/>
      <c r="R454" s="126" t="s">
        <v>24</v>
      </c>
      <c r="S454" s="126"/>
      <c r="T454" s="130" t="s">
        <v>120</v>
      </c>
      <c r="U454" s="126" t="s">
        <v>378</v>
      </c>
      <c r="V454" s="130" t="s">
        <v>120</v>
      </c>
      <c r="W454" s="126"/>
      <c r="X454" s="130" t="s">
        <v>120</v>
      </c>
      <c r="Y454" s="126" t="s">
        <v>673</v>
      </c>
      <c r="Z454" s="162" t="s">
        <v>120</v>
      </c>
      <c r="AA454" s="154"/>
      <c r="AB454" s="154"/>
      <c r="AC454" s="167"/>
      <c r="AD454" s="126" t="s">
        <v>120</v>
      </c>
      <c r="AE454" s="130" t="s">
        <v>120</v>
      </c>
      <c r="AF454" s="127" t="s">
        <v>241</v>
      </c>
      <c r="AG454" s="131"/>
      <c r="AH454" s="131">
        <v>3.5</v>
      </c>
      <c r="AI454" s="126" t="s">
        <v>387</v>
      </c>
      <c r="AJ454" s="130" t="s">
        <v>120</v>
      </c>
      <c r="AK454" s="126" t="s">
        <v>123</v>
      </c>
      <c r="AL454" s="126"/>
      <c r="AM454" s="130"/>
      <c r="AN454" s="126"/>
      <c r="AO454" s="132"/>
      <c r="AP454" s="126"/>
      <c r="AQ454" s="126"/>
      <c r="AR454" s="130"/>
      <c r="AS454" s="126"/>
      <c r="AT454" s="127"/>
      <c r="AU454" s="127">
        <v>43453.37905625</v>
      </c>
      <c r="AV454" s="127"/>
      <c r="AW454" s="127"/>
      <c r="AX454" s="127"/>
      <c r="AY454" s="127"/>
      <c r="AZ454" s="133">
        <v>43236</v>
      </c>
      <c r="BA45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4" s="135">
        <f>COUNTIFS(_05preva_view43[Site ID],_05preva_view43[[#This Row],[Site ID]],_05preva_view43[Prevalidation Status],"Under Prevalidation")</f>
        <v>0</v>
      </c>
      <c r="BC454" s="153" t="str">
        <f ca="1">HYPERLINK(CheckPath(_05preva_view43[[#This Row],[File Path]],_05preva_view43[[#This Row],[File Path]],_05preva_view43[[#This Row],[Folder Path3]]),CheckPath(_05preva_view43[[#This Row],[File Path]],"Open File","No File"))</f>
        <v>No File</v>
      </c>
      <c r="BD454" s="136" t="str">
        <f>CONCATENATE(_05preva_view43[[#This Row],[Site ID]]," (",_05preva_view43[[#This Row],[tenant id]],") Application",IF(_05preva_view43[[#This Row],[Colo Rev]]&gt;0," Rev "&amp;_05preva_view43[[#This Row],[Colo Rev]],""),".xlsx")</f>
        <v>ASKH_0019 (KYW6082) Application.xlsx</v>
      </c>
      <c r="BE454" s="64">
        <f t="shared" ca="1" si="8"/>
        <v>50</v>
      </c>
      <c r="BF454" s="104" t="str">
        <f ca="1">LEFT(CELL("filename",A439),_05preva_view43[[#This Row],[Find Process &amp; Database]]-1)</f>
        <v>D:\OneDrive - apollo-towers.com\Apollo Towers\00-</v>
      </c>
      <c r="BG454" s="104" t="str">
        <f ca="1">_05preva_view43[Folder Path1]&amp;"Process &amp; Database\Documentation\Colo Applications"</f>
        <v>D:\OneDrive - apollo-towers.com\Apollo Towers\00-Process &amp; Database\Documentation\Colo Applications</v>
      </c>
      <c r="BH454" s="104" t="str">
        <f ca="1">_05preva_view43[Folder Path2]&amp;"\Colo App "&amp;_05preva_view43[[#This Row],[Operator]]&amp;"\"</f>
        <v>D:\OneDrive - apollo-towers.com\Apollo Towers\00-Process &amp; Database\Documentation\Colo Applications\Colo App OML\</v>
      </c>
      <c r="BI454" s="63" t="str">
        <f ca="1">_05preva_view43[[#This Row],[Folder Path3]]&amp;_05preva_view43[[#This Row],[File Name]]</f>
        <v>D:\OneDrive - apollo-towers.com\Apollo Towers\00-Process &amp; Database\Documentation\Colo Applications\Colo App OML\ASKH_0019 (KYW6082) Application.xlsx</v>
      </c>
      <c r="BJ454" s="104"/>
      <c r="BK454" s="3"/>
      <c r="BL454" s="3"/>
      <c r="CJ454" s="5"/>
      <c r="CK454" s="5"/>
      <c r="CL454" s="3"/>
      <c r="CN454" s="5"/>
      <c r="CR454" s="3"/>
      <c r="CS454" s="3"/>
      <c r="CT454" s="5"/>
      <c r="CV454" s="3"/>
      <c r="DR454" s="5"/>
      <c r="DT454" s="3"/>
      <c r="EF454" s="7"/>
      <c r="EG454" s="7"/>
      <c r="EJ454" s="4"/>
      <c r="EK454" s="4"/>
      <c r="EU454" s="2"/>
      <c r="EV454" s="2"/>
    </row>
    <row r="455" spans="1:152">
      <c r="A455" s="125">
        <v>198</v>
      </c>
      <c r="B455" s="126" t="s">
        <v>674</v>
      </c>
      <c r="C455" s="126" t="s">
        <v>116</v>
      </c>
      <c r="D455" s="126" t="s">
        <v>163</v>
      </c>
      <c r="E455" s="126" t="s">
        <v>675</v>
      </c>
      <c r="F455" s="126" t="s">
        <v>40</v>
      </c>
      <c r="G455" s="126" t="s">
        <v>1579</v>
      </c>
      <c r="H455" s="126" t="s">
        <v>1580</v>
      </c>
      <c r="I455" s="126" t="s">
        <v>118</v>
      </c>
      <c r="J455" s="126"/>
      <c r="K455" s="127">
        <v>43236</v>
      </c>
      <c r="L455" s="128"/>
      <c r="M455" s="128">
        <v>3</v>
      </c>
      <c r="N455" s="126"/>
      <c r="O455" s="126" t="s">
        <v>119</v>
      </c>
      <c r="P455" s="129"/>
      <c r="Q455" s="129"/>
      <c r="R455" s="126" t="s">
        <v>24</v>
      </c>
      <c r="S455" s="126"/>
      <c r="T455" s="130" t="s">
        <v>120</v>
      </c>
      <c r="U455" s="126" t="s">
        <v>378</v>
      </c>
      <c r="V455" s="130" t="s">
        <v>120</v>
      </c>
      <c r="W455" s="126"/>
      <c r="X455" s="130" t="s">
        <v>120</v>
      </c>
      <c r="Y455" s="126" t="s">
        <v>120</v>
      </c>
      <c r="Z455" s="162" t="s">
        <v>120</v>
      </c>
      <c r="AA455" s="154"/>
      <c r="AB455" s="154"/>
      <c r="AC455" s="167"/>
      <c r="AD455" s="126" t="s">
        <v>120</v>
      </c>
      <c r="AE455" s="130" t="s">
        <v>120</v>
      </c>
      <c r="AF455" s="127" t="s">
        <v>467</v>
      </c>
      <c r="AG455" s="131"/>
      <c r="AH455" s="131">
        <v>3.5</v>
      </c>
      <c r="AI455" s="126" t="s">
        <v>676</v>
      </c>
      <c r="AJ455" s="130" t="s">
        <v>120</v>
      </c>
      <c r="AK455" s="126" t="s">
        <v>123</v>
      </c>
      <c r="AL455" s="126"/>
      <c r="AM455" s="130"/>
      <c r="AN455" s="126"/>
      <c r="AO455" s="132"/>
      <c r="AP455" s="126"/>
      <c r="AQ455" s="126"/>
      <c r="AR455" s="130"/>
      <c r="AS455" s="126"/>
      <c r="AT455" s="127"/>
      <c r="AU455" s="127">
        <v>43453.3790570602</v>
      </c>
      <c r="AV455" s="127"/>
      <c r="AW455" s="127"/>
      <c r="AX455" s="127"/>
      <c r="AY455" s="127"/>
      <c r="AZ455" s="133">
        <v>43236</v>
      </c>
      <c r="BA45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5" s="135">
        <f>COUNTIFS(_05preva_view43[Site ID],_05preva_view43[[#This Row],[Site ID]],_05preva_view43[Prevalidation Status],"Under Prevalidation")</f>
        <v>0</v>
      </c>
      <c r="BC455" s="153" t="str">
        <f ca="1">HYPERLINK(CheckPath(_05preva_view43[[#This Row],[File Path]],_05preva_view43[[#This Row],[File Path]],_05preva_view43[[#This Row],[Folder Path3]]),CheckPath(_05preva_view43[[#This Row],[File Path]],"Open File","No File"))</f>
        <v>No File</v>
      </c>
      <c r="BD455" s="136" t="str">
        <f>CONCATENATE(_05preva_view43[[#This Row],[Site ID]]," (",_05preva_view43[[#This Row],[tenant id]],") Application",IF(_05preva_view43[[#This Row],[Colo Rev]]&gt;0," Rev "&amp;_05preva_view43[[#This Row],[Colo Rev]],""),".xlsx")</f>
        <v>ASTN_0045 (TAW6250) Application.xlsx</v>
      </c>
      <c r="BE455" s="64">
        <f t="shared" ca="1" si="8"/>
        <v>50</v>
      </c>
      <c r="BF455" s="104" t="str">
        <f ca="1">LEFT(CELL("filename",A440),_05preva_view43[[#This Row],[Find Process &amp; Database]]-1)</f>
        <v>D:\OneDrive - apollo-towers.com\Apollo Towers\00-</v>
      </c>
      <c r="BG455" s="104" t="str">
        <f ca="1">_05preva_view43[Folder Path1]&amp;"Process &amp; Database\Documentation\Colo Applications"</f>
        <v>D:\OneDrive - apollo-towers.com\Apollo Towers\00-Process &amp; Database\Documentation\Colo Applications</v>
      </c>
      <c r="BH455" s="104" t="str">
        <f ca="1">_05preva_view43[Folder Path2]&amp;"\Colo App "&amp;_05preva_view43[[#This Row],[Operator]]&amp;"\"</f>
        <v>D:\OneDrive - apollo-towers.com\Apollo Towers\00-Process &amp; Database\Documentation\Colo Applications\Colo App OML\</v>
      </c>
      <c r="BI455" s="63" t="str">
        <f ca="1">_05preva_view43[[#This Row],[Folder Path3]]&amp;_05preva_view43[[#This Row],[File Name]]</f>
        <v>D:\OneDrive - apollo-towers.com\Apollo Towers\00-Process &amp; Database\Documentation\Colo Applications\Colo App OML\ASTN_0045 (TAW6250) Application.xlsx</v>
      </c>
      <c r="BJ455" s="104"/>
      <c r="BK455" s="3"/>
      <c r="BL455" s="3"/>
      <c r="CJ455" s="5"/>
      <c r="CK455" s="5"/>
      <c r="CL455" s="3"/>
      <c r="CN455" s="5"/>
      <c r="CR455" s="3"/>
      <c r="CS455" s="3"/>
      <c r="CT455" s="5"/>
      <c r="CV455" s="3"/>
      <c r="DR455" s="5"/>
      <c r="DT455" s="3"/>
      <c r="EF455" s="7"/>
      <c r="EG455" s="7"/>
      <c r="EJ455" s="4"/>
      <c r="EK455" s="4"/>
      <c r="EU455" s="2"/>
      <c r="EV455" s="2"/>
    </row>
    <row r="456" spans="1:152">
      <c r="A456" s="125">
        <v>199</v>
      </c>
      <c r="B456" s="126" t="s">
        <v>677</v>
      </c>
      <c r="C456" s="126" t="s">
        <v>116</v>
      </c>
      <c r="D456" s="126" t="s">
        <v>163</v>
      </c>
      <c r="E456" s="126" t="s">
        <v>678</v>
      </c>
      <c r="F456" s="126" t="s">
        <v>40</v>
      </c>
      <c r="G456" s="126" t="s">
        <v>1579</v>
      </c>
      <c r="H456" s="126" t="s">
        <v>1580</v>
      </c>
      <c r="I456" s="126" t="s">
        <v>118</v>
      </c>
      <c r="J456" s="126"/>
      <c r="K456" s="127">
        <v>43236</v>
      </c>
      <c r="L456" s="128"/>
      <c r="M456" s="128">
        <v>3</v>
      </c>
      <c r="N456" s="126"/>
      <c r="O456" s="126" t="s">
        <v>119</v>
      </c>
      <c r="P456" s="129"/>
      <c r="Q456" s="129"/>
      <c r="R456" s="126" t="s">
        <v>24</v>
      </c>
      <c r="S456" s="126"/>
      <c r="T456" s="130" t="s">
        <v>120</v>
      </c>
      <c r="U456" s="126" t="s">
        <v>378</v>
      </c>
      <c r="V456" s="130" t="s">
        <v>120</v>
      </c>
      <c r="W456" s="126" t="s">
        <v>120</v>
      </c>
      <c r="X456" s="130" t="s">
        <v>120</v>
      </c>
      <c r="Y456" s="126" t="s">
        <v>120</v>
      </c>
      <c r="Z456" s="162" t="s">
        <v>120</v>
      </c>
      <c r="AA456" s="154"/>
      <c r="AB456" s="154"/>
      <c r="AC456" s="167"/>
      <c r="AD456" s="126" t="s">
        <v>120</v>
      </c>
      <c r="AE456" s="130" t="s">
        <v>125</v>
      </c>
      <c r="AF456" s="127"/>
      <c r="AG456" s="131"/>
      <c r="AH456" s="131"/>
      <c r="AI456" s="126" t="s">
        <v>487</v>
      </c>
      <c r="AJ456" s="130" t="s">
        <v>120</v>
      </c>
      <c r="AK456" s="126" t="s">
        <v>123</v>
      </c>
      <c r="AL456" s="126"/>
      <c r="AM456" s="130"/>
      <c r="AN456" s="126"/>
      <c r="AO456" s="132"/>
      <c r="AP456" s="126"/>
      <c r="AQ456" s="126"/>
      <c r="AR456" s="130" t="s">
        <v>120</v>
      </c>
      <c r="AS456" s="126"/>
      <c r="AT456" s="127">
        <v>43417.627321874999</v>
      </c>
      <c r="AU456" s="127"/>
      <c r="AV456" s="127">
        <v>43417.680085069398</v>
      </c>
      <c r="AW456" s="127">
        <v>43417.7112494213</v>
      </c>
      <c r="AX456" s="127">
        <v>43417.688151041701</v>
      </c>
      <c r="AY456" s="127">
        <v>43431.647528125002</v>
      </c>
      <c r="AZ456" s="133">
        <v>43431.647528125002</v>
      </c>
      <c r="BA456" s="134">
        <f ca="1">IF(_05preva_view43[[#This Row],[Prevalidation Status]]="Under Prevalidation",NOW()-_05preva_view43[[#This Row],[Request Date]],IF(_05preva_view43[[#This Row],[Close Date]]&gt;_05preva_view43[[#This Row],[Request Date]],_05preva_view43[[#This Row],[Close Date]]-_05preva_view43[[#This Row],[Request Date]],"Not  Calculated"))</f>
        <v>195.64752812500228</v>
      </c>
      <c r="BB456" s="135">
        <f>COUNTIFS(_05preva_view43[Site ID],_05preva_view43[[#This Row],[Site ID]],_05preva_view43[Prevalidation Status],"Under Prevalidation")</f>
        <v>0</v>
      </c>
      <c r="BC456" s="153" t="str">
        <f ca="1">HYPERLINK(CheckPath(_05preva_view43[[#This Row],[File Path]],_05preva_view43[[#This Row],[File Path]],_05preva_view43[[#This Row],[Folder Path3]]),CheckPath(_05preva_view43[[#This Row],[File Path]],"Open File","No File"))</f>
        <v>No File</v>
      </c>
      <c r="BD456" s="136" t="str">
        <f>CONCATENATE(_05preva_view43[[#This Row],[Site ID]]," (",_05preva_view43[[#This Row],[tenant id]],") Application",IF(_05preva_view43[[#This Row],[Colo Rev]]&gt;0," Rev "&amp;_05preva_view43[[#This Row],[Colo Rev]],""),".xlsx")</f>
        <v>ASTN_0035 (TAW6249) Application.xlsx</v>
      </c>
      <c r="BE456" s="64">
        <f t="shared" ca="1" si="8"/>
        <v>50</v>
      </c>
      <c r="BF456" s="104" t="str">
        <f ca="1">LEFT(CELL("filename",A441),_05preva_view43[[#This Row],[Find Process &amp; Database]]-1)</f>
        <v>D:\OneDrive - apollo-towers.com\Apollo Towers\00-</v>
      </c>
      <c r="BG456" s="104" t="str">
        <f ca="1">_05preva_view43[Folder Path1]&amp;"Process &amp; Database\Documentation\Colo Applications"</f>
        <v>D:\OneDrive - apollo-towers.com\Apollo Towers\00-Process &amp; Database\Documentation\Colo Applications</v>
      </c>
      <c r="BH456" s="104" t="str">
        <f ca="1">_05preva_view43[Folder Path2]&amp;"\Colo App "&amp;_05preva_view43[[#This Row],[Operator]]&amp;"\"</f>
        <v>D:\OneDrive - apollo-towers.com\Apollo Towers\00-Process &amp; Database\Documentation\Colo Applications\Colo App OML\</v>
      </c>
      <c r="BI456" s="63" t="str">
        <f ca="1">_05preva_view43[[#This Row],[Folder Path3]]&amp;_05preva_view43[[#This Row],[File Name]]</f>
        <v>D:\OneDrive - apollo-towers.com\Apollo Towers\00-Process &amp; Database\Documentation\Colo Applications\Colo App OML\ASTN_0035 (TAW6249) Application.xlsx</v>
      </c>
      <c r="BJ456" s="104"/>
      <c r="BK456" s="3"/>
      <c r="BL456" s="3"/>
      <c r="CJ456" s="5"/>
      <c r="CK456" s="5"/>
      <c r="CL456" s="3"/>
      <c r="CN456" s="5"/>
      <c r="CR456" s="3"/>
      <c r="CS456" s="3"/>
      <c r="CT456" s="5"/>
      <c r="CV456" s="3"/>
      <c r="DR456" s="5"/>
      <c r="DT456" s="3"/>
      <c r="EF456" s="7"/>
      <c r="EG456" s="7"/>
      <c r="EJ456" s="4"/>
      <c r="EK456" s="4"/>
      <c r="EU456" s="2"/>
      <c r="EV456" s="2"/>
    </row>
    <row r="457" spans="1:152">
      <c r="A457" s="125">
        <v>200</v>
      </c>
      <c r="B457" s="126" t="s">
        <v>679</v>
      </c>
      <c r="C457" s="126" t="s">
        <v>116</v>
      </c>
      <c r="D457" s="126" t="s">
        <v>163</v>
      </c>
      <c r="E457" s="126" t="s">
        <v>680</v>
      </c>
      <c r="F457" s="126" t="s">
        <v>40</v>
      </c>
      <c r="G457" s="126" t="s">
        <v>118</v>
      </c>
      <c r="H457" s="126"/>
      <c r="I457" s="126" t="s">
        <v>118</v>
      </c>
      <c r="J457" s="126"/>
      <c r="K457" s="127">
        <v>43236</v>
      </c>
      <c r="L457" s="128"/>
      <c r="M457" s="128">
        <v>3</v>
      </c>
      <c r="N457" s="126"/>
      <c r="O457" s="126" t="s">
        <v>119</v>
      </c>
      <c r="P457" s="129"/>
      <c r="Q457" s="129"/>
      <c r="R457" s="126" t="s">
        <v>24</v>
      </c>
      <c r="S457" s="126"/>
      <c r="T457" s="130" t="s">
        <v>120</v>
      </c>
      <c r="U457" s="126" t="s">
        <v>403</v>
      </c>
      <c r="V457" s="130" t="s">
        <v>120</v>
      </c>
      <c r="W457" s="126"/>
      <c r="X457" s="130" t="s">
        <v>120</v>
      </c>
      <c r="Y457" s="126" t="s">
        <v>404</v>
      </c>
      <c r="Z457" s="162" t="s">
        <v>120</v>
      </c>
      <c r="AA457" s="154"/>
      <c r="AB457" s="154"/>
      <c r="AC457" s="167" t="s">
        <v>123</v>
      </c>
      <c r="AD457" s="126" t="s">
        <v>419</v>
      </c>
      <c r="AE457" s="130" t="s">
        <v>125</v>
      </c>
      <c r="AF457" s="127"/>
      <c r="AG457" s="131"/>
      <c r="AH457" s="131"/>
      <c r="AI457" s="126" t="s">
        <v>681</v>
      </c>
      <c r="AJ457" s="130" t="s">
        <v>120</v>
      </c>
      <c r="AK457" s="126" t="s">
        <v>123</v>
      </c>
      <c r="AL457" s="126"/>
      <c r="AM457" s="130"/>
      <c r="AN457" s="126"/>
      <c r="AO457" s="132"/>
      <c r="AP457" s="126"/>
      <c r="AQ457" s="126"/>
      <c r="AR457" s="130"/>
      <c r="AS457" s="126"/>
      <c r="AT457" s="127"/>
      <c r="AU457" s="127"/>
      <c r="AV457" s="127"/>
      <c r="AW457" s="127"/>
      <c r="AX457" s="127"/>
      <c r="AY457" s="127"/>
      <c r="AZ457" s="133"/>
      <c r="BA45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7" s="135">
        <f>COUNTIFS(_05preva_view43[Site ID],_05preva_view43[[#This Row],[Site ID]],_05preva_view43[Prevalidation Status],"Under Prevalidation")</f>
        <v>0</v>
      </c>
      <c r="BC457" s="153" t="str">
        <f ca="1">HYPERLINK(CheckPath(_05preva_view43[[#This Row],[File Path]],_05preva_view43[[#This Row],[File Path]],_05preva_view43[[#This Row],[Folder Path3]]),CheckPath(_05preva_view43[[#This Row],[File Path]],"Open File","No File"))</f>
        <v>No File</v>
      </c>
      <c r="BD457" s="136" t="str">
        <f>CONCATENATE(_05preva_view43[[#This Row],[Site ID]]," (",_05preva_view43[[#This Row],[tenant id]],") Application",IF(_05preva_view43[[#This Row],[Colo Rev]]&gt;0," Rev "&amp;_05preva_view43[[#This Row],[Colo Rev]],""),".xlsx")</f>
        <v>ASMO_0295 (MOW6295) Application.xlsx</v>
      </c>
      <c r="BE457" s="64">
        <f t="shared" ca="1" si="8"/>
        <v>50</v>
      </c>
      <c r="BF457" s="104" t="str">
        <f ca="1">LEFT(CELL("filename",A442),_05preva_view43[[#This Row],[Find Process &amp; Database]]-1)</f>
        <v>D:\OneDrive - apollo-towers.com\Apollo Towers\00-</v>
      </c>
      <c r="BG457" s="104" t="str">
        <f ca="1">_05preva_view43[Folder Path1]&amp;"Process &amp; Database\Documentation\Colo Applications"</f>
        <v>D:\OneDrive - apollo-towers.com\Apollo Towers\00-Process &amp; Database\Documentation\Colo Applications</v>
      </c>
      <c r="BH457" s="104" t="str">
        <f ca="1">_05preva_view43[Folder Path2]&amp;"\Colo App "&amp;_05preva_view43[[#This Row],[Operator]]&amp;"\"</f>
        <v>D:\OneDrive - apollo-towers.com\Apollo Towers\00-Process &amp; Database\Documentation\Colo Applications\Colo App OML\</v>
      </c>
      <c r="BI457" s="63" t="str">
        <f ca="1">_05preva_view43[[#This Row],[Folder Path3]]&amp;_05preva_view43[[#This Row],[File Name]]</f>
        <v>D:\OneDrive - apollo-towers.com\Apollo Towers\00-Process &amp; Database\Documentation\Colo Applications\Colo App OML\ASMO_0295 (MOW6295) Application.xlsx</v>
      </c>
      <c r="BJ457" s="104"/>
      <c r="BK457" s="3"/>
      <c r="BL457" s="3"/>
      <c r="CJ457" s="5"/>
      <c r="CK457" s="5"/>
      <c r="CL457" s="3"/>
      <c r="CN457" s="5"/>
      <c r="CR457" s="3"/>
      <c r="CS457" s="3"/>
      <c r="CT457" s="5"/>
      <c r="CV457" s="3"/>
      <c r="DR457" s="5"/>
      <c r="DT457" s="3"/>
      <c r="EF457" s="7"/>
      <c r="EG457" s="7"/>
      <c r="EJ457" s="4"/>
      <c r="EK457" s="4"/>
      <c r="EU457" s="2"/>
      <c r="EV457" s="2"/>
    </row>
    <row r="458" spans="1:152">
      <c r="A458" s="125">
        <v>202</v>
      </c>
      <c r="B458" s="126" t="s">
        <v>682</v>
      </c>
      <c r="C458" s="126" t="s">
        <v>116</v>
      </c>
      <c r="D458" s="126" t="s">
        <v>117</v>
      </c>
      <c r="E458" s="126" t="s">
        <v>683</v>
      </c>
      <c r="F458" s="126" t="s">
        <v>40</v>
      </c>
      <c r="G458" s="126" t="s">
        <v>1579</v>
      </c>
      <c r="H458" s="126" t="s">
        <v>1575</v>
      </c>
      <c r="I458" s="126" t="s">
        <v>118</v>
      </c>
      <c r="J458" s="126"/>
      <c r="K458" s="127">
        <v>43236</v>
      </c>
      <c r="L458" s="128"/>
      <c r="M458" s="128">
        <v>3</v>
      </c>
      <c r="N458" s="126"/>
      <c r="O458" s="126" t="s">
        <v>119</v>
      </c>
      <c r="P458" s="129"/>
      <c r="Q458" s="129"/>
      <c r="R458" s="126" t="s">
        <v>24</v>
      </c>
      <c r="S458" s="126"/>
      <c r="T458" s="130" t="s">
        <v>120</v>
      </c>
      <c r="U458" s="126" t="s">
        <v>378</v>
      </c>
      <c r="V458" s="130" t="s">
        <v>120</v>
      </c>
      <c r="W458" s="126"/>
      <c r="X458" s="130" t="s">
        <v>120</v>
      </c>
      <c r="Y458" s="126" t="s">
        <v>120</v>
      </c>
      <c r="Z458" s="162" t="s">
        <v>120</v>
      </c>
      <c r="AA458" s="154"/>
      <c r="AB458" s="154"/>
      <c r="AC458" s="167"/>
      <c r="AD458" s="126" t="s">
        <v>120</v>
      </c>
      <c r="AE458" s="130" t="s">
        <v>120</v>
      </c>
      <c r="AF458" s="127" t="s">
        <v>241</v>
      </c>
      <c r="AG458" s="131"/>
      <c r="AH458" s="131">
        <v>3.5</v>
      </c>
      <c r="AI458" s="126" t="s">
        <v>684</v>
      </c>
      <c r="AJ458" s="130" t="s">
        <v>120</v>
      </c>
      <c r="AK458" s="126" t="s">
        <v>123</v>
      </c>
      <c r="AL458" s="126"/>
      <c r="AM458" s="130"/>
      <c r="AN458" s="126"/>
      <c r="AO458" s="132"/>
      <c r="AP458" s="126"/>
      <c r="AQ458" s="126"/>
      <c r="AR458" s="130"/>
      <c r="AS458" s="126"/>
      <c r="AT458" s="127"/>
      <c r="AU458" s="127">
        <v>43453.379059953702</v>
      </c>
      <c r="AV458" s="127"/>
      <c r="AW458" s="127"/>
      <c r="AX458" s="127"/>
      <c r="AY458" s="127"/>
      <c r="AZ458" s="133">
        <v>43236</v>
      </c>
      <c r="BA45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8" s="135">
        <f>COUNTIFS(_05preva_view43[Site ID],_05preva_view43[[#This Row],[Site ID]],_05preva_view43[Prevalidation Status],"Under Prevalidation")</f>
        <v>0</v>
      </c>
      <c r="BC458" s="153" t="str">
        <f ca="1">HYPERLINK(CheckPath(_05preva_view43[[#This Row],[File Path]],_05preva_view43[[#This Row],[File Path]],_05preva_view43[[#This Row],[Folder Path3]]),CheckPath(_05preva_view43[[#This Row],[File Path]],"Open File","No File"))</f>
        <v>No File</v>
      </c>
      <c r="BD458" s="136" t="str">
        <f>CONCATENATE(_05preva_view43[[#This Row],[Site ID]]," (",_05preva_view43[[#This Row],[tenant id]],") Application",IF(_05preva_view43[[#This Row],[Colo Rev]]&gt;0," Rev "&amp;_05preva_view43[[#This Row],[Colo Rev]],""),".xlsx")</f>
        <v>ACBA_0245 (BAW5555) Application.xlsx</v>
      </c>
      <c r="BE458" s="64">
        <f t="shared" ca="1" si="8"/>
        <v>50</v>
      </c>
      <c r="BF458" s="104" t="str">
        <f ca="1">LEFT(CELL("filename",A443),_05preva_view43[[#This Row],[Find Process &amp; Database]]-1)</f>
        <v>D:\OneDrive - apollo-towers.com\Apollo Towers\00-</v>
      </c>
      <c r="BG458" s="104" t="str">
        <f ca="1">_05preva_view43[Folder Path1]&amp;"Process &amp; Database\Documentation\Colo Applications"</f>
        <v>D:\OneDrive - apollo-towers.com\Apollo Towers\00-Process &amp; Database\Documentation\Colo Applications</v>
      </c>
      <c r="BH458" s="104" t="str">
        <f ca="1">_05preva_view43[Folder Path2]&amp;"\Colo App "&amp;_05preva_view43[[#This Row],[Operator]]&amp;"\"</f>
        <v>D:\OneDrive - apollo-towers.com\Apollo Towers\00-Process &amp; Database\Documentation\Colo Applications\Colo App OML\</v>
      </c>
      <c r="BI458" s="63" t="str">
        <f ca="1">_05preva_view43[[#This Row],[Folder Path3]]&amp;_05preva_view43[[#This Row],[File Name]]</f>
        <v>D:\OneDrive - apollo-towers.com\Apollo Towers\00-Process &amp; Database\Documentation\Colo Applications\Colo App OML\ACBA_0245 (BAW5555) Application.xlsx</v>
      </c>
      <c r="BJ458" s="104"/>
      <c r="BK458" s="3"/>
      <c r="BL458" s="3"/>
      <c r="CJ458" s="5"/>
      <c r="CK458" s="5"/>
      <c r="CL458" s="3"/>
      <c r="CN458" s="5"/>
      <c r="CR458" s="3"/>
      <c r="CS458" s="3"/>
      <c r="CT458" s="5"/>
      <c r="CV458" s="3"/>
      <c r="DR458" s="5"/>
      <c r="DT458" s="3"/>
      <c r="EF458" s="7"/>
      <c r="EG458" s="7"/>
      <c r="EJ458" s="4"/>
      <c r="EK458" s="4"/>
      <c r="EU458" s="2"/>
      <c r="EV458" s="2"/>
    </row>
    <row r="459" spans="1:152">
      <c r="A459" s="125">
        <v>204</v>
      </c>
      <c r="B459" s="126" t="s">
        <v>685</v>
      </c>
      <c r="C459" s="126" t="s">
        <v>116</v>
      </c>
      <c r="D459" s="126" t="s">
        <v>163</v>
      </c>
      <c r="E459" s="126" t="s">
        <v>686</v>
      </c>
      <c r="F459" s="126" t="s">
        <v>40</v>
      </c>
      <c r="G459" s="126" t="s">
        <v>118</v>
      </c>
      <c r="H459" s="126"/>
      <c r="I459" s="126" t="s">
        <v>118</v>
      </c>
      <c r="J459" s="126"/>
      <c r="K459" s="127">
        <v>43236</v>
      </c>
      <c r="L459" s="128"/>
      <c r="M459" s="128">
        <v>3</v>
      </c>
      <c r="N459" s="126"/>
      <c r="O459" s="126" t="s">
        <v>119</v>
      </c>
      <c r="P459" s="129"/>
      <c r="Q459" s="129"/>
      <c r="R459" s="126" t="s">
        <v>24</v>
      </c>
      <c r="S459" s="126"/>
      <c r="T459" s="130" t="s">
        <v>120</v>
      </c>
      <c r="U459" s="126" t="s">
        <v>378</v>
      </c>
      <c r="V459" s="130" t="s">
        <v>120</v>
      </c>
      <c r="W459" s="126"/>
      <c r="X459" s="130" t="s">
        <v>120</v>
      </c>
      <c r="Y459" s="126" t="s">
        <v>120</v>
      </c>
      <c r="Z459" s="162" t="s">
        <v>120</v>
      </c>
      <c r="AA459" s="154"/>
      <c r="AB459" s="154"/>
      <c r="AC459" s="167"/>
      <c r="AD459" s="126" t="s">
        <v>120</v>
      </c>
      <c r="AE459" s="130" t="s">
        <v>120</v>
      </c>
      <c r="AF459" s="127" t="s">
        <v>241</v>
      </c>
      <c r="AG459" s="131"/>
      <c r="AH459" s="131">
        <v>3.5</v>
      </c>
      <c r="AI459" s="126" t="s">
        <v>242</v>
      </c>
      <c r="AJ459" s="130" t="s">
        <v>120</v>
      </c>
      <c r="AK459" s="126" t="s">
        <v>123</v>
      </c>
      <c r="AL459" s="126"/>
      <c r="AM459" s="130"/>
      <c r="AN459" s="126"/>
      <c r="AO459" s="132"/>
      <c r="AP459" s="126"/>
      <c r="AQ459" s="126"/>
      <c r="AR459" s="130"/>
      <c r="AS459" s="126"/>
      <c r="AT459" s="127"/>
      <c r="AU459" s="127">
        <v>43453.379060879597</v>
      </c>
      <c r="AV459" s="127"/>
      <c r="AW459" s="127"/>
      <c r="AX459" s="127"/>
      <c r="AY459" s="127"/>
      <c r="AZ459" s="133">
        <v>43236</v>
      </c>
      <c r="BA45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9" s="135">
        <f>COUNTIFS(_05preva_view43[Site ID],_05preva_view43[[#This Row],[Site ID]],_05preva_view43[Prevalidation Status],"Under Prevalidation")</f>
        <v>0</v>
      </c>
      <c r="BC459" s="153" t="str">
        <f ca="1">HYPERLINK(CheckPath(_05preva_view43[[#This Row],[File Path]],_05preva_view43[[#This Row],[File Path]],_05preva_view43[[#This Row],[Folder Path3]]),CheckPath(_05preva_view43[[#This Row],[File Path]],"Open File","No File"))</f>
        <v>No File</v>
      </c>
      <c r="BD459" s="136" t="str">
        <f>CONCATENATE(_05preva_view43[[#This Row],[Site ID]]," (",_05preva_view43[[#This Row],[tenant id]],") Application",IF(_05preva_view43[[#This Row],[Colo Rev]]&gt;0," Rev "&amp;_05preva_view43[[#This Row],[Colo Rev]],""),".xlsx")</f>
        <v>ACAY_0171 (AYW5539) Application.xlsx</v>
      </c>
      <c r="BE459" s="64">
        <f t="shared" ca="1" si="8"/>
        <v>50</v>
      </c>
      <c r="BF459" s="104" t="str">
        <f ca="1">LEFT(CELL("filename",A444),_05preva_view43[[#This Row],[Find Process &amp; Database]]-1)</f>
        <v>D:\OneDrive - apollo-towers.com\Apollo Towers\00-</v>
      </c>
      <c r="BG459" s="104" t="str">
        <f ca="1">_05preva_view43[Folder Path1]&amp;"Process &amp; Database\Documentation\Colo Applications"</f>
        <v>D:\OneDrive - apollo-towers.com\Apollo Towers\00-Process &amp; Database\Documentation\Colo Applications</v>
      </c>
      <c r="BH459" s="104" t="str">
        <f ca="1">_05preva_view43[Folder Path2]&amp;"\Colo App "&amp;_05preva_view43[[#This Row],[Operator]]&amp;"\"</f>
        <v>D:\OneDrive - apollo-towers.com\Apollo Towers\00-Process &amp; Database\Documentation\Colo Applications\Colo App OML\</v>
      </c>
      <c r="BI459" s="63" t="str">
        <f ca="1">_05preva_view43[[#This Row],[Folder Path3]]&amp;_05preva_view43[[#This Row],[File Name]]</f>
        <v>D:\OneDrive - apollo-towers.com\Apollo Towers\00-Process &amp; Database\Documentation\Colo Applications\Colo App OML\ACAY_0171 (AYW5539) Application.xlsx</v>
      </c>
      <c r="BJ459" s="104"/>
      <c r="BK459" s="3"/>
      <c r="BL459" s="3"/>
      <c r="CJ459" s="5"/>
      <c r="CK459" s="5"/>
      <c r="CL459" s="3"/>
      <c r="CN459" s="5"/>
      <c r="CR459" s="3"/>
      <c r="CS459" s="3"/>
      <c r="CT459" s="5"/>
      <c r="CV459" s="3"/>
      <c r="DR459" s="5"/>
      <c r="DT459" s="3"/>
      <c r="EF459" s="7"/>
      <c r="EG459" s="7"/>
      <c r="EJ459" s="4"/>
      <c r="EK459" s="4"/>
      <c r="EU459" s="2"/>
      <c r="EV459" s="2"/>
    </row>
    <row r="460" spans="1:152">
      <c r="A460" s="125">
        <v>205</v>
      </c>
      <c r="B460" s="126" t="s">
        <v>687</v>
      </c>
      <c r="C460" s="126" t="s">
        <v>116</v>
      </c>
      <c r="D460" s="126" t="s">
        <v>117</v>
      </c>
      <c r="E460" s="126" t="s">
        <v>688</v>
      </c>
      <c r="F460" s="126" t="s">
        <v>40</v>
      </c>
      <c r="G460" s="126" t="s">
        <v>1579</v>
      </c>
      <c r="H460" s="126" t="s">
        <v>1580</v>
      </c>
      <c r="I460" s="126" t="s">
        <v>118</v>
      </c>
      <c r="J460" s="126"/>
      <c r="K460" s="127">
        <v>43236</v>
      </c>
      <c r="L460" s="128"/>
      <c r="M460" s="128">
        <v>3</v>
      </c>
      <c r="N460" s="126"/>
      <c r="O460" s="126" t="s">
        <v>119</v>
      </c>
      <c r="P460" s="129"/>
      <c r="Q460" s="129"/>
      <c r="R460" s="126" t="s">
        <v>24</v>
      </c>
      <c r="S460" s="126"/>
      <c r="T460" s="130" t="s">
        <v>120</v>
      </c>
      <c r="U460" s="126" t="s">
        <v>378</v>
      </c>
      <c r="V460" s="130" t="s">
        <v>120</v>
      </c>
      <c r="W460" s="126"/>
      <c r="X460" s="130" t="s">
        <v>120</v>
      </c>
      <c r="Y460" s="126" t="s">
        <v>120</v>
      </c>
      <c r="Z460" s="162" t="s">
        <v>120</v>
      </c>
      <c r="AA460" s="154"/>
      <c r="AB460" s="154"/>
      <c r="AC460" s="167"/>
      <c r="AD460" s="126" t="s">
        <v>120</v>
      </c>
      <c r="AE460" s="130" t="s">
        <v>120</v>
      </c>
      <c r="AF460" s="127" t="s">
        <v>241</v>
      </c>
      <c r="AG460" s="131"/>
      <c r="AH460" s="131">
        <v>3.5</v>
      </c>
      <c r="AI460" s="126" t="s">
        <v>387</v>
      </c>
      <c r="AJ460" s="130" t="s">
        <v>120</v>
      </c>
      <c r="AK460" s="126" t="s">
        <v>123</v>
      </c>
      <c r="AL460" s="126"/>
      <c r="AM460" s="130"/>
      <c r="AN460" s="126"/>
      <c r="AO460" s="132"/>
      <c r="AP460" s="126"/>
      <c r="AQ460" s="126"/>
      <c r="AR460" s="130"/>
      <c r="AS460" s="126"/>
      <c r="AT460" s="127"/>
      <c r="AU460" s="127">
        <v>43453.379061458298</v>
      </c>
      <c r="AV460" s="127"/>
      <c r="AW460" s="127"/>
      <c r="AX460" s="127"/>
      <c r="AY460" s="127"/>
      <c r="AZ460" s="133">
        <v>43236</v>
      </c>
      <c r="BA46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0" s="135">
        <f>COUNTIFS(_05preva_view43[Site ID],_05preva_view43[[#This Row],[Site ID]],_05preva_view43[Prevalidation Status],"Under Prevalidation")</f>
        <v>0</v>
      </c>
      <c r="BC460" s="153" t="str">
        <f ca="1">HYPERLINK(CheckPath(_05preva_view43[[#This Row],[File Path]],_05preva_view43[[#This Row],[File Path]],_05preva_view43[[#This Row],[Folder Path3]]),CheckPath(_05preva_view43[[#This Row],[File Path]],"Open File","No File"))</f>
        <v>No File</v>
      </c>
      <c r="BD460" s="136" t="str">
        <f>CONCATENATE(_05preva_view43[[#This Row],[Site ID]]," (",_05preva_view43[[#This Row],[tenant id]],") Application",IF(_05preva_view43[[#This Row],[Colo Rev]]&gt;0," Rev "&amp;_05preva_view43[[#This Row],[Colo Rev]],""),".xlsx")</f>
        <v>ANMG_0183 (MWW3494) Application.xlsx</v>
      </c>
      <c r="BE460" s="64">
        <f t="shared" ca="1" si="8"/>
        <v>50</v>
      </c>
      <c r="BF460" s="104" t="str">
        <f ca="1">LEFT(CELL("filename",A445),_05preva_view43[[#This Row],[Find Process &amp; Database]]-1)</f>
        <v>D:\OneDrive - apollo-towers.com\Apollo Towers\00-</v>
      </c>
      <c r="BG460" s="104" t="str">
        <f ca="1">_05preva_view43[Folder Path1]&amp;"Process &amp; Database\Documentation\Colo Applications"</f>
        <v>D:\OneDrive - apollo-towers.com\Apollo Towers\00-Process &amp; Database\Documentation\Colo Applications</v>
      </c>
      <c r="BH460" s="104" t="str">
        <f ca="1">_05preva_view43[Folder Path2]&amp;"\Colo App "&amp;_05preva_view43[[#This Row],[Operator]]&amp;"\"</f>
        <v>D:\OneDrive - apollo-towers.com\Apollo Towers\00-Process &amp; Database\Documentation\Colo Applications\Colo App OML\</v>
      </c>
      <c r="BI460" s="63" t="str">
        <f ca="1">_05preva_view43[[#This Row],[Folder Path3]]&amp;_05preva_view43[[#This Row],[File Name]]</f>
        <v>D:\OneDrive - apollo-towers.com\Apollo Towers\00-Process &amp; Database\Documentation\Colo Applications\Colo App OML\ANMG_0183 (MWW3494) Application.xlsx</v>
      </c>
      <c r="BJ460" s="104"/>
      <c r="BK460" s="3"/>
      <c r="BL460" s="3"/>
      <c r="CJ460" s="5"/>
      <c r="CK460" s="5"/>
      <c r="CL460" s="3"/>
      <c r="CN460" s="5"/>
      <c r="CR460" s="3"/>
      <c r="CS460" s="3"/>
      <c r="CT460" s="5"/>
      <c r="CV460" s="3"/>
      <c r="DR460" s="5"/>
      <c r="DT460" s="3"/>
      <c r="EF460" s="7"/>
      <c r="EG460" s="7"/>
      <c r="EJ460" s="4"/>
      <c r="EK460" s="4"/>
      <c r="EU460" s="2"/>
      <c r="EV460" s="2"/>
    </row>
    <row r="461" spans="1:152">
      <c r="A461" s="125">
        <v>207</v>
      </c>
      <c r="B461" s="126" t="s">
        <v>689</v>
      </c>
      <c r="C461" s="126" t="s">
        <v>116</v>
      </c>
      <c r="D461" s="126" t="s">
        <v>127</v>
      </c>
      <c r="E461" s="126" t="s">
        <v>690</v>
      </c>
      <c r="F461" s="126" t="s">
        <v>40</v>
      </c>
      <c r="G461" s="126" t="s">
        <v>1579</v>
      </c>
      <c r="H461" s="126" t="s">
        <v>1580</v>
      </c>
      <c r="I461" s="126" t="s">
        <v>118</v>
      </c>
      <c r="J461" s="126"/>
      <c r="K461" s="127">
        <v>43236</v>
      </c>
      <c r="L461" s="128"/>
      <c r="M461" s="128">
        <v>3</v>
      </c>
      <c r="N461" s="126"/>
      <c r="O461" s="126" t="s">
        <v>119</v>
      </c>
      <c r="P461" s="129"/>
      <c r="Q461" s="129"/>
      <c r="R461" s="126" t="s">
        <v>24</v>
      </c>
      <c r="S461" s="126"/>
      <c r="T461" s="130" t="s">
        <v>120</v>
      </c>
      <c r="U461" s="126" t="s">
        <v>378</v>
      </c>
      <c r="V461" s="130" t="s">
        <v>120</v>
      </c>
      <c r="W461" s="126"/>
      <c r="X461" s="130" t="s">
        <v>120</v>
      </c>
      <c r="Y461" s="126" t="s">
        <v>120</v>
      </c>
      <c r="Z461" s="162" t="s">
        <v>120</v>
      </c>
      <c r="AA461" s="154"/>
      <c r="AB461" s="154"/>
      <c r="AC461" s="167"/>
      <c r="AD461" s="126" t="s">
        <v>120</v>
      </c>
      <c r="AE461" s="130" t="s">
        <v>120</v>
      </c>
      <c r="AF461" s="127" t="s">
        <v>241</v>
      </c>
      <c r="AG461" s="131"/>
      <c r="AH461" s="131">
        <v>3.5</v>
      </c>
      <c r="AI461" s="126" t="s">
        <v>242</v>
      </c>
      <c r="AJ461" s="130" t="s">
        <v>120</v>
      </c>
      <c r="AK461" s="126" t="s">
        <v>123</v>
      </c>
      <c r="AL461" s="126"/>
      <c r="AM461" s="130"/>
      <c r="AN461" s="126"/>
      <c r="AO461" s="132"/>
      <c r="AP461" s="126"/>
      <c r="AQ461" s="126"/>
      <c r="AR461" s="130"/>
      <c r="AS461" s="126"/>
      <c r="AT461" s="127"/>
      <c r="AU461" s="127">
        <v>43453.379062268497</v>
      </c>
      <c r="AV461" s="127"/>
      <c r="AW461" s="127"/>
      <c r="AX461" s="127"/>
      <c r="AY461" s="127"/>
      <c r="AZ461" s="133">
        <v>43236</v>
      </c>
      <c r="BA46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1" s="135">
        <f>COUNTIFS(_05preva_view43[Site ID],_05preva_view43[[#This Row],[Site ID]],_05preva_view43[Prevalidation Status],"Under Prevalidation")</f>
        <v>0</v>
      </c>
      <c r="BC461" s="153" t="str">
        <f ca="1">HYPERLINK(CheckPath(_05preva_view43[[#This Row],[File Path]],_05preva_view43[[#This Row],[File Path]],_05preva_view43[[#This Row],[Folder Path3]]),CheckPath(_05preva_view43[[#This Row],[File Path]],"Open File","No File"))</f>
        <v>No File</v>
      </c>
      <c r="BD461" s="136" t="str">
        <f>CONCATENATE(_05preva_view43[[#This Row],[Site ID]]," (",_05preva_view43[[#This Row],[tenant id]],") Application",IF(_05preva_view43[[#This Row],[Colo Rev]]&gt;0," Rev "&amp;_05preva_view43[[#This Row],[Colo Rev]],""),".xlsx")</f>
        <v>ANSG_0464 (SAW0732) Application.xlsx</v>
      </c>
      <c r="BE461" s="64">
        <f t="shared" ca="1" si="8"/>
        <v>50</v>
      </c>
      <c r="BF461" s="104" t="str">
        <f ca="1">LEFT(CELL("filename",A446),_05preva_view43[[#This Row],[Find Process &amp; Database]]-1)</f>
        <v>D:\OneDrive - apollo-towers.com\Apollo Towers\00-</v>
      </c>
      <c r="BG461" s="104" t="str">
        <f ca="1">_05preva_view43[Folder Path1]&amp;"Process &amp; Database\Documentation\Colo Applications"</f>
        <v>D:\OneDrive - apollo-towers.com\Apollo Towers\00-Process &amp; Database\Documentation\Colo Applications</v>
      </c>
      <c r="BH461" s="104" t="str">
        <f ca="1">_05preva_view43[Folder Path2]&amp;"\Colo App "&amp;_05preva_view43[[#This Row],[Operator]]&amp;"\"</f>
        <v>D:\OneDrive - apollo-towers.com\Apollo Towers\00-Process &amp; Database\Documentation\Colo Applications\Colo App OML\</v>
      </c>
      <c r="BI461" s="63" t="str">
        <f ca="1">_05preva_view43[[#This Row],[Folder Path3]]&amp;_05preva_view43[[#This Row],[File Name]]</f>
        <v>D:\OneDrive - apollo-towers.com\Apollo Towers\00-Process &amp; Database\Documentation\Colo Applications\Colo App OML\ANSG_0464 (SAW0732) Application.xlsx</v>
      </c>
      <c r="BJ461" s="104"/>
      <c r="BK461" s="3"/>
      <c r="BL461" s="3"/>
      <c r="CJ461" s="5"/>
      <c r="CK461" s="5"/>
      <c r="CL461" s="3"/>
      <c r="CN461" s="5"/>
      <c r="CR461" s="3"/>
      <c r="CS461" s="3"/>
      <c r="CT461" s="5"/>
      <c r="CV461" s="3"/>
      <c r="DR461" s="5"/>
      <c r="DT461" s="3"/>
      <c r="EF461" s="7"/>
      <c r="EG461" s="7"/>
      <c r="EJ461" s="4"/>
      <c r="EK461" s="4"/>
      <c r="EU461" s="2"/>
      <c r="EV461" s="2"/>
    </row>
    <row r="462" spans="1:152">
      <c r="A462" s="125">
        <v>210</v>
      </c>
      <c r="B462" s="126" t="s">
        <v>691</v>
      </c>
      <c r="C462" s="126" t="s">
        <v>116</v>
      </c>
      <c r="D462" s="126" t="s">
        <v>163</v>
      </c>
      <c r="E462" s="126" t="s">
        <v>692</v>
      </c>
      <c r="F462" s="126" t="s">
        <v>40</v>
      </c>
      <c r="G462" s="126" t="s">
        <v>1579</v>
      </c>
      <c r="H462" s="126" t="s">
        <v>1575</v>
      </c>
      <c r="I462" s="126" t="s">
        <v>118</v>
      </c>
      <c r="J462" s="126"/>
      <c r="K462" s="127">
        <v>43236</v>
      </c>
      <c r="L462" s="128"/>
      <c r="M462" s="128">
        <v>3</v>
      </c>
      <c r="N462" s="126"/>
      <c r="O462" s="126" t="s">
        <v>119</v>
      </c>
      <c r="P462" s="129"/>
      <c r="Q462" s="129"/>
      <c r="R462" s="126" t="s">
        <v>24</v>
      </c>
      <c r="S462" s="126"/>
      <c r="T462" s="130" t="s">
        <v>120</v>
      </c>
      <c r="U462" s="126" t="s">
        <v>378</v>
      </c>
      <c r="V462" s="130" t="s">
        <v>120</v>
      </c>
      <c r="W462" s="126"/>
      <c r="X462" s="130" t="s">
        <v>120</v>
      </c>
      <c r="Y462" s="126" t="s">
        <v>120</v>
      </c>
      <c r="Z462" s="162" t="s">
        <v>120</v>
      </c>
      <c r="AA462" s="154"/>
      <c r="AB462" s="154"/>
      <c r="AC462" s="167"/>
      <c r="AD462" s="126" t="s">
        <v>120</v>
      </c>
      <c r="AE462" s="130" t="s">
        <v>120</v>
      </c>
      <c r="AF462" s="127" t="s">
        <v>241</v>
      </c>
      <c r="AG462" s="131"/>
      <c r="AH462" s="131">
        <v>3.5</v>
      </c>
      <c r="AI462" s="126" t="s">
        <v>533</v>
      </c>
      <c r="AJ462" s="130" t="s">
        <v>120</v>
      </c>
      <c r="AK462" s="126" t="s">
        <v>123</v>
      </c>
      <c r="AL462" s="126"/>
      <c r="AM462" s="130"/>
      <c r="AN462" s="126"/>
      <c r="AO462" s="132"/>
      <c r="AP462" s="126"/>
      <c r="AQ462" s="126"/>
      <c r="AR462" s="130"/>
      <c r="AS462" s="126"/>
      <c r="AT462" s="127"/>
      <c r="AU462" s="127">
        <v>43453.379063078697</v>
      </c>
      <c r="AV462" s="127"/>
      <c r="AW462" s="127"/>
      <c r="AX462" s="127"/>
      <c r="AY462" s="127"/>
      <c r="AZ462" s="133">
        <v>43236</v>
      </c>
      <c r="BA46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2" s="135">
        <f>COUNTIFS(_05preva_view43[Site ID],_05preva_view43[[#This Row],[Site ID]],_05preva_view43[Prevalidation Status],"Under Prevalidation")</f>
        <v>0</v>
      </c>
      <c r="BC462" s="153" t="str">
        <f ca="1">HYPERLINK(CheckPath(_05preva_view43[[#This Row],[File Path]],_05preva_view43[[#This Row],[File Path]],_05preva_view43[[#This Row],[Folder Path3]]),CheckPath(_05preva_view43[[#This Row],[File Path]],"Open File","No File"))</f>
        <v>No File</v>
      </c>
      <c r="BD462" s="136" t="str">
        <f>CONCATENATE(_05preva_view43[[#This Row],[Site ID]]," (",_05preva_view43[[#This Row],[tenant id]],") Application",IF(_05preva_view43[[#This Row],[Colo Rev]]&gt;0," Rev "&amp;_05preva_view43[[#This Row],[Colo Rev]],""),".xlsx")</f>
        <v>AYYN_0599 (YAW7859) Application.xlsx</v>
      </c>
      <c r="BE462" s="64">
        <f t="shared" ca="1" si="8"/>
        <v>50</v>
      </c>
      <c r="BF462" s="104" t="str">
        <f ca="1">LEFT(CELL("filename",A447),_05preva_view43[[#This Row],[Find Process &amp; Database]]-1)</f>
        <v>D:\OneDrive - apollo-towers.com\Apollo Towers\00-</v>
      </c>
      <c r="BG462" s="104" t="str">
        <f ca="1">_05preva_view43[Folder Path1]&amp;"Process &amp; Database\Documentation\Colo Applications"</f>
        <v>D:\OneDrive - apollo-towers.com\Apollo Towers\00-Process &amp; Database\Documentation\Colo Applications</v>
      </c>
      <c r="BH462" s="104" t="str">
        <f ca="1">_05preva_view43[Folder Path2]&amp;"\Colo App "&amp;_05preva_view43[[#This Row],[Operator]]&amp;"\"</f>
        <v>D:\OneDrive - apollo-towers.com\Apollo Towers\00-Process &amp; Database\Documentation\Colo Applications\Colo App OML\</v>
      </c>
      <c r="BI462" s="63" t="str">
        <f ca="1">_05preva_view43[[#This Row],[Folder Path3]]&amp;_05preva_view43[[#This Row],[File Name]]</f>
        <v>D:\OneDrive - apollo-towers.com\Apollo Towers\00-Process &amp; Database\Documentation\Colo Applications\Colo App OML\AYYN_0599 (YAW7859) Application.xlsx</v>
      </c>
      <c r="BJ462" s="104"/>
      <c r="BK462" s="3"/>
      <c r="BL462" s="3"/>
      <c r="CJ462" s="5"/>
      <c r="CK462" s="5"/>
      <c r="CL462" s="3"/>
      <c r="CN462" s="5"/>
      <c r="CR462" s="3"/>
      <c r="CS462" s="3"/>
      <c r="CT462" s="5"/>
      <c r="CV462" s="3"/>
      <c r="DR462" s="5"/>
      <c r="DT462" s="3"/>
      <c r="EF462" s="7"/>
      <c r="EG462" s="7"/>
      <c r="EJ462" s="4"/>
      <c r="EK462" s="4"/>
      <c r="EU462" s="2"/>
      <c r="EV462" s="2"/>
    </row>
    <row r="463" spans="1:152">
      <c r="A463" s="125">
        <v>212</v>
      </c>
      <c r="B463" s="126" t="s">
        <v>693</v>
      </c>
      <c r="C463" s="126" t="s">
        <v>116</v>
      </c>
      <c r="D463" s="126" t="s">
        <v>163</v>
      </c>
      <c r="E463" s="126" t="s">
        <v>694</v>
      </c>
      <c r="F463" s="126" t="s">
        <v>40</v>
      </c>
      <c r="G463" s="126" t="s">
        <v>118</v>
      </c>
      <c r="H463" s="126"/>
      <c r="I463" s="126" t="s">
        <v>118</v>
      </c>
      <c r="J463" s="126"/>
      <c r="K463" s="127">
        <v>43236</v>
      </c>
      <c r="L463" s="128"/>
      <c r="M463" s="128">
        <v>3</v>
      </c>
      <c r="N463" s="126"/>
      <c r="O463" s="126" t="s">
        <v>119</v>
      </c>
      <c r="P463" s="129"/>
      <c r="Q463" s="129"/>
      <c r="R463" s="126" t="s">
        <v>24</v>
      </c>
      <c r="S463" s="126"/>
      <c r="T463" s="130" t="s">
        <v>120</v>
      </c>
      <c r="U463" s="126" t="s">
        <v>378</v>
      </c>
      <c r="V463" s="130" t="s">
        <v>120</v>
      </c>
      <c r="W463" s="126"/>
      <c r="X463" s="130" t="s">
        <v>120</v>
      </c>
      <c r="Y463" s="126" t="s">
        <v>120</v>
      </c>
      <c r="Z463" s="162" t="s">
        <v>120</v>
      </c>
      <c r="AA463" s="154"/>
      <c r="AB463" s="154"/>
      <c r="AC463" s="167"/>
      <c r="AD463" s="126" t="s">
        <v>419</v>
      </c>
      <c r="AE463" s="130" t="s">
        <v>120</v>
      </c>
      <c r="AF463" s="127" t="s">
        <v>120</v>
      </c>
      <c r="AG463" s="131"/>
      <c r="AH463" s="131">
        <v>2</v>
      </c>
      <c r="AI463" s="126" t="s">
        <v>695</v>
      </c>
      <c r="AJ463" s="130" t="s">
        <v>120</v>
      </c>
      <c r="AK463" s="126" t="s">
        <v>123</v>
      </c>
      <c r="AL463" s="126"/>
      <c r="AM463" s="130"/>
      <c r="AN463" s="126"/>
      <c r="AO463" s="132"/>
      <c r="AP463" s="126"/>
      <c r="AQ463" s="126"/>
      <c r="AR463" s="130"/>
      <c r="AS463" s="126"/>
      <c r="AT463" s="127"/>
      <c r="AU463" s="127">
        <v>43453.379064930603</v>
      </c>
      <c r="AV463" s="127"/>
      <c r="AW463" s="127"/>
      <c r="AX463" s="127"/>
      <c r="AY463" s="127"/>
      <c r="AZ463" s="133">
        <v>43236</v>
      </c>
      <c r="BA46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3" s="135">
        <f>COUNTIFS(_05preva_view43[Site ID],_05preva_view43[[#This Row],[Site ID]],_05preva_view43[Prevalidation Status],"Under Prevalidation")</f>
        <v>0</v>
      </c>
      <c r="BC463" s="153" t="str">
        <f ca="1">HYPERLINK(CheckPath(_05preva_view43[[#This Row],[File Path]],_05preva_view43[[#This Row],[File Path]],_05preva_view43[[#This Row],[Folder Path3]]),CheckPath(_05preva_view43[[#This Row],[File Path]],"Open File","No File"))</f>
        <v>No File</v>
      </c>
      <c r="BD463" s="136" t="str">
        <f>CONCATENATE(_05preva_view43[[#This Row],[Site ID]]," (",_05preva_view43[[#This Row],[tenant id]],") Application",IF(_05preva_view43[[#This Row],[Colo Rev]]&gt;0," Rev "&amp;_05preva_view43[[#This Row],[Colo Rev]],""),".xlsx")</f>
        <v>AYYN_0223 (YAW7853) Application.xlsx</v>
      </c>
      <c r="BE463" s="64">
        <f t="shared" ca="1" si="8"/>
        <v>50</v>
      </c>
      <c r="BF463" s="104" t="str">
        <f ca="1">LEFT(CELL("filename",A448),_05preva_view43[[#This Row],[Find Process &amp; Database]]-1)</f>
        <v>D:\OneDrive - apollo-towers.com\Apollo Towers\00-</v>
      </c>
      <c r="BG463" s="104" t="str">
        <f ca="1">_05preva_view43[Folder Path1]&amp;"Process &amp; Database\Documentation\Colo Applications"</f>
        <v>D:\OneDrive - apollo-towers.com\Apollo Towers\00-Process &amp; Database\Documentation\Colo Applications</v>
      </c>
      <c r="BH463" s="104" t="str">
        <f ca="1">_05preva_view43[Folder Path2]&amp;"\Colo App "&amp;_05preva_view43[[#This Row],[Operator]]&amp;"\"</f>
        <v>D:\OneDrive - apollo-towers.com\Apollo Towers\00-Process &amp; Database\Documentation\Colo Applications\Colo App OML\</v>
      </c>
      <c r="BI463" s="63" t="str">
        <f ca="1">_05preva_view43[[#This Row],[Folder Path3]]&amp;_05preva_view43[[#This Row],[File Name]]</f>
        <v>D:\OneDrive - apollo-towers.com\Apollo Towers\00-Process &amp; Database\Documentation\Colo Applications\Colo App OML\AYYN_0223 (YAW7853) Application.xlsx</v>
      </c>
      <c r="BJ463" s="104"/>
      <c r="BK463" s="3"/>
      <c r="BL463" s="3"/>
      <c r="CJ463" s="5"/>
      <c r="CK463" s="5"/>
      <c r="CL463" s="3"/>
      <c r="CN463" s="5"/>
      <c r="CR463" s="3"/>
      <c r="CS463" s="3"/>
      <c r="CT463" s="5"/>
      <c r="CV463" s="3"/>
      <c r="DR463" s="5"/>
      <c r="DT463" s="3"/>
      <c r="EF463" s="7"/>
      <c r="EG463" s="7"/>
      <c r="EJ463" s="4"/>
      <c r="EK463" s="4"/>
      <c r="EU463" s="2"/>
      <c r="EV463" s="2"/>
    </row>
    <row r="464" spans="1:152">
      <c r="A464" s="125">
        <v>213</v>
      </c>
      <c r="B464" s="126" t="s">
        <v>696</v>
      </c>
      <c r="C464" s="126" t="s">
        <v>116</v>
      </c>
      <c r="D464" s="126" t="s">
        <v>163</v>
      </c>
      <c r="E464" s="126" t="s">
        <v>697</v>
      </c>
      <c r="F464" s="126" t="s">
        <v>40</v>
      </c>
      <c r="G464" s="126" t="s">
        <v>1579</v>
      </c>
      <c r="H464" s="126" t="s">
        <v>1575</v>
      </c>
      <c r="I464" s="126" t="s">
        <v>118</v>
      </c>
      <c r="J464" s="126"/>
      <c r="K464" s="127">
        <v>43236</v>
      </c>
      <c r="L464" s="128"/>
      <c r="M464" s="128">
        <v>3</v>
      </c>
      <c r="N464" s="126"/>
      <c r="O464" s="126" t="s">
        <v>119</v>
      </c>
      <c r="P464" s="129"/>
      <c r="Q464" s="129"/>
      <c r="R464" s="126" t="s">
        <v>24</v>
      </c>
      <c r="S464" s="126"/>
      <c r="T464" s="130" t="s">
        <v>120</v>
      </c>
      <c r="U464" s="126" t="s">
        <v>378</v>
      </c>
      <c r="V464" s="130" t="s">
        <v>120</v>
      </c>
      <c r="W464" s="126"/>
      <c r="X464" s="130" t="s">
        <v>120</v>
      </c>
      <c r="Y464" s="126" t="s">
        <v>120</v>
      </c>
      <c r="Z464" s="162" t="s">
        <v>120</v>
      </c>
      <c r="AA464" s="154"/>
      <c r="AB464" s="154"/>
      <c r="AC464" s="167"/>
      <c r="AD464" s="126" t="s">
        <v>120</v>
      </c>
      <c r="AE464" s="130" t="s">
        <v>120</v>
      </c>
      <c r="AF464" s="127" t="s">
        <v>241</v>
      </c>
      <c r="AG464" s="131"/>
      <c r="AH464" s="131">
        <v>3.5</v>
      </c>
      <c r="AI464" s="126" t="s">
        <v>387</v>
      </c>
      <c r="AJ464" s="130" t="s">
        <v>120</v>
      </c>
      <c r="AK464" s="126" t="s">
        <v>123</v>
      </c>
      <c r="AL464" s="126"/>
      <c r="AM464" s="130"/>
      <c r="AN464" s="126"/>
      <c r="AO464" s="132"/>
      <c r="AP464" s="126"/>
      <c r="AQ464" s="126"/>
      <c r="AR464" s="130"/>
      <c r="AS464" s="126"/>
      <c r="AT464" s="127"/>
      <c r="AU464" s="127">
        <v>43453.379065740701</v>
      </c>
      <c r="AV464" s="127"/>
      <c r="AW464" s="127"/>
      <c r="AX464" s="127"/>
      <c r="AY464" s="127"/>
      <c r="AZ464" s="133">
        <v>43236</v>
      </c>
      <c r="BA46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4" s="135">
        <f>COUNTIFS(_05preva_view43[Site ID],_05preva_view43[[#This Row],[Site ID]],_05preva_view43[Prevalidation Status],"Under Prevalidation")</f>
        <v>0</v>
      </c>
      <c r="BC464" s="153" t="str">
        <f ca="1">HYPERLINK(CheckPath(_05preva_view43[[#This Row],[File Path]],_05preva_view43[[#This Row],[File Path]],_05preva_view43[[#This Row],[Folder Path3]]),CheckPath(_05preva_view43[[#This Row],[File Path]],"Open File","No File"))</f>
        <v>No File</v>
      </c>
      <c r="BD464" s="136" t="str">
        <f>CONCATENATE(_05preva_view43[[#This Row],[Site ID]]," (",_05preva_view43[[#This Row],[tenant id]],") Application",IF(_05preva_view43[[#This Row],[Colo Rev]]&gt;0," Rev "&amp;_05preva_view43[[#This Row],[Colo Rev]],""),".xlsx")</f>
        <v>AYYN_0206 (YAW7848) Application.xlsx</v>
      </c>
      <c r="BE464" s="64">
        <f t="shared" ref="BE464:BE525" ca="1" si="9">FIND("Process &amp; Database\",CELL("filename",$A$1))</f>
        <v>50</v>
      </c>
      <c r="BF464" s="104" t="str">
        <f ca="1">LEFT(CELL("filename",A449),_05preva_view43[[#This Row],[Find Process &amp; Database]]-1)</f>
        <v>D:\OneDrive - apollo-towers.com\Apollo Towers\00-</v>
      </c>
      <c r="BG464" s="104" t="str">
        <f ca="1">_05preva_view43[Folder Path1]&amp;"Process &amp; Database\Documentation\Colo Applications"</f>
        <v>D:\OneDrive - apollo-towers.com\Apollo Towers\00-Process &amp; Database\Documentation\Colo Applications</v>
      </c>
      <c r="BH464" s="104" t="str">
        <f ca="1">_05preva_view43[Folder Path2]&amp;"\Colo App "&amp;_05preva_view43[[#This Row],[Operator]]&amp;"\"</f>
        <v>D:\OneDrive - apollo-towers.com\Apollo Towers\00-Process &amp; Database\Documentation\Colo Applications\Colo App OML\</v>
      </c>
      <c r="BI464" s="63" t="str">
        <f ca="1">_05preva_view43[[#This Row],[Folder Path3]]&amp;_05preva_view43[[#This Row],[File Name]]</f>
        <v>D:\OneDrive - apollo-towers.com\Apollo Towers\00-Process &amp; Database\Documentation\Colo Applications\Colo App OML\AYYN_0206 (YAW7848) Application.xlsx</v>
      </c>
      <c r="BJ464" s="104"/>
      <c r="BK464" s="3"/>
      <c r="BL464" s="3"/>
      <c r="CJ464" s="5"/>
      <c r="CK464" s="5"/>
      <c r="CL464" s="3"/>
      <c r="CN464" s="5"/>
      <c r="CR464" s="3"/>
      <c r="CS464" s="3"/>
      <c r="CT464" s="5"/>
      <c r="CV464" s="3"/>
      <c r="DR464" s="5"/>
      <c r="DT464" s="3"/>
      <c r="EF464" s="7"/>
      <c r="EG464" s="7"/>
      <c r="EJ464" s="4"/>
      <c r="EK464" s="4"/>
      <c r="EU464" s="2"/>
      <c r="EV464" s="2"/>
    </row>
    <row r="465" spans="1:152">
      <c r="A465" s="125">
        <v>215</v>
      </c>
      <c r="B465" s="126" t="s">
        <v>698</v>
      </c>
      <c r="C465" s="126" t="s">
        <v>116</v>
      </c>
      <c r="D465" s="126" t="s">
        <v>163</v>
      </c>
      <c r="E465" s="126" t="s">
        <v>699</v>
      </c>
      <c r="F465" s="126" t="s">
        <v>40</v>
      </c>
      <c r="G465" s="126" t="s">
        <v>1579</v>
      </c>
      <c r="H465" s="126" t="s">
        <v>1580</v>
      </c>
      <c r="I465" s="126" t="s">
        <v>118</v>
      </c>
      <c r="J465" s="126"/>
      <c r="K465" s="127">
        <v>43236</v>
      </c>
      <c r="L465" s="128"/>
      <c r="M465" s="128">
        <v>3</v>
      </c>
      <c r="N465" s="126"/>
      <c r="O465" s="126" t="s">
        <v>119</v>
      </c>
      <c r="P465" s="129"/>
      <c r="Q465" s="129"/>
      <c r="R465" s="126" t="s">
        <v>24</v>
      </c>
      <c r="S465" s="126"/>
      <c r="T465" s="130" t="s">
        <v>120</v>
      </c>
      <c r="U465" s="126" t="s">
        <v>378</v>
      </c>
      <c r="V465" s="130" t="s">
        <v>120</v>
      </c>
      <c r="W465" s="126"/>
      <c r="X465" s="130" t="s">
        <v>120</v>
      </c>
      <c r="Y465" s="126" t="s">
        <v>120</v>
      </c>
      <c r="Z465" s="162" t="s">
        <v>120</v>
      </c>
      <c r="AA465" s="154"/>
      <c r="AB465" s="154"/>
      <c r="AC465" s="167"/>
      <c r="AD465" s="126" t="s">
        <v>120</v>
      </c>
      <c r="AE465" s="130" t="s">
        <v>120</v>
      </c>
      <c r="AF465" s="127" t="s">
        <v>467</v>
      </c>
      <c r="AG465" s="131"/>
      <c r="AH465" s="131">
        <v>3.5</v>
      </c>
      <c r="AI465" s="126" t="s">
        <v>245</v>
      </c>
      <c r="AJ465" s="130" t="s">
        <v>120</v>
      </c>
      <c r="AK465" s="126" t="s">
        <v>123</v>
      </c>
      <c r="AL465" s="126"/>
      <c r="AM465" s="130"/>
      <c r="AN465" s="126"/>
      <c r="AO465" s="132"/>
      <c r="AP465" s="126"/>
      <c r="AQ465" s="126"/>
      <c r="AR465" s="130"/>
      <c r="AS465" s="126"/>
      <c r="AT465" s="127"/>
      <c r="AU465" s="127">
        <v>43453.3790665509</v>
      </c>
      <c r="AV465" s="127"/>
      <c r="AW465" s="127"/>
      <c r="AX465" s="127"/>
      <c r="AY465" s="127"/>
      <c r="AZ465" s="133">
        <v>43236</v>
      </c>
      <c r="BA46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5" s="135">
        <f>COUNTIFS(_05preva_view43[Site ID],_05preva_view43[[#This Row],[Site ID]],_05preva_view43[Prevalidation Status],"Under Prevalidation")</f>
        <v>0</v>
      </c>
      <c r="BC465" s="153" t="str">
        <f ca="1">HYPERLINK(CheckPath(_05preva_view43[[#This Row],[File Path]],_05preva_view43[[#This Row],[File Path]],_05preva_view43[[#This Row],[Folder Path3]]),CheckPath(_05preva_view43[[#This Row],[File Path]],"Open File","No File"))</f>
        <v>No File</v>
      </c>
      <c r="BD465" s="136" t="str">
        <f>CONCATENATE(_05preva_view43[[#This Row],[Site ID]]," (",_05preva_view43[[#This Row],[tenant id]],") Application",IF(_05preva_view43[[#This Row],[Colo Rev]]&gt;0," Rev "&amp;_05preva_view43[[#This Row],[Colo Rev]],""),".xlsx")</f>
        <v>AYYN_0144 (YAW7846) Application.xlsx</v>
      </c>
      <c r="BE465" s="64">
        <f t="shared" ca="1" si="9"/>
        <v>50</v>
      </c>
      <c r="BF465" s="104" t="str">
        <f ca="1">LEFT(CELL("filename",A450),_05preva_view43[[#This Row],[Find Process &amp; Database]]-1)</f>
        <v>D:\OneDrive - apollo-towers.com\Apollo Towers\00-</v>
      </c>
      <c r="BG465" s="104" t="str">
        <f ca="1">_05preva_view43[Folder Path1]&amp;"Process &amp; Database\Documentation\Colo Applications"</f>
        <v>D:\OneDrive - apollo-towers.com\Apollo Towers\00-Process &amp; Database\Documentation\Colo Applications</v>
      </c>
      <c r="BH465" s="104" t="str">
        <f ca="1">_05preva_view43[Folder Path2]&amp;"\Colo App "&amp;_05preva_view43[[#This Row],[Operator]]&amp;"\"</f>
        <v>D:\OneDrive - apollo-towers.com\Apollo Towers\00-Process &amp; Database\Documentation\Colo Applications\Colo App OML\</v>
      </c>
      <c r="BI465" s="63" t="str">
        <f ca="1">_05preva_view43[[#This Row],[Folder Path3]]&amp;_05preva_view43[[#This Row],[File Name]]</f>
        <v>D:\OneDrive - apollo-towers.com\Apollo Towers\00-Process &amp; Database\Documentation\Colo Applications\Colo App OML\AYYN_0144 (YAW7846) Application.xlsx</v>
      </c>
      <c r="BJ465" s="104"/>
      <c r="BK465" s="3"/>
      <c r="BL465" s="3"/>
      <c r="CJ465" s="5"/>
      <c r="CK465" s="5"/>
      <c r="CL465" s="3"/>
      <c r="CN465" s="5"/>
      <c r="CR465" s="3"/>
      <c r="CS465" s="3"/>
      <c r="CT465" s="5"/>
      <c r="CV465" s="3"/>
      <c r="DR465" s="5"/>
      <c r="DT465" s="3"/>
      <c r="EF465" s="7"/>
      <c r="EG465" s="7"/>
      <c r="EJ465" s="4"/>
      <c r="EK465" s="4"/>
      <c r="EU465" s="2"/>
      <c r="EV465" s="2"/>
    </row>
    <row r="466" spans="1:152">
      <c r="A466" s="125">
        <v>216</v>
      </c>
      <c r="B466" s="126" t="s">
        <v>700</v>
      </c>
      <c r="C466" s="126" t="s">
        <v>116</v>
      </c>
      <c r="D466" s="126" t="s">
        <v>163</v>
      </c>
      <c r="E466" s="126" t="s">
        <v>701</v>
      </c>
      <c r="F466" s="126" t="s">
        <v>40</v>
      </c>
      <c r="G466" s="126" t="s">
        <v>1579</v>
      </c>
      <c r="H466" s="126" t="s">
        <v>1580</v>
      </c>
      <c r="I466" s="126" t="s">
        <v>118</v>
      </c>
      <c r="J466" s="126"/>
      <c r="K466" s="127">
        <v>43236</v>
      </c>
      <c r="L466" s="128"/>
      <c r="M466" s="128">
        <v>3</v>
      </c>
      <c r="N466" s="126"/>
      <c r="O466" s="126" t="s">
        <v>119</v>
      </c>
      <c r="P466" s="129"/>
      <c r="Q466" s="129"/>
      <c r="R466" s="126" t="s">
        <v>24</v>
      </c>
      <c r="S466" s="126"/>
      <c r="T466" s="130" t="s">
        <v>120</v>
      </c>
      <c r="U466" s="126" t="s">
        <v>378</v>
      </c>
      <c r="V466" s="130" t="s">
        <v>120</v>
      </c>
      <c r="W466" s="126"/>
      <c r="X466" s="130" t="s">
        <v>120</v>
      </c>
      <c r="Y466" s="126" t="s">
        <v>120</v>
      </c>
      <c r="Z466" s="162" t="s">
        <v>120</v>
      </c>
      <c r="AA466" s="154"/>
      <c r="AB466" s="154"/>
      <c r="AC466" s="167" t="s">
        <v>454</v>
      </c>
      <c r="AD466" s="126"/>
      <c r="AE466" s="130" t="s">
        <v>125</v>
      </c>
      <c r="AF466" s="127"/>
      <c r="AG466" s="131"/>
      <c r="AH466" s="131"/>
      <c r="AI466" s="126" t="s">
        <v>487</v>
      </c>
      <c r="AJ466" s="130" t="s">
        <v>120</v>
      </c>
      <c r="AK466" s="126" t="s">
        <v>123</v>
      </c>
      <c r="AL466" s="126"/>
      <c r="AM466" s="130"/>
      <c r="AN466" s="126"/>
      <c r="AO466" s="132"/>
      <c r="AP466" s="126"/>
      <c r="AQ466" s="126"/>
      <c r="AR466" s="130"/>
      <c r="AS466" s="126"/>
      <c r="AT466" s="127"/>
      <c r="AU466" s="127"/>
      <c r="AV466" s="127"/>
      <c r="AW466" s="127"/>
      <c r="AX466" s="127"/>
      <c r="AY466" s="127"/>
      <c r="AZ466" s="133"/>
      <c r="BA46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6" s="135">
        <f>COUNTIFS(_05preva_view43[Site ID],_05preva_view43[[#This Row],[Site ID]],_05preva_view43[Prevalidation Status],"Under Prevalidation")</f>
        <v>0</v>
      </c>
      <c r="BC466" s="153" t="str">
        <f ca="1">HYPERLINK(CheckPath(_05preva_view43[[#This Row],[File Path]],_05preva_view43[[#This Row],[File Path]],_05preva_view43[[#This Row],[Folder Path3]]),CheckPath(_05preva_view43[[#This Row],[File Path]],"Open File","No File"))</f>
        <v>No File</v>
      </c>
      <c r="BD466" s="136" t="str">
        <f>CONCATENATE(_05preva_view43[[#This Row],[Site ID]]," (",_05preva_view43[[#This Row],[tenant id]],") Application",IF(_05preva_view43[[#This Row],[Colo Rev]]&gt;0," Rev "&amp;_05preva_view43[[#This Row],[Colo Rev]],""),".xlsx")</f>
        <v>AYYN_0066 (YAW7843) Application.xlsx</v>
      </c>
      <c r="BE466" s="64">
        <f t="shared" ca="1" si="9"/>
        <v>50</v>
      </c>
      <c r="BF466" s="104" t="str">
        <f ca="1">LEFT(CELL("filename",A451),_05preva_view43[[#This Row],[Find Process &amp; Database]]-1)</f>
        <v>D:\OneDrive - apollo-towers.com\Apollo Towers\00-</v>
      </c>
      <c r="BG466" s="104" t="str">
        <f ca="1">_05preva_view43[Folder Path1]&amp;"Process &amp; Database\Documentation\Colo Applications"</f>
        <v>D:\OneDrive - apollo-towers.com\Apollo Towers\00-Process &amp; Database\Documentation\Colo Applications</v>
      </c>
      <c r="BH466" s="104" t="str">
        <f ca="1">_05preva_view43[Folder Path2]&amp;"\Colo App "&amp;_05preva_view43[[#This Row],[Operator]]&amp;"\"</f>
        <v>D:\OneDrive - apollo-towers.com\Apollo Towers\00-Process &amp; Database\Documentation\Colo Applications\Colo App OML\</v>
      </c>
      <c r="BI466" s="63" t="str">
        <f ca="1">_05preva_view43[[#This Row],[Folder Path3]]&amp;_05preva_view43[[#This Row],[File Name]]</f>
        <v>D:\OneDrive - apollo-towers.com\Apollo Towers\00-Process &amp; Database\Documentation\Colo Applications\Colo App OML\AYYN_0066 (YAW7843) Application.xlsx</v>
      </c>
      <c r="BJ466" s="104"/>
      <c r="BK466" s="3"/>
      <c r="BL466" s="3"/>
      <c r="CJ466" s="5"/>
      <c r="CK466" s="5"/>
      <c r="CL466" s="3"/>
      <c r="CN466" s="5"/>
      <c r="CR466" s="3"/>
      <c r="CS466" s="3"/>
      <c r="CT466" s="5"/>
      <c r="CV466" s="3"/>
      <c r="DR466" s="5"/>
      <c r="DT466" s="3"/>
      <c r="EF466" s="7"/>
      <c r="EG466" s="7"/>
      <c r="EJ466" s="4"/>
      <c r="EK466" s="4"/>
      <c r="EU466" s="2"/>
      <c r="EV466" s="2"/>
    </row>
    <row r="467" spans="1:152">
      <c r="A467" s="125">
        <v>59</v>
      </c>
      <c r="B467" s="126" t="s">
        <v>367</v>
      </c>
      <c r="C467" s="126" t="s">
        <v>116</v>
      </c>
      <c r="D467" s="126" t="s">
        <v>163</v>
      </c>
      <c r="E467" s="126" t="s">
        <v>368</v>
      </c>
      <c r="F467" s="126" t="s">
        <v>40</v>
      </c>
      <c r="G467" s="126" t="s">
        <v>1578</v>
      </c>
      <c r="H467" s="126" t="s">
        <v>1575</v>
      </c>
      <c r="I467" s="126" t="s">
        <v>118</v>
      </c>
      <c r="J467" s="126"/>
      <c r="K467" s="127">
        <v>43234</v>
      </c>
      <c r="L467" s="128"/>
      <c r="M467" s="128">
        <v>3</v>
      </c>
      <c r="N467" s="126">
        <v>6</v>
      </c>
      <c r="O467" s="126" t="s">
        <v>119</v>
      </c>
      <c r="P467" s="129" t="s">
        <v>362</v>
      </c>
      <c r="Q467" s="129" t="s">
        <v>363</v>
      </c>
      <c r="R467" s="126" t="s">
        <v>24</v>
      </c>
      <c r="S467" s="126"/>
      <c r="T467" s="130" t="s">
        <v>120</v>
      </c>
      <c r="U467" s="126" t="s">
        <v>369</v>
      </c>
      <c r="V467" s="130" t="s">
        <v>120</v>
      </c>
      <c r="W467" s="126"/>
      <c r="X467" s="130" t="s">
        <v>120</v>
      </c>
      <c r="Y467" s="126"/>
      <c r="Z467" s="162" t="s">
        <v>120</v>
      </c>
      <c r="AA467" s="154"/>
      <c r="AB467" s="154"/>
      <c r="AC467" s="167"/>
      <c r="AD467" s="126"/>
      <c r="AE467" s="130" t="s">
        <v>120</v>
      </c>
      <c r="AF467" s="127" t="s">
        <v>241</v>
      </c>
      <c r="AG467" s="131"/>
      <c r="AH467" s="131">
        <v>3.5</v>
      </c>
      <c r="AI467" s="126" t="s">
        <v>366</v>
      </c>
      <c r="AJ467" s="130" t="s">
        <v>120</v>
      </c>
      <c r="AK467" s="126" t="s">
        <v>240</v>
      </c>
      <c r="AL467" s="126"/>
      <c r="AM467" s="130"/>
      <c r="AN467" s="126"/>
      <c r="AO467" s="132"/>
      <c r="AP467" s="126"/>
      <c r="AQ467" s="126"/>
      <c r="AR467" s="130"/>
      <c r="AS467" s="126"/>
      <c r="AT467" s="127"/>
      <c r="AU467" s="127">
        <v>43453.378968750003</v>
      </c>
      <c r="AV467" s="127"/>
      <c r="AW467" s="127"/>
      <c r="AX467" s="127"/>
      <c r="AY467" s="127"/>
      <c r="AZ467" s="133">
        <v>43234</v>
      </c>
      <c r="BA46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7" s="135">
        <f>COUNTIFS(_05preva_view43[Site ID],_05preva_view43[[#This Row],[Site ID]],_05preva_view43[Prevalidation Status],"Under Prevalidation")</f>
        <v>0</v>
      </c>
      <c r="BC467" s="153" t="str">
        <f ca="1">HYPERLINK(CheckPath(_05preva_view43[[#This Row],[File Path]],_05preva_view43[[#This Row],[File Path]],_05preva_view43[[#This Row],[Folder Path3]]),CheckPath(_05preva_view43[[#This Row],[File Path]],"Open File","No File"))</f>
        <v>No File</v>
      </c>
      <c r="BD467" s="136" t="str">
        <f>CONCATENATE(_05preva_view43[[#This Row],[Site ID]]," (",_05preva_view43[[#This Row],[tenant id]],") Application",IF(_05preva_view43[[#This Row],[Colo Rev]]&gt;0," Rev "&amp;_05preva_view43[[#This Row],[Colo Rev]],""),".xlsx")</f>
        <v>ASKA_0137 (KNW6140) Application.xlsx</v>
      </c>
      <c r="BE467" s="64">
        <f t="shared" ca="1" si="9"/>
        <v>50</v>
      </c>
      <c r="BF467" s="104" t="str">
        <f ca="1">LEFT(CELL("filename",A452),_05preva_view43[[#This Row],[Find Process &amp; Database]]-1)</f>
        <v>D:\OneDrive - apollo-towers.com\Apollo Towers\00-</v>
      </c>
      <c r="BG467" s="104" t="str">
        <f ca="1">_05preva_view43[Folder Path1]&amp;"Process &amp; Database\Documentation\Colo Applications"</f>
        <v>D:\OneDrive - apollo-towers.com\Apollo Towers\00-Process &amp; Database\Documentation\Colo Applications</v>
      </c>
      <c r="BH467" s="104" t="str">
        <f ca="1">_05preva_view43[Folder Path2]&amp;"\Colo App "&amp;_05preva_view43[[#This Row],[Operator]]&amp;"\"</f>
        <v>D:\OneDrive - apollo-towers.com\Apollo Towers\00-Process &amp; Database\Documentation\Colo Applications\Colo App OML\</v>
      </c>
      <c r="BI467" s="63" t="str">
        <f ca="1">_05preva_view43[[#This Row],[Folder Path3]]&amp;_05preva_view43[[#This Row],[File Name]]</f>
        <v>D:\OneDrive - apollo-towers.com\Apollo Towers\00-Process &amp; Database\Documentation\Colo Applications\Colo App OML\ASKA_0137 (KNW6140) Application.xlsx</v>
      </c>
      <c r="BJ467" s="104"/>
      <c r="BK467" s="3"/>
      <c r="BL467" s="3"/>
      <c r="CJ467" s="5"/>
      <c r="CK467" s="5"/>
      <c r="CL467" s="3"/>
      <c r="CN467" s="5"/>
      <c r="CR467" s="3"/>
      <c r="CS467" s="3"/>
      <c r="CT467" s="5"/>
      <c r="CV467" s="3"/>
      <c r="DR467" s="5"/>
      <c r="DT467" s="3"/>
      <c r="EF467" s="7"/>
      <c r="EG467" s="7"/>
      <c r="EJ467" s="4"/>
      <c r="EK467" s="4"/>
      <c r="EU467" s="2"/>
      <c r="EV467" s="2"/>
    </row>
    <row r="468" spans="1:152">
      <c r="A468" s="125">
        <v>52</v>
      </c>
      <c r="B468" s="126" t="s">
        <v>282</v>
      </c>
      <c r="C468" s="126" t="s">
        <v>116</v>
      </c>
      <c r="D468" s="126" t="s">
        <v>127</v>
      </c>
      <c r="E468" s="126" t="s">
        <v>283</v>
      </c>
      <c r="F468" s="126" t="s">
        <v>34</v>
      </c>
      <c r="G468" s="126" t="s">
        <v>118</v>
      </c>
      <c r="H468" s="126"/>
      <c r="I468" s="126" t="s">
        <v>118</v>
      </c>
      <c r="J468" s="126"/>
      <c r="K468" s="127">
        <v>43224</v>
      </c>
      <c r="L468" s="128"/>
      <c r="M468" s="128">
        <v>2</v>
      </c>
      <c r="N468" s="126">
        <v>6</v>
      </c>
      <c r="O468" s="126" t="s">
        <v>119</v>
      </c>
      <c r="P468" s="129" t="s">
        <v>338</v>
      </c>
      <c r="Q468" s="129" t="s">
        <v>339</v>
      </c>
      <c r="R468" s="126" t="s">
        <v>26</v>
      </c>
      <c r="S468" s="126"/>
      <c r="T468" s="130" t="s">
        <v>144</v>
      </c>
      <c r="U468" s="126" t="s">
        <v>340</v>
      </c>
      <c r="V468" s="130" t="s">
        <v>120</v>
      </c>
      <c r="W468" s="126"/>
      <c r="X468" s="130" t="s">
        <v>120</v>
      </c>
      <c r="Y468" s="126"/>
      <c r="Z468" s="162" t="s">
        <v>125</v>
      </c>
      <c r="AA468" s="154"/>
      <c r="AB468" s="154"/>
      <c r="AC468" s="167"/>
      <c r="AD468" s="126" t="s">
        <v>336</v>
      </c>
      <c r="AE468" s="130" t="s">
        <v>125</v>
      </c>
      <c r="AF468" s="127"/>
      <c r="AG468" s="131"/>
      <c r="AH468" s="131">
        <v>2</v>
      </c>
      <c r="AI468" s="126" t="s">
        <v>341</v>
      </c>
      <c r="AJ468" s="130"/>
      <c r="AK468" s="126"/>
      <c r="AL468" s="126"/>
      <c r="AM468" s="130"/>
      <c r="AN468" s="126"/>
      <c r="AO468" s="132"/>
      <c r="AP468" s="126"/>
      <c r="AQ468" s="126"/>
      <c r="AR468" s="130"/>
      <c r="AS468" s="126"/>
      <c r="AT468" s="127"/>
      <c r="AU468" s="127"/>
      <c r="AV468" s="127"/>
      <c r="AW468" s="127"/>
      <c r="AX468" s="127"/>
      <c r="AY468" s="127"/>
      <c r="AZ468" s="133">
        <v>43224</v>
      </c>
      <c r="BA46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8" s="135">
        <f>COUNTIFS(_05preva_view43[Site ID],_05preva_view43[[#This Row],[Site ID]],_05preva_view43[Prevalidation Status],"Under Prevalidation")</f>
        <v>0</v>
      </c>
      <c r="BC468" s="153" t="str">
        <f ca="1">HYPERLINK(CheckPath(_05preva_view43[[#This Row],[File Path]],_05preva_view43[[#This Row],[File Path]],_05preva_view43[[#This Row],[Folder Path3]]),CheckPath(_05preva_view43[[#This Row],[File Path]],"Open File","No File"))</f>
        <v>No File</v>
      </c>
      <c r="BD468" s="136" t="str">
        <f>CONCATENATE(_05preva_view43[[#This Row],[Site ID]]," (",_05preva_view43[[#This Row],[tenant id]],") Application",IF(_05preva_view43[[#This Row],[Colo Rev]]&gt;0," Rev "&amp;_05preva_view43[[#This Row],[Colo Rev]],""),".xlsx")</f>
        <v>ANMD_0088 (MDY0023) Application.xlsx</v>
      </c>
      <c r="BE468" s="64">
        <f t="shared" ca="1" si="9"/>
        <v>50</v>
      </c>
      <c r="BF468" s="104" t="str">
        <f ca="1">LEFT(CELL("filename",A453),_05preva_view43[[#This Row],[Find Process &amp; Database]]-1)</f>
        <v>D:\OneDrive - apollo-towers.com\Apollo Towers\00-</v>
      </c>
      <c r="BG468" s="104" t="str">
        <f ca="1">_05preva_view43[Folder Path1]&amp;"Process &amp; Database\Documentation\Colo Applications"</f>
        <v>D:\OneDrive - apollo-towers.com\Apollo Towers\00-Process &amp; Database\Documentation\Colo Applications</v>
      </c>
      <c r="BH468" s="104" t="str">
        <f ca="1">_05preva_view43[Folder Path2]&amp;"\Colo App "&amp;_05preva_view43[[#This Row],[Operator]]&amp;"\"</f>
        <v>D:\OneDrive - apollo-towers.com\Apollo Towers\00-Process &amp; Database\Documentation\Colo Applications\Colo App Mytel\</v>
      </c>
      <c r="BI468" s="63" t="str">
        <f ca="1">_05preva_view43[[#This Row],[Folder Path3]]&amp;_05preva_view43[[#This Row],[File Name]]</f>
        <v>D:\OneDrive - apollo-towers.com\Apollo Towers\00-Process &amp; Database\Documentation\Colo Applications\Colo App Mytel\ANMD_0088 (MDY0023) Application.xlsx</v>
      </c>
      <c r="BJ468" s="104"/>
      <c r="BK468" s="3"/>
      <c r="BL468" s="3"/>
      <c r="CJ468" s="5"/>
      <c r="CK468" s="5"/>
      <c r="CL468" s="3"/>
      <c r="CN468" s="5"/>
      <c r="CR468" s="3"/>
      <c r="CS468" s="3"/>
      <c r="CT468" s="5"/>
      <c r="CV468" s="3"/>
      <c r="DR468" s="5"/>
      <c r="DT468" s="3"/>
      <c r="EF468" s="7"/>
      <c r="EG468" s="7"/>
      <c r="EJ468" s="4"/>
      <c r="EK468" s="4"/>
      <c r="EU468" s="2"/>
      <c r="EV468" s="2"/>
    </row>
    <row r="469" spans="1:152">
      <c r="A469" s="125">
        <v>53</v>
      </c>
      <c r="B469" s="126" t="s">
        <v>342</v>
      </c>
      <c r="C469" s="126" t="s">
        <v>116</v>
      </c>
      <c r="D469" s="126" t="s">
        <v>127</v>
      </c>
      <c r="E469" s="126" t="s">
        <v>343</v>
      </c>
      <c r="F469" s="126" t="s">
        <v>34</v>
      </c>
      <c r="G469" s="126"/>
      <c r="H469" s="126"/>
      <c r="I469" s="126"/>
      <c r="J469" s="126"/>
      <c r="K469" s="127">
        <v>43224</v>
      </c>
      <c r="L469" s="128"/>
      <c r="M469" s="128">
        <v>2</v>
      </c>
      <c r="N469" s="126">
        <v>6</v>
      </c>
      <c r="O469" s="126" t="s">
        <v>119</v>
      </c>
      <c r="P469" s="129" t="s">
        <v>338</v>
      </c>
      <c r="Q469" s="129" t="s">
        <v>339</v>
      </c>
      <c r="R469" s="126" t="s">
        <v>27</v>
      </c>
      <c r="S469" s="126"/>
      <c r="T469" s="130" t="s">
        <v>120</v>
      </c>
      <c r="U469" s="126" t="s">
        <v>121</v>
      </c>
      <c r="V469" s="130" t="s">
        <v>120</v>
      </c>
      <c r="W469" s="126"/>
      <c r="X469" s="130" t="s">
        <v>120</v>
      </c>
      <c r="Y469" s="126"/>
      <c r="Z469" s="162" t="s">
        <v>120</v>
      </c>
      <c r="AA469" s="154"/>
      <c r="AB469" s="154"/>
      <c r="AC469" s="167"/>
      <c r="AD469" s="126" t="s">
        <v>344</v>
      </c>
      <c r="AE469" s="130" t="s">
        <v>265</v>
      </c>
      <c r="AF469" s="127" t="s">
        <v>346</v>
      </c>
      <c r="AG469" s="131"/>
      <c r="AH469" s="131">
        <v>2</v>
      </c>
      <c r="AI469" s="126" t="s">
        <v>347</v>
      </c>
      <c r="AJ469" s="130" t="s">
        <v>120</v>
      </c>
      <c r="AK469" s="126" t="s">
        <v>240</v>
      </c>
      <c r="AL469" s="126" t="s">
        <v>345</v>
      </c>
      <c r="AM469" s="130"/>
      <c r="AN469" s="126"/>
      <c r="AO469" s="132"/>
      <c r="AP469" s="126"/>
      <c r="AQ469" s="126"/>
      <c r="AR469" s="130"/>
      <c r="AS469" s="126"/>
      <c r="AT469" s="127"/>
      <c r="AU469" s="127">
        <v>43453.378963194402</v>
      </c>
      <c r="AV469" s="127"/>
      <c r="AW469" s="127"/>
      <c r="AX469" s="127"/>
      <c r="AY469" s="127"/>
      <c r="AZ469" s="133">
        <v>43224</v>
      </c>
      <c r="BA46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9" s="135">
        <f>COUNTIFS(_05preva_view43[Site ID],_05preva_view43[[#This Row],[Site ID]],_05preva_view43[Prevalidation Status],"Under Prevalidation")</f>
        <v>0</v>
      </c>
      <c r="BC469" s="153" t="str">
        <f ca="1">HYPERLINK(CheckPath(_05preva_view43[[#This Row],[File Path]],_05preva_view43[[#This Row],[File Path]],_05preva_view43[[#This Row],[Folder Path3]]),CheckPath(_05preva_view43[[#This Row],[File Path]],"Open File","No File"))</f>
        <v>No File</v>
      </c>
      <c r="BD469" s="136" t="str">
        <f>CONCATENATE(_05preva_view43[[#This Row],[Site ID]]," (",_05preva_view43[[#This Row],[tenant id]],") Application",IF(_05preva_view43[[#This Row],[Colo Rev]]&gt;0," Rev "&amp;_05preva_view43[[#This Row],[Colo Rev]],""),".xlsx")</f>
        <v>ANMD_0122 (MDY0080) Application.xlsx</v>
      </c>
      <c r="BE469" s="64">
        <f t="shared" ca="1" si="9"/>
        <v>50</v>
      </c>
      <c r="BF469" s="104" t="str">
        <f ca="1">LEFT(CELL("filename",A454),_05preva_view43[[#This Row],[Find Process &amp; Database]]-1)</f>
        <v>D:\OneDrive - apollo-towers.com\Apollo Towers\00-</v>
      </c>
      <c r="BG469" s="104" t="str">
        <f ca="1">_05preva_view43[Folder Path1]&amp;"Process &amp; Database\Documentation\Colo Applications"</f>
        <v>D:\OneDrive - apollo-towers.com\Apollo Towers\00-Process &amp; Database\Documentation\Colo Applications</v>
      </c>
      <c r="BH469" s="104" t="str">
        <f ca="1">_05preva_view43[Folder Path2]&amp;"\Colo App "&amp;_05preva_view43[[#This Row],[Operator]]&amp;"\"</f>
        <v>D:\OneDrive - apollo-towers.com\Apollo Towers\00-Process &amp; Database\Documentation\Colo Applications\Colo App Mytel\</v>
      </c>
      <c r="BI469" s="63" t="str">
        <f ca="1">_05preva_view43[[#This Row],[Folder Path3]]&amp;_05preva_view43[[#This Row],[File Name]]</f>
        <v>D:\OneDrive - apollo-towers.com\Apollo Towers\00-Process &amp; Database\Documentation\Colo Applications\Colo App Mytel\ANMD_0122 (MDY0080) Application.xlsx</v>
      </c>
      <c r="BJ469" s="104"/>
      <c r="BK469" s="3"/>
      <c r="BL469" s="3"/>
      <c r="CJ469" s="5"/>
      <c r="CK469" s="5"/>
      <c r="CL469" s="3"/>
      <c r="CN469" s="5"/>
      <c r="CR469" s="3"/>
      <c r="CS469" s="3"/>
      <c r="CT469" s="5"/>
      <c r="CV469" s="3"/>
      <c r="DR469" s="5"/>
      <c r="DT469" s="3"/>
      <c r="EF469" s="7"/>
      <c r="EG469" s="7"/>
      <c r="EJ469" s="4"/>
      <c r="EK469" s="4"/>
      <c r="EU469" s="2"/>
      <c r="EV469" s="2"/>
    </row>
    <row r="470" spans="1:152">
      <c r="A470" s="125">
        <v>54</v>
      </c>
      <c r="B470" s="126" t="s">
        <v>348</v>
      </c>
      <c r="C470" s="126" t="s">
        <v>116</v>
      </c>
      <c r="D470" s="126" t="s">
        <v>127</v>
      </c>
      <c r="E470" s="126" t="s">
        <v>349</v>
      </c>
      <c r="F470" s="126" t="s">
        <v>34</v>
      </c>
      <c r="G470" s="126"/>
      <c r="H470" s="126"/>
      <c r="I470" s="126"/>
      <c r="J470" s="126"/>
      <c r="K470" s="127">
        <v>43224</v>
      </c>
      <c r="L470" s="128"/>
      <c r="M470" s="128">
        <v>2</v>
      </c>
      <c r="N470" s="126">
        <v>6</v>
      </c>
      <c r="O470" s="126" t="s">
        <v>119</v>
      </c>
      <c r="P470" s="129" t="s">
        <v>264</v>
      </c>
      <c r="Q470" s="129" t="s">
        <v>350</v>
      </c>
      <c r="R470" s="126" t="s">
        <v>27</v>
      </c>
      <c r="S470" s="126"/>
      <c r="T470" s="130" t="s">
        <v>120</v>
      </c>
      <c r="U470" s="126" t="s">
        <v>121</v>
      </c>
      <c r="V470" s="130" t="s">
        <v>120</v>
      </c>
      <c r="W470" s="126"/>
      <c r="X470" s="130" t="s">
        <v>120</v>
      </c>
      <c r="Y470" s="126"/>
      <c r="Z470" s="162" t="s">
        <v>120</v>
      </c>
      <c r="AA470" s="154"/>
      <c r="AB470" s="154"/>
      <c r="AC470" s="167"/>
      <c r="AD470" s="126"/>
      <c r="AE470" s="130" t="s">
        <v>120</v>
      </c>
      <c r="AF470" s="127" t="s">
        <v>351</v>
      </c>
      <c r="AG470" s="131"/>
      <c r="AH470" s="131">
        <v>2</v>
      </c>
      <c r="AI470" s="126" t="s">
        <v>352</v>
      </c>
      <c r="AJ470" s="130" t="s">
        <v>120</v>
      </c>
      <c r="AK470" s="126" t="s">
        <v>123</v>
      </c>
      <c r="AL470" s="126"/>
      <c r="AM470" s="130"/>
      <c r="AN470" s="126"/>
      <c r="AO470" s="132"/>
      <c r="AP470" s="126"/>
      <c r="AQ470" s="126"/>
      <c r="AR470" s="130"/>
      <c r="AS470" s="126"/>
      <c r="AT470" s="127"/>
      <c r="AU470" s="127">
        <v>43453.378964236101</v>
      </c>
      <c r="AV470" s="127"/>
      <c r="AW470" s="127"/>
      <c r="AX470" s="127"/>
      <c r="AY470" s="127"/>
      <c r="AZ470" s="133">
        <v>43224</v>
      </c>
      <c r="BA47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0" s="135">
        <f>COUNTIFS(_05preva_view43[Site ID],_05preva_view43[[#This Row],[Site ID]],_05preva_view43[Prevalidation Status],"Under Prevalidation")</f>
        <v>0</v>
      </c>
      <c r="BC470" s="153" t="str">
        <f ca="1">HYPERLINK(CheckPath(_05preva_view43[[#This Row],[File Path]],_05preva_view43[[#This Row],[File Path]],_05preva_view43[[#This Row],[Folder Path3]]),CheckPath(_05preva_view43[[#This Row],[File Path]],"Open File","No File"))</f>
        <v>No File</v>
      </c>
      <c r="BD470" s="136" t="str">
        <f>CONCATENATE(_05preva_view43[[#This Row],[Site ID]]," (",_05preva_view43[[#This Row],[tenant id]],") Application",IF(_05preva_view43[[#This Row],[Colo Rev]]&gt;0," Rev "&amp;_05preva_view43[[#This Row],[Colo Rev]],""),".xlsx")</f>
        <v>ANMD_0166 (MDY0188) Application.xlsx</v>
      </c>
      <c r="BE470" s="64">
        <f t="shared" ca="1" si="9"/>
        <v>50</v>
      </c>
      <c r="BF470" s="104" t="str">
        <f ca="1">LEFT(CELL("filename",A455),_05preva_view43[[#This Row],[Find Process &amp; Database]]-1)</f>
        <v>D:\OneDrive - apollo-towers.com\Apollo Towers\00-</v>
      </c>
      <c r="BG470" s="104" t="str">
        <f ca="1">_05preva_view43[Folder Path1]&amp;"Process &amp; Database\Documentation\Colo Applications"</f>
        <v>D:\OneDrive - apollo-towers.com\Apollo Towers\00-Process &amp; Database\Documentation\Colo Applications</v>
      </c>
      <c r="BH470" s="104" t="str">
        <f ca="1">_05preva_view43[Folder Path2]&amp;"\Colo App "&amp;_05preva_view43[[#This Row],[Operator]]&amp;"\"</f>
        <v>D:\OneDrive - apollo-towers.com\Apollo Towers\00-Process &amp; Database\Documentation\Colo Applications\Colo App Mytel\</v>
      </c>
      <c r="BI470" s="63" t="str">
        <f ca="1">_05preva_view43[[#This Row],[Folder Path3]]&amp;_05preva_view43[[#This Row],[File Name]]</f>
        <v>D:\OneDrive - apollo-towers.com\Apollo Towers\00-Process &amp; Database\Documentation\Colo Applications\Colo App Mytel\ANMD_0166 (MDY0188) Application.xlsx</v>
      </c>
      <c r="BJ470" s="104"/>
      <c r="BK470" s="3"/>
      <c r="BL470" s="3"/>
      <c r="CJ470" s="5"/>
      <c r="CK470" s="5"/>
      <c r="CL470" s="3"/>
      <c r="CN470" s="5"/>
      <c r="CR470" s="3"/>
      <c r="CS470" s="3"/>
      <c r="CT470" s="5"/>
      <c r="CV470" s="3"/>
      <c r="DR470" s="5"/>
      <c r="DT470" s="3"/>
      <c r="EF470" s="7"/>
      <c r="EG470" s="7"/>
      <c r="EJ470" s="4"/>
      <c r="EK470" s="4"/>
      <c r="EU470" s="2"/>
      <c r="EV470" s="2"/>
    </row>
    <row r="471" spans="1:152">
      <c r="A471" s="125">
        <v>55</v>
      </c>
      <c r="B471" s="126" t="s">
        <v>353</v>
      </c>
      <c r="C471" s="126" t="s">
        <v>116</v>
      </c>
      <c r="D471" s="126" t="s">
        <v>127</v>
      </c>
      <c r="E471" s="126" t="s">
        <v>354</v>
      </c>
      <c r="F471" s="126" t="s">
        <v>34</v>
      </c>
      <c r="G471" s="126" t="s">
        <v>1574</v>
      </c>
      <c r="H471" s="126" t="s">
        <v>1575</v>
      </c>
      <c r="I471" s="126" t="s">
        <v>118</v>
      </c>
      <c r="J471" s="126"/>
      <c r="K471" s="127">
        <v>43224</v>
      </c>
      <c r="L471" s="128"/>
      <c r="M471" s="128">
        <v>2</v>
      </c>
      <c r="N471" s="126">
        <v>6</v>
      </c>
      <c r="O471" s="126" t="s">
        <v>119</v>
      </c>
      <c r="P471" s="129" t="s">
        <v>285</v>
      </c>
      <c r="Q471" s="129" t="s">
        <v>263</v>
      </c>
      <c r="R471" s="126" t="s">
        <v>24</v>
      </c>
      <c r="S471" s="126"/>
      <c r="T471" s="130" t="s">
        <v>120</v>
      </c>
      <c r="U471" s="126" t="s">
        <v>121</v>
      </c>
      <c r="V471" s="130" t="s">
        <v>120</v>
      </c>
      <c r="W471" s="126"/>
      <c r="X471" s="130" t="s">
        <v>120</v>
      </c>
      <c r="Y471" s="126"/>
      <c r="Z471" s="162" t="s">
        <v>120</v>
      </c>
      <c r="AA471" s="154"/>
      <c r="AB471" s="154"/>
      <c r="AC471" s="167"/>
      <c r="AD471" s="126"/>
      <c r="AE471" s="130" t="s">
        <v>120</v>
      </c>
      <c r="AF471" s="127"/>
      <c r="AG471" s="131"/>
      <c r="AH471" s="131">
        <v>2</v>
      </c>
      <c r="AI471" s="126" t="s">
        <v>355</v>
      </c>
      <c r="AJ471" s="130" t="s">
        <v>120</v>
      </c>
      <c r="AK471" s="126" t="s">
        <v>123</v>
      </c>
      <c r="AL471" s="126"/>
      <c r="AM471" s="130"/>
      <c r="AN471" s="126"/>
      <c r="AO471" s="132"/>
      <c r="AP471" s="126"/>
      <c r="AQ471" s="126"/>
      <c r="AR471" s="130"/>
      <c r="AS471" s="126"/>
      <c r="AT471" s="127"/>
      <c r="AU471" s="127">
        <v>43453.378965162003</v>
      </c>
      <c r="AV471" s="127"/>
      <c r="AW471" s="127"/>
      <c r="AX471" s="127"/>
      <c r="AY471" s="127"/>
      <c r="AZ471" s="133">
        <v>43224</v>
      </c>
      <c r="BA47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1" s="135">
        <f>COUNTIFS(_05preva_view43[Site ID],_05preva_view43[[#This Row],[Site ID]],_05preva_view43[Prevalidation Status],"Under Prevalidation")</f>
        <v>0</v>
      </c>
      <c r="BC471" s="153" t="str">
        <f ca="1">HYPERLINK(CheckPath(_05preva_view43[[#This Row],[File Path]],_05preva_view43[[#This Row],[File Path]],_05preva_view43[[#This Row],[Folder Path3]]),CheckPath(_05preva_view43[[#This Row],[File Path]],"Open File","No File"))</f>
        <v>No File</v>
      </c>
      <c r="BD471" s="136" t="str">
        <f>CONCATENATE(_05preva_view43[[#This Row],[Site ID]]," (",_05preva_view43[[#This Row],[tenant id]],") Application",IF(_05preva_view43[[#This Row],[Colo Rev]]&gt;0," Rev "&amp;_05preva_view43[[#This Row],[Colo Rev]],""),".xlsx")</f>
        <v>ANMD_0080 (MDY0299) Application.xlsx</v>
      </c>
      <c r="BE471" s="64">
        <f t="shared" ca="1" si="9"/>
        <v>50</v>
      </c>
      <c r="BF471" s="104" t="str">
        <f ca="1">LEFT(CELL("filename",A456),_05preva_view43[[#This Row],[Find Process &amp; Database]]-1)</f>
        <v>D:\OneDrive - apollo-towers.com\Apollo Towers\00-</v>
      </c>
      <c r="BG471" s="104" t="str">
        <f ca="1">_05preva_view43[Folder Path1]&amp;"Process &amp; Database\Documentation\Colo Applications"</f>
        <v>D:\OneDrive - apollo-towers.com\Apollo Towers\00-Process &amp; Database\Documentation\Colo Applications</v>
      </c>
      <c r="BH471" s="104" t="str">
        <f ca="1">_05preva_view43[Folder Path2]&amp;"\Colo App "&amp;_05preva_view43[[#This Row],[Operator]]&amp;"\"</f>
        <v>D:\OneDrive - apollo-towers.com\Apollo Towers\00-Process &amp; Database\Documentation\Colo Applications\Colo App Mytel\</v>
      </c>
      <c r="BI471" s="63" t="str">
        <f ca="1">_05preva_view43[[#This Row],[Folder Path3]]&amp;_05preva_view43[[#This Row],[File Name]]</f>
        <v>D:\OneDrive - apollo-towers.com\Apollo Towers\00-Process &amp; Database\Documentation\Colo Applications\Colo App Mytel\ANMD_0080 (MDY0299) Application.xlsx</v>
      </c>
      <c r="BJ471" s="104"/>
      <c r="BK471" s="3"/>
      <c r="BL471" s="3"/>
      <c r="CJ471" s="5"/>
      <c r="CK471" s="5"/>
      <c r="CL471" s="3"/>
      <c r="CN471" s="5"/>
      <c r="CR471" s="3"/>
      <c r="CS471" s="3"/>
      <c r="CT471" s="5"/>
      <c r="CV471" s="3"/>
      <c r="DR471" s="5"/>
      <c r="DT471" s="3"/>
      <c r="EF471" s="7"/>
      <c r="EG471" s="7"/>
      <c r="EJ471" s="4"/>
      <c r="EK471" s="4"/>
      <c r="EU471" s="2"/>
      <c r="EV471" s="2"/>
    </row>
    <row r="472" spans="1:152">
      <c r="A472" s="125">
        <v>56</v>
      </c>
      <c r="B472" s="126" t="s">
        <v>356</v>
      </c>
      <c r="C472" s="126" t="s">
        <v>116</v>
      </c>
      <c r="D472" s="126" t="s">
        <v>127</v>
      </c>
      <c r="E472" s="126" t="s">
        <v>357</v>
      </c>
      <c r="F472" s="126" t="s">
        <v>34</v>
      </c>
      <c r="G472" s="126"/>
      <c r="H472" s="126"/>
      <c r="I472" s="126"/>
      <c r="J472" s="126"/>
      <c r="K472" s="127">
        <v>43224</v>
      </c>
      <c r="L472" s="128"/>
      <c r="M472" s="128">
        <v>2</v>
      </c>
      <c r="N472" s="126">
        <v>6</v>
      </c>
      <c r="O472" s="126" t="s">
        <v>119</v>
      </c>
      <c r="P472" s="129" t="s">
        <v>270</v>
      </c>
      <c r="Q472" s="129" t="s">
        <v>256</v>
      </c>
      <c r="R472" s="126" t="s">
        <v>27</v>
      </c>
      <c r="S472" s="126"/>
      <c r="T472" s="130" t="s">
        <v>120</v>
      </c>
      <c r="U472" s="126" t="s">
        <v>121</v>
      </c>
      <c r="V472" s="130" t="s">
        <v>120</v>
      </c>
      <c r="W472" s="126"/>
      <c r="X472" s="130" t="s">
        <v>120</v>
      </c>
      <c r="Y472" s="126"/>
      <c r="Z472" s="162" t="s">
        <v>120</v>
      </c>
      <c r="AA472" s="154"/>
      <c r="AB472" s="154"/>
      <c r="AC472" s="167"/>
      <c r="AD472" s="126" t="s">
        <v>358</v>
      </c>
      <c r="AE472" s="130" t="s">
        <v>120</v>
      </c>
      <c r="AF472" s="127"/>
      <c r="AG472" s="131"/>
      <c r="AH472" s="131">
        <v>2</v>
      </c>
      <c r="AI472" s="126" t="s">
        <v>359</v>
      </c>
      <c r="AJ472" s="130"/>
      <c r="AK472" s="126"/>
      <c r="AL472" s="126"/>
      <c r="AM472" s="130"/>
      <c r="AN472" s="126"/>
      <c r="AO472" s="132"/>
      <c r="AP472" s="126"/>
      <c r="AQ472" s="126"/>
      <c r="AR472" s="130"/>
      <c r="AS472" s="126"/>
      <c r="AT472" s="127"/>
      <c r="AU472" s="127">
        <v>43453.3789672454</v>
      </c>
      <c r="AV472" s="127"/>
      <c r="AW472" s="127"/>
      <c r="AX472" s="127"/>
      <c r="AY472" s="127"/>
      <c r="AZ472" s="133">
        <v>43224</v>
      </c>
      <c r="BA47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2" s="135">
        <f>COUNTIFS(_05preva_view43[Site ID],_05preva_view43[[#This Row],[Site ID]],_05preva_view43[Prevalidation Status],"Under Prevalidation")</f>
        <v>1</v>
      </c>
      <c r="BC472" s="153" t="str">
        <f ca="1">HYPERLINK(CheckPath(_05preva_view43[[#This Row],[File Path]],_05preva_view43[[#This Row],[File Path]],_05preva_view43[[#This Row],[Folder Path3]]),CheckPath(_05preva_view43[[#This Row],[File Path]],"Open File","No File"))</f>
        <v>No File</v>
      </c>
      <c r="BD472" s="136" t="str">
        <f>CONCATENATE(_05preva_view43[[#This Row],[Site ID]]," (",_05preva_view43[[#This Row],[tenant id]],") Application",IF(_05preva_view43[[#This Row],[Colo Rev]]&gt;0," Rev "&amp;_05preva_view43[[#This Row],[Colo Rev]],""),".xlsx")</f>
        <v>ANMD_0004 (MDY0338) Application.xlsx</v>
      </c>
      <c r="BE472" s="64">
        <f t="shared" ca="1" si="9"/>
        <v>50</v>
      </c>
      <c r="BF472" s="104" t="str">
        <f ca="1">LEFT(CELL("filename",A457),_05preva_view43[[#This Row],[Find Process &amp; Database]]-1)</f>
        <v>D:\OneDrive - apollo-towers.com\Apollo Towers\00-</v>
      </c>
      <c r="BG472" s="104" t="str">
        <f ca="1">_05preva_view43[Folder Path1]&amp;"Process &amp; Database\Documentation\Colo Applications"</f>
        <v>D:\OneDrive - apollo-towers.com\Apollo Towers\00-Process &amp; Database\Documentation\Colo Applications</v>
      </c>
      <c r="BH472" s="104" t="str">
        <f ca="1">_05preva_view43[Folder Path2]&amp;"\Colo App "&amp;_05preva_view43[[#This Row],[Operator]]&amp;"\"</f>
        <v>D:\OneDrive - apollo-towers.com\Apollo Towers\00-Process &amp; Database\Documentation\Colo Applications\Colo App Mytel\</v>
      </c>
      <c r="BI472" s="63" t="str">
        <f ca="1">_05preva_view43[[#This Row],[Folder Path3]]&amp;_05preva_view43[[#This Row],[File Name]]</f>
        <v>D:\OneDrive - apollo-towers.com\Apollo Towers\00-Process &amp; Database\Documentation\Colo Applications\Colo App Mytel\ANMD_0004 (MDY0338) Application.xlsx</v>
      </c>
      <c r="BJ472" s="104"/>
      <c r="BK472" s="3"/>
      <c r="BL472" s="3"/>
      <c r="CJ472" s="5"/>
      <c r="CK472" s="5"/>
      <c r="CL472" s="3"/>
      <c r="CN472" s="5"/>
      <c r="CR472" s="3"/>
      <c r="CS472" s="3"/>
      <c r="CT472" s="5"/>
      <c r="CV472" s="3"/>
      <c r="DR472" s="5"/>
      <c r="DT472" s="3"/>
      <c r="EF472" s="7"/>
      <c r="EG472" s="7"/>
      <c r="EJ472" s="4"/>
      <c r="EK472" s="4"/>
      <c r="EU472" s="2"/>
      <c r="EV472" s="2"/>
    </row>
    <row r="473" spans="1:152">
      <c r="A473" s="125">
        <v>57</v>
      </c>
      <c r="B473" s="126" t="s">
        <v>360</v>
      </c>
      <c r="C473" s="126" t="s">
        <v>116</v>
      </c>
      <c r="D473" s="126" t="s">
        <v>163</v>
      </c>
      <c r="E473" s="126" t="s">
        <v>361</v>
      </c>
      <c r="F473" s="126" t="s">
        <v>40</v>
      </c>
      <c r="G473" s="126" t="s">
        <v>1579</v>
      </c>
      <c r="H473" s="126" t="s">
        <v>1575</v>
      </c>
      <c r="I473" s="126" t="s">
        <v>118</v>
      </c>
      <c r="J473" s="126"/>
      <c r="K473" s="127">
        <v>43224</v>
      </c>
      <c r="L473" s="128"/>
      <c r="M473" s="128">
        <v>3</v>
      </c>
      <c r="N473" s="126">
        <v>6</v>
      </c>
      <c r="O473" s="126" t="s">
        <v>119</v>
      </c>
      <c r="P473" s="129" t="s">
        <v>362</v>
      </c>
      <c r="Q473" s="129" t="s">
        <v>363</v>
      </c>
      <c r="R473" s="126" t="s">
        <v>24</v>
      </c>
      <c r="S473" s="126"/>
      <c r="T473" s="130" t="s">
        <v>120</v>
      </c>
      <c r="U473" s="126" t="s">
        <v>121</v>
      </c>
      <c r="V473" s="130" t="s">
        <v>120</v>
      </c>
      <c r="W473" s="126"/>
      <c r="X473" s="130" t="s">
        <v>120</v>
      </c>
      <c r="Y473" s="126"/>
      <c r="Z473" s="162" t="s">
        <v>120</v>
      </c>
      <c r="AA473" s="154"/>
      <c r="AB473" s="154"/>
      <c r="AC473" s="167"/>
      <c r="AD473" s="126" t="s">
        <v>364</v>
      </c>
      <c r="AE473" s="130" t="s">
        <v>120</v>
      </c>
      <c r="AF473" s="127" t="s">
        <v>241</v>
      </c>
      <c r="AG473" s="131"/>
      <c r="AH473" s="131">
        <v>3.5</v>
      </c>
      <c r="AI473" s="126" t="s">
        <v>366</v>
      </c>
      <c r="AJ473" s="130" t="s">
        <v>120</v>
      </c>
      <c r="AK473" s="126" t="s">
        <v>123</v>
      </c>
      <c r="AL473" s="126" t="s">
        <v>365</v>
      </c>
      <c r="AM473" s="130"/>
      <c r="AN473" s="126"/>
      <c r="AO473" s="132"/>
      <c r="AP473" s="126"/>
      <c r="AQ473" s="126"/>
      <c r="AR473" s="130"/>
      <c r="AS473" s="126"/>
      <c r="AT473" s="127"/>
      <c r="AU473" s="127">
        <v>43453.3789680556</v>
      </c>
      <c r="AV473" s="127"/>
      <c r="AW473" s="127"/>
      <c r="AX473" s="127"/>
      <c r="AY473" s="127"/>
      <c r="AZ473" s="133">
        <v>43224</v>
      </c>
      <c r="BA47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3" s="135">
        <f>COUNTIFS(_05preva_view43[Site ID],_05preva_view43[[#This Row],[Site ID]],_05preva_view43[Prevalidation Status],"Under Prevalidation")</f>
        <v>0</v>
      </c>
      <c r="BC473" s="153" t="str">
        <f ca="1">HYPERLINK(CheckPath(_05preva_view43[[#This Row],[File Path]],_05preva_view43[[#This Row],[File Path]],_05preva_view43[[#This Row],[Folder Path3]]),CheckPath(_05preva_view43[[#This Row],[File Path]],"Open File","No File"))</f>
        <v>No File</v>
      </c>
      <c r="BD473" s="136" t="str">
        <f>CONCATENATE(_05preva_view43[[#This Row],[Site ID]]," (",_05preva_view43[[#This Row],[tenant id]],") Application",IF(_05preva_view43[[#This Row],[Colo Rev]]&gt;0," Rev "&amp;_05preva_view43[[#This Row],[Colo Rev]],""),".xlsx")</f>
        <v>AYYN_0527 (YAW7098) Application.xlsx</v>
      </c>
      <c r="BE473" s="64">
        <f t="shared" ca="1" si="9"/>
        <v>50</v>
      </c>
      <c r="BF473" s="104" t="str">
        <f ca="1">LEFT(CELL("filename",A458),_05preva_view43[[#This Row],[Find Process &amp; Database]]-1)</f>
        <v>D:\OneDrive - apollo-towers.com\Apollo Towers\00-</v>
      </c>
      <c r="BG473" s="104" t="str">
        <f ca="1">_05preva_view43[Folder Path1]&amp;"Process &amp; Database\Documentation\Colo Applications"</f>
        <v>D:\OneDrive - apollo-towers.com\Apollo Towers\00-Process &amp; Database\Documentation\Colo Applications</v>
      </c>
      <c r="BH473" s="104" t="str">
        <f ca="1">_05preva_view43[Folder Path2]&amp;"\Colo App "&amp;_05preva_view43[[#This Row],[Operator]]&amp;"\"</f>
        <v>D:\OneDrive - apollo-towers.com\Apollo Towers\00-Process &amp; Database\Documentation\Colo Applications\Colo App OML\</v>
      </c>
      <c r="BI473" s="63" t="str">
        <f ca="1">_05preva_view43[[#This Row],[Folder Path3]]&amp;_05preva_view43[[#This Row],[File Name]]</f>
        <v>D:\OneDrive - apollo-towers.com\Apollo Towers\00-Process &amp; Database\Documentation\Colo Applications\Colo App OML\AYYN_0527 (YAW7098) Application.xlsx</v>
      </c>
      <c r="BJ473" s="104"/>
      <c r="BK473" s="3"/>
      <c r="BL473" s="3"/>
      <c r="CJ473" s="5"/>
      <c r="CK473" s="5"/>
      <c r="CL473" s="3"/>
      <c r="CN473" s="5"/>
      <c r="CR473" s="3"/>
      <c r="CS473" s="3"/>
      <c r="CT473" s="5"/>
      <c r="CV473" s="3"/>
      <c r="DR473" s="5"/>
      <c r="DT473" s="3"/>
      <c r="EF473" s="7"/>
      <c r="EG473" s="7"/>
      <c r="EJ473" s="4"/>
      <c r="EK473" s="4"/>
      <c r="EU473" s="2"/>
      <c r="EV473" s="2"/>
    </row>
    <row r="474" spans="1:152">
      <c r="A474" s="125">
        <v>257</v>
      </c>
      <c r="B474" s="126" t="s">
        <v>837</v>
      </c>
      <c r="C474" s="126" t="s">
        <v>116</v>
      </c>
      <c r="D474" s="126" t="s">
        <v>163</v>
      </c>
      <c r="E474" s="126" t="s">
        <v>838</v>
      </c>
      <c r="F474" s="126" t="s">
        <v>41</v>
      </c>
      <c r="G474" s="126" t="s">
        <v>118</v>
      </c>
      <c r="H474" s="126"/>
      <c r="I474" s="126" t="s">
        <v>118</v>
      </c>
      <c r="J474" s="126"/>
      <c r="K474" s="127">
        <v>43223</v>
      </c>
      <c r="L474" s="128"/>
      <c r="M474" s="128">
        <v>2</v>
      </c>
      <c r="N474" s="126">
        <v>3</v>
      </c>
      <c r="O474" s="126" t="s">
        <v>119</v>
      </c>
      <c r="P474" s="129" t="s">
        <v>839</v>
      </c>
      <c r="Q474" s="129" t="s">
        <v>840</v>
      </c>
      <c r="R474" s="126" t="s">
        <v>26</v>
      </c>
      <c r="S474" s="126"/>
      <c r="T474" s="130" t="s">
        <v>144</v>
      </c>
      <c r="U474" s="126" t="s">
        <v>841</v>
      </c>
      <c r="V474" s="130" t="s">
        <v>120</v>
      </c>
      <c r="W474" s="126"/>
      <c r="X474" s="130" t="s">
        <v>120</v>
      </c>
      <c r="Y474" s="126" t="s">
        <v>120</v>
      </c>
      <c r="Z474" s="162"/>
      <c r="AA474" s="154"/>
      <c r="AB474" s="154"/>
      <c r="AC474" s="167" t="s">
        <v>123</v>
      </c>
      <c r="AD474" s="126"/>
      <c r="AE474" s="130" t="s">
        <v>265</v>
      </c>
      <c r="AF474" s="127" t="s">
        <v>815</v>
      </c>
      <c r="AG474" s="131"/>
      <c r="AH474" s="131"/>
      <c r="AI474" s="126" t="s">
        <v>816</v>
      </c>
      <c r="AJ474" s="130" t="s">
        <v>144</v>
      </c>
      <c r="AK474" s="126" t="s">
        <v>240</v>
      </c>
      <c r="AL474" s="126" t="s">
        <v>842</v>
      </c>
      <c r="AM474" s="130"/>
      <c r="AN474" s="126"/>
      <c r="AO474" s="132"/>
      <c r="AP474" s="126"/>
      <c r="AQ474" s="126"/>
      <c r="AR474" s="130"/>
      <c r="AS474" s="126"/>
      <c r="AT474" s="127"/>
      <c r="AU474" s="127">
        <v>43453.379092708303</v>
      </c>
      <c r="AV474" s="127"/>
      <c r="AW474" s="127"/>
      <c r="AX474" s="127"/>
      <c r="AY474" s="127"/>
      <c r="AZ474" s="133">
        <v>43223</v>
      </c>
      <c r="BA47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4" s="135">
        <f>COUNTIFS(_05preva_view43[Site ID],_05preva_view43[[#This Row],[Site ID]],_05preva_view43[Prevalidation Status],"Under Prevalidation")</f>
        <v>0</v>
      </c>
      <c r="BC474" s="153" t="str">
        <f ca="1">HYPERLINK(CheckPath(_05preva_view43[[#This Row],[File Path]],_05preva_view43[[#This Row],[File Path]],_05preva_view43[[#This Row],[Folder Path3]]),CheckPath(_05preva_view43[[#This Row],[File Path]],"Open File","No File"))</f>
        <v>No File</v>
      </c>
      <c r="BD474" s="136" t="str">
        <f>CONCATENATE(_05preva_view43[[#This Row],[Site ID]]," (",_05preva_view43[[#This Row],[tenant id]],") Application",IF(_05preva_view43[[#This Row],[Colo Rev]]&gt;0," Rev "&amp;_05preva_view43[[#This Row],[Colo Rev]],""),".xlsx")</f>
        <v>AYYN_0416 (YGNDWBN001) Application.xlsx</v>
      </c>
      <c r="BE474" s="64">
        <f t="shared" ca="1" si="9"/>
        <v>50</v>
      </c>
      <c r="BF474" s="104" t="str">
        <f ca="1">LEFT(CELL("filename",A459),_05preva_view43[[#This Row],[Find Process &amp; Database]]-1)</f>
        <v>D:\OneDrive - apollo-towers.com\Apollo Towers\00-</v>
      </c>
      <c r="BG474" s="104" t="str">
        <f ca="1">_05preva_view43[Folder Path1]&amp;"Process &amp; Database\Documentation\Colo Applications"</f>
        <v>D:\OneDrive - apollo-towers.com\Apollo Towers\00-Process &amp; Database\Documentation\Colo Applications</v>
      </c>
      <c r="BH474" s="104" t="str">
        <f ca="1">_05preva_view43[Folder Path2]&amp;"\Colo App "&amp;_05preva_view43[[#This Row],[Operator]]&amp;"\"</f>
        <v>D:\OneDrive - apollo-towers.com\Apollo Towers\00-Process &amp; Database\Documentation\Colo Applications\Colo App Amara\</v>
      </c>
      <c r="BI474" s="63" t="str">
        <f ca="1">_05preva_view43[[#This Row],[Folder Path3]]&amp;_05preva_view43[[#This Row],[File Name]]</f>
        <v>D:\OneDrive - apollo-towers.com\Apollo Towers\00-Process &amp; Database\Documentation\Colo Applications\Colo App Amara\AYYN_0416 (YGNDWBN001) Application.xlsx</v>
      </c>
      <c r="BJ474" s="104"/>
      <c r="BK474" s="3"/>
      <c r="BL474" s="3"/>
      <c r="CJ474" s="5"/>
      <c r="CK474" s="5"/>
      <c r="CL474" s="3"/>
      <c r="CN474" s="5"/>
      <c r="CR474" s="3"/>
      <c r="CS474" s="3"/>
      <c r="CT474" s="5"/>
      <c r="CV474" s="3"/>
      <c r="DR474" s="5"/>
      <c r="DT474" s="3"/>
      <c r="EF474" s="7"/>
      <c r="EG474" s="7"/>
      <c r="EJ474" s="4"/>
      <c r="EK474" s="4"/>
      <c r="EU474" s="2"/>
      <c r="EV474" s="2"/>
    </row>
    <row r="475" spans="1:152">
      <c r="A475" s="125">
        <v>51</v>
      </c>
      <c r="B475" s="126" t="s">
        <v>330</v>
      </c>
      <c r="C475" s="126" t="s">
        <v>331</v>
      </c>
      <c r="D475" s="126" t="s">
        <v>127</v>
      </c>
      <c r="E475" s="126" t="s">
        <v>332</v>
      </c>
      <c r="F475" s="126" t="s">
        <v>40</v>
      </c>
      <c r="G475" s="126" t="s">
        <v>1581</v>
      </c>
      <c r="H475" s="126" t="s">
        <v>1575</v>
      </c>
      <c r="I475" s="126" t="s">
        <v>118</v>
      </c>
      <c r="J475" s="126"/>
      <c r="K475" s="127">
        <v>43223</v>
      </c>
      <c r="L475" s="128"/>
      <c r="M475" s="128">
        <v>3</v>
      </c>
      <c r="N475" s="126">
        <v>6</v>
      </c>
      <c r="O475" s="126" t="s">
        <v>119</v>
      </c>
      <c r="P475" s="129" t="s">
        <v>333</v>
      </c>
      <c r="Q475" s="129" t="s">
        <v>334</v>
      </c>
      <c r="R475" s="126" t="s">
        <v>26</v>
      </c>
      <c r="S475" s="126" t="s">
        <v>335</v>
      </c>
      <c r="T475" s="130" t="s">
        <v>120</v>
      </c>
      <c r="U475" s="126" t="s">
        <v>121</v>
      </c>
      <c r="V475" s="130" t="s">
        <v>120</v>
      </c>
      <c r="W475" s="126"/>
      <c r="X475" s="130" t="s">
        <v>120</v>
      </c>
      <c r="Y475" s="126"/>
      <c r="Z475" s="162" t="s">
        <v>125</v>
      </c>
      <c r="AA475" s="154"/>
      <c r="AB475" s="154"/>
      <c r="AC475" s="167"/>
      <c r="AD475" s="126" t="s">
        <v>336</v>
      </c>
      <c r="AE475" s="130" t="s">
        <v>120</v>
      </c>
      <c r="AF475" s="127"/>
      <c r="AG475" s="131"/>
      <c r="AH475" s="131">
        <v>2</v>
      </c>
      <c r="AI475" s="126" t="s">
        <v>337</v>
      </c>
      <c r="AJ475" s="130"/>
      <c r="AK475" s="126"/>
      <c r="AL475" s="126"/>
      <c r="AM475" s="130"/>
      <c r="AN475" s="126"/>
      <c r="AO475" s="132"/>
      <c r="AP475" s="126"/>
      <c r="AQ475" s="126"/>
      <c r="AR475" s="130"/>
      <c r="AS475" s="126"/>
      <c r="AT475" s="127"/>
      <c r="AU475" s="127">
        <v>43453.3789600694</v>
      </c>
      <c r="AV475" s="127"/>
      <c r="AW475" s="127"/>
      <c r="AX475" s="127"/>
      <c r="AY475" s="127"/>
      <c r="AZ475" s="133">
        <v>43223</v>
      </c>
      <c r="BA47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5" s="135">
        <f>COUNTIFS(_05preva_view43[Site ID],_05preva_view43[[#This Row],[Site ID]],_05preva_view43[Prevalidation Status],"Under Prevalidation")</f>
        <v>0</v>
      </c>
      <c r="BC475" s="153" t="str">
        <f ca="1">HYPERLINK(CheckPath(_05preva_view43[[#This Row],[File Path]],_05preva_view43[[#This Row],[File Path]],_05preva_view43[[#This Row],[Folder Path3]]),CheckPath(_05preva_view43[[#This Row],[File Path]],"Open File","No File"))</f>
        <v>No File</v>
      </c>
      <c r="BD475" s="136" t="str">
        <f>CONCATENATE(_05preva_view43[[#This Row],[Site ID]]," (",_05preva_view43[[#This Row],[tenant id]],") Application",IF(_05preva_view43[[#This Row],[Colo Rev]]&gt;0," Rev "&amp;_05preva_view43[[#This Row],[Colo Rev]],""),".xlsx")</f>
        <v>1-01-15010-001 (SHW1189) Application.xlsx</v>
      </c>
      <c r="BE475" s="64">
        <f t="shared" ca="1" si="9"/>
        <v>50</v>
      </c>
      <c r="BF475" s="104" t="str">
        <f ca="1">LEFT(CELL("filename",A460),_05preva_view43[[#This Row],[Find Process &amp; Database]]-1)</f>
        <v>D:\OneDrive - apollo-towers.com\Apollo Towers\00-</v>
      </c>
      <c r="BG475" s="104" t="str">
        <f ca="1">_05preva_view43[Folder Path1]&amp;"Process &amp; Database\Documentation\Colo Applications"</f>
        <v>D:\OneDrive - apollo-towers.com\Apollo Towers\00-Process &amp; Database\Documentation\Colo Applications</v>
      </c>
      <c r="BH475" s="104" t="str">
        <f ca="1">_05preva_view43[Folder Path2]&amp;"\Colo App "&amp;_05preva_view43[[#This Row],[Operator]]&amp;"\"</f>
        <v>D:\OneDrive - apollo-towers.com\Apollo Towers\00-Process &amp; Database\Documentation\Colo Applications\Colo App OML\</v>
      </c>
      <c r="BI475" s="63" t="str">
        <f ca="1">_05preva_view43[[#This Row],[Folder Path3]]&amp;_05preva_view43[[#This Row],[File Name]]</f>
        <v>D:\OneDrive - apollo-towers.com\Apollo Towers\00-Process &amp; Database\Documentation\Colo Applications\Colo App OML\1-01-15010-001 (SHW1189) Application.xlsx</v>
      </c>
      <c r="BJ475" s="104"/>
      <c r="BK475" s="3"/>
      <c r="BL475" s="3"/>
      <c r="CJ475" s="5"/>
      <c r="CK475" s="5"/>
      <c r="CL475" s="3"/>
      <c r="CN475" s="5"/>
      <c r="CR475" s="3"/>
      <c r="CS475" s="3"/>
      <c r="CT475" s="5"/>
      <c r="CV475" s="3"/>
      <c r="DR475" s="5"/>
      <c r="DT475" s="3"/>
      <c r="EF475" s="7"/>
      <c r="EG475" s="7"/>
      <c r="EJ475" s="4"/>
      <c r="EK475" s="4"/>
      <c r="EU475" s="2"/>
      <c r="EV475" s="2"/>
    </row>
    <row r="476" spans="1:152">
      <c r="A476" s="125">
        <v>50</v>
      </c>
      <c r="B476" s="126" t="s">
        <v>327</v>
      </c>
      <c r="C476" s="126" t="s">
        <v>116</v>
      </c>
      <c r="D476" s="126" t="s">
        <v>163</v>
      </c>
      <c r="E476" s="126" t="s">
        <v>328</v>
      </c>
      <c r="F476" s="126" t="s">
        <v>40</v>
      </c>
      <c r="G476" s="126" t="s">
        <v>118</v>
      </c>
      <c r="H476" s="126"/>
      <c r="I476" s="126" t="s">
        <v>118</v>
      </c>
      <c r="J476" s="126"/>
      <c r="K476" s="127">
        <v>43217</v>
      </c>
      <c r="L476" s="128"/>
      <c r="M476" s="128">
        <v>3</v>
      </c>
      <c r="N476" s="126">
        <v>10</v>
      </c>
      <c r="O476" s="126" t="s">
        <v>119</v>
      </c>
      <c r="P476" s="129" t="s">
        <v>277</v>
      </c>
      <c r="Q476" s="129" t="s">
        <v>291</v>
      </c>
      <c r="R476" s="126" t="s">
        <v>26</v>
      </c>
      <c r="S476" s="126"/>
      <c r="T476" s="130" t="s">
        <v>120</v>
      </c>
      <c r="U476" s="126" t="s">
        <v>121</v>
      </c>
      <c r="V476" s="130" t="s">
        <v>120</v>
      </c>
      <c r="W476" s="126"/>
      <c r="X476" s="130" t="s">
        <v>120</v>
      </c>
      <c r="Y476" s="126"/>
      <c r="Z476" s="162" t="s">
        <v>120</v>
      </c>
      <c r="AA476" s="154"/>
      <c r="AB476" s="154"/>
      <c r="AC476" s="167"/>
      <c r="AD476" s="126"/>
      <c r="AE476" s="130" t="s">
        <v>144</v>
      </c>
      <c r="AF476" s="127"/>
      <c r="AG476" s="131"/>
      <c r="AH476" s="131">
        <v>2</v>
      </c>
      <c r="AI476" s="126" t="s">
        <v>329</v>
      </c>
      <c r="AJ476" s="130"/>
      <c r="AK476" s="126"/>
      <c r="AL476" s="126"/>
      <c r="AM476" s="130"/>
      <c r="AN476" s="126"/>
      <c r="AO476" s="132"/>
      <c r="AP476" s="126"/>
      <c r="AQ476" s="126"/>
      <c r="AR476" s="130"/>
      <c r="AS476" s="126"/>
      <c r="AT476" s="127"/>
      <c r="AU476" s="127"/>
      <c r="AV476" s="127"/>
      <c r="AW476" s="127"/>
      <c r="AX476" s="127"/>
      <c r="AY476" s="127"/>
      <c r="AZ476" s="133">
        <v>43217</v>
      </c>
      <c r="BA47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6" s="135">
        <f>COUNTIFS(_05preva_view43[Site ID],_05preva_view43[[#This Row],[Site ID]],_05preva_view43[Prevalidation Status],"Under Prevalidation")</f>
        <v>0</v>
      </c>
      <c r="BC476" s="153" t="str">
        <f ca="1">HYPERLINK(CheckPath(_05preva_view43[[#This Row],[File Path]],_05preva_view43[[#This Row],[File Path]],_05preva_view43[[#This Row],[Folder Path3]]),CheckPath(_05preva_view43[[#This Row],[File Path]],"Open File","No File"))</f>
        <v>No File</v>
      </c>
      <c r="BD476" s="136" t="str">
        <f>CONCATENATE(_05preva_view43[[#This Row],[Site ID]]," (",_05preva_view43[[#This Row],[tenant id]],") Application",IF(_05preva_view43[[#This Row],[Colo Rev]]&gt;0," Rev "&amp;_05preva_view43[[#This Row],[Colo Rev]],""),".xlsx")</f>
        <v>ASMO_0202 (MOW6163) Application.xlsx</v>
      </c>
      <c r="BE476" s="64">
        <f t="shared" ca="1" si="9"/>
        <v>50</v>
      </c>
      <c r="BF476" s="104" t="str">
        <f ca="1">LEFT(CELL("filename",A461),_05preva_view43[[#This Row],[Find Process &amp; Database]]-1)</f>
        <v>D:\OneDrive - apollo-towers.com\Apollo Towers\00-</v>
      </c>
      <c r="BG476" s="104" t="str">
        <f ca="1">_05preva_view43[Folder Path1]&amp;"Process &amp; Database\Documentation\Colo Applications"</f>
        <v>D:\OneDrive - apollo-towers.com\Apollo Towers\00-Process &amp; Database\Documentation\Colo Applications</v>
      </c>
      <c r="BH476" s="104" t="str">
        <f ca="1">_05preva_view43[Folder Path2]&amp;"\Colo App "&amp;_05preva_view43[[#This Row],[Operator]]&amp;"\"</f>
        <v>D:\OneDrive - apollo-towers.com\Apollo Towers\00-Process &amp; Database\Documentation\Colo Applications\Colo App OML\</v>
      </c>
      <c r="BI476" s="63" t="str">
        <f ca="1">_05preva_view43[[#This Row],[Folder Path3]]&amp;_05preva_view43[[#This Row],[File Name]]</f>
        <v>D:\OneDrive - apollo-towers.com\Apollo Towers\00-Process &amp; Database\Documentation\Colo Applications\Colo App OML\ASMO_0202 (MOW6163) Application.xlsx</v>
      </c>
      <c r="BJ476" s="104"/>
      <c r="BK476" s="3"/>
      <c r="BL476" s="3"/>
      <c r="CJ476" s="5"/>
      <c r="CK476" s="5"/>
      <c r="CL476" s="3"/>
      <c r="CN476" s="5"/>
      <c r="CR476" s="3"/>
      <c r="CS476" s="3"/>
      <c r="CT476" s="5"/>
      <c r="CV476" s="3"/>
      <c r="DR476" s="5"/>
      <c r="DT476" s="3"/>
      <c r="EF476" s="7"/>
      <c r="EG476" s="7"/>
      <c r="EJ476" s="4"/>
      <c r="EK476" s="4"/>
      <c r="EU476" s="2"/>
      <c r="EV476" s="2"/>
    </row>
    <row r="477" spans="1:152">
      <c r="A477" s="125">
        <v>42</v>
      </c>
      <c r="B477" s="126" t="s">
        <v>302</v>
      </c>
      <c r="C477" s="126" t="s">
        <v>116</v>
      </c>
      <c r="D477" s="126" t="s">
        <v>163</v>
      </c>
      <c r="E477" s="126" t="s">
        <v>303</v>
      </c>
      <c r="F477" s="126" t="s">
        <v>34</v>
      </c>
      <c r="G477" s="126" t="s">
        <v>1574</v>
      </c>
      <c r="H477" s="126" t="s">
        <v>1575</v>
      </c>
      <c r="I477" s="126" t="s">
        <v>118</v>
      </c>
      <c r="J477" s="126"/>
      <c r="K477" s="127">
        <v>43202</v>
      </c>
      <c r="L477" s="128"/>
      <c r="M477" s="128">
        <v>2</v>
      </c>
      <c r="N477" s="126">
        <v>6</v>
      </c>
      <c r="O477" s="126" t="s">
        <v>119</v>
      </c>
      <c r="P477" s="129" t="s">
        <v>291</v>
      </c>
      <c r="Q477" s="129" t="s">
        <v>292</v>
      </c>
      <c r="R477" s="126" t="s">
        <v>24</v>
      </c>
      <c r="S477" s="126"/>
      <c r="T477" s="130" t="s">
        <v>120</v>
      </c>
      <c r="U477" s="126" t="s">
        <v>121</v>
      </c>
      <c r="V477" s="130" t="s">
        <v>120</v>
      </c>
      <c r="W477" s="126"/>
      <c r="X477" s="130" t="s">
        <v>120</v>
      </c>
      <c r="Y477" s="126" t="s">
        <v>304</v>
      </c>
      <c r="Z477" s="162" t="s">
        <v>120</v>
      </c>
      <c r="AA477" s="154"/>
      <c r="AB477" s="154"/>
      <c r="AC477" s="167"/>
      <c r="AD477" s="126"/>
      <c r="AE477" s="130" t="s">
        <v>120</v>
      </c>
      <c r="AF477" s="127" t="s">
        <v>305</v>
      </c>
      <c r="AG477" s="131"/>
      <c r="AH477" s="131">
        <v>2</v>
      </c>
      <c r="AI477" s="126" t="s">
        <v>306</v>
      </c>
      <c r="AJ477" s="130" t="s">
        <v>120</v>
      </c>
      <c r="AK477" s="126" t="s">
        <v>123</v>
      </c>
      <c r="AL477" s="126"/>
      <c r="AM477" s="130"/>
      <c r="AN477" s="126"/>
      <c r="AO477" s="132"/>
      <c r="AP477" s="126"/>
      <c r="AQ477" s="126"/>
      <c r="AR477" s="130"/>
      <c r="AS477" s="126"/>
      <c r="AT477" s="127"/>
      <c r="AU477" s="127">
        <v>43453.378945833298</v>
      </c>
      <c r="AV477" s="127"/>
      <c r="AW477" s="127"/>
      <c r="AX477" s="127"/>
      <c r="AY477" s="127"/>
      <c r="AZ477" s="133">
        <v>43202</v>
      </c>
      <c r="BA47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7" s="135">
        <f>COUNTIFS(_05preva_view43[Site ID],_05preva_view43[[#This Row],[Site ID]],_05preva_view43[Prevalidation Status],"Under Prevalidation")</f>
        <v>0</v>
      </c>
      <c r="BC477" s="153" t="str">
        <f ca="1">HYPERLINK(CheckPath(_05preva_view43[[#This Row],[File Path]],_05preva_view43[[#This Row],[File Path]],_05preva_view43[[#This Row],[Folder Path3]]),CheckPath(_05preva_view43[[#This Row],[File Path]],"Open File","No File"))</f>
        <v>No File</v>
      </c>
      <c r="BD477" s="136" t="str">
        <f>CONCATENATE(_05preva_view43[[#This Row],[Site ID]]," (",_05preva_view43[[#This Row],[tenant id]],") Application",IF(_05preva_view43[[#This Row],[Colo Rev]]&gt;0," Rev "&amp;_05preva_view43[[#This Row],[Colo Rev]],""),".xlsx")</f>
        <v>ACBA_0052 (BGO0947) Application.xlsx</v>
      </c>
      <c r="BE477" s="64">
        <f t="shared" ca="1" si="9"/>
        <v>50</v>
      </c>
      <c r="BF477" s="104" t="str">
        <f ca="1">LEFT(CELL("filename",A462),_05preva_view43[[#This Row],[Find Process &amp; Database]]-1)</f>
        <v>D:\OneDrive - apollo-towers.com\Apollo Towers\00-</v>
      </c>
      <c r="BG477" s="104" t="str">
        <f ca="1">_05preva_view43[Folder Path1]&amp;"Process &amp; Database\Documentation\Colo Applications"</f>
        <v>D:\OneDrive - apollo-towers.com\Apollo Towers\00-Process &amp; Database\Documentation\Colo Applications</v>
      </c>
      <c r="BH477" s="104" t="str">
        <f ca="1">_05preva_view43[Folder Path2]&amp;"\Colo App "&amp;_05preva_view43[[#This Row],[Operator]]&amp;"\"</f>
        <v>D:\OneDrive - apollo-towers.com\Apollo Towers\00-Process &amp; Database\Documentation\Colo Applications\Colo App Mytel\</v>
      </c>
      <c r="BI477" s="63" t="str">
        <f ca="1">_05preva_view43[[#This Row],[Folder Path3]]&amp;_05preva_view43[[#This Row],[File Name]]</f>
        <v>D:\OneDrive - apollo-towers.com\Apollo Towers\00-Process &amp; Database\Documentation\Colo Applications\Colo App Mytel\ACBA_0052 (BGO0947) Application.xlsx</v>
      </c>
      <c r="BJ477" s="104"/>
      <c r="BK477" s="3"/>
      <c r="BL477" s="3"/>
      <c r="CJ477" s="5"/>
      <c r="CK477" s="5"/>
      <c r="CL477" s="3"/>
      <c r="CN477" s="5"/>
      <c r="CR477" s="3"/>
      <c r="CS477" s="3"/>
      <c r="CT477" s="5"/>
      <c r="CV477" s="3"/>
      <c r="DR477" s="5"/>
      <c r="DT477" s="3"/>
      <c r="EF477" s="7"/>
      <c r="EG477" s="7"/>
      <c r="EJ477" s="4"/>
      <c r="EK477" s="4"/>
      <c r="EU477" s="2"/>
      <c r="EV477" s="2"/>
    </row>
    <row r="478" spans="1:152">
      <c r="A478" s="125">
        <v>43</v>
      </c>
      <c r="B478" s="126" t="s">
        <v>307</v>
      </c>
      <c r="C478" s="126" t="s">
        <v>116</v>
      </c>
      <c r="D478" s="126" t="s">
        <v>117</v>
      </c>
      <c r="E478" s="126" t="s">
        <v>308</v>
      </c>
      <c r="F478" s="126" t="s">
        <v>34</v>
      </c>
      <c r="G478" s="126" t="s">
        <v>1574</v>
      </c>
      <c r="H478" s="126" t="s">
        <v>1575</v>
      </c>
      <c r="I478" s="126" t="s">
        <v>118</v>
      </c>
      <c r="J478" s="126"/>
      <c r="K478" s="127">
        <v>43202</v>
      </c>
      <c r="L478" s="128"/>
      <c r="M478" s="128">
        <v>2</v>
      </c>
      <c r="N478" s="126">
        <v>6</v>
      </c>
      <c r="O478" s="126" t="s">
        <v>119</v>
      </c>
      <c r="P478" s="129" t="s">
        <v>291</v>
      </c>
      <c r="Q478" s="129" t="s">
        <v>292</v>
      </c>
      <c r="R478" s="126" t="s">
        <v>24</v>
      </c>
      <c r="S478" s="126"/>
      <c r="T478" s="130" t="s">
        <v>120</v>
      </c>
      <c r="U478" s="126" t="s">
        <v>121</v>
      </c>
      <c r="V478" s="130" t="s">
        <v>120</v>
      </c>
      <c r="W478" s="126"/>
      <c r="X478" s="130" t="s">
        <v>120</v>
      </c>
      <c r="Y478" s="126" t="s">
        <v>309</v>
      </c>
      <c r="Z478" s="162" t="s">
        <v>120</v>
      </c>
      <c r="AA478" s="154"/>
      <c r="AB478" s="154"/>
      <c r="AC478" s="167"/>
      <c r="AD478" s="126"/>
      <c r="AE478" s="130" t="s">
        <v>120</v>
      </c>
      <c r="AF478" s="127" t="s">
        <v>305</v>
      </c>
      <c r="AG478" s="131"/>
      <c r="AH478" s="131">
        <v>2</v>
      </c>
      <c r="AI478" s="126" t="s">
        <v>310</v>
      </c>
      <c r="AJ478" s="130" t="s">
        <v>120</v>
      </c>
      <c r="AK478" s="126" t="s">
        <v>123</v>
      </c>
      <c r="AL478" s="126"/>
      <c r="AM478" s="130"/>
      <c r="AN478" s="126"/>
      <c r="AO478" s="132"/>
      <c r="AP478" s="126"/>
      <c r="AQ478" s="126"/>
      <c r="AR478" s="130"/>
      <c r="AS478" s="126"/>
      <c r="AT478" s="127"/>
      <c r="AU478" s="127">
        <v>43453.378948842597</v>
      </c>
      <c r="AV478" s="127"/>
      <c r="AW478" s="127"/>
      <c r="AX478" s="127"/>
      <c r="AY478" s="127"/>
      <c r="AZ478" s="133">
        <v>43202</v>
      </c>
      <c r="BA47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8" s="135">
        <f>COUNTIFS(_05preva_view43[Site ID],_05preva_view43[[#This Row],[Site ID]],_05preva_view43[Prevalidation Status],"Under Prevalidation")</f>
        <v>0</v>
      </c>
      <c r="BC478" s="153" t="str">
        <f ca="1">HYPERLINK(CheckPath(_05preva_view43[[#This Row],[File Path]],_05preva_view43[[#This Row],[File Path]],_05preva_view43[[#This Row],[Folder Path3]]),CheckPath(_05preva_view43[[#This Row],[File Path]],"Open File","No File"))</f>
        <v>No File</v>
      </c>
      <c r="BD478" s="136" t="str">
        <f>CONCATENATE(_05preva_view43[[#This Row],[Site ID]]," (",_05preva_view43[[#This Row],[tenant id]],") Application",IF(_05preva_view43[[#This Row],[Colo Rev]]&gt;0," Rev "&amp;_05preva_view43[[#This Row],[Colo Rev]],""),".xlsx")</f>
        <v>ACBA_0118 (BGO0948) Application.xlsx</v>
      </c>
      <c r="BE478" s="64">
        <f t="shared" ca="1" si="9"/>
        <v>50</v>
      </c>
      <c r="BF478" s="104" t="str">
        <f ca="1">LEFT(CELL("filename",A463),_05preva_view43[[#This Row],[Find Process &amp; Database]]-1)</f>
        <v>D:\OneDrive - apollo-towers.com\Apollo Towers\00-</v>
      </c>
      <c r="BG478" s="104" t="str">
        <f ca="1">_05preva_view43[Folder Path1]&amp;"Process &amp; Database\Documentation\Colo Applications"</f>
        <v>D:\OneDrive - apollo-towers.com\Apollo Towers\00-Process &amp; Database\Documentation\Colo Applications</v>
      </c>
      <c r="BH478" s="104" t="str">
        <f ca="1">_05preva_view43[Folder Path2]&amp;"\Colo App "&amp;_05preva_view43[[#This Row],[Operator]]&amp;"\"</f>
        <v>D:\OneDrive - apollo-towers.com\Apollo Towers\00-Process &amp; Database\Documentation\Colo Applications\Colo App Mytel\</v>
      </c>
      <c r="BI478" s="63" t="str">
        <f ca="1">_05preva_view43[[#This Row],[Folder Path3]]&amp;_05preva_view43[[#This Row],[File Name]]</f>
        <v>D:\OneDrive - apollo-towers.com\Apollo Towers\00-Process &amp; Database\Documentation\Colo Applications\Colo App Mytel\ACBA_0118 (BGO0948) Application.xlsx</v>
      </c>
      <c r="BJ478" s="104"/>
      <c r="BK478" s="3"/>
      <c r="BL478" s="3"/>
      <c r="CJ478" s="5"/>
      <c r="CK478" s="5"/>
      <c r="CL478" s="3"/>
      <c r="CN478" s="5"/>
      <c r="CR478" s="3"/>
      <c r="CS478" s="3"/>
      <c r="CT478" s="5"/>
      <c r="CV478" s="3"/>
      <c r="DR478" s="5"/>
      <c r="DT478" s="3"/>
      <c r="EF478" s="7"/>
      <c r="EG478" s="7"/>
      <c r="EJ478" s="4"/>
      <c r="EK478" s="4"/>
      <c r="EU478" s="2"/>
      <c r="EV478" s="2"/>
    </row>
    <row r="479" spans="1:152">
      <c r="A479" s="125">
        <v>44</v>
      </c>
      <c r="B479" s="126" t="s">
        <v>311</v>
      </c>
      <c r="C479" s="126" t="s">
        <v>116</v>
      </c>
      <c r="D479" s="126" t="s">
        <v>117</v>
      </c>
      <c r="E479" s="126" t="s">
        <v>312</v>
      </c>
      <c r="F479" s="126" t="s">
        <v>34</v>
      </c>
      <c r="G479" s="126" t="s">
        <v>1574</v>
      </c>
      <c r="H479" s="126" t="s">
        <v>1575</v>
      </c>
      <c r="I479" s="126" t="s">
        <v>118</v>
      </c>
      <c r="J479" s="126"/>
      <c r="K479" s="127">
        <v>43202</v>
      </c>
      <c r="L479" s="128"/>
      <c r="M479" s="128">
        <v>2</v>
      </c>
      <c r="N479" s="126">
        <v>6</v>
      </c>
      <c r="O479" s="126" t="s">
        <v>119</v>
      </c>
      <c r="P479" s="129" t="s">
        <v>291</v>
      </c>
      <c r="Q479" s="129" t="s">
        <v>292</v>
      </c>
      <c r="R479" s="126" t="s">
        <v>24</v>
      </c>
      <c r="S479" s="126"/>
      <c r="T479" s="130" t="s">
        <v>120</v>
      </c>
      <c r="U479" s="126" t="s">
        <v>121</v>
      </c>
      <c r="V479" s="130" t="s">
        <v>120</v>
      </c>
      <c r="W479" s="126"/>
      <c r="X479" s="130" t="s">
        <v>120</v>
      </c>
      <c r="Y479" s="126"/>
      <c r="Z479" s="162" t="s">
        <v>120</v>
      </c>
      <c r="AA479" s="154"/>
      <c r="AB479" s="154"/>
      <c r="AC479" s="167"/>
      <c r="AD479" s="126"/>
      <c r="AE479" s="130" t="s">
        <v>120</v>
      </c>
      <c r="AF479" s="127" t="s">
        <v>305</v>
      </c>
      <c r="AG479" s="131"/>
      <c r="AH479" s="131">
        <v>2</v>
      </c>
      <c r="AI479" s="126" t="s">
        <v>310</v>
      </c>
      <c r="AJ479" s="130" t="s">
        <v>120</v>
      </c>
      <c r="AK479" s="126" t="s">
        <v>123</v>
      </c>
      <c r="AL479" s="126"/>
      <c r="AM479" s="130"/>
      <c r="AN479" s="126"/>
      <c r="AO479" s="132"/>
      <c r="AP479" s="126"/>
      <c r="AQ479" s="126"/>
      <c r="AR479" s="130"/>
      <c r="AS479" s="126"/>
      <c r="AT479" s="127"/>
      <c r="AU479" s="127">
        <v>43453.378949652797</v>
      </c>
      <c r="AV479" s="127"/>
      <c r="AW479" s="127"/>
      <c r="AX479" s="127"/>
      <c r="AY479" s="127"/>
      <c r="AZ479" s="133">
        <v>43202</v>
      </c>
      <c r="BA47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9" s="135">
        <f>COUNTIFS(_05preva_view43[Site ID],_05preva_view43[[#This Row],[Site ID]],_05preva_view43[Prevalidation Status],"Under Prevalidation")</f>
        <v>0</v>
      </c>
      <c r="BC479" s="153" t="str">
        <f ca="1">HYPERLINK(CheckPath(_05preva_view43[[#This Row],[File Path]],_05preva_view43[[#This Row],[File Path]],_05preva_view43[[#This Row],[Folder Path3]]),CheckPath(_05preva_view43[[#This Row],[File Path]],"Open File","No File"))</f>
        <v>No File</v>
      </c>
      <c r="BD479" s="136" t="str">
        <f>CONCATENATE(_05preva_view43[[#This Row],[Site ID]]," (",_05preva_view43[[#This Row],[tenant id]],") Application",IF(_05preva_view43[[#This Row],[Colo Rev]]&gt;0," Rev "&amp;_05preva_view43[[#This Row],[Colo Rev]],""),".xlsx")</f>
        <v>ACBA_0075 (BGO0949) Application.xlsx</v>
      </c>
      <c r="BE479" s="64">
        <f t="shared" ca="1" si="9"/>
        <v>50</v>
      </c>
      <c r="BF479" s="104" t="str">
        <f ca="1">LEFT(CELL("filename",A464),_05preva_view43[[#This Row],[Find Process &amp; Database]]-1)</f>
        <v>D:\OneDrive - apollo-towers.com\Apollo Towers\00-</v>
      </c>
      <c r="BG479" s="104" t="str">
        <f ca="1">_05preva_view43[Folder Path1]&amp;"Process &amp; Database\Documentation\Colo Applications"</f>
        <v>D:\OneDrive - apollo-towers.com\Apollo Towers\00-Process &amp; Database\Documentation\Colo Applications</v>
      </c>
      <c r="BH479" s="104" t="str">
        <f ca="1">_05preva_view43[Folder Path2]&amp;"\Colo App "&amp;_05preva_view43[[#This Row],[Operator]]&amp;"\"</f>
        <v>D:\OneDrive - apollo-towers.com\Apollo Towers\00-Process &amp; Database\Documentation\Colo Applications\Colo App Mytel\</v>
      </c>
      <c r="BI479" s="63" t="str">
        <f ca="1">_05preva_view43[[#This Row],[Folder Path3]]&amp;_05preva_view43[[#This Row],[File Name]]</f>
        <v>D:\OneDrive - apollo-towers.com\Apollo Towers\00-Process &amp; Database\Documentation\Colo Applications\Colo App Mytel\ACBA_0075 (BGO0949) Application.xlsx</v>
      </c>
      <c r="BJ479" s="104"/>
      <c r="BK479" s="3"/>
      <c r="BL479" s="3"/>
      <c r="CJ479" s="5"/>
      <c r="CK479" s="5"/>
      <c r="CL479" s="3"/>
      <c r="CN479" s="5"/>
      <c r="CR479" s="3"/>
      <c r="CS479" s="3"/>
      <c r="CT479" s="5"/>
      <c r="CV479" s="3"/>
      <c r="DR479" s="5"/>
      <c r="DT479" s="3"/>
      <c r="EF479" s="7"/>
      <c r="EG479" s="7"/>
      <c r="EJ479" s="4"/>
      <c r="EK479" s="4"/>
      <c r="EU479" s="2"/>
      <c r="EV479" s="2"/>
    </row>
    <row r="480" spans="1:152">
      <c r="A480" s="125">
        <v>45</v>
      </c>
      <c r="B480" s="126" t="s">
        <v>313</v>
      </c>
      <c r="C480" s="126" t="s">
        <v>116</v>
      </c>
      <c r="D480" s="126" t="s">
        <v>117</v>
      </c>
      <c r="E480" s="126" t="s">
        <v>314</v>
      </c>
      <c r="F480" s="126" t="s">
        <v>34</v>
      </c>
      <c r="G480" s="126" t="s">
        <v>1574</v>
      </c>
      <c r="H480" s="126" t="s">
        <v>1575</v>
      </c>
      <c r="I480" s="126" t="s">
        <v>118</v>
      </c>
      <c r="J480" s="126"/>
      <c r="K480" s="127">
        <v>43202</v>
      </c>
      <c r="L480" s="128"/>
      <c r="M480" s="128">
        <v>2</v>
      </c>
      <c r="N480" s="126">
        <v>6</v>
      </c>
      <c r="O480" s="126" t="s">
        <v>119</v>
      </c>
      <c r="P480" s="129" t="s">
        <v>291</v>
      </c>
      <c r="Q480" s="129" t="s">
        <v>292</v>
      </c>
      <c r="R480" s="126" t="s">
        <v>24</v>
      </c>
      <c r="S480" s="126"/>
      <c r="T480" s="130" t="s">
        <v>120</v>
      </c>
      <c r="U480" s="126" t="s">
        <v>121</v>
      </c>
      <c r="V480" s="130" t="s">
        <v>120</v>
      </c>
      <c r="W480" s="126"/>
      <c r="X480" s="130" t="s">
        <v>120</v>
      </c>
      <c r="Y480" s="126"/>
      <c r="Z480" s="162" t="s">
        <v>120</v>
      </c>
      <c r="AA480" s="154"/>
      <c r="AB480" s="154"/>
      <c r="AC480" s="167"/>
      <c r="AD480" s="126"/>
      <c r="AE480" s="130" t="s">
        <v>120</v>
      </c>
      <c r="AF480" s="127" t="s">
        <v>305</v>
      </c>
      <c r="AG480" s="131"/>
      <c r="AH480" s="131">
        <v>2</v>
      </c>
      <c r="AI480" s="126" t="s">
        <v>310</v>
      </c>
      <c r="AJ480" s="130" t="s">
        <v>120</v>
      </c>
      <c r="AK480" s="126" t="s">
        <v>123</v>
      </c>
      <c r="AL480" s="126"/>
      <c r="AM480" s="130"/>
      <c r="AN480" s="126"/>
      <c r="AO480" s="132"/>
      <c r="AP480" s="126"/>
      <c r="AQ480" s="126"/>
      <c r="AR480" s="130"/>
      <c r="AS480" s="126"/>
      <c r="AT480" s="127"/>
      <c r="AU480" s="127">
        <v>43453.378952199098</v>
      </c>
      <c r="AV480" s="127"/>
      <c r="AW480" s="127"/>
      <c r="AX480" s="127"/>
      <c r="AY480" s="127"/>
      <c r="AZ480" s="133">
        <v>43202</v>
      </c>
      <c r="BA48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0" s="135">
        <f>COUNTIFS(_05preva_view43[Site ID],_05preva_view43[[#This Row],[Site ID]],_05preva_view43[Prevalidation Status],"Under Prevalidation")</f>
        <v>0</v>
      </c>
      <c r="BC480" s="153" t="str">
        <f ca="1">HYPERLINK(CheckPath(_05preva_view43[[#This Row],[File Path]],_05preva_view43[[#This Row],[File Path]],_05preva_view43[[#This Row],[Folder Path3]]),CheckPath(_05preva_view43[[#This Row],[File Path]],"Open File","No File"))</f>
        <v>No File</v>
      </c>
      <c r="BD480" s="136" t="str">
        <f>CONCATENATE(_05preva_view43[[#This Row],[Site ID]]," (",_05preva_view43[[#This Row],[tenant id]],") Application",IF(_05preva_view43[[#This Row],[Colo Rev]]&gt;0," Rev "&amp;_05preva_view43[[#This Row],[Colo Rev]],""),".xlsx")</f>
        <v>ACBA_0073 (BGO0950) Application.xlsx</v>
      </c>
      <c r="BE480" s="64">
        <f t="shared" ca="1" si="9"/>
        <v>50</v>
      </c>
      <c r="BF480" s="104" t="str">
        <f ca="1">LEFT(CELL("filename",A465),_05preva_view43[[#This Row],[Find Process &amp; Database]]-1)</f>
        <v>D:\OneDrive - apollo-towers.com\Apollo Towers\00-</v>
      </c>
      <c r="BG480" s="104" t="str">
        <f ca="1">_05preva_view43[Folder Path1]&amp;"Process &amp; Database\Documentation\Colo Applications"</f>
        <v>D:\OneDrive - apollo-towers.com\Apollo Towers\00-Process &amp; Database\Documentation\Colo Applications</v>
      </c>
      <c r="BH480" s="104" t="str">
        <f ca="1">_05preva_view43[Folder Path2]&amp;"\Colo App "&amp;_05preva_view43[[#This Row],[Operator]]&amp;"\"</f>
        <v>D:\OneDrive - apollo-towers.com\Apollo Towers\00-Process &amp; Database\Documentation\Colo Applications\Colo App Mytel\</v>
      </c>
      <c r="BI480" s="63" t="str">
        <f ca="1">_05preva_view43[[#This Row],[Folder Path3]]&amp;_05preva_view43[[#This Row],[File Name]]</f>
        <v>D:\OneDrive - apollo-towers.com\Apollo Towers\00-Process &amp; Database\Documentation\Colo Applications\Colo App Mytel\ACBA_0073 (BGO0950) Application.xlsx</v>
      </c>
      <c r="BJ480" s="104"/>
      <c r="BK480" s="3"/>
      <c r="BL480" s="3"/>
      <c r="CJ480" s="5"/>
      <c r="CK480" s="5"/>
      <c r="CL480" s="3"/>
      <c r="CN480" s="5"/>
      <c r="CR480" s="3"/>
      <c r="CS480" s="3"/>
      <c r="CT480" s="5"/>
      <c r="CV480" s="3"/>
      <c r="DR480" s="5"/>
      <c r="DT480" s="3"/>
      <c r="EF480" s="7"/>
      <c r="EG480" s="7"/>
      <c r="EJ480" s="4"/>
      <c r="EK480" s="4"/>
      <c r="EU480" s="2"/>
      <c r="EV480" s="2"/>
    </row>
    <row r="481" spans="1:152">
      <c r="A481" s="125">
        <v>46</v>
      </c>
      <c r="B481" s="126" t="s">
        <v>315</v>
      </c>
      <c r="C481" s="126" t="s">
        <v>116</v>
      </c>
      <c r="D481" s="126" t="s">
        <v>117</v>
      </c>
      <c r="E481" s="126" t="s">
        <v>316</v>
      </c>
      <c r="F481" s="126" t="s">
        <v>34</v>
      </c>
      <c r="G481" s="126" t="s">
        <v>1574</v>
      </c>
      <c r="H481" s="126" t="s">
        <v>1575</v>
      </c>
      <c r="I481" s="126" t="s">
        <v>118</v>
      </c>
      <c r="J481" s="126"/>
      <c r="K481" s="127">
        <v>43202</v>
      </c>
      <c r="L481" s="128"/>
      <c r="M481" s="128">
        <v>2</v>
      </c>
      <c r="N481" s="126">
        <v>6</v>
      </c>
      <c r="O481" s="126" t="s">
        <v>119</v>
      </c>
      <c r="P481" s="129" t="s">
        <v>291</v>
      </c>
      <c r="Q481" s="129" t="s">
        <v>292</v>
      </c>
      <c r="R481" s="126" t="s">
        <v>24</v>
      </c>
      <c r="S481" s="126"/>
      <c r="T481" s="130" t="s">
        <v>120</v>
      </c>
      <c r="U481" s="126" t="s">
        <v>121</v>
      </c>
      <c r="V481" s="130" t="s">
        <v>120</v>
      </c>
      <c r="W481" s="126"/>
      <c r="X481" s="130" t="s">
        <v>120</v>
      </c>
      <c r="Y481" s="126"/>
      <c r="Z481" s="162" t="s">
        <v>120</v>
      </c>
      <c r="AA481" s="154"/>
      <c r="AB481" s="154"/>
      <c r="AC481" s="167"/>
      <c r="AD481" s="126"/>
      <c r="AE481" s="130" t="s">
        <v>120</v>
      </c>
      <c r="AF481" s="127" t="s">
        <v>305</v>
      </c>
      <c r="AG481" s="131"/>
      <c r="AH481" s="131">
        <v>2</v>
      </c>
      <c r="AI481" s="126" t="s">
        <v>310</v>
      </c>
      <c r="AJ481" s="130" t="s">
        <v>120</v>
      </c>
      <c r="AK481" s="126" t="s">
        <v>123</v>
      </c>
      <c r="AL481" s="126"/>
      <c r="AM481" s="130"/>
      <c r="AN481" s="126"/>
      <c r="AO481" s="132"/>
      <c r="AP481" s="126"/>
      <c r="AQ481" s="126"/>
      <c r="AR481" s="130"/>
      <c r="AS481" s="126"/>
      <c r="AT481" s="127"/>
      <c r="AU481" s="127">
        <v>43453.378953240703</v>
      </c>
      <c r="AV481" s="127"/>
      <c r="AW481" s="127"/>
      <c r="AX481" s="127"/>
      <c r="AY481" s="127"/>
      <c r="AZ481" s="133">
        <v>43202</v>
      </c>
      <c r="BA48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1" s="135">
        <f>COUNTIFS(_05preva_view43[Site ID],_05preva_view43[[#This Row],[Site ID]],_05preva_view43[Prevalidation Status],"Under Prevalidation")</f>
        <v>0</v>
      </c>
      <c r="BC481" s="153" t="str">
        <f ca="1">HYPERLINK(CheckPath(_05preva_view43[[#This Row],[File Path]],_05preva_view43[[#This Row],[File Path]],_05preva_view43[[#This Row],[Folder Path3]]),CheckPath(_05preva_view43[[#This Row],[File Path]],"Open File","No File"))</f>
        <v>No File</v>
      </c>
      <c r="BD481" s="136" t="str">
        <f>CONCATENATE(_05preva_view43[[#This Row],[Site ID]]," (",_05preva_view43[[#This Row],[tenant id]],") Application",IF(_05preva_view43[[#This Row],[Colo Rev]]&gt;0," Rev "&amp;_05preva_view43[[#This Row],[Colo Rev]],""),".xlsx")</f>
        <v>ACBA_0067 (BGO0965) Application.xlsx</v>
      </c>
      <c r="BE481" s="64">
        <f t="shared" ca="1" si="9"/>
        <v>50</v>
      </c>
      <c r="BF481" s="104" t="str">
        <f ca="1">LEFT(CELL("filename",A466),_05preva_view43[[#This Row],[Find Process &amp; Database]]-1)</f>
        <v>D:\OneDrive - apollo-towers.com\Apollo Towers\00-</v>
      </c>
      <c r="BG481" s="104" t="str">
        <f ca="1">_05preva_view43[Folder Path1]&amp;"Process &amp; Database\Documentation\Colo Applications"</f>
        <v>D:\OneDrive - apollo-towers.com\Apollo Towers\00-Process &amp; Database\Documentation\Colo Applications</v>
      </c>
      <c r="BH481" s="104" t="str">
        <f ca="1">_05preva_view43[Folder Path2]&amp;"\Colo App "&amp;_05preva_view43[[#This Row],[Operator]]&amp;"\"</f>
        <v>D:\OneDrive - apollo-towers.com\Apollo Towers\00-Process &amp; Database\Documentation\Colo Applications\Colo App Mytel\</v>
      </c>
      <c r="BI481" s="63" t="str">
        <f ca="1">_05preva_view43[[#This Row],[Folder Path3]]&amp;_05preva_view43[[#This Row],[File Name]]</f>
        <v>D:\OneDrive - apollo-towers.com\Apollo Towers\00-Process &amp; Database\Documentation\Colo Applications\Colo App Mytel\ACBA_0067 (BGO0965) Application.xlsx</v>
      </c>
      <c r="BJ481" s="104"/>
      <c r="BK481" s="3"/>
      <c r="BL481" s="3"/>
      <c r="CJ481" s="5"/>
      <c r="CK481" s="5"/>
      <c r="CL481" s="3"/>
      <c r="CN481" s="5"/>
      <c r="CR481" s="3"/>
      <c r="CS481" s="3"/>
      <c r="CT481" s="5"/>
      <c r="CV481" s="3"/>
      <c r="DR481" s="5"/>
      <c r="DT481" s="3"/>
      <c r="EF481" s="7"/>
      <c r="EG481" s="7"/>
      <c r="EJ481" s="4"/>
      <c r="EK481" s="4"/>
      <c r="EU481" s="2"/>
      <c r="EV481" s="2"/>
    </row>
    <row r="482" spans="1:152">
      <c r="A482" s="125">
        <v>47</v>
      </c>
      <c r="B482" s="126" t="s">
        <v>317</v>
      </c>
      <c r="C482" s="126" t="s">
        <v>116</v>
      </c>
      <c r="D482" s="126" t="s">
        <v>117</v>
      </c>
      <c r="E482" s="126" t="s">
        <v>318</v>
      </c>
      <c r="F482" s="126" t="s">
        <v>34</v>
      </c>
      <c r="G482" s="126" t="s">
        <v>1574</v>
      </c>
      <c r="H482" s="126" t="s">
        <v>1575</v>
      </c>
      <c r="I482" s="126" t="s">
        <v>118</v>
      </c>
      <c r="J482" s="126"/>
      <c r="K482" s="127">
        <v>43202</v>
      </c>
      <c r="L482" s="128"/>
      <c r="M482" s="128">
        <v>2</v>
      </c>
      <c r="N482" s="126">
        <v>6</v>
      </c>
      <c r="O482" s="126" t="s">
        <v>119</v>
      </c>
      <c r="P482" s="129" t="s">
        <v>291</v>
      </c>
      <c r="Q482" s="129" t="s">
        <v>292</v>
      </c>
      <c r="R482" s="126" t="s">
        <v>24</v>
      </c>
      <c r="S482" s="126"/>
      <c r="T482" s="130" t="s">
        <v>120</v>
      </c>
      <c r="U482" s="126" t="s">
        <v>121</v>
      </c>
      <c r="V482" s="130" t="s">
        <v>120</v>
      </c>
      <c r="W482" s="126"/>
      <c r="X482" s="130" t="s">
        <v>120</v>
      </c>
      <c r="Y482" s="126"/>
      <c r="Z482" s="162" t="s">
        <v>120</v>
      </c>
      <c r="AA482" s="154"/>
      <c r="AB482" s="154"/>
      <c r="AC482" s="167"/>
      <c r="AD482" s="126"/>
      <c r="AE482" s="130" t="s">
        <v>120</v>
      </c>
      <c r="AF482" s="127" t="s">
        <v>305</v>
      </c>
      <c r="AG482" s="131"/>
      <c r="AH482" s="131">
        <v>2</v>
      </c>
      <c r="AI482" s="126" t="s">
        <v>310</v>
      </c>
      <c r="AJ482" s="130" t="s">
        <v>120</v>
      </c>
      <c r="AK482" s="126" t="s">
        <v>123</v>
      </c>
      <c r="AL482" s="126"/>
      <c r="AM482" s="130"/>
      <c r="AN482" s="126"/>
      <c r="AO482" s="132"/>
      <c r="AP482" s="126"/>
      <c r="AQ482" s="126"/>
      <c r="AR482" s="130"/>
      <c r="AS482" s="126"/>
      <c r="AT482" s="127"/>
      <c r="AU482" s="127">
        <v>43453.3789555556</v>
      </c>
      <c r="AV482" s="127"/>
      <c r="AW482" s="127"/>
      <c r="AX482" s="127"/>
      <c r="AY482" s="127"/>
      <c r="AZ482" s="133">
        <v>43202</v>
      </c>
      <c r="BA48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2" s="135">
        <f>COUNTIFS(_05preva_view43[Site ID],_05preva_view43[[#This Row],[Site ID]],_05preva_view43[Prevalidation Status],"Under Prevalidation")</f>
        <v>0</v>
      </c>
      <c r="BC482" s="153" t="str">
        <f ca="1">HYPERLINK(CheckPath(_05preva_view43[[#This Row],[File Path]],_05preva_view43[[#This Row],[File Path]],_05preva_view43[[#This Row],[Folder Path3]]),CheckPath(_05preva_view43[[#This Row],[File Path]],"Open File","No File"))</f>
        <v>No File</v>
      </c>
      <c r="BD482" s="136" t="str">
        <f>CONCATENATE(_05preva_view43[[#This Row],[Site ID]]," (",_05preva_view43[[#This Row],[tenant id]],") Application",IF(_05preva_view43[[#This Row],[Colo Rev]]&gt;0," Rev "&amp;_05preva_view43[[#This Row],[Colo Rev]],""),".xlsx")</f>
        <v>ACBA_0124 (BGO0970) Application.xlsx</v>
      </c>
      <c r="BE482" s="64">
        <f t="shared" ca="1" si="9"/>
        <v>50</v>
      </c>
      <c r="BF482" s="104" t="str">
        <f ca="1">LEFT(CELL("filename",A467),_05preva_view43[[#This Row],[Find Process &amp; Database]]-1)</f>
        <v>D:\OneDrive - apollo-towers.com\Apollo Towers\00-</v>
      </c>
      <c r="BG482" s="104" t="str">
        <f ca="1">_05preva_view43[Folder Path1]&amp;"Process &amp; Database\Documentation\Colo Applications"</f>
        <v>D:\OneDrive - apollo-towers.com\Apollo Towers\00-Process &amp; Database\Documentation\Colo Applications</v>
      </c>
      <c r="BH482" s="104" t="str">
        <f ca="1">_05preva_view43[Folder Path2]&amp;"\Colo App "&amp;_05preva_view43[[#This Row],[Operator]]&amp;"\"</f>
        <v>D:\OneDrive - apollo-towers.com\Apollo Towers\00-Process &amp; Database\Documentation\Colo Applications\Colo App Mytel\</v>
      </c>
      <c r="BI482" s="63" t="str">
        <f ca="1">_05preva_view43[[#This Row],[Folder Path3]]&amp;_05preva_view43[[#This Row],[File Name]]</f>
        <v>D:\OneDrive - apollo-towers.com\Apollo Towers\00-Process &amp; Database\Documentation\Colo Applications\Colo App Mytel\ACBA_0124 (BGO0970) Application.xlsx</v>
      </c>
      <c r="BJ482" s="104"/>
      <c r="BK482" s="3"/>
      <c r="BL482" s="3"/>
      <c r="CJ482" s="5"/>
      <c r="CK482" s="5"/>
      <c r="CL482" s="3"/>
      <c r="CN482" s="5"/>
      <c r="CR482" s="3"/>
      <c r="CS482" s="3"/>
      <c r="CT482" s="5"/>
      <c r="CV482" s="3"/>
      <c r="DR482" s="5"/>
      <c r="DT482" s="3"/>
      <c r="EF482" s="7"/>
      <c r="EG482" s="7"/>
      <c r="EJ482" s="4"/>
      <c r="EK482" s="4"/>
      <c r="EU482" s="2"/>
      <c r="EV482" s="2"/>
    </row>
    <row r="483" spans="1:152">
      <c r="A483" s="125">
        <v>48</v>
      </c>
      <c r="B483" s="126" t="s">
        <v>319</v>
      </c>
      <c r="C483" s="126" t="s">
        <v>116</v>
      </c>
      <c r="D483" s="126" t="s">
        <v>117</v>
      </c>
      <c r="E483" s="126" t="s">
        <v>320</v>
      </c>
      <c r="F483" s="126" t="s">
        <v>34</v>
      </c>
      <c r="G483" s="126" t="s">
        <v>1574</v>
      </c>
      <c r="H483" s="126" t="s">
        <v>1575</v>
      </c>
      <c r="I483" s="126" t="s">
        <v>118</v>
      </c>
      <c r="J483" s="126"/>
      <c r="K483" s="127">
        <v>43202</v>
      </c>
      <c r="L483" s="128"/>
      <c r="M483" s="128">
        <v>2</v>
      </c>
      <c r="N483" s="126">
        <v>6</v>
      </c>
      <c r="O483" s="126" t="s">
        <v>119</v>
      </c>
      <c r="P483" s="129" t="s">
        <v>291</v>
      </c>
      <c r="Q483" s="129" t="s">
        <v>292</v>
      </c>
      <c r="R483" s="126" t="s">
        <v>24</v>
      </c>
      <c r="S483" s="126"/>
      <c r="T483" s="130" t="s">
        <v>120</v>
      </c>
      <c r="U483" s="126" t="s">
        <v>121</v>
      </c>
      <c r="V483" s="130" t="s">
        <v>120</v>
      </c>
      <c r="W483" s="126"/>
      <c r="X483" s="130" t="s">
        <v>120</v>
      </c>
      <c r="Y483" s="126"/>
      <c r="Z483" s="162" t="s">
        <v>120</v>
      </c>
      <c r="AA483" s="154"/>
      <c r="AB483" s="154"/>
      <c r="AC483" s="167"/>
      <c r="AD483" s="126"/>
      <c r="AE483" s="130" t="s">
        <v>120</v>
      </c>
      <c r="AF483" s="127" t="s">
        <v>305</v>
      </c>
      <c r="AG483" s="131"/>
      <c r="AH483" s="131">
        <v>2</v>
      </c>
      <c r="AI483" s="126" t="s">
        <v>279</v>
      </c>
      <c r="AJ483" s="130" t="s">
        <v>120</v>
      </c>
      <c r="AK483" s="126" t="s">
        <v>123</v>
      </c>
      <c r="AL483" s="126"/>
      <c r="AM483" s="130"/>
      <c r="AN483" s="126"/>
      <c r="AO483" s="132"/>
      <c r="AP483" s="126"/>
      <c r="AQ483" s="126"/>
      <c r="AR483" s="130"/>
      <c r="AS483" s="126"/>
      <c r="AT483" s="127"/>
      <c r="AU483" s="127">
        <v>43453.378956250002</v>
      </c>
      <c r="AV483" s="127"/>
      <c r="AW483" s="127"/>
      <c r="AX483" s="127"/>
      <c r="AY483" s="127"/>
      <c r="AZ483" s="133">
        <v>43202</v>
      </c>
      <c r="BA48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3" s="135">
        <f>COUNTIFS(_05preva_view43[Site ID],_05preva_view43[[#This Row],[Site ID]],_05preva_view43[Prevalidation Status],"Under Prevalidation")</f>
        <v>0</v>
      </c>
      <c r="BC483" s="153" t="str">
        <f ca="1">HYPERLINK(CheckPath(_05preva_view43[[#This Row],[File Path]],_05preva_view43[[#This Row],[File Path]],_05preva_view43[[#This Row],[Folder Path3]]),CheckPath(_05preva_view43[[#This Row],[File Path]],"Open File","No File"))</f>
        <v>No File</v>
      </c>
      <c r="BD483" s="136" t="str">
        <f>CONCATENATE(_05preva_view43[[#This Row],[Site ID]]," (",_05preva_view43[[#This Row],[tenant id]],") Application",IF(_05preva_view43[[#This Row],[Colo Rev]]&gt;0," Rev "&amp;_05preva_view43[[#This Row],[Colo Rev]],""),".xlsx")</f>
        <v>ANNP_0243 (NPW0263) Application.xlsx</v>
      </c>
      <c r="BE483" s="64">
        <f t="shared" ca="1" si="9"/>
        <v>50</v>
      </c>
      <c r="BF483" s="104" t="str">
        <f ca="1">LEFT(CELL("filename",A468),_05preva_view43[[#This Row],[Find Process &amp; Database]]-1)</f>
        <v>D:\OneDrive - apollo-towers.com\Apollo Towers\00-</v>
      </c>
      <c r="BG483" s="104" t="str">
        <f ca="1">_05preva_view43[Folder Path1]&amp;"Process &amp; Database\Documentation\Colo Applications"</f>
        <v>D:\OneDrive - apollo-towers.com\Apollo Towers\00-Process &amp; Database\Documentation\Colo Applications</v>
      </c>
      <c r="BH483" s="104" t="str">
        <f ca="1">_05preva_view43[Folder Path2]&amp;"\Colo App "&amp;_05preva_view43[[#This Row],[Operator]]&amp;"\"</f>
        <v>D:\OneDrive - apollo-towers.com\Apollo Towers\00-Process &amp; Database\Documentation\Colo Applications\Colo App Mytel\</v>
      </c>
      <c r="BI483" s="63" t="str">
        <f ca="1">_05preva_view43[[#This Row],[Folder Path3]]&amp;_05preva_view43[[#This Row],[File Name]]</f>
        <v>D:\OneDrive - apollo-towers.com\Apollo Towers\00-Process &amp; Database\Documentation\Colo Applications\Colo App Mytel\ANNP_0243 (NPW0263) Application.xlsx</v>
      </c>
      <c r="BJ483" s="104"/>
      <c r="BK483" s="3"/>
      <c r="BL483" s="3"/>
      <c r="CJ483" s="5"/>
      <c r="CK483" s="5"/>
      <c r="CL483" s="3"/>
      <c r="CN483" s="5"/>
      <c r="CR483" s="3"/>
      <c r="CS483" s="3"/>
      <c r="CT483" s="5"/>
      <c r="CV483" s="3"/>
      <c r="DR483" s="5"/>
      <c r="DT483" s="3"/>
      <c r="EF483" s="7"/>
      <c r="EG483" s="7"/>
      <c r="EJ483" s="4"/>
      <c r="EK483" s="4"/>
      <c r="EU483" s="2"/>
      <c r="EV483" s="2"/>
    </row>
    <row r="484" spans="1:152">
      <c r="A484" s="125">
        <v>49</v>
      </c>
      <c r="B484" s="126" t="s">
        <v>321</v>
      </c>
      <c r="C484" s="126" t="s">
        <v>116</v>
      </c>
      <c r="D484" s="126" t="s">
        <v>117</v>
      </c>
      <c r="E484" s="126" t="s">
        <v>322</v>
      </c>
      <c r="F484" s="126" t="s">
        <v>34</v>
      </c>
      <c r="G484" s="126" t="s">
        <v>1574</v>
      </c>
      <c r="H484" s="126" t="s">
        <v>1575</v>
      </c>
      <c r="I484" s="126" t="s">
        <v>118</v>
      </c>
      <c r="J484" s="126"/>
      <c r="K484" s="127">
        <v>43202</v>
      </c>
      <c r="L484" s="128"/>
      <c r="M484" s="128">
        <v>2</v>
      </c>
      <c r="N484" s="126">
        <v>6</v>
      </c>
      <c r="O484" s="126" t="s">
        <v>119</v>
      </c>
      <c r="P484" s="129" t="s">
        <v>291</v>
      </c>
      <c r="Q484" s="129" t="s">
        <v>292</v>
      </c>
      <c r="R484" s="126" t="s">
        <v>24</v>
      </c>
      <c r="S484" s="126"/>
      <c r="T484" s="130" t="s">
        <v>120</v>
      </c>
      <c r="U484" s="126" t="s">
        <v>121</v>
      </c>
      <c r="V484" s="130" t="s">
        <v>120</v>
      </c>
      <c r="W484" s="126"/>
      <c r="X484" s="130" t="s">
        <v>120</v>
      </c>
      <c r="Y484" s="126" t="s">
        <v>323</v>
      </c>
      <c r="Z484" s="162" t="s">
        <v>120</v>
      </c>
      <c r="AA484" s="154"/>
      <c r="AB484" s="154"/>
      <c r="AC484" s="167"/>
      <c r="AD484" s="126" t="s">
        <v>324</v>
      </c>
      <c r="AE484" s="130" t="s">
        <v>120</v>
      </c>
      <c r="AF484" s="127" t="s">
        <v>305</v>
      </c>
      <c r="AG484" s="131"/>
      <c r="AH484" s="131">
        <v>2</v>
      </c>
      <c r="AI484" s="126" t="s">
        <v>326</v>
      </c>
      <c r="AJ484" s="130" t="s">
        <v>120</v>
      </c>
      <c r="AK484" s="126" t="s">
        <v>240</v>
      </c>
      <c r="AL484" s="126" t="s">
        <v>325</v>
      </c>
      <c r="AM484" s="130"/>
      <c r="AN484" s="126"/>
      <c r="AO484" s="132"/>
      <c r="AP484" s="126"/>
      <c r="AQ484" s="126"/>
      <c r="AR484" s="130"/>
      <c r="AS484" s="126"/>
      <c r="AT484" s="127"/>
      <c r="AU484" s="127">
        <v>43453.378957291701</v>
      </c>
      <c r="AV484" s="127"/>
      <c r="AW484" s="127"/>
      <c r="AX484" s="127"/>
      <c r="AY484" s="127"/>
      <c r="AZ484" s="133">
        <v>43202</v>
      </c>
      <c r="BA48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4" s="135">
        <f>COUNTIFS(_05preva_view43[Site ID],_05preva_view43[[#This Row],[Site ID]],_05preva_view43[Prevalidation Status],"Under Prevalidation")</f>
        <v>0</v>
      </c>
      <c r="BC484" s="153" t="str">
        <f ca="1">HYPERLINK(CheckPath(_05preva_view43[[#This Row],[File Path]],_05preva_view43[[#This Row],[File Path]],_05preva_view43[[#This Row],[Folder Path3]]),CheckPath(_05preva_view43[[#This Row],[File Path]],"Open File","No File"))</f>
        <v>No File</v>
      </c>
      <c r="BD484" s="136" t="str">
        <f>CONCATENATE(_05preva_view43[[#This Row],[Site ID]]," (",_05preva_view43[[#This Row],[tenant id]],") Application",IF(_05preva_view43[[#This Row],[Colo Rev]]&gt;0," Rev "&amp;_05preva_view43[[#This Row],[Colo Rev]],""),".xlsx")</f>
        <v>ANNP_0241 (NPW0264) Application.xlsx</v>
      </c>
      <c r="BE484" s="64">
        <f t="shared" ca="1" si="9"/>
        <v>50</v>
      </c>
      <c r="BF484" s="104" t="str">
        <f ca="1">LEFT(CELL("filename",A469),_05preva_view43[[#This Row],[Find Process &amp; Database]]-1)</f>
        <v>D:\OneDrive - apollo-towers.com\Apollo Towers\00-</v>
      </c>
      <c r="BG484" s="104" t="str">
        <f ca="1">_05preva_view43[Folder Path1]&amp;"Process &amp; Database\Documentation\Colo Applications"</f>
        <v>D:\OneDrive - apollo-towers.com\Apollo Towers\00-Process &amp; Database\Documentation\Colo Applications</v>
      </c>
      <c r="BH484" s="104" t="str">
        <f ca="1">_05preva_view43[Folder Path2]&amp;"\Colo App "&amp;_05preva_view43[[#This Row],[Operator]]&amp;"\"</f>
        <v>D:\OneDrive - apollo-towers.com\Apollo Towers\00-Process &amp; Database\Documentation\Colo Applications\Colo App Mytel\</v>
      </c>
      <c r="BI484" s="63" t="str">
        <f ca="1">_05preva_view43[[#This Row],[Folder Path3]]&amp;_05preva_view43[[#This Row],[File Name]]</f>
        <v>D:\OneDrive - apollo-towers.com\Apollo Towers\00-Process &amp; Database\Documentation\Colo Applications\Colo App Mytel\ANNP_0241 (NPW0264) Application.xlsx</v>
      </c>
      <c r="BJ484" s="104"/>
      <c r="BK484" s="3"/>
      <c r="BL484" s="3"/>
      <c r="CJ484" s="5"/>
      <c r="CK484" s="5"/>
      <c r="CL484" s="3"/>
      <c r="CN484" s="5"/>
      <c r="CR484" s="3"/>
      <c r="CS484" s="3"/>
      <c r="CT484" s="5"/>
      <c r="CV484" s="3"/>
      <c r="DR484" s="5"/>
      <c r="DT484" s="3"/>
      <c r="EF484" s="7"/>
      <c r="EG484" s="7"/>
      <c r="EJ484" s="4"/>
      <c r="EK484" s="4"/>
      <c r="EU484" s="2"/>
      <c r="EV484" s="2"/>
    </row>
    <row r="485" spans="1:152">
      <c r="A485" s="125">
        <v>36</v>
      </c>
      <c r="B485" s="126" t="s">
        <v>274</v>
      </c>
      <c r="C485" s="126" t="s">
        <v>116</v>
      </c>
      <c r="D485" s="126" t="s">
        <v>127</v>
      </c>
      <c r="E485" s="126" t="s">
        <v>275</v>
      </c>
      <c r="F485" s="126" t="s">
        <v>34</v>
      </c>
      <c r="G485" s="126" t="s">
        <v>1574</v>
      </c>
      <c r="H485" s="126" t="s">
        <v>1580</v>
      </c>
      <c r="I485" s="126" t="s">
        <v>118</v>
      </c>
      <c r="J485" s="126"/>
      <c r="K485" s="127">
        <v>43193</v>
      </c>
      <c r="L485" s="128"/>
      <c r="M485" s="128">
        <v>2</v>
      </c>
      <c r="N485" s="126">
        <v>6</v>
      </c>
      <c r="O485" s="126" t="s">
        <v>119</v>
      </c>
      <c r="P485" s="129" t="s">
        <v>276</v>
      </c>
      <c r="Q485" s="129" t="s">
        <v>277</v>
      </c>
      <c r="R485" s="126" t="s">
        <v>24</v>
      </c>
      <c r="S485" s="126"/>
      <c r="T485" s="130" t="s">
        <v>120</v>
      </c>
      <c r="U485" s="126" t="s">
        <v>121</v>
      </c>
      <c r="V485" s="130" t="s">
        <v>265</v>
      </c>
      <c r="W485" s="126"/>
      <c r="X485" s="130" t="s">
        <v>120</v>
      </c>
      <c r="Y485" s="126" t="s">
        <v>278</v>
      </c>
      <c r="Z485" s="162" t="s">
        <v>120</v>
      </c>
      <c r="AA485" s="154"/>
      <c r="AB485" s="154"/>
      <c r="AC485" s="167"/>
      <c r="AD485" s="126"/>
      <c r="AE485" s="130" t="s">
        <v>120</v>
      </c>
      <c r="AF485" s="127" t="s">
        <v>266</v>
      </c>
      <c r="AG485" s="131"/>
      <c r="AH485" s="131">
        <v>2</v>
      </c>
      <c r="AI485" s="126" t="s">
        <v>279</v>
      </c>
      <c r="AJ485" s="130" t="s">
        <v>120</v>
      </c>
      <c r="AK485" s="126" t="s">
        <v>240</v>
      </c>
      <c r="AL485" s="126" t="s">
        <v>258</v>
      </c>
      <c r="AM485" s="130"/>
      <c r="AN485" s="126"/>
      <c r="AO485" s="132"/>
      <c r="AP485" s="126"/>
      <c r="AQ485" s="126"/>
      <c r="AR485" s="130"/>
      <c r="AS485" s="126"/>
      <c r="AT485" s="127"/>
      <c r="AU485" s="127">
        <v>43453.378931944397</v>
      </c>
      <c r="AV485" s="127"/>
      <c r="AW485" s="127"/>
      <c r="AX485" s="127"/>
      <c r="AY485" s="127"/>
      <c r="AZ485" s="133">
        <v>43193</v>
      </c>
      <c r="BA48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5" s="135">
        <f>COUNTIFS(_05preva_view43[Site ID],_05preva_view43[[#This Row],[Site ID]],_05preva_view43[Prevalidation Status],"Under Prevalidation")</f>
        <v>0</v>
      </c>
      <c r="BC485" s="153" t="str">
        <f ca="1">HYPERLINK(CheckPath(_05preva_view43[[#This Row],[File Path]],_05preva_view43[[#This Row],[File Path]],_05preva_view43[[#This Row],[Folder Path3]]),CheckPath(_05preva_view43[[#This Row],[File Path]],"Open File","No File"))</f>
        <v>No File</v>
      </c>
      <c r="BD485" s="136" t="str">
        <f>CONCATENATE(_05preva_view43[[#This Row],[Site ID]]," (",_05preva_view43[[#This Row],[tenant id]],") Application",IF(_05preva_view43[[#This Row],[Colo Rev]]&gt;0," Rev "&amp;_05preva_view43[[#This Row],[Colo Rev]],""),".xlsx")</f>
        <v>ANKC_0017 (KCN0349) Application.xlsx</v>
      </c>
      <c r="BE485" s="64">
        <f t="shared" ca="1" si="9"/>
        <v>50</v>
      </c>
      <c r="BF485" s="104" t="str">
        <f ca="1">LEFT(CELL("filename",A470),_05preva_view43[[#This Row],[Find Process &amp; Database]]-1)</f>
        <v>D:\OneDrive - apollo-towers.com\Apollo Towers\00-</v>
      </c>
      <c r="BG485" s="104" t="str">
        <f ca="1">_05preva_view43[Folder Path1]&amp;"Process &amp; Database\Documentation\Colo Applications"</f>
        <v>D:\OneDrive - apollo-towers.com\Apollo Towers\00-Process &amp; Database\Documentation\Colo Applications</v>
      </c>
      <c r="BH485" s="104" t="str">
        <f ca="1">_05preva_view43[Folder Path2]&amp;"\Colo App "&amp;_05preva_view43[[#This Row],[Operator]]&amp;"\"</f>
        <v>D:\OneDrive - apollo-towers.com\Apollo Towers\00-Process &amp; Database\Documentation\Colo Applications\Colo App Mytel\</v>
      </c>
      <c r="BI485" s="63" t="str">
        <f ca="1">_05preva_view43[[#This Row],[Folder Path3]]&amp;_05preva_view43[[#This Row],[File Name]]</f>
        <v>D:\OneDrive - apollo-towers.com\Apollo Towers\00-Process &amp; Database\Documentation\Colo Applications\Colo App Mytel\ANKC_0017 (KCN0349) Application.xlsx</v>
      </c>
      <c r="BJ485" s="104"/>
      <c r="BK485" s="3"/>
      <c r="BL485" s="3"/>
      <c r="CJ485" s="5"/>
      <c r="CK485" s="5"/>
      <c r="CL485" s="3"/>
      <c r="CN485" s="5"/>
      <c r="CR485" s="3"/>
      <c r="CS485" s="3"/>
      <c r="CT485" s="5"/>
      <c r="CV485" s="3"/>
      <c r="DR485" s="5"/>
      <c r="DT485" s="3"/>
      <c r="EF485" s="7"/>
      <c r="EG485" s="7"/>
      <c r="EJ485" s="4"/>
      <c r="EK485" s="4"/>
      <c r="EU485" s="2"/>
      <c r="EV485" s="2"/>
    </row>
    <row r="486" spans="1:152">
      <c r="A486" s="125">
        <v>37</v>
      </c>
      <c r="B486" s="126" t="s">
        <v>280</v>
      </c>
      <c r="C486" s="126" t="s">
        <v>116</v>
      </c>
      <c r="D486" s="126" t="s">
        <v>127</v>
      </c>
      <c r="E486" s="126" t="s">
        <v>281</v>
      </c>
      <c r="F486" s="126" t="s">
        <v>34</v>
      </c>
      <c r="G486" s="126" t="s">
        <v>1574</v>
      </c>
      <c r="H486" s="126" t="s">
        <v>1575</v>
      </c>
      <c r="I486" s="126" t="s">
        <v>118</v>
      </c>
      <c r="J486" s="126"/>
      <c r="K486" s="127">
        <v>43193</v>
      </c>
      <c r="L486" s="128"/>
      <c r="M486" s="128">
        <v>2</v>
      </c>
      <c r="N486" s="126">
        <v>6</v>
      </c>
      <c r="O486" s="126" t="s">
        <v>119</v>
      </c>
      <c r="P486" s="129" t="s">
        <v>276</v>
      </c>
      <c r="Q486" s="129" t="s">
        <v>277</v>
      </c>
      <c r="R486" s="126" t="s">
        <v>24</v>
      </c>
      <c r="S486" s="126"/>
      <c r="T486" s="130" t="s">
        <v>120</v>
      </c>
      <c r="U486" s="126" t="s">
        <v>121</v>
      </c>
      <c r="V486" s="130" t="s">
        <v>120</v>
      </c>
      <c r="W486" s="126"/>
      <c r="X486" s="130" t="s">
        <v>120</v>
      </c>
      <c r="Y486" s="126" t="s">
        <v>278</v>
      </c>
      <c r="Z486" s="162" t="s">
        <v>120</v>
      </c>
      <c r="AA486" s="154"/>
      <c r="AB486" s="154"/>
      <c r="AC486" s="167"/>
      <c r="AD486" s="126"/>
      <c r="AE486" s="130" t="s">
        <v>120</v>
      </c>
      <c r="AF486" s="127" t="s">
        <v>266</v>
      </c>
      <c r="AG486" s="131"/>
      <c r="AH486" s="131">
        <v>2</v>
      </c>
      <c r="AI486" s="126" t="s">
        <v>267</v>
      </c>
      <c r="AJ486" s="130" t="s">
        <v>120</v>
      </c>
      <c r="AK486" s="126" t="s">
        <v>123</v>
      </c>
      <c r="AL486" s="126"/>
      <c r="AM486" s="130"/>
      <c r="AN486" s="126"/>
      <c r="AO486" s="132"/>
      <c r="AP486" s="126"/>
      <c r="AQ486" s="126"/>
      <c r="AR486" s="130"/>
      <c r="AS486" s="126"/>
      <c r="AT486" s="127"/>
      <c r="AU486" s="127">
        <v>43453.378934606502</v>
      </c>
      <c r="AV486" s="127"/>
      <c r="AW486" s="127"/>
      <c r="AX486" s="127"/>
      <c r="AY486" s="127"/>
      <c r="AZ486" s="133">
        <v>43193</v>
      </c>
      <c r="BA48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6" s="135">
        <f>COUNTIFS(_05preva_view43[Site ID],_05preva_view43[[#This Row],[Site ID]],_05preva_view43[Prevalidation Status],"Under Prevalidation")</f>
        <v>0</v>
      </c>
      <c r="BC486" s="153" t="str">
        <f ca="1">HYPERLINK(CheckPath(_05preva_view43[[#This Row],[File Path]],_05preva_view43[[#This Row],[File Path]],_05preva_view43[[#This Row],[Folder Path3]]),CheckPath(_05preva_view43[[#This Row],[File Path]],"Open File","No File"))</f>
        <v>No File</v>
      </c>
      <c r="BD486" s="136" t="str">
        <f>CONCATENATE(_05preva_view43[[#This Row],[Site ID]]," (",_05preva_view43[[#This Row],[tenant id]],") Application",IF(_05preva_view43[[#This Row],[Colo Rev]]&gt;0," Rev "&amp;_05preva_view43[[#This Row],[Colo Rev]],""),".xlsx")</f>
        <v>ANMD_0073 (MDY0002) Application.xlsx</v>
      </c>
      <c r="BE486" s="64">
        <f t="shared" ca="1" si="9"/>
        <v>50</v>
      </c>
      <c r="BF486" s="104" t="str">
        <f ca="1">LEFT(CELL("filename",A471),_05preva_view43[[#This Row],[Find Process &amp; Database]]-1)</f>
        <v>D:\OneDrive - apollo-towers.com\Apollo Towers\00-</v>
      </c>
      <c r="BG486" s="104" t="str">
        <f ca="1">_05preva_view43[Folder Path1]&amp;"Process &amp; Database\Documentation\Colo Applications"</f>
        <v>D:\OneDrive - apollo-towers.com\Apollo Towers\00-Process &amp; Database\Documentation\Colo Applications</v>
      </c>
      <c r="BH486" s="104" t="str">
        <f ca="1">_05preva_view43[Folder Path2]&amp;"\Colo App "&amp;_05preva_view43[[#This Row],[Operator]]&amp;"\"</f>
        <v>D:\OneDrive - apollo-towers.com\Apollo Towers\00-Process &amp; Database\Documentation\Colo Applications\Colo App Mytel\</v>
      </c>
      <c r="BI486" s="63" t="str">
        <f ca="1">_05preva_view43[[#This Row],[Folder Path3]]&amp;_05preva_view43[[#This Row],[File Name]]</f>
        <v>D:\OneDrive - apollo-towers.com\Apollo Towers\00-Process &amp; Database\Documentation\Colo Applications\Colo App Mytel\ANMD_0073 (MDY0002) Application.xlsx</v>
      </c>
      <c r="BJ486" s="104"/>
      <c r="BK486" s="3"/>
      <c r="BL486" s="3"/>
      <c r="CJ486" s="5"/>
      <c r="CK486" s="5"/>
      <c r="CL486" s="3"/>
      <c r="CN486" s="5"/>
      <c r="CR486" s="3"/>
      <c r="CS486" s="3"/>
      <c r="CT486" s="5"/>
      <c r="CV486" s="3"/>
      <c r="DR486" s="5"/>
      <c r="DT486" s="3"/>
      <c r="EF486" s="7"/>
      <c r="EG486" s="7"/>
      <c r="EJ486" s="4"/>
      <c r="EK486" s="4"/>
      <c r="EU486" s="2"/>
      <c r="EV486" s="2"/>
    </row>
    <row r="487" spans="1:152">
      <c r="A487" s="125">
        <v>38</v>
      </c>
      <c r="B487" s="126" t="s">
        <v>282</v>
      </c>
      <c r="C487" s="126" t="s">
        <v>116</v>
      </c>
      <c r="D487" s="126" t="s">
        <v>127</v>
      </c>
      <c r="E487" s="126" t="s">
        <v>283</v>
      </c>
      <c r="F487" s="126" t="s">
        <v>34</v>
      </c>
      <c r="G487" s="126" t="s">
        <v>118</v>
      </c>
      <c r="H487" s="126"/>
      <c r="I487" s="126" t="s">
        <v>118</v>
      </c>
      <c r="J487" s="126"/>
      <c r="K487" s="127">
        <v>43193</v>
      </c>
      <c r="L487" s="128"/>
      <c r="M487" s="128">
        <v>2</v>
      </c>
      <c r="N487" s="126">
        <v>6</v>
      </c>
      <c r="O487" s="126" t="s">
        <v>119</v>
      </c>
      <c r="P487" s="129" t="s">
        <v>284</v>
      </c>
      <c r="Q487" s="129" t="s">
        <v>285</v>
      </c>
      <c r="R487" s="126" t="s">
        <v>26</v>
      </c>
      <c r="S487" s="126"/>
      <c r="T487" s="130" t="s">
        <v>144</v>
      </c>
      <c r="U487" s="126" t="s">
        <v>286</v>
      </c>
      <c r="V487" s="130" t="s">
        <v>120</v>
      </c>
      <c r="W487" s="126"/>
      <c r="X487" s="130" t="s">
        <v>120</v>
      </c>
      <c r="Y487" s="126" t="s">
        <v>287</v>
      </c>
      <c r="Z487" s="162" t="s">
        <v>125</v>
      </c>
      <c r="AA487" s="154"/>
      <c r="AB487" s="154"/>
      <c r="AC487" s="167"/>
      <c r="AD487" s="126" t="s">
        <v>181</v>
      </c>
      <c r="AE487" s="130" t="s">
        <v>120</v>
      </c>
      <c r="AF487" s="127" t="s">
        <v>266</v>
      </c>
      <c r="AG487" s="131"/>
      <c r="AH487" s="131">
        <v>2</v>
      </c>
      <c r="AI487" s="126" t="s">
        <v>288</v>
      </c>
      <c r="AJ487" s="130"/>
      <c r="AK487" s="126"/>
      <c r="AL487" s="126"/>
      <c r="AM487" s="130"/>
      <c r="AN487" s="126"/>
      <c r="AO487" s="132"/>
      <c r="AP487" s="126"/>
      <c r="AQ487" s="126"/>
      <c r="AR487" s="130"/>
      <c r="AS487" s="126"/>
      <c r="AT487" s="127"/>
      <c r="AU487" s="127">
        <v>43453.378935763903</v>
      </c>
      <c r="AV487" s="127"/>
      <c r="AW487" s="127"/>
      <c r="AX487" s="127"/>
      <c r="AY487" s="127"/>
      <c r="AZ487" s="133">
        <v>43193</v>
      </c>
      <c r="BA48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7" s="135">
        <f>COUNTIFS(_05preva_view43[Site ID],_05preva_view43[[#This Row],[Site ID]],_05preva_view43[Prevalidation Status],"Under Prevalidation")</f>
        <v>0</v>
      </c>
      <c r="BC487" s="153" t="str">
        <f ca="1">HYPERLINK(CheckPath(_05preva_view43[[#This Row],[File Path]],_05preva_view43[[#This Row],[File Path]],_05preva_view43[[#This Row],[Folder Path3]]),CheckPath(_05preva_view43[[#This Row],[File Path]],"Open File","No File"))</f>
        <v>No File</v>
      </c>
      <c r="BD487" s="136" t="str">
        <f>CONCATENATE(_05preva_view43[[#This Row],[Site ID]]," (",_05preva_view43[[#This Row],[tenant id]],") Application",IF(_05preva_view43[[#This Row],[Colo Rev]]&gt;0," Rev "&amp;_05preva_view43[[#This Row],[Colo Rev]],""),".xlsx")</f>
        <v>ANMD_0088 (MDY0023) Application.xlsx</v>
      </c>
      <c r="BE487" s="64">
        <f t="shared" ca="1" si="9"/>
        <v>50</v>
      </c>
      <c r="BF487" s="104" t="str">
        <f ca="1">LEFT(CELL("filename",A472),_05preva_view43[[#This Row],[Find Process &amp; Database]]-1)</f>
        <v>D:\OneDrive - apollo-towers.com\Apollo Towers\00-</v>
      </c>
      <c r="BG487" s="104" t="str">
        <f ca="1">_05preva_view43[Folder Path1]&amp;"Process &amp; Database\Documentation\Colo Applications"</f>
        <v>D:\OneDrive - apollo-towers.com\Apollo Towers\00-Process &amp; Database\Documentation\Colo Applications</v>
      </c>
      <c r="BH487" s="104" t="str">
        <f ca="1">_05preva_view43[Folder Path2]&amp;"\Colo App "&amp;_05preva_view43[[#This Row],[Operator]]&amp;"\"</f>
        <v>D:\OneDrive - apollo-towers.com\Apollo Towers\00-Process &amp; Database\Documentation\Colo Applications\Colo App Mytel\</v>
      </c>
      <c r="BI487" s="63" t="str">
        <f ca="1">_05preva_view43[[#This Row],[Folder Path3]]&amp;_05preva_view43[[#This Row],[File Name]]</f>
        <v>D:\OneDrive - apollo-towers.com\Apollo Towers\00-Process &amp; Database\Documentation\Colo Applications\Colo App Mytel\ANMD_0088 (MDY0023) Application.xlsx</v>
      </c>
      <c r="BJ487" s="104"/>
      <c r="BK487" s="3"/>
      <c r="BL487" s="3"/>
      <c r="CJ487" s="5"/>
      <c r="CK487" s="5"/>
      <c r="CL487" s="3"/>
      <c r="CN487" s="5"/>
      <c r="CR487" s="3"/>
      <c r="CS487" s="3"/>
      <c r="CT487" s="5"/>
      <c r="CV487" s="3"/>
      <c r="DR487" s="5"/>
      <c r="DT487" s="3"/>
      <c r="EF487" s="7"/>
      <c r="EG487" s="7"/>
      <c r="EJ487" s="4"/>
      <c r="EK487" s="4"/>
      <c r="EU487" s="2"/>
      <c r="EV487" s="2"/>
    </row>
    <row r="488" spans="1:152">
      <c r="A488" s="125">
        <v>39</v>
      </c>
      <c r="B488" s="126" t="s">
        <v>289</v>
      </c>
      <c r="C488" s="126" t="s">
        <v>116</v>
      </c>
      <c r="D488" s="126" t="s">
        <v>117</v>
      </c>
      <c r="E488" s="126" t="s">
        <v>290</v>
      </c>
      <c r="F488" s="126" t="s">
        <v>34</v>
      </c>
      <c r="G488" s="126" t="s">
        <v>118</v>
      </c>
      <c r="H488" s="126"/>
      <c r="I488" s="126" t="s">
        <v>118</v>
      </c>
      <c r="J488" s="126"/>
      <c r="K488" s="127">
        <v>43193</v>
      </c>
      <c r="L488" s="128"/>
      <c r="M488" s="128">
        <v>2</v>
      </c>
      <c r="N488" s="126">
        <v>6</v>
      </c>
      <c r="O488" s="126" t="s">
        <v>119</v>
      </c>
      <c r="P488" s="129" t="s">
        <v>291</v>
      </c>
      <c r="Q488" s="129" t="s">
        <v>292</v>
      </c>
      <c r="R488" s="126" t="s">
        <v>26</v>
      </c>
      <c r="S488" s="126"/>
      <c r="T488" s="130" t="s">
        <v>120</v>
      </c>
      <c r="U488" s="126" t="s">
        <v>121</v>
      </c>
      <c r="V488" s="130" t="s">
        <v>120</v>
      </c>
      <c r="W488" s="126"/>
      <c r="X488" s="130" t="s">
        <v>120</v>
      </c>
      <c r="Y488" s="126" t="s">
        <v>293</v>
      </c>
      <c r="Z488" s="162" t="s">
        <v>125</v>
      </c>
      <c r="AA488" s="154"/>
      <c r="AB488" s="154"/>
      <c r="AC488" s="167"/>
      <c r="AD488" s="126" t="s">
        <v>239</v>
      </c>
      <c r="AE488" s="130" t="s">
        <v>120</v>
      </c>
      <c r="AF488" s="127" t="s">
        <v>266</v>
      </c>
      <c r="AG488" s="131"/>
      <c r="AH488" s="131">
        <v>2</v>
      </c>
      <c r="AI488" s="126" t="s">
        <v>279</v>
      </c>
      <c r="AJ488" s="130"/>
      <c r="AK488" s="126" t="s">
        <v>240</v>
      </c>
      <c r="AL488" s="126" t="s">
        <v>294</v>
      </c>
      <c r="AM488" s="130"/>
      <c r="AN488" s="126"/>
      <c r="AO488" s="132"/>
      <c r="AP488" s="126"/>
      <c r="AQ488" s="126"/>
      <c r="AR488" s="130"/>
      <c r="AS488" s="126"/>
      <c r="AT488" s="127"/>
      <c r="AU488" s="127">
        <v>43453.378938541697</v>
      </c>
      <c r="AV488" s="127"/>
      <c r="AW488" s="127"/>
      <c r="AX488" s="127"/>
      <c r="AY488" s="127"/>
      <c r="AZ488" s="133">
        <v>43193</v>
      </c>
      <c r="BA48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8" s="135">
        <f>COUNTIFS(_05preva_view43[Site ID],_05preva_view43[[#This Row],[Site ID]],_05preva_view43[Prevalidation Status],"Under Prevalidation")</f>
        <v>0</v>
      </c>
      <c r="BC488" s="153" t="str">
        <f ca="1">HYPERLINK(CheckPath(_05preva_view43[[#This Row],[File Path]],_05preva_view43[[#This Row],[File Path]],_05preva_view43[[#This Row],[Folder Path3]]),CheckPath(_05preva_view43[[#This Row],[File Path]],"Open File","No File"))</f>
        <v>No File</v>
      </c>
      <c r="BD488" s="136" t="str">
        <f>CONCATENATE(_05preva_view43[[#This Row],[Site ID]]," (",_05preva_view43[[#This Row],[tenant id]],") Application",IF(_05preva_view43[[#This Row],[Colo Rev]]&gt;0," Rev "&amp;_05preva_view43[[#This Row],[Colo Rev]],""),".xlsx")</f>
        <v>ANMG_0024 (MGY0153) Application.xlsx</v>
      </c>
      <c r="BE488" s="64">
        <f t="shared" ca="1" si="9"/>
        <v>50</v>
      </c>
      <c r="BF488" s="104" t="str">
        <f ca="1">LEFT(CELL("filename",A473),_05preva_view43[[#This Row],[Find Process &amp; Database]]-1)</f>
        <v>D:\OneDrive - apollo-towers.com\Apollo Towers\00-</v>
      </c>
      <c r="BG488" s="104" t="str">
        <f ca="1">_05preva_view43[Folder Path1]&amp;"Process &amp; Database\Documentation\Colo Applications"</f>
        <v>D:\OneDrive - apollo-towers.com\Apollo Towers\00-Process &amp; Database\Documentation\Colo Applications</v>
      </c>
      <c r="BH488" s="104" t="str">
        <f ca="1">_05preva_view43[Folder Path2]&amp;"\Colo App "&amp;_05preva_view43[[#This Row],[Operator]]&amp;"\"</f>
        <v>D:\OneDrive - apollo-towers.com\Apollo Towers\00-Process &amp; Database\Documentation\Colo Applications\Colo App Mytel\</v>
      </c>
      <c r="BI488" s="63" t="str">
        <f ca="1">_05preva_view43[[#This Row],[Folder Path3]]&amp;_05preva_view43[[#This Row],[File Name]]</f>
        <v>D:\OneDrive - apollo-towers.com\Apollo Towers\00-Process &amp; Database\Documentation\Colo Applications\Colo App Mytel\ANMG_0024 (MGY0153) Application.xlsx</v>
      </c>
      <c r="BJ488" s="104"/>
      <c r="BK488" s="3"/>
      <c r="BL488" s="3"/>
      <c r="CJ488" s="5"/>
      <c r="CK488" s="5"/>
      <c r="CL488" s="3"/>
      <c r="CN488" s="5"/>
      <c r="CR488" s="3"/>
      <c r="CS488" s="3"/>
      <c r="CT488" s="5"/>
      <c r="CV488" s="3"/>
      <c r="DR488" s="5"/>
      <c r="DT488" s="3"/>
      <c r="EF488" s="7"/>
      <c r="EG488" s="7"/>
      <c r="EJ488" s="4"/>
      <c r="EK488" s="4"/>
      <c r="EU488" s="2"/>
      <c r="EV488" s="2"/>
    </row>
    <row r="489" spans="1:152">
      <c r="A489" s="125">
        <v>40</v>
      </c>
      <c r="B489" s="126" t="s">
        <v>295</v>
      </c>
      <c r="C489" s="126" t="s">
        <v>116</v>
      </c>
      <c r="D489" s="126" t="s">
        <v>117</v>
      </c>
      <c r="E489" s="126" t="s">
        <v>296</v>
      </c>
      <c r="F489" s="126" t="s">
        <v>34</v>
      </c>
      <c r="G489" s="126" t="s">
        <v>1574</v>
      </c>
      <c r="H489" s="126" t="s">
        <v>1575</v>
      </c>
      <c r="I489" s="126" t="s">
        <v>118</v>
      </c>
      <c r="J489" s="126"/>
      <c r="K489" s="127">
        <v>43193</v>
      </c>
      <c r="L489" s="128"/>
      <c r="M489" s="128">
        <v>2</v>
      </c>
      <c r="N489" s="126">
        <v>6</v>
      </c>
      <c r="O489" s="126" t="s">
        <v>119</v>
      </c>
      <c r="P489" s="129" t="s">
        <v>284</v>
      </c>
      <c r="Q489" s="129" t="s">
        <v>285</v>
      </c>
      <c r="R489" s="126" t="s">
        <v>24</v>
      </c>
      <c r="S489" s="126"/>
      <c r="T489" s="130" t="s">
        <v>120</v>
      </c>
      <c r="U489" s="126" t="s">
        <v>121</v>
      </c>
      <c r="V489" s="130" t="s">
        <v>120</v>
      </c>
      <c r="W489" s="126"/>
      <c r="X489" s="130" t="s">
        <v>120</v>
      </c>
      <c r="Y489" s="126"/>
      <c r="Z489" s="162" t="s">
        <v>120</v>
      </c>
      <c r="AA489" s="154"/>
      <c r="AB489" s="154"/>
      <c r="AC489" s="167"/>
      <c r="AD489" s="126"/>
      <c r="AE489" s="130" t="s">
        <v>120</v>
      </c>
      <c r="AF489" s="127" t="s">
        <v>266</v>
      </c>
      <c r="AG489" s="131"/>
      <c r="AH489" s="131">
        <v>2</v>
      </c>
      <c r="AI489" s="126" t="s">
        <v>267</v>
      </c>
      <c r="AJ489" s="130" t="s">
        <v>120</v>
      </c>
      <c r="AK489" s="126" t="s">
        <v>123</v>
      </c>
      <c r="AL489" s="126"/>
      <c r="AM489" s="130"/>
      <c r="AN489" s="126"/>
      <c r="AO489" s="132"/>
      <c r="AP489" s="126"/>
      <c r="AQ489" s="126"/>
      <c r="AR489" s="130"/>
      <c r="AS489" s="126"/>
      <c r="AT489" s="127"/>
      <c r="AU489" s="127">
        <v>43453.3789420139</v>
      </c>
      <c r="AV489" s="127"/>
      <c r="AW489" s="127"/>
      <c r="AX489" s="127"/>
      <c r="AY489" s="127"/>
      <c r="AZ489" s="133">
        <v>43193</v>
      </c>
      <c r="BA48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9" s="135">
        <f>COUNTIFS(_05preva_view43[Site ID],_05preva_view43[[#This Row],[Site ID]],_05preva_view43[Prevalidation Status],"Under Prevalidation")</f>
        <v>0</v>
      </c>
      <c r="BC489" s="153" t="str">
        <f ca="1">HYPERLINK(CheckPath(_05preva_view43[[#This Row],[File Path]],_05preva_view43[[#This Row],[File Path]],_05preva_view43[[#This Row],[Folder Path3]]),CheckPath(_05preva_view43[[#This Row],[File Path]],"Open File","No File"))</f>
        <v>No File</v>
      </c>
      <c r="BD489" s="136" t="str">
        <f>CONCATENATE(_05preva_view43[[#This Row],[Site ID]]," (",_05preva_view43[[#This Row],[tenant id]],") Application",IF(_05preva_view43[[#This Row],[Colo Rev]]&gt;0," Rev "&amp;_05preva_view43[[#This Row],[Colo Rev]],""),".xlsx")</f>
        <v>ANMG_0187 (MGY0444) Application.xlsx</v>
      </c>
      <c r="BE489" s="64">
        <f t="shared" ca="1" si="9"/>
        <v>50</v>
      </c>
      <c r="BF489" s="104" t="str">
        <f ca="1">LEFT(CELL("filename",A474),_05preva_view43[[#This Row],[Find Process &amp; Database]]-1)</f>
        <v>D:\OneDrive - apollo-towers.com\Apollo Towers\00-</v>
      </c>
      <c r="BG489" s="104" t="str">
        <f ca="1">_05preva_view43[Folder Path1]&amp;"Process &amp; Database\Documentation\Colo Applications"</f>
        <v>D:\OneDrive - apollo-towers.com\Apollo Towers\00-Process &amp; Database\Documentation\Colo Applications</v>
      </c>
      <c r="BH489" s="104" t="str">
        <f ca="1">_05preva_view43[Folder Path2]&amp;"\Colo App "&amp;_05preva_view43[[#This Row],[Operator]]&amp;"\"</f>
        <v>D:\OneDrive - apollo-towers.com\Apollo Towers\00-Process &amp; Database\Documentation\Colo Applications\Colo App Mytel\</v>
      </c>
      <c r="BI489" s="63" t="str">
        <f ca="1">_05preva_view43[[#This Row],[Folder Path3]]&amp;_05preva_view43[[#This Row],[File Name]]</f>
        <v>D:\OneDrive - apollo-towers.com\Apollo Towers\00-Process &amp; Database\Documentation\Colo Applications\Colo App Mytel\ANMG_0187 (MGY0444) Application.xlsx</v>
      </c>
      <c r="BJ489" s="104"/>
      <c r="BK489" s="3"/>
      <c r="BL489" s="3"/>
      <c r="CJ489" s="5"/>
      <c r="CK489" s="5"/>
      <c r="CL489" s="3"/>
      <c r="CN489" s="5"/>
      <c r="CR489" s="3"/>
      <c r="CS489" s="3"/>
      <c r="CT489" s="5"/>
      <c r="CV489" s="3"/>
      <c r="DR489" s="5"/>
      <c r="DT489" s="3"/>
      <c r="EF489" s="7"/>
      <c r="EG489" s="7"/>
      <c r="EJ489" s="4"/>
      <c r="EK489" s="4"/>
      <c r="EU489" s="2"/>
      <c r="EV489" s="2"/>
    </row>
    <row r="490" spans="1:152">
      <c r="A490" s="125">
        <v>41</v>
      </c>
      <c r="B490" s="126" t="s">
        <v>297</v>
      </c>
      <c r="C490" s="126" t="s">
        <v>116</v>
      </c>
      <c r="D490" s="126" t="s">
        <v>127</v>
      </c>
      <c r="E490" s="126" t="s">
        <v>298</v>
      </c>
      <c r="F490" s="126" t="s">
        <v>34</v>
      </c>
      <c r="G490" s="126"/>
      <c r="H490" s="126"/>
      <c r="I490" s="126"/>
      <c r="J490" s="126"/>
      <c r="K490" s="127">
        <v>43193</v>
      </c>
      <c r="L490" s="128"/>
      <c r="M490" s="128">
        <v>2</v>
      </c>
      <c r="N490" s="126">
        <v>6</v>
      </c>
      <c r="O490" s="126" t="s">
        <v>119</v>
      </c>
      <c r="P490" s="129" t="s">
        <v>284</v>
      </c>
      <c r="Q490" s="129" t="s">
        <v>285</v>
      </c>
      <c r="R490" s="126" t="s">
        <v>27</v>
      </c>
      <c r="S490" s="126"/>
      <c r="T490" s="130" t="s">
        <v>120</v>
      </c>
      <c r="U490" s="126" t="s">
        <v>121</v>
      </c>
      <c r="V490" s="130" t="s">
        <v>120</v>
      </c>
      <c r="W490" s="126"/>
      <c r="X490" s="130" t="s">
        <v>120</v>
      </c>
      <c r="Y490" s="126" t="s">
        <v>299</v>
      </c>
      <c r="Z490" s="162" t="s">
        <v>125</v>
      </c>
      <c r="AA490" s="154"/>
      <c r="AB490" s="154"/>
      <c r="AC490" s="167"/>
      <c r="AD490" s="126" t="s">
        <v>300</v>
      </c>
      <c r="AE490" s="130" t="s">
        <v>120</v>
      </c>
      <c r="AF490" s="127" t="s">
        <v>266</v>
      </c>
      <c r="AG490" s="131"/>
      <c r="AH490" s="131">
        <v>2</v>
      </c>
      <c r="AI490" s="126" t="s">
        <v>301</v>
      </c>
      <c r="AJ490" s="130" t="s">
        <v>120</v>
      </c>
      <c r="AK490" s="126" t="s">
        <v>123</v>
      </c>
      <c r="AL490" s="126"/>
      <c r="AM490" s="130"/>
      <c r="AN490" s="126"/>
      <c r="AO490" s="132"/>
      <c r="AP490" s="126"/>
      <c r="AQ490" s="126"/>
      <c r="AR490" s="130"/>
      <c r="AS490" s="126"/>
      <c r="AT490" s="127"/>
      <c r="AU490" s="127">
        <v>43453.378944907403</v>
      </c>
      <c r="AV490" s="127"/>
      <c r="AW490" s="127"/>
      <c r="AX490" s="127"/>
      <c r="AY490" s="127"/>
      <c r="AZ490" s="133">
        <v>43193</v>
      </c>
      <c r="BA49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0" s="135">
        <f>COUNTIFS(_05preva_view43[Site ID],_05preva_view43[[#This Row],[Site ID]],_05preva_view43[Prevalidation Status],"Under Prevalidation")</f>
        <v>0</v>
      </c>
      <c r="BC490" s="153" t="str">
        <f ca="1">HYPERLINK(CheckPath(_05preva_view43[[#This Row],[File Path]],_05preva_view43[[#This Row],[File Path]],_05preva_view43[[#This Row],[Folder Path3]]),CheckPath(_05preva_view43[[#This Row],[File Path]],"Open File","No File"))</f>
        <v>No File</v>
      </c>
      <c r="BD490" s="136" t="str">
        <f>CONCATENATE(_05preva_view43[[#This Row],[Site ID]]," (",_05preva_view43[[#This Row],[tenant id]],") Application",IF(_05preva_view43[[#This Row],[Colo Rev]]&gt;0," Rev "&amp;_05preva_view43[[#This Row],[Colo Rev]],""),".xlsx")</f>
        <v>ANSH_0034 (SHN1065) Application.xlsx</v>
      </c>
      <c r="BE490" s="64">
        <f t="shared" ca="1" si="9"/>
        <v>50</v>
      </c>
      <c r="BF490" s="104" t="str">
        <f ca="1">LEFT(CELL("filename",A475),_05preva_view43[[#This Row],[Find Process &amp; Database]]-1)</f>
        <v>D:\OneDrive - apollo-towers.com\Apollo Towers\00-</v>
      </c>
      <c r="BG490" s="104" t="str">
        <f ca="1">_05preva_view43[Folder Path1]&amp;"Process &amp; Database\Documentation\Colo Applications"</f>
        <v>D:\OneDrive - apollo-towers.com\Apollo Towers\00-Process &amp; Database\Documentation\Colo Applications</v>
      </c>
      <c r="BH490" s="104" t="str">
        <f ca="1">_05preva_view43[Folder Path2]&amp;"\Colo App "&amp;_05preva_view43[[#This Row],[Operator]]&amp;"\"</f>
        <v>D:\OneDrive - apollo-towers.com\Apollo Towers\00-Process &amp; Database\Documentation\Colo Applications\Colo App Mytel\</v>
      </c>
      <c r="BI490" s="63" t="str">
        <f ca="1">_05preva_view43[[#This Row],[Folder Path3]]&amp;_05preva_view43[[#This Row],[File Name]]</f>
        <v>D:\OneDrive - apollo-towers.com\Apollo Towers\00-Process &amp; Database\Documentation\Colo Applications\Colo App Mytel\ANSH_0034 (SHN1065) Application.xlsx</v>
      </c>
      <c r="BJ490" s="104"/>
      <c r="BK490" s="3"/>
      <c r="BL490" s="3"/>
      <c r="CJ490" s="5"/>
      <c r="CK490" s="5"/>
      <c r="CL490" s="3"/>
      <c r="CN490" s="5"/>
      <c r="CR490" s="3"/>
      <c r="CS490" s="3"/>
      <c r="CT490" s="5"/>
      <c r="CV490" s="3"/>
      <c r="DR490" s="5"/>
      <c r="DT490" s="3"/>
      <c r="EF490" s="7"/>
      <c r="EG490" s="7"/>
      <c r="EJ490" s="4"/>
      <c r="EK490" s="4"/>
      <c r="EU490" s="2"/>
      <c r="EV490" s="2"/>
    </row>
    <row r="491" spans="1:152">
      <c r="A491" s="125">
        <v>35</v>
      </c>
      <c r="B491" s="126" t="s">
        <v>268</v>
      </c>
      <c r="C491" s="126" t="s">
        <v>116</v>
      </c>
      <c r="D491" s="126" t="s">
        <v>163</v>
      </c>
      <c r="E491" s="126" t="s">
        <v>269</v>
      </c>
      <c r="F491" s="126" t="s">
        <v>35</v>
      </c>
      <c r="G491" s="126" t="s">
        <v>1577</v>
      </c>
      <c r="H491" s="126" t="s">
        <v>1575</v>
      </c>
      <c r="I491" s="126" t="s">
        <v>118</v>
      </c>
      <c r="J491" s="126"/>
      <c r="K491" s="127">
        <v>43192</v>
      </c>
      <c r="L491" s="128"/>
      <c r="M491" s="128">
        <v>1.3</v>
      </c>
      <c r="N491" s="126">
        <v>5</v>
      </c>
      <c r="O491" s="126" t="s">
        <v>119</v>
      </c>
      <c r="P491" s="129" t="s">
        <v>270</v>
      </c>
      <c r="Q491" s="129" t="s">
        <v>256</v>
      </c>
      <c r="R491" s="126" t="s">
        <v>24</v>
      </c>
      <c r="S491" s="126"/>
      <c r="T491" s="130" t="s">
        <v>120</v>
      </c>
      <c r="U491" s="126" t="s">
        <v>121</v>
      </c>
      <c r="V491" s="130" t="s">
        <v>120</v>
      </c>
      <c r="W491" s="126"/>
      <c r="X491" s="130" t="s">
        <v>120</v>
      </c>
      <c r="Y491" s="126" t="s">
        <v>271</v>
      </c>
      <c r="Z491" s="162" t="s">
        <v>120</v>
      </c>
      <c r="AA491" s="154"/>
      <c r="AB491" s="154"/>
      <c r="AC491" s="167"/>
      <c r="AD491" s="126"/>
      <c r="AE491" s="130" t="s">
        <v>120</v>
      </c>
      <c r="AF491" s="127" t="s">
        <v>272</v>
      </c>
      <c r="AG491" s="131"/>
      <c r="AH491" s="131">
        <v>1.3</v>
      </c>
      <c r="AI491" s="126" t="s">
        <v>273</v>
      </c>
      <c r="AJ491" s="130" t="s">
        <v>120</v>
      </c>
      <c r="AK491" s="126" t="s">
        <v>123</v>
      </c>
      <c r="AL491" s="126"/>
      <c r="AM491" s="130"/>
      <c r="AN491" s="126"/>
      <c r="AO491" s="132"/>
      <c r="AP491" s="126"/>
      <c r="AQ491" s="126"/>
      <c r="AR491" s="130"/>
      <c r="AS491" s="126"/>
      <c r="AT491" s="127"/>
      <c r="AU491" s="127">
        <v>43453.378928472201</v>
      </c>
      <c r="AV491" s="127"/>
      <c r="AW491" s="127"/>
      <c r="AX491" s="127"/>
      <c r="AY491" s="127"/>
      <c r="AZ491" s="133">
        <v>43192</v>
      </c>
      <c r="BA49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1" s="135">
        <f>COUNTIFS(_05preva_view43[Site ID],_05preva_view43[[#This Row],[Site ID]],_05preva_view43[Prevalidation Status],"Under Prevalidation")</f>
        <v>0</v>
      </c>
      <c r="BC491" s="153" t="str">
        <f ca="1">HYPERLINK(CheckPath(_05preva_view43[[#This Row],[File Path]],_05preva_view43[[#This Row],[File Path]],_05preva_view43[[#This Row],[Folder Path3]]),CheckPath(_05preva_view43[[#This Row],[File Path]],"Open File","No File"))</f>
        <v>No File</v>
      </c>
      <c r="BD491" s="136" t="str">
        <f>CONCATENATE(_05preva_view43[[#This Row],[Site ID]]," (",_05preva_view43[[#This Row],[tenant id]],") Application",IF(_05preva_view43[[#This Row],[Colo Rev]]&gt;0," Rev "&amp;_05preva_view43[[#This Row],[Colo Rev]],""),".xlsx")</f>
        <v>AYYN_0135 (YGN02071) Application.xlsx</v>
      </c>
      <c r="BE491" s="64">
        <f t="shared" ca="1" si="9"/>
        <v>50</v>
      </c>
      <c r="BF491" s="104" t="str">
        <f ca="1">LEFT(CELL("filename",A476),_05preva_view43[[#This Row],[Find Process &amp; Database]]-1)</f>
        <v>D:\OneDrive - apollo-towers.com\Apollo Towers\00-</v>
      </c>
      <c r="BG491" s="104" t="str">
        <f ca="1">_05preva_view43[Folder Path1]&amp;"Process &amp; Database\Documentation\Colo Applications"</f>
        <v>D:\OneDrive - apollo-towers.com\Apollo Towers\00-Process &amp; Database\Documentation\Colo Applications</v>
      </c>
      <c r="BH491" s="104" t="str">
        <f ca="1">_05preva_view43[Folder Path2]&amp;"\Colo App "&amp;_05preva_view43[[#This Row],[Operator]]&amp;"\"</f>
        <v>D:\OneDrive - apollo-towers.com\Apollo Towers\00-Process &amp; Database\Documentation\Colo Applications\Colo App MPT\</v>
      </c>
      <c r="BI491" s="63" t="str">
        <f ca="1">_05preva_view43[[#This Row],[Folder Path3]]&amp;_05preva_view43[[#This Row],[File Name]]</f>
        <v>D:\OneDrive - apollo-towers.com\Apollo Towers\00-Process &amp; Database\Documentation\Colo Applications\Colo App MPT\AYYN_0135 (YGN02071) Application.xlsx</v>
      </c>
      <c r="BJ491" s="104"/>
      <c r="BK491" s="3"/>
      <c r="BL491" s="3"/>
      <c r="CJ491" s="5"/>
      <c r="CK491" s="5"/>
      <c r="CL491" s="3"/>
      <c r="CN491" s="5"/>
      <c r="CR491" s="3"/>
      <c r="CS491" s="3"/>
      <c r="CT491" s="5"/>
      <c r="CV491" s="3"/>
      <c r="DR491" s="5"/>
      <c r="DT491" s="3"/>
      <c r="EF491" s="7"/>
      <c r="EG491" s="7"/>
      <c r="EJ491" s="4"/>
      <c r="EK491" s="4"/>
      <c r="EU491" s="2"/>
      <c r="EV491" s="2"/>
    </row>
    <row r="492" spans="1:152">
      <c r="A492" s="125">
        <v>34</v>
      </c>
      <c r="B492" s="126" t="s">
        <v>261</v>
      </c>
      <c r="C492" s="126" t="s">
        <v>116</v>
      </c>
      <c r="D492" s="126" t="s">
        <v>117</v>
      </c>
      <c r="E492" s="126" t="s">
        <v>262</v>
      </c>
      <c r="F492" s="126" t="s">
        <v>34</v>
      </c>
      <c r="G492" s="126" t="s">
        <v>1574</v>
      </c>
      <c r="H492" s="126" t="s">
        <v>1575</v>
      </c>
      <c r="I492" s="126" t="s">
        <v>118</v>
      </c>
      <c r="J492" s="126"/>
      <c r="K492" s="127">
        <v>43189</v>
      </c>
      <c r="L492" s="128"/>
      <c r="M492" s="128">
        <v>2</v>
      </c>
      <c r="N492" s="126">
        <v>6</v>
      </c>
      <c r="O492" s="126" t="s">
        <v>119</v>
      </c>
      <c r="P492" s="129" t="s">
        <v>263</v>
      </c>
      <c r="Q492" s="129" t="s">
        <v>264</v>
      </c>
      <c r="R492" s="126" t="s">
        <v>24</v>
      </c>
      <c r="S492" s="126"/>
      <c r="T492" s="130" t="s">
        <v>120</v>
      </c>
      <c r="U492" s="126" t="s">
        <v>121</v>
      </c>
      <c r="V492" s="130" t="s">
        <v>120</v>
      </c>
      <c r="W492" s="126"/>
      <c r="X492" s="130" t="s">
        <v>120</v>
      </c>
      <c r="Y492" s="126" t="s">
        <v>265</v>
      </c>
      <c r="Z492" s="162" t="s">
        <v>120</v>
      </c>
      <c r="AA492" s="154"/>
      <c r="AB492" s="154"/>
      <c r="AC492" s="167"/>
      <c r="AD492" s="126"/>
      <c r="AE492" s="130" t="s">
        <v>120</v>
      </c>
      <c r="AF492" s="127" t="s">
        <v>266</v>
      </c>
      <c r="AG492" s="131"/>
      <c r="AH492" s="131">
        <v>2</v>
      </c>
      <c r="AI492" s="126" t="s">
        <v>267</v>
      </c>
      <c r="AJ492" s="130" t="s">
        <v>120</v>
      </c>
      <c r="AK492" s="126" t="s">
        <v>123</v>
      </c>
      <c r="AL492" s="126"/>
      <c r="AM492" s="130"/>
      <c r="AN492" s="126"/>
      <c r="AO492" s="132"/>
      <c r="AP492" s="126"/>
      <c r="AQ492" s="126"/>
      <c r="AR492" s="130"/>
      <c r="AS492" s="126"/>
      <c r="AT492" s="127"/>
      <c r="AU492" s="127">
        <v>43453.3789256944</v>
      </c>
      <c r="AV492" s="127"/>
      <c r="AW492" s="127"/>
      <c r="AX492" s="127"/>
      <c r="AY492" s="127"/>
      <c r="AZ492" s="133">
        <v>43189</v>
      </c>
      <c r="BA49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2" s="135">
        <f>COUNTIFS(_05preva_view43[Site ID],_05preva_view43[[#This Row],[Site ID]],_05preva_view43[Prevalidation Status],"Under Prevalidation")</f>
        <v>0</v>
      </c>
      <c r="BC492" s="153" t="str">
        <f ca="1">HYPERLINK(CheckPath(_05preva_view43[[#This Row],[File Path]],_05preva_view43[[#This Row],[File Path]],_05preva_view43[[#This Row],[Folder Path3]]),CheckPath(_05preva_view43[[#This Row],[File Path]],"Open File","No File"))</f>
        <v>No File</v>
      </c>
      <c r="BD492" s="136" t="str">
        <f>CONCATENATE(_05preva_view43[[#This Row],[Site ID]]," (",_05preva_view43[[#This Row],[tenant id]],") Application",IF(_05preva_view43[[#This Row],[Colo Rev]]&gt;0," Rev "&amp;_05preva_view43[[#This Row],[Colo Rev]],""),".xlsx")</f>
        <v>ANNP_0252 (NPW0260) Application.xlsx</v>
      </c>
      <c r="BE492" s="64">
        <f t="shared" ca="1" si="9"/>
        <v>50</v>
      </c>
      <c r="BF492" s="104" t="str">
        <f ca="1">LEFT(CELL("filename",A477),_05preva_view43[[#This Row],[Find Process &amp; Database]]-1)</f>
        <v>D:\OneDrive - apollo-towers.com\Apollo Towers\00-</v>
      </c>
      <c r="BG492" s="104" t="str">
        <f ca="1">_05preva_view43[Folder Path1]&amp;"Process &amp; Database\Documentation\Colo Applications"</f>
        <v>D:\OneDrive - apollo-towers.com\Apollo Towers\00-Process &amp; Database\Documentation\Colo Applications</v>
      </c>
      <c r="BH492" s="104" t="str">
        <f ca="1">_05preva_view43[Folder Path2]&amp;"\Colo App "&amp;_05preva_view43[[#This Row],[Operator]]&amp;"\"</f>
        <v>D:\OneDrive - apollo-towers.com\Apollo Towers\00-Process &amp; Database\Documentation\Colo Applications\Colo App Mytel\</v>
      </c>
      <c r="BI492" s="63" t="str">
        <f ca="1">_05preva_view43[[#This Row],[Folder Path3]]&amp;_05preva_view43[[#This Row],[File Name]]</f>
        <v>D:\OneDrive - apollo-towers.com\Apollo Towers\00-Process &amp; Database\Documentation\Colo Applications\Colo App Mytel\ANNP_0252 (NPW0260) Application.xlsx</v>
      </c>
      <c r="BJ492" s="104"/>
      <c r="BK492" s="3"/>
      <c r="BL492" s="3"/>
      <c r="CJ492" s="5"/>
      <c r="CK492" s="5"/>
      <c r="CL492" s="3"/>
      <c r="CN492" s="5"/>
      <c r="CR492" s="3"/>
      <c r="CS492" s="3"/>
      <c r="CT492" s="5"/>
      <c r="CV492" s="3"/>
      <c r="DR492" s="5"/>
      <c r="DT492" s="3"/>
      <c r="EF492" s="7"/>
      <c r="EG492" s="7"/>
      <c r="EJ492" s="4"/>
      <c r="EK492" s="4"/>
      <c r="EU492" s="2"/>
      <c r="EV492" s="2"/>
    </row>
    <row r="493" spans="1:152">
      <c r="A493" s="125">
        <v>33</v>
      </c>
      <c r="B493" s="126" t="s">
        <v>254</v>
      </c>
      <c r="C493" s="126" t="s">
        <v>116</v>
      </c>
      <c r="D493" s="126" t="s">
        <v>127</v>
      </c>
      <c r="E493" s="126" t="s">
        <v>255</v>
      </c>
      <c r="F493" s="126" t="s">
        <v>40</v>
      </c>
      <c r="G493" s="126" t="s">
        <v>1579</v>
      </c>
      <c r="H493" s="126" t="s">
        <v>1575</v>
      </c>
      <c r="I493" s="126" t="s">
        <v>118</v>
      </c>
      <c r="J493" s="126"/>
      <c r="K493" s="127">
        <v>43181</v>
      </c>
      <c r="L493" s="128"/>
      <c r="M493" s="128">
        <v>3.5</v>
      </c>
      <c r="N493" s="126">
        <v>5.5</v>
      </c>
      <c r="O493" s="126" t="s">
        <v>119</v>
      </c>
      <c r="P493" s="129" t="s">
        <v>256</v>
      </c>
      <c r="Q493" s="129" t="s">
        <v>257</v>
      </c>
      <c r="R493" s="126" t="s">
        <v>24</v>
      </c>
      <c r="S493" s="126"/>
      <c r="T493" s="130" t="s">
        <v>120</v>
      </c>
      <c r="U493" s="126" t="s">
        <v>121</v>
      </c>
      <c r="V493" s="130" t="s">
        <v>120</v>
      </c>
      <c r="W493" s="126" t="s">
        <v>260</v>
      </c>
      <c r="X493" s="130" t="s">
        <v>120</v>
      </c>
      <c r="Y493" s="126"/>
      <c r="Z493" s="162" t="s">
        <v>120</v>
      </c>
      <c r="AA493" s="154"/>
      <c r="AB493" s="154"/>
      <c r="AC493" s="167"/>
      <c r="AD493" s="126" t="s">
        <v>252</v>
      </c>
      <c r="AE493" s="130" t="s">
        <v>120</v>
      </c>
      <c r="AF493" s="127"/>
      <c r="AG493" s="131"/>
      <c r="AH493" s="131"/>
      <c r="AI493" s="126" t="s">
        <v>259</v>
      </c>
      <c r="AJ493" s="130" t="s">
        <v>120</v>
      </c>
      <c r="AK493" s="126" t="s">
        <v>240</v>
      </c>
      <c r="AL493" s="126" t="s">
        <v>258</v>
      </c>
      <c r="AM493" s="130"/>
      <c r="AN493" s="126"/>
      <c r="AO493" s="132"/>
      <c r="AP493" s="126"/>
      <c r="AQ493" s="126"/>
      <c r="AR493" s="130"/>
      <c r="AS493" s="126"/>
      <c r="AT493" s="127"/>
      <c r="AU493" s="127">
        <v>43453.378924421297</v>
      </c>
      <c r="AV493" s="127"/>
      <c r="AW493" s="127"/>
      <c r="AX493" s="127"/>
      <c r="AY493" s="127"/>
      <c r="AZ493" s="133">
        <v>43181</v>
      </c>
      <c r="BA49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3" s="135">
        <f>COUNTIFS(_05preva_view43[Site ID],_05preva_view43[[#This Row],[Site ID]],_05preva_view43[Prevalidation Status],"Under Prevalidation")</f>
        <v>0</v>
      </c>
      <c r="BC493" s="153" t="str">
        <f ca="1">HYPERLINK(CheckPath(_05preva_view43[[#This Row],[File Path]],_05preva_view43[[#This Row],[File Path]],_05preva_view43[[#This Row],[Folder Path3]]),CheckPath(_05preva_view43[[#This Row],[File Path]],"Open File","No File"))</f>
        <v>No File</v>
      </c>
      <c r="BD493" s="136" t="str">
        <f>CONCATENATE(_05preva_view43[[#This Row],[Site ID]]," (",_05preva_view43[[#This Row],[tenant id]],") Application",IF(_05preva_view43[[#This Row],[Colo Rev]]&gt;0," Rev "&amp;_05preva_view43[[#This Row],[Colo Rev]],""),".xlsx")</f>
        <v>ANSG_0343 (SAW0697) Application.xlsx</v>
      </c>
      <c r="BE493" s="64">
        <f t="shared" ca="1" si="9"/>
        <v>50</v>
      </c>
      <c r="BF493" s="104" t="str">
        <f ca="1">LEFT(CELL("filename",A478),_05preva_view43[[#This Row],[Find Process &amp; Database]]-1)</f>
        <v>D:\OneDrive - apollo-towers.com\Apollo Towers\00-</v>
      </c>
      <c r="BG493" s="104" t="str">
        <f ca="1">_05preva_view43[Folder Path1]&amp;"Process &amp; Database\Documentation\Colo Applications"</f>
        <v>D:\OneDrive - apollo-towers.com\Apollo Towers\00-Process &amp; Database\Documentation\Colo Applications</v>
      </c>
      <c r="BH493" s="104" t="str">
        <f ca="1">_05preva_view43[Folder Path2]&amp;"\Colo App "&amp;_05preva_view43[[#This Row],[Operator]]&amp;"\"</f>
        <v>D:\OneDrive - apollo-towers.com\Apollo Towers\00-Process &amp; Database\Documentation\Colo Applications\Colo App OML\</v>
      </c>
      <c r="BI493" s="63" t="str">
        <f ca="1">_05preva_view43[[#This Row],[Folder Path3]]&amp;_05preva_view43[[#This Row],[File Name]]</f>
        <v>D:\OneDrive - apollo-towers.com\Apollo Towers\00-Process &amp; Database\Documentation\Colo Applications\Colo App OML\ANSG_0343 (SAW0697) Application.xlsx</v>
      </c>
      <c r="BJ493" s="104"/>
      <c r="BK493" s="3"/>
      <c r="BL493" s="3"/>
      <c r="CJ493" s="5"/>
      <c r="CK493" s="5"/>
      <c r="CL493" s="3"/>
      <c r="CN493" s="5"/>
      <c r="CR493" s="3"/>
      <c r="CS493" s="3"/>
      <c r="CT493" s="5"/>
      <c r="CV493" s="3"/>
      <c r="DR493" s="5"/>
      <c r="DT493" s="3"/>
      <c r="EF493" s="7"/>
      <c r="EG493" s="7"/>
      <c r="EJ493" s="4"/>
      <c r="EK493" s="4"/>
      <c r="EU493" s="2"/>
      <c r="EV493" s="2"/>
    </row>
    <row r="494" spans="1:152">
      <c r="A494" s="125">
        <v>1</v>
      </c>
      <c r="B494" s="126" t="s">
        <v>1913</v>
      </c>
      <c r="C494" s="126" t="s">
        <v>116</v>
      </c>
      <c r="D494" s="126" t="s">
        <v>117</v>
      </c>
      <c r="E494" s="126" t="s">
        <v>1914</v>
      </c>
      <c r="F494" s="126" t="s">
        <v>34</v>
      </c>
      <c r="G494" s="126" t="s">
        <v>118</v>
      </c>
      <c r="H494" s="126"/>
      <c r="I494" s="126" t="s">
        <v>118</v>
      </c>
      <c r="J494" s="126"/>
      <c r="K494" s="127">
        <v>43172</v>
      </c>
      <c r="L494" s="128"/>
      <c r="M494" s="128"/>
      <c r="N494" s="126"/>
      <c r="O494" s="126" t="s">
        <v>119</v>
      </c>
      <c r="P494" s="129"/>
      <c r="Q494" s="129"/>
      <c r="R494" s="126" t="s">
        <v>1915</v>
      </c>
      <c r="S494" s="126"/>
      <c r="T494" s="130" t="s">
        <v>120</v>
      </c>
      <c r="U494" s="126" t="s">
        <v>121</v>
      </c>
      <c r="V494" s="130" t="s">
        <v>125</v>
      </c>
      <c r="W494" s="126" t="s">
        <v>1916</v>
      </c>
      <c r="X494" s="130" t="s">
        <v>120</v>
      </c>
      <c r="Y494" s="126" t="s">
        <v>122</v>
      </c>
      <c r="Z494" s="162" t="s">
        <v>120</v>
      </c>
      <c r="AA494" s="154"/>
      <c r="AB494" s="154"/>
      <c r="AC494" s="167"/>
      <c r="AD494" s="126"/>
      <c r="AE494" s="130" t="s">
        <v>120</v>
      </c>
      <c r="AF494" s="127"/>
      <c r="AG494" s="131"/>
      <c r="AH494" s="131"/>
      <c r="AI494" s="126" t="s">
        <v>124</v>
      </c>
      <c r="AJ494" s="130" t="s">
        <v>120</v>
      </c>
      <c r="AK494" s="126" t="s">
        <v>123</v>
      </c>
      <c r="AL494" s="126"/>
      <c r="AM494" s="130"/>
      <c r="AN494" s="126"/>
      <c r="AO494" s="132"/>
      <c r="AP494" s="126"/>
      <c r="AQ494" s="126"/>
      <c r="AR494" s="130"/>
      <c r="AS494" s="126"/>
      <c r="AT494" s="127"/>
      <c r="AU494" s="127">
        <v>43453.378871412002</v>
      </c>
      <c r="AV494" s="127"/>
      <c r="AW494" s="127"/>
      <c r="AX494" s="127"/>
      <c r="AY494" s="127"/>
      <c r="AZ494" s="133"/>
      <c r="BA49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4" s="135">
        <f>COUNTIFS(_05preva_view43[Site ID],_05preva_view43[[#This Row],[Site ID]],_05preva_view43[Prevalidation Status],"Under Prevalidation")</f>
        <v>0</v>
      </c>
      <c r="BC494" s="153" t="str">
        <f ca="1">HYPERLINK(CheckPath(_05preva_view43[[#This Row],[File Path]],_05preva_view43[[#This Row],[File Path]],_05preva_view43[[#This Row],[Folder Path3]]),CheckPath(_05preva_view43[[#This Row],[File Path]],"Open File","No File"))</f>
        <v>No File</v>
      </c>
      <c r="BD494" s="136" t="str">
        <f>CONCATENATE(_05preva_view43[[#This Row],[Site ID]]," (",_05preva_view43[[#This Row],[tenant id]],") Application",IF(_05preva_view43[[#This Row],[Colo Rev]]&gt;0," Rev "&amp;_05preva_view43[[#This Row],[Colo Rev]],""),".xlsx")</f>
        <v>ACRK_0023 (RKE0090) Application.xlsx</v>
      </c>
      <c r="BE494" s="64">
        <f t="shared" ca="1" si="9"/>
        <v>50</v>
      </c>
      <c r="BF494" s="104" t="str">
        <f ca="1">LEFT(CELL("filename",A479),_05preva_view43[[#This Row],[Find Process &amp; Database]]-1)</f>
        <v>D:\OneDrive - apollo-towers.com\Apollo Towers\00-</v>
      </c>
      <c r="BG494" s="104" t="str">
        <f ca="1">_05preva_view43[Folder Path1]&amp;"Process &amp; Database\Documentation\Colo Applications"</f>
        <v>D:\OneDrive - apollo-towers.com\Apollo Towers\00-Process &amp; Database\Documentation\Colo Applications</v>
      </c>
      <c r="BH494" s="104" t="str">
        <f ca="1">_05preva_view43[Folder Path2]&amp;"\Colo App "&amp;_05preva_view43[[#This Row],[Operator]]&amp;"\"</f>
        <v>D:\OneDrive - apollo-towers.com\Apollo Towers\00-Process &amp; Database\Documentation\Colo Applications\Colo App Mytel\</v>
      </c>
      <c r="BI494" s="63" t="str">
        <f ca="1">_05preva_view43[[#This Row],[Folder Path3]]&amp;_05preva_view43[[#This Row],[File Name]]</f>
        <v>D:\OneDrive - apollo-towers.com\Apollo Towers\00-Process &amp; Database\Documentation\Colo Applications\Colo App Mytel\ACRK_0023 (RKE0090) Application.xlsx</v>
      </c>
      <c r="BJ494" s="104"/>
      <c r="BK494" s="3"/>
      <c r="BL494" s="3"/>
      <c r="CJ494" s="5"/>
      <c r="CK494" s="5"/>
      <c r="CL494" s="3"/>
      <c r="CN494" s="5"/>
      <c r="CR494" s="3"/>
      <c r="CS494" s="3"/>
      <c r="CT494" s="5"/>
      <c r="CV494" s="3"/>
      <c r="DR494" s="5"/>
      <c r="DT494" s="3"/>
      <c r="EF494" s="7"/>
      <c r="EG494" s="7"/>
      <c r="EJ494" s="4"/>
      <c r="EK494" s="4"/>
      <c r="EU494" s="2"/>
      <c r="EV494" s="2"/>
    </row>
    <row r="495" spans="1:152">
      <c r="A495" s="125">
        <v>2</v>
      </c>
      <c r="B495" s="126" t="s">
        <v>126</v>
      </c>
      <c r="C495" s="126" t="s">
        <v>116</v>
      </c>
      <c r="D495" s="126" t="s">
        <v>127</v>
      </c>
      <c r="E495" s="126" t="s">
        <v>128</v>
      </c>
      <c r="F495" s="126" t="s">
        <v>34</v>
      </c>
      <c r="G495" s="126" t="s">
        <v>1574</v>
      </c>
      <c r="H495" s="126" t="s">
        <v>1575</v>
      </c>
      <c r="I495" s="126" t="s">
        <v>118</v>
      </c>
      <c r="J495" s="126"/>
      <c r="K495" s="127">
        <v>43172</v>
      </c>
      <c r="L495" s="128"/>
      <c r="M495" s="128"/>
      <c r="N495" s="126"/>
      <c r="O495" s="126" t="s">
        <v>119</v>
      </c>
      <c r="P495" s="129"/>
      <c r="Q495" s="129"/>
      <c r="R495" s="126" t="s">
        <v>24</v>
      </c>
      <c r="S495" s="126"/>
      <c r="T495" s="130" t="s">
        <v>120</v>
      </c>
      <c r="U495" s="126" t="s">
        <v>121</v>
      </c>
      <c r="V495" s="130" t="s">
        <v>120</v>
      </c>
      <c r="W495" s="126"/>
      <c r="X495" s="130" t="s">
        <v>120</v>
      </c>
      <c r="Y495" s="126" t="s">
        <v>129</v>
      </c>
      <c r="Z495" s="162" t="s">
        <v>120</v>
      </c>
      <c r="AA495" s="154"/>
      <c r="AB495" s="154"/>
      <c r="AC495" s="167"/>
      <c r="AD495" s="126"/>
      <c r="AE495" s="130" t="s">
        <v>120</v>
      </c>
      <c r="AF495" s="127"/>
      <c r="AG495" s="131"/>
      <c r="AH495" s="131"/>
      <c r="AI495" s="126" t="s">
        <v>131</v>
      </c>
      <c r="AJ495" s="130" t="s">
        <v>120</v>
      </c>
      <c r="AK495" s="126" t="s">
        <v>123</v>
      </c>
      <c r="AL495" s="126" t="s">
        <v>130</v>
      </c>
      <c r="AM495" s="130"/>
      <c r="AN495" s="126"/>
      <c r="AO495" s="132"/>
      <c r="AP495" s="126"/>
      <c r="AQ495" s="126"/>
      <c r="AR495" s="130"/>
      <c r="AS495" s="126"/>
      <c r="AT495" s="127"/>
      <c r="AU495" s="127">
        <v>43453.3788732639</v>
      </c>
      <c r="AV495" s="127"/>
      <c r="AW495" s="127"/>
      <c r="AX495" s="127"/>
      <c r="AY495" s="127"/>
      <c r="AZ495" s="133">
        <v>43172</v>
      </c>
      <c r="BA49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5" s="135">
        <f>COUNTIFS(_05preva_view43[Site ID],_05preva_view43[[#This Row],[Site ID]],_05preva_view43[Prevalidation Status],"Under Prevalidation")</f>
        <v>0</v>
      </c>
      <c r="BC495" s="153" t="str">
        <f ca="1">HYPERLINK(CheckPath(_05preva_view43[[#This Row],[File Path]],_05preva_view43[[#This Row],[File Path]],_05preva_view43[[#This Row],[Folder Path3]]),CheckPath(_05preva_view43[[#This Row],[File Path]],"Open File","No File"))</f>
        <v>No File</v>
      </c>
      <c r="BD495" s="136" t="str">
        <f>CONCATENATE(_05preva_view43[[#This Row],[Site ID]]," (",_05preva_view43[[#This Row],[tenant id]],") Application",IF(_05preva_view43[[#This Row],[Colo Rev]]&gt;0," Rev "&amp;_05preva_view43[[#This Row],[Colo Rev]],""),".xlsx")</f>
        <v>ANKC_0015 (KCN0160) Application.xlsx</v>
      </c>
      <c r="BE495" s="64">
        <f t="shared" ca="1" si="9"/>
        <v>50</v>
      </c>
      <c r="BF495" s="104" t="str">
        <f ca="1">LEFT(CELL("filename",A480),_05preva_view43[[#This Row],[Find Process &amp; Database]]-1)</f>
        <v>D:\OneDrive - apollo-towers.com\Apollo Towers\00-</v>
      </c>
      <c r="BG495" s="104" t="str">
        <f ca="1">_05preva_view43[Folder Path1]&amp;"Process &amp; Database\Documentation\Colo Applications"</f>
        <v>D:\OneDrive - apollo-towers.com\Apollo Towers\00-Process &amp; Database\Documentation\Colo Applications</v>
      </c>
      <c r="BH495" s="104" t="str">
        <f ca="1">_05preva_view43[Folder Path2]&amp;"\Colo App "&amp;_05preva_view43[[#This Row],[Operator]]&amp;"\"</f>
        <v>D:\OneDrive - apollo-towers.com\Apollo Towers\00-Process &amp; Database\Documentation\Colo Applications\Colo App Mytel\</v>
      </c>
      <c r="BI495" s="63" t="str">
        <f ca="1">_05preva_view43[[#This Row],[Folder Path3]]&amp;_05preva_view43[[#This Row],[File Name]]</f>
        <v>D:\OneDrive - apollo-towers.com\Apollo Towers\00-Process &amp; Database\Documentation\Colo Applications\Colo App Mytel\ANKC_0015 (KCN0160) Application.xlsx</v>
      </c>
      <c r="BJ495" s="104"/>
      <c r="BK495" s="3"/>
      <c r="BL495" s="3"/>
      <c r="CJ495" s="5"/>
      <c r="CK495" s="5"/>
      <c r="CL495" s="3"/>
      <c r="CN495" s="5"/>
      <c r="CR495" s="3"/>
      <c r="CS495" s="3"/>
      <c r="CT495" s="5"/>
      <c r="CV495" s="3"/>
      <c r="DR495" s="5"/>
      <c r="DT495" s="3"/>
      <c r="EF495" s="7"/>
      <c r="EG495" s="7"/>
      <c r="EJ495" s="4"/>
      <c r="EK495" s="4"/>
      <c r="EU495" s="2"/>
      <c r="EV495" s="2"/>
    </row>
    <row r="496" spans="1:152">
      <c r="A496" s="125">
        <v>3</v>
      </c>
      <c r="B496" s="126" t="s">
        <v>132</v>
      </c>
      <c r="C496" s="126" t="s">
        <v>116</v>
      </c>
      <c r="D496" s="126" t="s">
        <v>127</v>
      </c>
      <c r="E496" s="126" t="s">
        <v>133</v>
      </c>
      <c r="F496" s="126" t="s">
        <v>34</v>
      </c>
      <c r="G496" s="126" t="s">
        <v>1574</v>
      </c>
      <c r="H496" s="126" t="s">
        <v>1575</v>
      </c>
      <c r="I496" s="126" t="s">
        <v>118</v>
      </c>
      <c r="J496" s="126"/>
      <c r="K496" s="127">
        <v>43172</v>
      </c>
      <c r="L496" s="128"/>
      <c r="M496" s="128"/>
      <c r="N496" s="126"/>
      <c r="O496" s="126" t="s">
        <v>119</v>
      </c>
      <c r="P496" s="129"/>
      <c r="Q496" s="129"/>
      <c r="R496" s="126" t="s">
        <v>24</v>
      </c>
      <c r="S496" s="126"/>
      <c r="T496" s="130" t="s">
        <v>120</v>
      </c>
      <c r="U496" s="126" t="s">
        <v>121</v>
      </c>
      <c r="V496" s="130" t="s">
        <v>120</v>
      </c>
      <c r="W496" s="126"/>
      <c r="X496" s="130" t="s">
        <v>120</v>
      </c>
      <c r="Y496" s="126" t="s">
        <v>122</v>
      </c>
      <c r="Z496" s="162" t="s">
        <v>120</v>
      </c>
      <c r="AA496" s="154"/>
      <c r="AB496" s="154"/>
      <c r="AC496" s="167"/>
      <c r="AD496" s="126"/>
      <c r="AE496" s="130" t="s">
        <v>120</v>
      </c>
      <c r="AF496" s="127"/>
      <c r="AG496" s="131"/>
      <c r="AH496" s="131"/>
      <c r="AI496" s="126" t="s">
        <v>134</v>
      </c>
      <c r="AJ496" s="130" t="s">
        <v>120</v>
      </c>
      <c r="AK496" s="126" t="s">
        <v>123</v>
      </c>
      <c r="AL496" s="126" t="s">
        <v>130</v>
      </c>
      <c r="AM496" s="130"/>
      <c r="AN496" s="126"/>
      <c r="AO496" s="132"/>
      <c r="AP496" s="126"/>
      <c r="AQ496" s="126"/>
      <c r="AR496" s="130"/>
      <c r="AS496" s="126"/>
      <c r="AT496" s="127"/>
      <c r="AU496" s="127">
        <v>43453.378876620402</v>
      </c>
      <c r="AV496" s="127"/>
      <c r="AW496" s="127"/>
      <c r="AX496" s="127"/>
      <c r="AY496" s="127"/>
      <c r="AZ496" s="133">
        <v>43172</v>
      </c>
      <c r="BA49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6" s="135">
        <f>COUNTIFS(_05preva_view43[Site ID],_05preva_view43[[#This Row],[Site ID]],_05preva_view43[Prevalidation Status],"Under Prevalidation")</f>
        <v>0</v>
      </c>
      <c r="BC496" s="153" t="str">
        <f ca="1">HYPERLINK(CheckPath(_05preva_view43[[#This Row],[File Path]],_05preva_view43[[#This Row],[File Path]],_05preva_view43[[#This Row],[Folder Path3]]),CheckPath(_05preva_view43[[#This Row],[File Path]],"Open File","No File"))</f>
        <v>No File</v>
      </c>
      <c r="BD496" s="136" t="str">
        <f>CONCATENATE(_05preva_view43[[#This Row],[Site ID]]," (",_05preva_view43[[#This Row],[tenant id]],") Application",IF(_05preva_view43[[#This Row],[Colo Rev]]&gt;0," Rev "&amp;_05preva_view43[[#This Row],[Colo Rev]],""),".xlsx")</f>
        <v>ANMD_0065 (MDY0723) Application.xlsx</v>
      </c>
      <c r="BE496" s="64">
        <f t="shared" ca="1" si="9"/>
        <v>50</v>
      </c>
      <c r="BF496" s="104" t="str">
        <f ca="1">LEFT(CELL("filename",A481),_05preva_view43[[#This Row],[Find Process &amp; Database]]-1)</f>
        <v>D:\OneDrive - apollo-towers.com\Apollo Towers\00-</v>
      </c>
      <c r="BG496" s="104" t="str">
        <f ca="1">_05preva_view43[Folder Path1]&amp;"Process &amp; Database\Documentation\Colo Applications"</f>
        <v>D:\OneDrive - apollo-towers.com\Apollo Towers\00-Process &amp; Database\Documentation\Colo Applications</v>
      </c>
      <c r="BH496" s="104" t="str">
        <f ca="1">_05preva_view43[Folder Path2]&amp;"\Colo App "&amp;_05preva_view43[[#This Row],[Operator]]&amp;"\"</f>
        <v>D:\OneDrive - apollo-towers.com\Apollo Towers\00-Process &amp; Database\Documentation\Colo Applications\Colo App Mytel\</v>
      </c>
      <c r="BI496" s="63" t="str">
        <f ca="1">_05preva_view43[[#This Row],[Folder Path3]]&amp;_05preva_view43[[#This Row],[File Name]]</f>
        <v>D:\OneDrive - apollo-towers.com\Apollo Towers\00-Process &amp; Database\Documentation\Colo Applications\Colo App Mytel\ANMD_0065 (MDY0723) Application.xlsx</v>
      </c>
      <c r="BJ496" s="104"/>
      <c r="BK496" s="3"/>
      <c r="BL496" s="3"/>
      <c r="CJ496" s="5"/>
      <c r="CK496" s="5"/>
      <c r="CL496" s="3"/>
      <c r="CN496" s="5"/>
      <c r="CR496" s="3"/>
      <c r="CS496" s="3"/>
      <c r="CT496" s="5"/>
      <c r="CV496" s="3"/>
      <c r="DR496" s="5"/>
      <c r="DT496" s="3"/>
      <c r="EF496" s="7"/>
      <c r="EG496" s="7"/>
      <c r="EJ496" s="4"/>
      <c r="EK496" s="4"/>
      <c r="EU496" s="2"/>
      <c r="EV496" s="2"/>
    </row>
    <row r="497" spans="1:152">
      <c r="A497" s="125">
        <v>4</v>
      </c>
      <c r="B497" s="126" t="s">
        <v>135</v>
      </c>
      <c r="C497" s="126" t="s">
        <v>116</v>
      </c>
      <c r="D497" s="126" t="s">
        <v>127</v>
      </c>
      <c r="E497" s="126" t="s">
        <v>136</v>
      </c>
      <c r="F497" s="126" t="s">
        <v>34</v>
      </c>
      <c r="G497" s="126" t="s">
        <v>1574</v>
      </c>
      <c r="H497" s="126" t="s">
        <v>1575</v>
      </c>
      <c r="I497" s="126" t="s">
        <v>118</v>
      </c>
      <c r="J497" s="126"/>
      <c r="K497" s="127">
        <v>43172</v>
      </c>
      <c r="L497" s="128"/>
      <c r="M497" s="128"/>
      <c r="N497" s="126"/>
      <c r="O497" s="126" t="s">
        <v>119</v>
      </c>
      <c r="P497" s="129"/>
      <c r="Q497" s="129"/>
      <c r="R497" s="126" t="s">
        <v>24</v>
      </c>
      <c r="S497" s="126"/>
      <c r="T497" s="130" t="s">
        <v>120</v>
      </c>
      <c r="U497" s="126" t="s">
        <v>121</v>
      </c>
      <c r="V497" s="130" t="s">
        <v>120</v>
      </c>
      <c r="W497" s="126"/>
      <c r="X497" s="130" t="s">
        <v>120</v>
      </c>
      <c r="Y497" s="126" t="s">
        <v>137</v>
      </c>
      <c r="Z497" s="162" t="s">
        <v>120</v>
      </c>
      <c r="AA497" s="154"/>
      <c r="AB497" s="154"/>
      <c r="AC497" s="167"/>
      <c r="AD497" s="126" t="s">
        <v>138</v>
      </c>
      <c r="AE497" s="130" t="s">
        <v>120</v>
      </c>
      <c r="AF497" s="127"/>
      <c r="AG497" s="131"/>
      <c r="AH497" s="131"/>
      <c r="AI497" s="126" t="s">
        <v>140</v>
      </c>
      <c r="AJ497" s="130" t="s">
        <v>120</v>
      </c>
      <c r="AK497" s="126" t="s">
        <v>123</v>
      </c>
      <c r="AL497" s="126" t="s">
        <v>139</v>
      </c>
      <c r="AM497" s="130"/>
      <c r="AN497" s="126"/>
      <c r="AO497" s="132"/>
      <c r="AP497" s="126"/>
      <c r="AQ497" s="126"/>
      <c r="AR497" s="130"/>
      <c r="AS497" s="126"/>
      <c r="AT497" s="127"/>
      <c r="AU497" s="127">
        <v>43453.378878124997</v>
      </c>
      <c r="AV497" s="127"/>
      <c r="AW497" s="127"/>
      <c r="AX497" s="127"/>
      <c r="AY497" s="127"/>
      <c r="AZ497" s="133">
        <v>43172</v>
      </c>
      <c r="BA49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7" s="135">
        <f>COUNTIFS(_05preva_view43[Site ID],_05preva_view43[[#This Row],[Site ID]],_05preva_view43[Prevalidation Status],"Under Prevalidation")</f>
        <v>0</v>
      </c>
      <c r="BC497" s="153" t="str">
        <f ca="1">HYPERLINK(CheckPath(_05preva_view43[[#This Row],[File Path]],_05preva_view43[[#This Row],[File Path]],_05preva_view43[[#This Row],[Folder Path3]]),CheckPath(_05preva_view43[[#This Row],[File Path]],"Open File","No File"))</f>
        <v>No File</v>
      </c>
      <c r="BD497" s="136" t="str">
        <f>CONCATENATE(_05preva_view43[[#This Row],[Site ID]]," (",_05preva_view43[[#This Row],[tenant id]],") Application",IF(_05preva_view43[[#This Row],[Colo Rev]]&gt;0," Rev "&amp;_05preva_view43[[#This Row],[Colo Rev]],""),".xlsx")</f>
        <v>ANMD_0119 (MDY0093) Application.xlsx</v>
      </c>
      <c r="BE497" s="64">
        <f t="shared" ca="1" si="9"/>
        <v>50</v>
      </c>
      <c r="BF497" s="104" t="str">
        <f ca="1">LEFT(CELL("filename",A482),_05preva_view43[[#This Row],[Find Process &amp; Database]]-1)</f>
        <v>D:\OneDrive - apollo-towers.com\Apollo Towers\00-</v>
      </c>
      <c r="BG497" s="104" t="str">
        <f ca="1">_05preva_view43[Folder Path1]&amp;"Process &amp; Database\Documentation\Colo Applications"</f>
        <v>D:\OneDrive - apollo-towers.com\Apollo Towers\00-Process &amp; Database\Documentation\Colo Applications</v>
      </c>
      <c r="BH497" s="104" t="str">
        <f ca="1">_05preva_view43[Folder Path2]&amp;"\Colo App "&amp;_05preva_view43[[#This Row],[Operator]]&amp;"\"</f>
        <v>D:\OneDrive - apollo-towers.com\Apollo Towers\00-Process &amp; Database\Documentation\Colo Applications\Colo App Mytel\</v>
      </c>
      <c r="BI497" s="63" t="str">
        <f ca="1">_05preva_view43[[#This Row],[Folder Path3]]&amp;_05preva_view43[[#This Row],[File Name]]</f>
        <v>D:\OneDrive - apollo-towers.com\Apollo Towers\00-Process &amp; Database\Documentation\Colo Applications\Colo App Mytel\ANMD_0119 (MDY0093) Application.xlsx</v>
      </c>
      <c r="BJ497" s="104"/>
      <c r="BK497" s="3"/>
      <c r="BL497" s="3"/>
      <c r="CJ497" s="5"/>
      <c r="CK497" s="5"/>
      <c r="CL497" s="3"/>
      <c r="CN497" s="5"/>
      <c r="CR497" s="3"/>
      <c r="CS497" s="3"/>
      <c r="CT497" s="5"/>
      <c r="CV497" s="3"/>
      <c r="DR497" s="5"/>
      <c r="DT497" s="3"/>
      <c r="EF497" s="7"/>
      <c r="EG497" s="7"/>
      <c r="EJ497" s="4"/>
      <c r="EK497" s="4"/>
      <c r="EU497" s="2"/>
      <c r="EV497" s="2"/>
    </row>
    <row r="498" spans="1:152">
      <c r="A498" s="125">
        <v>5</v>
      </c>
      <c r="B498" s="126" t="s">
        <v>141</v>
      </c>
      <c r="C498" s="126" t="s">
        <v>116</v>
      </c>
      <c r="D498" s="126" t="s">
        <v>127</v>
      </c>
      <c r="E498" s="126" t="s">
        <v>142</v>
      </c>
      <c r="F498" s="126" t="s">
        <v>34</v>
      </c>
      <c r="G498" s="126" t="s">
        <v>118</v>
      </c>
      <c r="H498" s="126"/>
      <c r="I498" s="126" t="s">
        <v>118</v>
      </c>
      <c r="J498" s="126"/>
      <c r="K498" s="127">
        <v>43172</v>
      </c>
      <c r="L498" s="128"/>
      <c r="M498" s="128"/>
      <c r="N498" s="126"/>
      <c r="O498" s="126" t="s">
        <v>119</v>
      </c>
      <c r="P498" s="129"/>
      <c r="Q498" s="129"/>
      <c r="R498" s="126" t="s">
        <v>26</v>
      </c>
      <c r="S498" s="126"/>
      <c r="T498" s="130" t="s">
        <v>120</v>
      </c>
      <c r="U498" s="126" t="s">
        <v>121</v>
      </c>
      <c r="V498" s="130" t="s">
        <v>120</v>
      </c>
      <c r="W498" s="126"/>
      <c r="X498" s="130" t="s">
        <v>120</v>
      </c>
      <c r="Y498" s="126" t="s">
        <v>143</v>
      </c>
      <c r="Z498" s="162" t="s">
        <v>144</v>
      </c>
      <c r="AA498" s="154"/>
      <c r="AB498" s="154"/>
      <c r="AC498" s="167"/>
      <c r="AD498" s="126" t="s">
        <v>145</v>
      </c>
      <c r="AE498" s="130" t="s">
        <v>120</v>
      </c>
      <c r="AF498" s="127"/>
      <c r="AG498" s="131"/>
      <c r="AH498" s="131"/>
      <c r="AI498" s="126" t="s">
        <v>146</v>
      </c>
      <c r="AJ498" s="130"/>
      <c r="AK498" s="126"/>
      <c r="AL498" s="126"/>
      <c r="AM498" s="130"/>
      <c r="AN498" s="126"/>
      <c r="AO498" s="132"/>
      <c r="AP498" s="126"/>
      <c r="AQ498" s="126"/>
      <c r="AR498" s="130"/>
      <c r="AS498" s="126"/>
      <c r="AT498" s="127"/>
      <c r="AU498" s="127">
        <v>43453.378879050899</v>
      </c>
      <c r="AV498" s="127"/>
      <c r="AW498" s="127"/>
      <c r="AX498" s="127"/>
      <c r="AY498" s="127"/>
      <c r="AZ498" s="133">
        <v>43172</v>
      </c>
      <c r="BA49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8" s="135">
        <f>COUNTIFS(_05preva_view43[Site ID],_05preva_view43[[#This Row],[Site ID]],_05preva_view43[Prevalidation Status],"Under Prevalidation")</f>
        <v>0</v>
      </c>
      <c r="BC498" s="153" t="str">
        <f ca="1">HYPERLINK(CheckPath(_05preva_view43[[#This Row],[File Path]],_05preva_view43[[#This Row],[File Path]],_05preva_view43[[#This Row],[Folder Path3]]),CheckPath(_05preva_view43[[#This Row],[File Path]],"Open File","No File"))</f>
        <v>No File</v>
      </c>
      <c r="BD498" s="136" t="str">
        <f>CONCATENATE(_05preva_view43[[#This Row],[Site ID]]," (",_05preva_view43[[#This Row],[tenant id]],") Application",IF(_05preva_view43[[#This Row],[Colo Rev]]&gt;0," Rev "&amp;_05preva_view43[[#This Row],[Colo Rev]],""),".xlsx")</f>
        <v>ANMD_0148 (MDY0915) Application.xlsx</v>
      </c>
      <c r="BE498" s="64">
        <f t="shared" ca="1" si="9"/>
        <v>50</v>
      </c>
      <c r="BF498" s="104" t="str">
        <f ca="1">LEFT(CELL("filename",A483),_05preva_view43[[#This Row],[Find Process &amp; Database]]-1)</f>
        <v>D:\OneDrive - apollo-towers.com\Apollo Towers\00-</v>
      </c>
      <c r="BG498" s="104" t="str">
        <f ca="1">_05preva_view43[Folder Path1]&amp;"Process &amp; Database\Documentation\Colo Applications"</f>
        <v>D:\OneDrive - apollo-towers.com\Apollo Towers\00-Process &amp; Database\Documentation\Colo Applications</v>
      </c>
      <c r="BH498" s="104" t="str">
        <f ca="1">_05preva_view43[Folder Path2]&amp;"\Colo App "&amp;_05preva_view43[[#This Row],[Operator]]&amp;"\"</f>
        <v>D:\OneDrive - apollo-towers.com\Apollo Towers\00-Process &amp; Database\Documentation\Colo Applications\Colo App Mytel\</v>
      </c>
      <c r="BI498" s="63" t="str">
        <f ca="1">_05preva_view43[[#This Row],[Folder Path3]]&amp;_05preva_view43[[#This Row],[File Name]]</f>
        <v>D:\OneDrive - apollo-towers.com\Apollo Towers\00-Process &amp; Database\Documentation\Colo Applications\Colo App Mytel\ANMD_0148 (MDY0915) Application.xlsx</v>
      </c>
      <c r="BJ498" s="104"/>
      <c r="BK498" s="3"/>
      <c r="BL498" s="3"/>
      <c r="CJ498" s="5"/>
      <c r="CK498" s="5"/>
      <c r="CL498" s="3"/>
      <c r="CN498" s="5"/>
      <c r="CR498" s="3"/>
      <c r="CS498" s="3"/>
      <c r="CT498" s="5"/>
      <c r="CV498" s="3"/>
      <c r="DR498" s="5"/>
      <c r="DT498" s="3"/>
      <c r="EF498" s="7"/>
      <c r="EG498" s="7"/>
      <c r="EJ498" s="4"/>
      <c r="EK498" s="4"/>
      <c r="EU498" s="2"/>
      <c r="EV498" s="2"/>
    </row>
    <row r="499" spans="1:152">
      <c r="A499" s="125">
        <v>6</v>
      </c>
      <c r="B499" s="126" t="s">
        <v>147</v>
      </c>
      <c r="C499" s="126" t="s">
        <v>116</v>
      </c>
      <c r="D499" s="126" t="s">
        <v>127</v>
      </c>
      <c r="E499" s="126" t="s">
        <v>148</v>
      </c>
      <c r="F499" s="126" t="s">
        <v>34</v>
      </c>
      <c r="G499" s="126" t="s">
        <v>1574</v>
      </c>
      <c r="H499" s="126" t="s">
        <v>1575</v>
      </c>
      <c r="I499" s="126" t="s">
        <v>118</v>
      </c>
      <c r="J499" s="126"/>
      <c r="K499" s="127">
        <v>43172</v>
      </c>
      <c r="L499" s="128"/>
      <c r="M499" s="128"/>
      <c r="N499" s="126"/>
      <c r="O499" s="126" t="s">
        <v>119</v>
      </c>
      <c r="P499" s="129"/>
      <c r="Q499" s="129"/>
      <c r="R499" s="126" t="s">
        <v>24</v>
      </c>
      <c r="S499" s="126"/>
      <c r="T499" s="130" t="s">
        <v>120</v>
      </c>
      <c r="U499" s="126" t="s">
        <v>121</v>
      </c>
      <c r="V499" s="130" t="s">
        <v>120</v>
      </c>
      <c r="W499" s="126"/>
      <c r="X499" s="130" t="s">
        <v>120</v>
      </c>
      <c r="Y499" s="126" t="s">
        <v>149</v>
      </c>
      <c r="Z499" s="162" t="s">
        <v>120</v>
      </c>
      <c r="AA499" s="154"/>
      <c r="AB499" s="154"/>
      <c r="AC499" s="167"/>
      <c r="AD499" s="126"/>
      <c r="AE499" s="130" t="s">
        <v>120</v>
      </c>
      <c r="AF499" s="127"/>
      <c r="AG499" s="131"/>
      <c r="AH499" s="131"/>
      <c r="AI499" s="126" t="s">
        <v>140</v>
      </c>
      <c r="AJ499" s="130" t="s">
        <v>120</v>
      </c>
      <c r="AK499" s="126" t="s">
        <v>123</v>
      </c>
      <c r="AL499" s="126"/>
      <c r="AM499" s="130"/>
      <c r="AN499" s="126"/>
      <c r="AO499" s="132"/>
      <c r="AP499" s="126"/>
      <c r="AQ499" s="126"/>
      <c r="AR499" s="130"/>
      <c r="AS499" s="126"/>
      <c r="AT499" s="127"/>
      <c r="AU499" s="127">
        <v>43453.378882291698</v>
      </c>
      <c r="AV499" s="127"/>
      <c r="AW499" s="127"/>
      <c r="AX499" s="127"/>
      <c r="AY499" s="127"/>
      <c r="AZ499" s="133">
        <v>43172</v>
      </c>
      <c r="BA49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9" s="135">
        <f>COUNTIFS(_05preva_view43[Site ID],_05preva_view43[[#This Row],[Site ID]],_05preva_view43[Prevalidation Status],"Under Prevalidation")</f>
        <v>0</v>
      </c>
      <c r="BC499" s="153" t="str">
        <f ca="1">HYPERLINK(CheckPath(_05preva_view43[[#This Row],[File Path]],_05preva_view43[[#This Row],[File Path]],_05preva_view43[[#This Row],[Folder Path3]]),CheckPath(_05preva_view43[[#This Row],[File Path]],"Open File","No File"))</f>
        <v>No File</v>
      </c>
      <c r="BD499" s="136" t="str">
        <f>CONCATENATE(_05preva_view43[[#This Row],[Site ID]]," (",_05preva_view43[[#This Row],[tenant id]],") Application",IF(_05preva_view43[[#This Row],[Colo Rev]]&gt;0," Rev "&amp;_05preva_view43[[#This Row],[Colo Rev]],""),".xlsx")</f>
        <v>ANMD_0174 (MDY0004) Application.xlsx</v>
      </c>
      <c r="BE499" s="64">
        <f t="shared" ca="1" si="9"/>
        <v>50</v>
      </c>
      <c r="BF499" s="104" t="str">
        <f ca="1">LEFT(CELL("filename",A484),_05preva_view43[[#This Row],[Find Process &amp; Database]]-1)</f>
        <v>D:\OneDrive - apollo-towers.com\Apollo Towers\00-</v>
      </c>
      <c r="BG499" s="104" t="str">
        <f ca="1">_05preva_view43[Folder Path1]&amp;"Process &amp; Database\Documentation\Colo Applications"</f>
        <v>D:\OneDrive - apollo-towers.com\Apollo Towers\00-Process &amp; Database\Documentation\Colo Applications</v>
      </c>
      <c r="BH499" s="104" t="str">
        <f ca="1">_05preva_view43[Folder Path2]&amp;"\Colo App "&amp;_05preva_view43[[#This Row],[Operator]]&amp;"\"</f>
        <v>D:\OneDrive - apollo-towers.com\Apollo Towers\00-Process &amp; Database\Documentation\Colo Applications\Colo App Mytel\</v>
      </c>
      <c r="BI499" s="63" t="str">
        <f ca="1">_05preva_view43[[#This Row],[Folder Path3]]&amp;_05preva_view43[[#This Row],[File Name]]</f>
        <v>D:\OneDrive - apollo-towers.com\Apollo Towers\00-Process &amp; Database\Documentation\Colo Applications\Colo App Mytel\ANMD_0174 (MDY0004) Application.xlsx</v>
      </c>
      <c r="BJ499" s="104"/>
      <c r="BK499" s="3"/>
      <c r="BL499" s="3"/>
      <c r="CJ499" s="5"/>
      <c r="CK499" s="5"/>
      <c r="CL499" s="3"/>
      <c r="CN499" s="5"/>
      <c r="CR499" s="3"/>
      <c r="CS499" s="3"/>
      <c r="CT499" s="5"/>
      <c r="CV499" s="3"/>
      <c r="DR499" s="5"/>
      <c r="DT499" s="3"/>
      <c r="EF499" s="7"/>
      <c r="EG499" s="7"/>
      <c r="EJ499" s="4"/>
      <c r="EK499" s="4"/>
      <c r="EU499" s="2"/>
      <c r="EV499" s="2"/>
    </row>
    <row r="500" spans="1:152">
      <c r="A500" s="125">
        <v>7</v>
      </c>
      <c r="B500" s="126" t="s">
        <v>150</v>
      </c>
      <c r="C500" s="126" t="s">
        <v>116</v>
      </c>
      <c r="D500" s="126" t="s">
        <v>127</v>
      </c>
      <c r="E500" s="126" t="s">
        <v>151</v>
      </c>
      <c r="F500" s="126" t="s">
        <v>34</v>
      </c>
      <c r="G500" s="126" t="s">
        <v>1574</v>
      </c>
      <c r="H500" s="126" t="s">
        <v>1575</v>
      </c>
      <c r="I500" s="126" t="s">
        <v>118</v>
      </c>
      <c r="J500" s="126"/>
      <c r="K500" s="127">
        <v>43172</v>
      </c>
      <c r="L500" s="128"/>
      <c r="M500" s="128"/>
      <c r="N500" s="126"/>
      <c r="O500" s="126" t="s">
        <v>119</v>
      </c>
      <c r="P500" s="129"/>
      <c r="Q500" s="129"/>
      <c r="R500" s="126" t="s">
        <v>24</v>
      </c>
      <c r="S500" s="126"/>
      <c r="T500" s="130" t="s">
        <v>120</v>
      </c>
      <c r="U500" s="126" t="s">
        <v>121</v>
      </c>
      <c r="V500" s="130" t="s">
        <v>120</v>
      </c>
      <c r="W500" s="126"/>
      <c r="X500" s="130" t="s">
        <v>120</v>
      </c>
      <c r="Y500" s="126" t="s">
        <v>152</v>
      </c>
      <c r="Z500" s="162" t="s">
        <v>120</v>
      </c>
      <c r="AA500" s="154"/>
      <c r="AB500" s="154"/>
      <c r="AC500" s="167"/>
      <c r="AD500" s="126"/>
      <c r="AE500" s="130" t="s">
        <v>120</v>
      </c>
      <c r="AF500" s="127"/>
      <c r="AG500" s="131"/>
      <c r="AH500" s="131"/>
      <c r="AI500" s="126" t="s">
        <v>124</v>
      </c>
      <c r="AJ500" s="130" t="s">
        <v>120</v>
      </c>
      <c r="AK500" s="126" t="s">
        <v>123</v>
      </c>
      <c r="AL500" s="126"/>
      <c r="AM500" s="130"/>
      <c r="AN500" s="126"/>
      <c r="AO500" s="132"/>
      <c r="AP500" s="126"/>
      <c r="AQ500" s="126"/>
      <c r="AR500" s="130"/>
      <c r="AS500" s="126"/>
      <c r="AT500" s="127"/>
      <c r="AU500" s="127">
        <v>43453.378884027799</v>
      </c>
      <c r="AV500" s="127"/>
      <c r="AW500" s="127"/>
      <c r="AX500" s="127"/>
      <c r="AY500" s="127"/>
      <c r="AZ500" s="133">
        <v>43172</v>
      </c>
      <c r="BA50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0" s="135">
        <f>COUNTIFS(_05preva_view43[Site ID],_05preva_view43[[#This Row],[Site ID]],_05preva_view43[Prevalidation Status],"Under Prevalidation")</f>
        <v>0</v>
      </c>
      <c r="BC500" s="153" t="str">
        <f ca="1">HYPERLINK(CheckPath(_05preva_view43[[#This Row],[File Path]],_05preva_view43[[#This Row],[File Path]],_05preva_view43[[#This Row],[Folder Path3]]),CheckPath(_05preva_view43[[#This Row],[File Path]],"Open File","No File"))</f>
        <v>No File</v>
      </c>
      <c r="BD500" s="136" t="str">
        <f>CONCATENATE(_05preva_view43[[#This Row],[Site ID]]," (",_05preva_view43[[#This Row],[tenant id]],") Application",IF(_05preva_view43[[#This Row],[Colo Rev]]&gt;0," Rev "&amp;_05preva_view43[[#This Row],[Colo Rev]],""),".xlsx")</f>
        <v>ANSG_0344 (SGG0260) Application.xlsx</v>
      </c>
      <c r="BE500" s="64">
        <f t="shared" ca="1" si="9"/>
        <v>50</v>
      </c>
      <c r="BF500" s="104" t="str">
        <f ca="1">LEFT(CELL("filename",A485),_05preva_view43[[#This Row],[Find Process &amp; Database]]-1)</f>
        <v>D:\OneDrive - apollo-towers.com\Apollo Towers\00-</v>
      </c>
      <c r="BG500" s="104" t="str">
        <f ca="1">_05preva_view43[Folder Path1]&amp;"Process &amp; Database\Documentation\Colo Applications"</f>
        <v>D:\OneDrive - apollo-towers.com\Apollo Towers\00-Process &amp; Database\Documentation\Colo Applications</v>
      </c>
      <c r="BH500" s="104" t="str">
        <f ca="1">_05preva_view43[Folder Path2]&amp;"\Colo App "&amp;_05preva_view43[[#This Row],[Operator]]&amp;"\"</f>
        <v>D:\OneDrive - apollo-towers.com\Apollo Towers\00-Process &amp; Database\Documentation\Colo Applications\Colo App Mytel\</v>
      </c>
      <c r="BI500" s="63" t="str">
        <f ca="1">_05preva_view43[[#This Row],[Folder Path3]]&amp;_05preva_view43[[#This Row],[File Name]]</f>
        <v>D:\OneDrive - apollo-towers.com\Apollo Towers\00-Process &amp; Database\Documentation\Colo Applications\Colo App Mytel\ANSG_0344 (SGG0260) Application.xlsx</v>
      </c>
      <c r="BJ500" s="104"/>
      <c r="BK500" s="3"/>
      <c r="BL500" s="3"/>
      <c r="CJ500" s="5"/>
      <c r="CK500" s="5"/>
      <c r="CL500" s="3"/>
      <c r="CN500" s="5"/>
      <c r="CR500" s="3"/>
      <c r="CS500" s="3"/>
      <c r="CT500" s="5"/>
      <c r="CV500" s="3"/>
      <c r="DR500" s="5"/>
      <c r="DT500" s="3"/>
      <c r="EF500" s="7"/>
      <c r="EG500" s="7"/>
      <c r="EJ500" s="4"/>
      <c r="EK500" s="4"/>
      <c r="EU500" s="2"/>
      <c r="EV500" s="2"/>
    </row>
    <row r="501" spans="1:152">
      <c r="A501" s="125">
        <v>8</v>
      </c>
      <c r="B501" s="126" t="s">
        <v>153</v>
      </c>
      <c r="C501" s="126" t="s">
        <v>116</v>
      </c>
      <c r="D501" s="126" t="s">
        <v>127</v>
      </c>
      <c r="E501" s="126" t="s">
        <v>154</v>
      </c>
      <c r="F501" s="126" t="s">
        <v>34</v>
      </c>
      <c r="G501" s="126" t="s">
        <v>118</v>
      </c>
      <c r="H501" s="126"/>
      <c r="I501" s="126" t="s">
        <v>118</v>
      </c>
      <c r="J501" s="126"/>
      <c r="K501" s="127">
        <v>43172</v>
      </c>
      <c r="L501" s="128"/>
      <c r="M501" s="128"/>
      <c r="N501" s="126"/>
      <c r="O501" s="126" t="s">
        <v>119</v>
      </c>
      <c r="P501" s="129"/>
      <c r="Q501" s="129"/>
      <c r="R501" s="126" t="s">
        <v>26</v>
      </c>
      <c r="S501" s="126"/>
      <c r="T501" s="130" t="s">
        <v>120</v>
      </c>
      <c r="U501" s="126" t="s">
        <v>121</v>
      </c>
      <c r="V501" s="130" t="s">
        <v>120</v>
      </c>
      <c r="W501" s="126"/>
      <c r="X501" s="130"/>
      <c r="Y501" s="126" t="s">
        <v>155</v>
      </c>
      <c r="Z501" s="162" t="s">
        <v>144</v>
      </c>
      <c r="AA501" s="154"/>
      <c r="AB501" s="154"/>
      <c r="AC501" s="167"/>
      <c r="AD501" s="126" t="s">
        <v>156</v>
      </c>
      <c r="AE501" s="130" t="s">
        <v>120</v>
      </c>
      <c r="AF501" s="127"/>
      <c r="AG501" s="131"/>
      <c r="AH501" s="131"/>
      <c r="AI501" s="126" t="s">
        <v>157</v>
      </c>
      <c r="AJ501" s="130"/>
      <c r="AK501" s="126"/>
      <c r="AL501" s="126"/>
      <c r="AM501" s="130"/>
      <c r="AN501" s="126"/>
      <c r="AO501" s="132"/>
      <c r="AP501" s="126"/>
      <c r="AQ501" s="126"/>
      <c r="AR501" s="130"/>
      <c r="AS501" s="126"/>
      <c r="AT501" s="127"/>
      <c r="AU501" s="127">
        <v>43453.378884953701</v>
      </c>
      <c r="AV501" s="127"/>
      <c r="AW501" s="127"/>
      <c r="AX501" s="127"/>
      <c r="AY501" s="127"/>
      <c r="AZ501" s="133">
        <v>43172</v>
      </c>
      <c r="BA50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1" s="135">
        <f>COUNTIFS(_05preva_view43[Site ID],_05preva_view43[[#This Row],[Site ID]],_05preva_view43[Prevalidation Status],"Under Prevalidation")</f>
        <v>0</v>
      </c>
      <c r="BC501" s="153" t="str">
        <f ca="1">HYPERLINK(CheckPath(_05preva_view43[[#This Row],[File Path]],_05preva_view43[[#This Row],[File Path]],_05preva_view43[[#This Row],[Folder Path3]]),CheckPath(_05preva_view43[[#This Row],[File Path]],"Open File","No File"))</f>
        <v>No File</v>
      </c>
      <c r="BD501" s="136" t="str">
        <f>CONCATENATE(_05preva_view43[[#This Row],[Site ID]]," (",_05preva_view43[[#This Row],[tenant id]],") Application",IF(_05preva_view43[[#This Row],[Colo Rev]]&gt;0," Rev "&amp;_05preva_view43[[#This Row],[Colo Rev]],""),".xlsx")</f>
        <v>ANSG_0363 (SGG0028) Application.xlsx</v>
      </c>
      <c r="BE501" s="64">
        <f t="shared" ca="1" si="9"/>
        <v>50</v>
      </c>
      <c r="BF501" s="104" t="str">
        <f ca="1">LEFT(CELL("filename",A486),_05preva_view43[[#This Row],[Find Process &amp; Database]]-1)</f>
        <v>D:\OneDrive - apollo-towers.com\Apollo Towers\00-</v>
      </c>
      <c r="BG501" s="104" t="str">
        <f ca="1">_05preva_view43[Folder Path1]&amp;"Process &amp; Database\Documentation\Colo Applications"</f>
        <v>D:\OneDrive - apollo-towers.com\Apollo Towers\00-Process &amp; Database\Documentation\Colo Applications</v>
      </c>
      <c r="BH501" s="104" t="str">
        <f ca="1">_05preva_view43[Folder Path2]&amp;"\Colo App "&amp;_05preva_view43[[#This Row],[Operator]]&amp;"\"</f>
        <v>D:\OneDrive - apollo-towers.com\Apollo Towers\00-Process &amp; Database\Documentation\Colo Applications\Colo App Mytel\</v>
      </c>
      <c r="BI501" s="63" t="str">
        <f ca="1">_05preva_view43[[#This Row],[Folder Path3]]&amp;_05preva_view43[[#This Row],[File Name]]</f>
        <v>D:\OneDrive - apollo-towers.com\Apollo Towers\00-Process &amp; Database\Documentation\Colo Applications\Colo App Mytel\ANSG_0363 (SGG0028) Application.xlsx</v>
      </c>
      <c r="BJ501" s="104"/>
      <c r="BK501" s="3"/>
      <c r="BL501" s="3"/>
      <c r="CJ501" s="5"/>
      <c r="CK501" s="5"/>
      <c r="CL501" s="3"/>
      <c r="CN501" s="5"/>
      <c r="CR501" s="3"/>
      <c r="CS501" s="3"/>
      <c r="CT501" s="5"/>
      <c r="CV501" s="3"/>
      <c r="DR501" s="5"/>
      <c r="DT501" s="3"/>
      <c r="EF501" s="7"/>
      <c r="EG501" s="7"/>
      <c r="EJ501" s="4"/>
      <c r="EK501" s="4"/>
      <c r="EU501" s="2"/>
      <c r="EV501" s="2"/>
    </row>
    <row r="502" spans="1:152">
      <c r="A502" s="125">
        <v>9</v>
      </c>
      <c r="B502" s="126" t="s">
        <v>158</v>
      </c>
      <c r="C502" s="126" t="s">
        <v>116</v>
      </c>
      <c r="D502" s="126" t="s">
        <v>117</v>
      </c>
      <c r="E502" s="126" t="s">
        <v>159</v>
      </c>
      <c r="F502" s="126" t="s">
        <v>34</v>
      </c>
      <c r="G502" s="126" t="s">
        <v>1574</v>
      </c>
      <c r="H502" s="126" t="s">
        <v>1575</v>
      </c>
      <c r="I502" s="126" t="s">
        <v>118</v>
      </c>
      <c r="J502" s="126"/>
      <c r="K502" s="127">
        <v>43172</v>
      </c>
      <c r="L502" s="128"/>
      <c r="M502" s="128"/>
      <c r="N502" s="126"/>
      <c r="O502" s="126" t="s">
        <v>119</v>
      </c>
      <c r="P502" s="129"/>
      <c r="Q502" s="129"/>
      <c r="R502" s="126" t="s">
        <v>24</v>
      </c>
      <c r="S502" s="126"/>
      <c r="T502" s="130" t="s">
        <v>120</v>
      </c>
      <c r="U502" s="126" t="s">
        <v>121</v>
      </c>
      <c r="V502" s="130" t="s">
        <v>120</v>
      </c>
      <c r="W502" s="126"/>
      <c r="X502" s="130" t="s">
        <v>120</v>
      </c>
      <c r="Y502" s="126" t="s">
        <v>160</v>
      </c>
      <c r="Z502" s="162" t="s">
        <v>120</v>
      </c>
      <c r="AA502" s="154"/>
      <c r="AB502" s="154"/>
      <c r="AC502" s="167"/>
      <c r="AD502" s="126"/>
      <c r="AE502" s="130" t="s">
        <v>120</v>
      </c>
      <c r="AF502" s="127"/>
      <c r="AG502" s="131"/>
      <c r="AH502" s="131"/>
      <c r="AI502" s="126" t="s">
        <v>161</v>
      </c>
      <c r="AJ502" s="130" t="s">
        <v>120</v>
      </c>
      <c r="AK502" s="126" t="s">
        <v>123</v>
      </c>
      <c r="AL502" s="126"/>
      <c r="AM502" s="130"/>
      <c r="AN502" s="126"/>
      <c r="AO502" s="132"/>
      <c r="AP502" s="126"/>
      <c r="AQ502" s="126"/>
      <c r="AR502" s="130"/>
      <c r="AS502" s="126"/>
      <c r="AT502" s="127"/>
      <c r="AU502" s="127">
        <v>43453.378887152801</v>
      </c>
      <c r="AV502" s="127"/>
      <c r="AW502" s="127"/>
      <c r="AX502" s="127"/>
      <c r="AY502" s="127"/>
      <c r="AZ502" s="133">
        <v>43172</v>
      </c>
      <c r="BA50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2" s="135">
        <f>COUNTIFS(_05preva_view43[Site ID],_05preva_view43[[#This Row],[Site ID]],_05preva_view43[Prevalidation Status],"Under Prevalidation")</f>
        <v>0</v>
      </c>
      <c r="BC502" s="153" t="str">
        <f ca="1">HYPERLINK(CheckPath(_05preva_view43[[#This Row],[File Path]],_05preva_view43[[#This Row],[File Path]],_05preva_view43[[#This Row],[Folder Path3]]),CheckPath(_05preva_view43[[#This Row],[File Path]],"Open File","No File"))</f>
        <v>No File</v>
      </c>
      <c r="BD502" s="136" t="str">
        <f>CONCATENATE(_05preva_view43[[#This Row],[Site ID]]," (",_05preva_view43[[#This Row],[tenant id]],") Application",IF(_05preva_view43[[#This Row],[Colo Rev]]&gt;0," Rev "&amp;_05preva_view43[[#This Row],[Colo Rev]],""),".xlsx")</f>
        <v>ANSH_0006 (SHN0876) Application.xlsx</v>
      </c>
      <c r="BE502" s="64">
        <f t="shared" ca="1" si="9"/>
        <v>50</v>
      </c>
      <c r="BF502" s="104" t="str">
        <f ca="1">LEFT(CELL("filename",A487),_05preva_view43[[#This Row],[Find Process &amp; Database]]-1)</f>
        <v>D:\OneDrive - apollo-towers.com\Apollo Towers\00-</v>
      </c>
      <c r="BG502" s="104" t="str">
        <f ca="1">_05preva_view43[Folder Path1]&amp;"Process &amp; Database\Documentation\Colo Applications"</f>
        <v>D:\OneDrive - apollo-towers.com\Apollo Towers\00-Process &amp; Database\Documentation\Colo Applications</v>
      </c>
      <c r="BH502" s="104" t="str">
        <f ca="1">_05preva_view43[Folder Path2]&amp;"\Colo App "&amp;_05preva_view43[[#This Row],[Operator]]&amp;"\"</f>
        <v>D:\OneDrive - apollo-towers.com\Apollo Towers\00-Process &amp; Database\Documentation\Colo Applications\Colo App Mytel\</v>
      </c>
      <c r="BI502" s="63" t="str">
        <f ca="1">_05preva_view43[[#This Row],[Folder Path3]]&amp;_05preva_view43[[#This Row],[File Name]]</f>
        <v>D:\OneDrive - apollo-towers.com\Apollo Towers\00-Process &amp; Database\Documentation\Colo Applications\Colo App Mytel\ANSH_0006 (SHN0876) Application.xlsx</v>
      </c>
      <c r="BJ502" s="104"/>
      <c r="BK502" s="3"/>
      <c r="BL502" s="3"/>
      <c r="CJ502" s="5"/>
      <c r="CK502" s="5"/>
      <c r="CL502" s="3"/>
      <c r="CN502" s="5"/>
      <c r="CR502" s="3"/>
      <c r="CS502" s="3"/>
      <c r="CT502" s="5"/>
      <c r="CV502" s="3"/>
      <c r="DR502" s="5"/>
      <c r="DT502" s="3"/>
      <c r="EF502" s="7"/>
      <c r="EG502" s="7"/>
      <c r="EJ502" s="4"/>
      <c r="EK502" s="4"/>
      <c r="EU502" s="2"/>
      <c r="EV502" s="2"/>
    </row>
    <row r="503" spans="1:152">
      <c r="A503" s="125">
        <v>10</v>
      </c>
      <c r="B503" s="126" t="s">
        <v>162</v>
      </c>
      <c r="C503" s="126" t="s">
        <v>116</v>
      </c>
      <c r="D503" s="126" t="s">
        <v>163</v>
      </c>
      <c r="E503" s="126" t="s">
        <v>164</v>
      </c>
      <c r="F503" s="126" t="s">
        <v>34</v>
      </c>
      <c r="G503" s="126" t="s">
        <v>1574</v>
      </c>
      <c r="H503" s="126" t="s">
        <v>1575</v>
      </c>
      <c r="I503" s="126" t="s">
        <v>118</v>
      </c>
      <c r="J503" s="126"/>
      <c r="K503" s="127">
        <v>43172</v>
      </c>
      <c r="L503" s="128"/>
      <c r="M503" s="128"/>
      <c r="N503" s="126"/>
      <c r="O503" s="126" t="s">
        <v>119</v>
      </c>
      <c r="P503" s="129"/>
      <c r="Q503" s="129"/>
      <c r="R503" s="126" t="s">
        <v>24</v>
      </c>
      <c r="S503" s="126"/>
      <c r="T503" s="130" t="s">
        <v>120</v>
      </c>
      <c r="U503" s="126" t="s">
        <v>121</v>
      </c>
      <c r="V503" s="130" t="s">
        <v>120</v>
      </c>
      <c r="W503" s="126"/>
      <c r="X503" s="130" t="s">
        <v>120</v>
      </c>
      <c r="Y503" s="126" t="s">
        <v>165</v>
      </c>
      <c r="Z503" s="162" t="s">
        <v>120</v>
      </c>
      <c r="AA503" s="154"/>
      <c r="AB503" s="154"/>
      <c r="AC503" s="167"/>
      <c r="AD503" s="126"/>
      <c r="AE503" s="130" t="s">
        <v>120</v>
      </c>
      <c r="AF503" s="127"/>
      <c r="AG503" s="131"/>
      <c r="AH503" s="131"/>
      <c r="AI503" s="126" t="s">
        <v>166</v>
      </c>
      <c r="AJ503" s="130" t="s">
        <v>120</v>
      </c>
      <c r="AK503" s="126" t="s">
        <v>123</v>
      </c>
      <c r="AL503" s="126"/>
      <c r="AM503" s="130"/>
      <c r="AN503" s="126"/>
      <c r="AO503" s="132"/>
      <c r="AP503" s="126"/>
      <c r="AQ503" s="126"/>
      <c r="AR503" s="130"/>
      <c r="AS503" s="126"/>
      <c r="AT503" s="127"/>
      <c r="AU503" s="127">
        <v>43453.378889351901</v>
      </c>
      <c r="AV503" s="127"/>
      <c r="AW503" s="127"/>
      <c r="AX503" s="127"/>
      <c r="AY503" s="127"/>
      <c r="AZ503" s="133">
        <v>43172</v>
      </c>
      <c r="BA50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3" s="135">
        <f>COUNTIFS(_05preva_view43[Site ID],_05preva_view43[[#This Row],[Site ID]],_05preva_view43[Prevalidation Status],"Under Prevalidation")</f>
        <v>0</v>
      </c>
      <c r="BC503" s="153" t="str">
        <f ca="1">HYPERLINK(CheckPath(_05preva_view43[[#This Row],[File Path]],_05preva_view43[[#This Row],[File Path]],_05preva_view43[[#This Row],[Folder Path3]]),CheckPath(_05preva_view43[[#This Row],[File Path]],"Open File","No File"))</f>
        <v>No File</v>
      </c>
      <c r="BD503" s="136" t="str">
        <f>CONCATENATE(_05preva_view43[[#This Row],[Site ID]]," (",_05preva_view43[[#This Row],[tenant id]],") Application",IF(_05preva_view43[[#This Row],[Colo Rev]]&gt;0," Rev "&amp;_05preva_view43[[#This Row],[Colo Rev]],""),".xlsx")</f>
        <v>ASKA_0150 (KYN0014) Application.xlsx</v>
      </c>
      <c r="BE503" s="64">
        <f t="shared" ca="1" si="9"/>
        <v>50</v>
      </c>
      <c r="BF503" s="104" t="str">
        <f ca="1">LEFT(CELL("filename",A488),_05preva_view43[[#This Row],[Find Process &amp; Database]]-1)</f>
        <v>D:\OneDrive - apollo-towers.com\Apollo Towers\00-</v>
      </c>
      <c r="BG503" s="104" t="str">
        <f ca="1">_05preva_view43[Folder Path1]&amp;"Process &amp; Database\Documentation\Colo Applications"</f>
        <v>D:\OneDrive - apollo-towers.com\Apollo Towers\00-Process &amp; Database\Documentation\Colo Applications</v>
      </c>
      <c r="BH503" s="104" t="str">
        <f ca="1">_05preva_view43[Folder Path2]&amp;"\Colo App "&amp;_05preva_view43[[#This Row],[Operator]]&amp;"\"</f>
        <v>D:\OneDrive - apollo-towers.com\Apollo Towers\00-Process &amp; Database\Documentation\Colo Applications\Colo App Mytel\</v>
      </c>
      <c r="BI503" s="63" t="str">
        <f ca="1">_05preva_view43[[#This Row],[Folder Path3]]&amp;_05preva_view43[[#This Row],[File Name]]</f>
        <v>D:\OneDrive - apollo-towers.com\Apollo Towers\00-Process &amp; Database\Documentation\Colo Applications\Colo App Mytel\ASKA_0150 (KYN0014) Application.xlsx</v>
      </c>
      <c r="BJ503" s="104"/>
      <c r="BK503" s="3"/>
      <c r="BL503" s="3"/>
      <c r="CJ503" s="5"/>
      <c r="CK503" s="5"/>
      <c r="CL503" s="3"/>
      <c r="CN503" s="5"/>
      <c r="CR503" s="3"/>
      <c r="CS503" s="3"/>
      <c r="CT503" s="5"/>
      <c r="CV503" s="3"/>
      <c r="DR503" s="5"/>
      <c r="DT503" s="3"/>
      <c r="EF503" s="7"/>
      <c r="EG503" s="7"/>
      <c r="EJ503" s="4"/>
      <c r="EK503" s="4"/>
      <c r="EU503" s="2"/>
      <c r="EV503" s="2"/>
    </row>
    <row r="504" spans="1:152">
      <c r="A504" s="125">
        <v>11</v>
      </c>
      <c r="B504" s="126" t="s">
        <v>167</v>
      </c>
      <c r="C504" s="126" t="s">
        <v>116</v>
      </c>
      <c r="D504" s="126" t="s">
        <v>163</v>
      </c>
      <c r="E504" s="126" t="s">
        <v>168</v>
      </c>
      <c r="F504" s="126" t="s">
        <v>34</v>
      </c>
      <c r="G504" s="126" t="s">
        <v>1574</v>
      </c>
      <c r="H504" s="126" t="s">
        <v>1575</v>
      </c>
      <c r="I504" s="126" t="s">
        <v>118</v>
      </c>
      <c r="J504" s="126"/>
      <c r="K504" s="127">
        <v>43172</v>
      </c>
      <c r="L504" s="128"/>
      <c r="M504" s="128"/>
      <c r="N504" s="126"/>
      <c r="O504" s="126" t="s">
        <v>119</v>
      </c>
      <c r="P504" s="129"/>
      <c r="Q504" s="129"/>
      <c r="R504" s="126" t="s">
        <v>24</v>
      </c>
      <c r="S504" s="126"/>
      <c r="T504" s="130" t="s">
        <v>120</v>
      </c>
      <c r="U504" s="126" t="s">
        <v>121</v>
      </c>
      <c r="V504" s="130" t="s">
        <v>120</v>
      </c>
      <c r="W504" s="126"/>
      <c r="X504" s="130" t="s">
        <v>120</v>
      </c>
      <c r="Y504" s="126" t="s">
        <v>169</v>
      </c>
      <c r="Z504" s="162" t="s">
        <v>120</v>
      </c>
      <c r="AA504" s="154"/>
      <c r="AB504" s="154"/>
      <c r="AC504" s="167"/>
      <c r="AD504" s="126"/>
      <c r="AE504" s="130" t="s">
        <v>120</v>
      </c>
      <c r="AF504" s="127"/>
      <c r="AG504" s="131"/>
      <c r="AH504" s="131"/>
      <c r="AI504" s="126" t="s">
        <v>170</v>
      </c>
      <c r="AJ504" s="130" t="s">
        <v>120</v>
      </c>
      <c r="AK504" s="126" t="s">
        <v>123</v>
      </c>
      <c r="AL504" s="126"/>
      <c r="AM504" s="130"/>
      <c r="AN504" s="126"/>
      <c r="AO504" s="132"/>
      <c r="AP504" s="126"/>
      <c r="AQ504" s="126"/>
      <c r="AR504" s="130"/>
      <c r="AS504" s="126"/>
      <c r="AT504" s="127"/>
      <c r="AU504" s="127">
        <v>43453.378891666704</v>
      </c>
      <c r="AV504" s="127"/>
      <c r="AW504" s="127"/>
      <c r="AX504" s="127"/>
      <c r="AY504" s="127"/>
      <c r="AZ504" s="133">
        <v>43172</v>
      </c>
      <c r="BA50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4" s="135">
        <f>COUNTIFS(_05preva_view43[Site ID],_05preva_view43[[#This Row],[Site ID]],_05preva_view43[Prevalidation Status],"Under Prevalidation")</f>
        <v>0</v>
      </c>
      <c r="BC504" s="153" t="str">
        <f ca="1">HYPERLINK(CheckPath(_05preva_view43[[#This Row],[File Path]],_05preva_view43[[#This Row],[File Path]],_05preva_view43[[#This Row],[Folder Path3]]),CheckPath(_05preva_view43[[#This Row],[File Path]],"Open File","No File"))</f>
        <v>No File</v>
      </c>
      <c r="BD504" s="136" t="str">
        <f>CONCATENATE(_05preva_view43[[#This Row],[Site ID]]," (",_05preva_view43[[#This Row],[tenant id]],") Application",IF(_05preva_view43[[#This Row],[Colo Rev]]&gt;0," Rev "&amp;_05preva_view43[[#This Row],[Colo Rev]],""),".xlsx")</f>
        <v>ASMO_0275 (MON0306) Application.xlsx</v>
      </c>
      <c r="BE504" s="64">
        <f t="shared" ca="1" si="9"/>
        <v>50</v>
      </c>
      <c r="BF504" s="104" t="str">
        <f ca="1">LEFT(CELL("filename",A489),_05preva_view43[[#This Row],[Find Process &amp; Database]]-1)</f>
        <v>D:\OneDrive - apollo-towers.com\Apollo Towers\00-</v>
      </c>
      <c r="BG504" s="104" t="str">
        <f ca="1">_05preva_view43[Folder Path1]&amp;"Process &amp; Database\Documentation\Colo Applications"</f>
        <v>D:\OneDrive - apollo-towers.com\Apollo Towers\00-Process &amp; Database\Documentation\Colo Applications</v>
      </c>
      <c r="BH504" s="104" t="str">
        <f ca="1">_05preva_view43[Folder Path2]&amp;"\Colo App "&amp;_05preva_view43[[#This Row],[Operator]]&amp;"\"</f>
        <v>D:\OneDrive - apollo-towers.com\Apollo Towers\00-Process &amp; Database\Documentation\Colo Applications\Colo App Mytel\</v>
      </c>
      <c r="BI504" s="63" t="str">
        <f ca="1">_05preva_view43[[#This Row],[Folder Path3]]&amp;_05preva_view43[[#This Row],[File Name]]</f>
        <v>D:\OneDrive - apollo-towers.com\Apollo Towers\00-Process &amp; Database\Documentation\Colo Applications\Colo App Mytel\ASMO_0275 (MON0306) Application.xlsx</v>
      </c>
      <c r="BJ504" s="104"/>
      <c r="BK504" s="3"/>
      <c r="BL504" s="3"/>
      <c r="CJ504" s="5"/>
      <c r="CK504" s="5"/>
      <c r="CL504" s="3"/>
      <c r="CN504" s="5"/>
      <c r="CR504" s="3"/>
      <c r="CS504" s="3"/>
      <c r="CT504" s="5"/>
      <c r="CV504" s="3"/>
      <c r="DR504" s="5"/>
      <c r="DT504" s="3"/>
      <c r="EF504" s="7"/>
      <c r="EG504" s="7"/>
      <c r="EJ504" s="4"/>
      <c r="EK504" s="4"/>
      <c r="EU504" s="2"/>
      <c r="EV504" s="2"/>
    </row>
    <row r="505" spans="1:152">
      <c r="A505" s="125">
        <v>12</v>
      </c>
      <c r="B505" s="126" t="s">
        <v>171</v>
      </c>
      <c r="C505" s="126" t="s">
        <v>116</v>
      </c>
      <c r="D505" s="126" t="s">
        <v>163</v>
      </c>
      <c r="E505" s="126" t="s">
        <v>172</v>
      </c>
      <c r="F505" s="126" t="s">
        <v>34</v>
      </c>
      <c r="G505" s="126" t="s">
        <v>118</v>
      </c>
      <c r="H505" s="126"/>
      <c r="I505" s="126" t="s">
        <v>118</v>
      </c>
      <c r="J505" s="126"/>
      <c r="K505" s="127">
        <v>43172</v>
      </c>
      <c r="L505" s="128"/>
      <c r="M505" s="128"/>
      <c r="N505" s="126"/>
      <c r="O505" s="126" t="s">
        <v>119</v>
      </c>
      <c r="P505" s="129"/>
      <c r="Q505" s="129"/>
      <c r="R505" s="126" t="s">
        <v>26</v>
      </c>
      <c r="S505" s="126"/>
      <c r="T505" s="130" t="s">
        <v>120</v>
      </c>
      <c r="U505" s="126" t="s">
        <v>121</v>
      </c>
      <c r="V505" s="130" t="s">
        <v>120</v>
      </c>
      <c r="W505" s="126"/>
      <c r="X505" s="130" t="s">
        <v>120</v>
      </c>
      <c r="Y505" s="126" t="s">
        <v>173</v>
      </c>
      <c r="Z505" s="162" t="s">
        <v>120</v>
      </c>
      <c r="AA505" s="154"/>
      <c r="AB505" s="154"/>
      <c r="AC505" s="167"/>
      <c r="AD505" s="126"/>
      <c r="AE505" s="130" t="s">
        <v>120</v>
      </c>
      <c r="AF505" s="127"/>
      <c r="AG505" s="131"/>
      <c r="AH505" s="131"/>
      <c r="AI505" s="126" t="s">
        <v>174</v>
      </c>
      <c r="AJ505" s="130" t="s">
        <v>120</v>
      </c>
      <c r="AK505" s="126" t="s">
        <v>123</v>
      </c>
      <c r="AL505" s="126"/>
      <c r="AM505" s="130"/>
      <c r="AN505" s="126"/>
      <c r="AO505" s="132"/>
      <c r="AP505" s="126"/>
      <c r="AQ505" s="126"/>
      <c r="AR505" s="130"/>
      <c r="AS505" s="126"/>
      <c r="AT505" s="127"/>
      <c r="AU505" s="127">
        <v>43453.378894097201</v>
      </c>
      <c r="AV505" s="127"/>
      <c r="AW505" s="127"/>
      <c r="AX505" s="127"/>
      <c r="AY505" s="127"/>
      <c r="AZ505" s="133">
        <v>43172</v>
      </c>
      <c r="BA50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5" s="135">
        <f>COUNTIFS(_05preva_view43[Site ID],_05preva_view43[[#This Row],[Site ID]],_05preva_view43[Prevalidation Status],"Under Prevalidation")</f>
        <v>0</v>
      </c>
      <c r="BC505" s="153" t="str">
        <f ca="1">HYPERLINK(CheckPath(_05preva_view43[[#This Row],[File Path]],_05preva_view43[[#This Row],[File Path]],_05preva_view43[[#This Row],[Folder Path3]]),CheckPath(_05preva_view43[[#This Row],[File Path]],"Open File","No File"))</f>
        <v>No File</v>
      </c>
      <c r="BD505" s="136" t="str">
        <f>CONCATENATE(_05preva_view43[[#This Row],[Site ID]]," (",_05preva_view43[[#This Row],[tenant id]],") Application",IF(_05preva_view43[[#This Row],[Colo Rev]]&gt;0," Rev "&amp;_05preva_view43[[#This Row],[Colo Rev]],""),".xlsx")</f>
        <v>AYYN_0095 (YGN0408) Application.xlsx</v>
      </c>
      <c r="BE505" s="64">
        <f t="shared" ca="1" si="9"/>
        <v>50</v>
      </c>
      <c r="BF505" s="104" t="str">
        <f ca="1">LEFT(CELL("filename",A490),_05preva_view43[[#This Row],[Find Process &amp; Database]]-1)</f>
        <v>D:\OneDrive - apollo-towers.com\Apollo Towers\00-</v>
      </c>
      <c r="BG505" s="104" t="str">
        <f ca="1">_05preva_view43[Folder Path1]&amp;"Process &amp; Database\Documentation\Colo Applications"</f>
        <v>D:\OneDrive - apollo-towers.com\Apollo Towers\00-Process &amp; Database\Documentation\Colo Applications</v>
      </c>
      <c r="BH505" s="104" t="str">
        <f ca="1">_05preva_view43[Folder Path2]&amp;"\Colo App "&amp;_05preva_view43[[#This Row],[Operator]]&amp;"\"</f>
        <v>D:\OneDrive - apollo-towers.com\Apollo Towers\00-Process &amp; Database\Documentation\Colo Applications\Colo App Mytel\</v>
      </c>
      <c r="BI505" s="63" t="str">
        <f ca="1">_05preva_view43[[#This Row],[Folder Path3]]&amp;_05preva_view43[[#This Row],[File Name]]</f>
        <v>D:\OneDrive - apollo-towers.com\Apollo Towers\00-Process &amp; Database\Documentation\Colo Applications\Colo App Mytel\AYYN_0095 (YGN0408) Application.xlsx</v>
      </c>
      <c r="BJ505" s="104"/>
      <c r="BK505" s="3"/>
      <c r="BL505" s="3"/>
      <c r="CJ505" s="5"/>
      <c r="CK505" s="5"/>
      <c r="CL505" s="3"/>
      <c r="CN505" s="5"/>
      <c r="CR505" s="3"/>
      <c r="CS505" s="3"/>
      <c r="CT505" s="5"/>
      <c r="CV505" s="3"/>
      <c r="DR505" s="5"/>
      <c r="DT505" s="3"/>
      <c r="EF505" s="7"/>
      <c r="EG505" s="7"/>
      <c r="EJ505" s="4"/>
      <c r="EK505" s="4"/>
      <c r="EU505" s="2"/>
      <c r="EV505" s="2"/>
    </row>
    <row r="506" spans="1:152">
      <c r="A506" s="125">
        <v>13</v>
      </c>
      <c r="B506" s="126" t="s">
        <v>175</v>
      </c>
      <c r="C506" s="126" t="s">
        <v>116</v>
      </c>
      <c r="D506" s="126" t="s">
        <v>163</v>
      </c>
      <c r="E506" s="126" t="s">
        <v>176</v>
      </c>
      <c r="F506" s="126" t="s">
        <v>34</v>
      </c>
      <c r="G506" s="126" t="s">
        <v>1574</v>
      </c>
      <c r="H506" s="126" t="s">
        <v>1575</v>
      </c>
      <c r="I506" s="126" t="s">
        <v>118</v>
      </c>
      <c r="J506" s="126"/>
      <c r="K506" s="127">
        <v>43172</v>
      </c>
      <c r="L506" s="128"/>
      <c r="M506" s="128"/>
      <c r="N506" s="126"/>
      <c r="O506" s="126" t="s">
        <v>119</v>
      </c>
      <c r="P506" s="129"/>
      <c r="Q506" s="129"/>
      <c r="R506" s="126" t="s">
        <v>24</v>
      </c>
      <c r="S506" s="126"/>
      <c r="T506" s="130" t="s">
        <v>120</v>
      </c>
      <c r="U506" s="126" t="s">
        <v>121</v>
      </c>
      <c r="V506" s="130" t="s">
        <v>120</v>
      </c>
      <c r="W506" s="126"/>
      <c r="X506" s="130" t="s">
        <v>120</v>
      </c>
      <c r="Y506" s="126" t="s">
        <v>177</v>
      </c>
      <c r="Z506" s="162" t="s">
        <v>120</v>
      </c>
      <c r="AA506" s="154"/>
      <c r="AB506" s="154"/>
      <c r="AC506" s="167"/>
      <c r="AD506" s="126" t="s">
        <v>138</v>
      </c>
      <c r="AE506" s="130" t="s">
        <v>120</v>
      </c>
      <c r="AF506" s="127"/>
      <c r="AG506" s="131"/>
      <c r="AH506" s="131"/>
      <c r="AI506" s="126" t="s">
        <v>140</v>
      </c>
      <c r="AJ506" s="130" t="s">
        <v>120</v>
      </c>
      <c r="AK506" s="126" t="s">
        <v>123</v>
      </c>
      <c r="AL506" s="126"/>
      <c r="AM506" s="130"/>
      <c r="AN506" s="126"/>
      <c r="AO506" s="132"/>
      <c r="AP506" s="126"/>
      <c r="AQ506" s="126"/>
      <c r="AR506" s="130"/>
      <c r="AS506" s="126"/>
      <c r="AT506" s="127"/>
      <c r="AU506" s="127">
        <v>43453.3788965278</v>
      </c>
      <c r="AV506" s="127"/>
      <c r="AW506" s="127"/>
      <c r="AX506" s="127"/>
      <c r="AY506" s="127"/>
      <c r="AZ506" s="133">
        <v>43172</v>
      </c>
      <c r="BA50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6" s="135">
        <f>COUNTIFS(_05preva_view43[Site ID],_05preva_view43[[#This Row],[Site ID]],_05preva_view43[Prevalidation Status],"Under Prevalidation")</f>
        <v>0</v>
      </c>
      <c r="BC506" s="153" t="str">
        <f ca="1">HYPERLINK(CheckPath(_05preva_view43[[#This Row],[File Path]],_05preva_view43[[#This Row],[File Path]],_05preva_view43[[#This Row],[Folder Path3]]),CheckPath(_05preva_view43[[#This Row],[File Path]],"Open File","No File"))</f>
        <v>No File</v>
      </c>
      <c r="BD506" s="136" t="str">
        <f>CONCATENATE(_05preva_view43[[#This Row],[Site ID]]," (",_05preva_view43[[#This Row],[tenant id]],") Application",IF(_05preva_view43[[#This Row],[Colo Rev]]&gt;0," Rev "&amp;_05preva_view43[[#This Row],[Colo Rev]],""),".xlsx")</f>
        <v>AYYN_0121 (YGN1319) Application.xlsx</v>
      </c>
      <c r="BE506" s="64">
        <f t="shared" ca="1" si="9"/>
        <v>50</v>
      </c>
      <c r="BF506" s="104" t="str">
        <f ca="1">LEFT(CELL("filename",A491),_05preva_view43[[#This Row],[Find Process &amp; Database]]-1)</f>
        <v>D:\OneDrive - apollo-towers.com\Apollo Towers\00-</v>
      </c>
      <c r="BG506" s="104" t="str">
        <f ca="1">_05preva_view43[Folder Path1]&amp;"Process &amp; Database\Documentation\Colo Applications"</f>
        <v>D:\OneDrive - apollo-towers.com\Apollo Towers\00-Process &amp; Database\Documentation\Colo Applications</v>
      </c>
      <c r="BH506" s="104" t="str">
        <f ca="1">_05preva_view43[Folder Path2]&amp;"\Colo App "&amp;_05preva_view43[[#This Row],[Operator]]&amp;"\"</f>
        <v>D:\OneDrive - apollo-towers.com\Apollo Towers\00-Process &amp; Database\Documentation\Colo Applications\Colo App Mytel\</v>
      </c>
      <c r="BI506" s="63" t="str">
        <f ca="1">_05preva_view43[[#This Row],[Folder Path3]]&amp;_05preva_view43[[#This Row],[File Name]]</f>
        <v>D:\OneDrive - apollo-towers.com\Apollo Towers\00-Process &amp; Database\Documentation\Colo Applications\Colo App Mytel\AYYN_0121 (YGN1319) Application.xlsx</v>
      </c>
      <c r="BJ506" s="104"/>
      <c r="BK506" s="3"/>
      <c r="BL506" s="3"/>
      <c r="CJ506" s="5"/>
      <c r="CK506" s="5"/>
      <c r="CL506" s="3"/>
      <c r="CN506" s="5"/>
      <c r="CR506" s="3"/>
      <c r="CS506" s="3"/>
      <c r="CT506" s="5"/>
      <c r="CV506" s="3"/>
      <c r="DR506" s="5"/>
      <c r="DT506" s="3"/>
      <c r="EF506" s="7"/>
      <c r="EG506" s="7"/>
      <c r="EJ506" s="4"/>
      <c r="EK506" s="4"/>
      <c r="EU506" s="2"/>
      <c r="EV506" s="2"/>
    </row>
    <row r="507" spans="1:152">
      <c r="A507" s="125">
        <v>14</v>
      </c>
      <c r="B507" s="126" t="s">
        <v>178</v>
      </c>
      <c r="C507" s="126" t="s">
        <v>116</v>
      </c>
      <c r="D507" s="126" t="s">
        <v>163</v>
      </c>
      <c r="E507" s="126" t="s">
        <v>179</v>
      </c>
      <c r="F507" s="126" t="s">
        <v>34</v>
      </c>
      <c r="G507" s="126" t="s">
        <v>118</v>
      </c>
      <c r="H507" s="126"/>
      <c r="I507" s="126" t="s">
        <v>118</v>
      </c>
      <c r="J507" s="126"/>
      <c r="K507" s="127">
        <v>43172</v>
      </c>
      <c r="L507" s="128"/>
      <c r="M507" s="128"/>
      <c r="N507" s="126"/>
      <c r="O507" s="126" t="s">
        <v>119</v>
      </c>
      <c r="P507" s="129"/>
      <c r="Q507" s="129"/>
      <c r="R507" s="126" t="s">
        <v>26</v>
      </c>
      <c r="S507" s="126"/>
      <c r="T507" s="130" t="s">
        <v>120</v>
      </c>
      <c r="U507" s="126" t="s">
        <v>121</v>
      </c>
      <c r="V507" s="130" t="s">
        <v>125</v>
      </c>
      <c r="W507" s="126" t="s">
        <v>184</v>
      </c>
      <c r="X507" s="130" t="s">
        <v>120</v>
      </c>
      <c r="Y507" s="126" t="s">
        <v>180</v>
      </c>
      <c r="Z507" s="162" t="s">
        <v>125</v>
      </c>
      <c r="AA507" s="154"/>
      <c r="AB507" s="154"/>
      <c r="AC507" s="167"/>
      <c r="AD507" s="126" t="s">
        <v>181</v>
      </c>
      <c r="AE507" s="130" t="s">
        <v>120</v>
      </c>
      <c r="AF507" s="127"/>
      <c r="AG507" s="131"/>
      <c r="AH507" s="131"/>
      <c r="AI507" s="126" t="s">
        <v>183</v>
      </c>
      <c r="AJ507" s="130" t="s">
        <v>144</v>
      </c>
      <c r="AK507" s="126"/>
      <c r="AL507" s="126" t="s">
        <v>182</v>
      </c>
      <c r="AM507" s="130"/>
      <c r="AN507" s="126"/>
      <c r="AO507" s="132"/>
      <c r="AP507" s="126"/>
      <c r="AQ507" s="126"/>
      <c r="AR507" s="130"/>
      <c r="AS507" s="126"/>
      <c r="AT507" s="127"/>
      <c r="AU507" s="127">
        <v>43453.378898495401</v>
      </c>
      <c r="AV507" s="127"/>
      <c r="AW507" s="127"/>
      <c r="AX507" s="127"/>
      <c r="AY507" s="127"/>
      <c r="AZ507" s="133">
        <v>43172</v>
      </c>
      <c r="BA50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7" s="135">
        <f>COUNTIFS(_05preva_view43[Site ID],_05preva_view43[[#This Row],[Site ID]],_05preva_view43[Prevalidation Status],"Under Prevalidation")</f>
        <v>0</v>
      </c>
      <c r="BC507" s="153" t="str">
        <f ca="1">HYPERLINK(CheckPath(_05preva_view43[[#This Row],[File Path]],_05preva_view43[[#This Row],[File Path]],_05preva_view43[[#This Row],[Folder Path3]]),CheckPath(_05preva_view43[[#This Row],[File Path]],"Open File","No File"))</f>
        <v>No File</v>
      </c>
      <c r="BD507" s="136" t="str">
        <f>CONCATENATE(_05preva_view43[[#This Row],[Site ID]]," (",_05preva_view43[[#This Row],[tenant id]],") Application",IF(_05preva_view43[[#This Row],[Colo Rev]]&gt;0," Rev "&amp;_05preva_view43[[#This Row],[Colo Rev]],""),".xlsx")</f>
        <v>AYYN_0148 (YGN1354) Application.xlsx</v>
      </c>
      <c r="BE507" s="64">
        <f t="shared" ca="1" si="9"/>
        <v>50</v>
      </c>
      <c r="BF507" s="104" t="str">
        <f ca="1">LEFT(CELL("filename",A492),_05preva_view43[[#This Row],[Find Process &amp; Database]]-1)</f>
        <v>D:\OneDrive - apollo-towers.com\Apollo Towers\00-</v>
      </c>
      <c r="BG507" s="104" t="str">
        <f ca="1">_05preva_view43[Folder Path1]&amp;"Process &amp; Database\Documentation\Colo Applications"</f>
        <v>D:\OneDrive - apollo-towers.com\Apollo Towers\00-Process &amp; Database\Documentation\Colo Applications</v>
      </c>
      <c r="BH507" s="104" t="str">
        <f ca="1">_05preva_view43[Folder Path2]&amp;"\Colo App "&amp;_05preva_view43[[#This Row],[Operator]]&amp;"\"</f>
        <v>D:\OneDrive - apollo-towers.com\Apollo Towers\00-Process &amp; Database\Documentation\Colo Applications\Colo App Mytel\</v>
      </c>
      <c r="BI507" s="63" t="str">
        <f ca="1">_05preva_view43[[#This Row],[Folder Path3]]&amp;_05preva_view43[[#This Row],[File Name]]</f>
        <v>D:\OneDrive - apollo-towers.com\Apollo Towers\00-Process &amp; Database\Documentation\Colo Applications\Colo App Mytel\AYYN_0148 (YGN1354) Application.xlsx</v>
      </c>
      <c r="BJ507" s="104"/>
      <c r="BK507" s="3"/>
      <c r="BL507" s="3"/>
      <c r="CJ507" s="5"/>
      <c r="CK507" s="5"/>
      <c r="CL507" s="3"/>
      <c r="CN507" s="5"/>
      <c r="CR507" s="3"/>
      <c r="CS507" s="3"/>
      <c r="CT507" s="5"/>
      <c r="CV507" s="3"/>
      <c r="DR507" s="5"/>
      <c r="DT507" s="3"/>
      <c r="EF507" s="7"/>
      <c r="EG507" s="7"/>
      <c r="EJ507" s="4"/>
      <c r="EK507" s="4"/>
      <c r="EU507" s="2"/>
      <c r="EV507" s="2"/>
    </row>
    <row r="508" spans="1:152">
      <c r="A508" s="125">
        <v>15</v>
      </c>
      <c r="B508" s="126" t="s">
        <v>185</v>
      </c>
      <c r="C508" s="126" t="s">
        <v>116</v>
      </c>
      <c r="D508" s="126" t="s">
        <v>163</v>
      </c>
      <c r="E508" s="126" t="s">
        <v>186</v>
      </c>
      <c r="F508" s="126" t="s">
        <v>34</v>
      </c>
      <c r="G508" s="126" t="s">
        <v>118</v>
      </c>
      <c r="H508" s="126"/>
      <c r="I508" s="126" t="s">
        <v>118</v>
      </c>
      <c r="J508" s="126"/>
      <c r="K508" s="127">
        <v>43172</v>
      </c>
      <c r="L508" s="128"/>
      <c r="M508" s="128"/>
      <c r="N508" s="126"/>
      <c r="O508" s="126" t="s">
        <v>119</v>
      </c>
      <c r="P508" s="129"/>
      <c r="Q508" s="129"/>
      <c r="R508" s="126" t="s">
        <v>26</v>
      </c>
      <c r="S508" s="126"/>
      <c r="T508" s="130" t="s">
        <v>120</v>
      </c>
      <c r="U508" s="126" t="s">
        <v>121</v>
      </c>
      <c r="V508" s="130" t="s">
        <v>120</v>
      </c>
      <c r="W508" s="126"/>
      <c r="X508" s="130" t="s">
        <v>120</v>
      </c>
      <c r="Y508" s="126" t="s">
        <v>187</v>
      </c>
      <c r="Z508" s="162" t="s">
        <v>125</v>
      </c>
      <c r="AA508" s="154"/>
      <c r="AB508" s="154"/>
      <c r="AC508" s="167"/>
      <c r="AD508" s="126" t="s">
        <v>181</v>
      </c>
      <c r="AE508" s="130" t="s">
        <v>144</v>
      </c>
      <c r="AF508" s="127"/>
      <c r="AG508" s="131"/>
      <c r="AH508" s="131"/>
      <c r="AI508" s="126" t="s">
        <v>188</v>
      </c>
      <c r="AJ508" s="130" t="s">
        <v>120</v>
      </c>
      <c r="AK508" s="126"/>
      <c r="AL508" s="126" t="s">
        <v>182</v>
      </c>
      <c r="AM508" s="130"/>
      <c r="AN508" s="126"/>
      <c r="AO508" s="132"/>
      <c r="AP508" s="126"/>
      <c r="AQ508" s="126"/>
      <c r="AR508" s="130"/>
      <c r="AS508" s="126"/>
      <c r="AT508" s="127"/>
      <c r="AU508" s="127"/>
      <c r="AV508" s="127"/>
      <c r="AW508" s="127"/>
      <c r="AX508" s="127"/>
      <c r="AY508" s="127"/>
      <c r="AZ508" s="133">
        <v>43172</v>
      </c>
      <c r="BA50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8" s="135">
        <f>COUNTIFS(_05preva_view43[Site ID],_05preva_view43[[#This Row],[Site ID]],_05preva_view43[Prevalidation Status],"Under Prevalidation")</f>
        <v>0</v>
      </c>
      <c r="BC508" s="153" t="str">
        <f ca="1">HYPERLINK(CheckPath(_05preva_view43[[#This Row],[File Path]],_05preva_view43[[#This Row],[File Path]],_05preva_view43[[#This Row],[Folder Path3]]),CheckPath(_05preva_view43[[#This Row],[File Path]],"Open File","No File"))</f>
        <v>No File</v>
      </c>
      <c r="BD508" s="136" t="str">
        <f>CONCATENATE(_05preva_view43[[#This Row],[Site ID]]," (",_05preva_view43[[#This Row],[tenant id]],") Application",IF(_05preva_view43[[#This Row],[Colo Rev]]&gt;0," Rev "&amp;_05preva_view43[[#This Row],[Colo Rev]],""),".xlsx")</f>
        <v>AYYN_0153 (YGN0038) Application.xlsx</v>
      </c>
      <c r="BE508" s="64">
        <f t="shared" ca="1" si="9"/>
        <v>50</v>
      </c>
      <c r="BF508" s="104" t="str">
        <f ca="1">LEFT(CELL("filename",A493),_05preva_view43[[#This Row],[Find Process &amp; Database]]-1)</f>
        <v>D:\OneDrive - apollo-towers.com\Apollo Towers\00-</v>
      </c>
      <c r="BG508" s="104" t="str">
        <f ca="1">_05preva_view43[Folder Path1]&amp;"Process &amp; Database\Documentation\Colo Applications"</f>
        <v>D:\OneDrive - apollo-towers.com\Apollo Towers\00-Process &amp; Database\Documentation\Colo Applications</v>
      </c>
      <c r="BH508" s="104" t="str">
        <f ca="1">_05preva_view43[Folder Path2]&amp;"\Colo App "&amp;_05preva_view43[[#This Row],[Operator]]&amp;"\"</f>
        <v>D:\OneDrive - apollo-towers.com\Apollo Towers\00-Process &amp; Database\Documentation\Colo Applications\Colo App Mytel\</v>
      </c>
      <c r="BI508" s="63" t="str">
        <f ca="1">_05preva_view43[[#This Row],[Folder Path3]]&amp;_05preva_view43[[#This Row],[File Name]]</f>
        <v>D:\OneDrive - apollo-towers.com\Apollo Towers\00-Process &amp; Database\Documentation\Colo Applications\Colo App Mytel\AYYN_0153 (YGN0038) Application.xlsx</v>
      </c>
      <c r="BJ508" s="104"/>
      <c r="BK508" s="3"/>
      <c r="BL508" s="3"/>
      <c r="CJ508" s="5"/>
      <c r="CK508" s="5"/>
      <c r="CL508" s="3"/>
      <c r="CN508" s="5"/>
      <c r="CR508" s="3"/>
      <c r="CS508" s="3"/>
      <c r="CT508" s="5"/>
      <c r="CV508" s="3"/>
      <c r="DR508" s="5"/>
      <c r="DT508" s="3"/>
      <c r="EF508" s="7"/>
      <c r="EG508" s="7"/>
      <c r="EJ508" s="4"/>
      <c r="EK508" s="4"/>
      <c r="EU508" s="2"/>
      <c r="EV508" s="2"/>
    </row>
    <row r="509" spans="1:152">
      <c r="A509" s="125">
        <v>16</v>
      </c>
      <c r="B509" s="126" t="s">
        <v>189</v>
      </c>
      <c r="C509" s="126" t="s">
        <v>116</v>
      </c>
      <c r="D509" s="126" t="s">
        <v>163</v>
      </c>
      <c r="E509" s="126" t="s">
        <v>190</v>
      </c>
      <c r="F509" s="126" t="s">
        <v>34</v>
      </c>
      <c r="G509" s="126" t="s">
        <v>118</v>
      </c>
      <c r="H509" s="126"/>
      <c r="I509" s="126" t="s">
        <v>118</v>
      </c>
      <c r="J509" s="126"/>
      <c r="K509" s="127">
        <v>43172</v>
      </c>
      <c r="L509" s="128"/>
      <c r="M509" s="128"/>
      <c r="N509" s="126"/>
      <c r="O509" s="126" t="s">
        <v>119</v>
      </c>
      <c r="P509" s="129"/>
      <c r="Q509" s="129"/>
      <c r="R509" s="126" t="s">
        <v>26</v>
      </c>
      <c r="S509" s="126"/>
      <c r="T509" s="130" t="s">
        <v>120</v>
      </c>
      <c r="U509" s="126" t="s">
        <v>121</v>
      </c>
      <c r="V509" s="130" t="s">
        <v>120</v>
      </c>
      <c r="W509" s="126"/>
      <c r="X509" s="130" t="s">
        <v>120</v>
      </c>
      <c r="Y509" s="126" t="s">
        <v>191</v>
      </c>
      <c r="Z509" s="162" t="s">
        <v>144</v>
      </c>
      <c r="AA509" s="154"/>
      <c r="AB509" s="154"/>
      <c r="AC509" s="167"/>
      <c r="AD509" s="126" t="s">
        <v>192</v>
      </c>
      <c r="AE509" s="130" t="s">
        <v>144</v>
      </c>
      <c r="AF509" s="127"/>
      <c r="AG509" s="131"/>
      <c r="AH509" s="131"/>
      <c r="AI509" s="126" t="s">
        <v>188</v>
      </c>
      <c r="AJ509" s="130" t="s">
        <v>144</v>
      </c>
      <c r="AK509" s="126"/>
      <c r="AL509" s="126" t="s">
        <v>182</v>
      </c>
      <c r="AM509" s="130"/>
      <c r="AN509" s="126"/>
      <c r="AO509" s="132"/>
      <c r="AP509" s="126"/>
      <c r="AQ509" s="126"/>
      <c r="AR509" s="130"/>
      <c r="AS509" s="126"/>
      <c r="AT509" s="127"/>
      <c r="AU509" s="127"/>
      <c r="AV509" s="127"/>
      <c r="AW509" s="127"/>
      <c r="AX509" s="127"/>
      <c r="AY509" s="127"/>
      <c r="AZ509" s="133">
        <v>43172</v>
      </c>
      <c r="BA50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9" s="135">
        <f>COUNTIFS(_05preva_view43[Site ID],_05preva_view43[[#This Row],[Site ID]],_05preva_view43[Prevalidation Status],"Under Prevalidation")</f>
        <v>0</v>
      </c>
      <c r="BC509" s="153" t="str">
        <f ca="1">HYPERLINK(CheckPath(_05preva_view43[[#This Row],[File Path]],_05preva_view43[[#This Row],[File Path]],_05preva_view43[[#This Row],[Folder Path3]]),CheckPath(_05preva_view43[[#This Row],[File Path]],"Open File","No File"))</f>
        <v>No File</v>
      </c>
      <c r="BD509" s="136" t="str">
        <f>CONCATENATE(_05preva_view43[[#This Row],[Site ID]]," (",_05preva_view43[[#This Row],[tenant id]],") Application",IF(_05preva_view43[[#This Row],[Colo Rev]]&gt;0," Rev "&amp;_05preva_view43[[#This Row],[Colo Rev]],""),".xlsx")</f>
        <v>AYYN_0363 (YGN1489) Application.xlsx</v>
      </c>
      <c r="BE509" s="64">
        <f t="shared" ca="1" si="9"/>
        <v>50</v>
      </c>
      <c r="BF509" s="104" t="str">
        <f ca="1">LEFT(CELL("filename",A494),_05preva_view43[[#This Row],[Find Process &amp; Database]]-1)</f>
        <v>D:\OneDrive - apollo-towers.com\Apollo Towers\00-</v>
      </c>
      <c r="BG509" s="104" t="str">
        <f ca="1">_05preva_view43[Folder Path1]&amp;"Process &amp; Database\Documentation\Colo Applications"</f>
        <v>D:\OneDrive - apollo-towers.com\Apollo Towers\00-Process &amp; Database\Documentation\Colo Applications</v>
      </c>
      <c r="BH509" s="104" t="str">
        <f ca="1">_05preva_view43[Folder Path2]&amp;"\Colo App "&amp;_05preva_view43[[#This Row],[Operator]]&amp;"\"</f>
        <v>D:\OneDrive - apollo-towers.com\Apollo Towers\00-Process &amp; Database\Documentation\Colo Applications\Colo App Mytel\</v>
      </c>
      <c r="BI509" s="63" t="str">
        <f ca="1">_05preva_view43[[#This Row],[Folder Path3]]&amp;_05preva_view43[[#This Row],[File Name]]</f>
        <v>D:\OneDrive - apollo-towers.com\Apollo Towers\00-Process &amp; Database\Documentation\Colo Applications\Colo App Mytel\AYYN_0363 (YGN1489) Application.xlsx</v>
      </c>
      <c r="BJ509" s="104"/>
      <c r="BK509" s="3"/>
      <c r="BL509" s="3"/>
      <c r="CJ509" s="5"/>
      <c r="CK509" s="5"/>
      <c r="CL509" s="3"/>
      <c r="CN509" s="5"/>
      <c r="CR509" s="3"/>
      <c r="CS509" s="3"/>
      <c r="CT509" s="5"/>
      <c r="CV509" s="3"/>
      <c r="DR509" s="5"/>
      <c r="DT509" s="3"/>
      <c r="EF509" s="7"/>
      <c r="EG509" s="7"/>
      <c r="EJ509" s="4"/>
      <c r="EK509" s="4"/>
      <c r="EU509" s="2"/>
      <c r="EV509" s="2"/>
    </row>
    <row r="510" spans="1:152">
      <c r="A510" s="125">
        <v>17</v>
      </c>
      <c r="B510" s="126" t="s">
        <v>193</v>
      </c>
      <c r="C510" s="126" t="s">
        <v>116</v>
      </c>
      <c r="D510" s="126" t="s">
        <v>163</v>
      </c>
      <c r="E510" s="126" t="s">
        <v>194</v>
      </c>
      <c r="F510" s="126" t="s">
        <v>34</v>
      </c>
      <c r="G510" s="126" t="s">
        <v>118</v>
      </c>
      <c r="H510" s="126"/>
      <c r="I510" s="126" t="s">
        <v>118</v>
      </c>
      <c r="J510" s="126"/>
      <c r="K510" s="127">
        <v>43172</v>
      </c>
      <c r="L510" s="128"/>
      <c r="M510" s="128"/>
      <c r="N510" s="126"/>
      <c r="O510" s="126" t="s">
        <v>119</v>
      </c>
      <c r="P510" s="129"/>
      <c r="Q510" s="129"/>
      <c r="R510" s="126" t="s">
        <v>24</v>
      </c>
      <c r="S510" s="126"/>
      <c r="T510" s="130" t="s">
        <v>120</v>
      </c>
      <c r="U510" s="126" t="s">
        <v>121</v>
      </c>
      <c r="V510" s="130" t="s">
        <v>120</v>
      </c>
      <c r="W510" s="126"/>
      <c r="X510" s="130" t="s">
        <v>120</v>
      </c>
      <c r="Y510" s="126" t="s">
        <v>195</v>
      </c>
      <c r="Z510" s="162" t="s">
        <v>120</v>
      </c>
      <c r="AA510" s="154"/>
      <c r="AB510" s="154"/>
      <c r="AC510" s="167"/>
      <c r="AD510" s="126" t="s">
        <v>196</v>
      </c>
      <c r="AE510" s="130" t="s">
        <v>120</v>
      </c>
      <c r="AF510" s="127" t="s">
        <v>197</v>
      </c>
      <c r="AG510" s="131"/>
      <c r="AH510" s="131"/>
      <c r="AI510" s="126" t="s">
        <v>198</v>
      </c>
      <c r="AJ510" s="130" t="s">
        <v>120</v>
      </c>
      <c r="AK510" s="126"/>
      <c r="AL510" s="126" t="s">
        <v>182</v>
      </c>
      <c r="AM510" s="130"/>
      <c r="AN510" s="126"/>
      <c r="AO510" s="132"/>
      <c r="AP510" s="126"/>
      <c r="AQ510" s="126"/>
      <c r="AR510" s="130"/>
      <c r="AS510" s="126"/>
      <c r="AT510" s="127"/>
      <c r="AU510" s="127">
        <v>43453.378902662</v>
      </c>
      <c r="AV510" s="127"/>
      <c r="AW510" s="127"/>
      <c r="AX510" s="127"/>
      <c r="AY510" s="127"/>
      <c r="AZ510" s="133">
        <v>43172</v>
      </c>
      <c r="BA51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0" s="135">
        <f>COUNTIFS(_05preva_view43[Site ID],_05preva_view43[[#This Row],[Site ID]],_05preva_view43[Prevalidation Status],"Under Prevalidation")</f>
        <v>0</v>
      </c>
      <c r="BC510" s="153" t="str">
        <f ca="1">HYPERLINK(CheckPath(_05preva_view43[[#This Row],[File Path]],_05preva_view43[[#This Row],[File Path]],_05preva_view43[[#This Row],[Folder Path3]]),CheckPath(_05preva_view43[[#This Row],[File Path]],"Open File","No File"))</f>
        <v>No File</v>
      </c>
      <c r="BD510" s="136" t="str">
        <f>CONCATENATE(_05preva_view43[[#This Row],[Site ID]]," (",_05preva_view43[[#This Row],[tenant id]],") Application",IF(_05preva_view43[[#This Row],[Colo Rev]]&gt;0," Rev "&amp;_05preva_view43[[#This Row],[Colo Rev]],""),".xlsx")</f>
        <v>AYYN_0389 (YGN0167) Application.xlsx</v>
      </c>
      <c r="BE510" s="64">
        <f t="shared" ca="1" si="9"/>
        <v>50</v>
      </c>
      <c r="BF510" s="104" t="str">
        <f ca="1">LEFT(CELL("filename",A495),_05preva_view43[[#This Row],[Find Process &amp; Database]]-1)</f>
        <v>D:\OneDrive - apollo-towers.com\Apollo Towers\00-</v>
      </c>
      <c r="BG510" s="104" t="str">
        <f ca="1">_05preva_view43[Folder Path1]&amp;"Process &amp; Database\Documentation\Colo Applications"</f>
        <v>D:\OneDrive - apollo-towers.com\Apollo Towers\00-Process &amp; Database\Documentation\Colo Applications</v>
      </c>
      <c r="BH510" s="104" t="str">
        <f ca="1">_05preva_view43[Folder Path2]&amp;"\Colo App "&amp;_05preva_view43[[#This Row],[Operator]]&amp;"\"</f>
        <v>D:\OneDrive - apollo-towers.com\Apollo Towers\00-Process &amp; Database\Documentation\Colo Applications\Colo App Mytel\</v>
      </c>
      <c r="BI510" s="63" t="str">
        <f ca="1">_05preva_view43[[#This Row],[Folder Path3]]&amp;_05preva_view43[[#This Row],[File Name]]</f>
        <v>D:\OneDrive - apollo-towers.com\Apollo Towers\00-Process &amp; Database\Documentation\Colo Applications\Colo App Mytel\AYYN_0389 (YGN0167) Application.xlsx</v>
      </c>
      <c r="BJ510" s="104"/>
      <c r="BK510" s="3"/>
      <c r="BL510" s="3"/>
      <c r="CJ510" s="5"/>
      <c r="CK510" s="5"/>
      <c r="CL510" s="3"/>
      <c r="CN510" s="5"/>
      <c r="CR510" s="3"/>
      <c r="CS510" s="3"/>
      <c r="CT510" s="5"/>
      <c r="CV510" s="3"/>
      <c r="DR510" s="5"/>
      <c r="DT510" s="3"/>
      <c r="EF510" s="7"/>
      <c r="EG510" s="7"/>
      <c r="EJ510" s="4"/>
      <c r="EK510" s="4"/>
      <c r="EU510" s="2"/>
      <c r="EV510" s="2"/>
    </row>
    <row r="511" spans="1:152">
      <c r="A511" s="125">
        <v>18</v>
      </c>
      <c r="B511" s="126" t="s">
        <v>199</v>
      </c>
      <c r="C511" s="126" t="s">
        <v>116</v>
      </c>
      <c r="D511" s="126" t="s">
        <v>163</v>
      </c>
      <c r="E511" s="126" t="s">
        <v>200</v>
      </c>
      <c r="F511" s="126" t="s">
        <v>34</v>
      </c>
      <c r="G511" s="126" t="s">
        <v>118</v>
      </c>
      <c r="H511" s="126"/>
      <c r="I511" s="126" t="s">
        <v>118</v>
      </c>
      <c r="J511" s="126"/>
      <c r="K511" s="127">
        <v>43172</v>
      </c>
      <c r="L511" s="128"/>
      <c r="M511" s="128"/>
      <c r="N511" s="126"/>
      <c r="O511" s="126" t="s">
        <v>119</v>
      </c>
      <c r="P511" s="129"/>
      <c r="Q511" s="129"/>
      <c r="R511" s="126" t="s">
        <v>24</v>
      </c>
      <c r="S511" s="126"/>
      <c r="T511" s="130" t="s">
        <v>120</v>
      </c>
      <c r="U511" s="126" t="s">
        <v>121</v>
      </c>
      <c r="V511" s="130" t="s">
        <v>120</v>
      </c>
      <c r="W511" s="126"/>
      <c r="X511" s="130" t="s">
        <v>120</v>
      </c>
      <c r="Y511" s="126" t="s">
        <v>201</v>
      </c>
      <c r="Z511" s="162" t="s">
        <v>120</v>
      </c>
      <c r="AA511" s="154"/>
      <c r="AB511" s="154"/>
      <c r="AC511" s="167"/>
      <c r="AD511" s="126" t="s">
        <v>202</v>
      </c>
      <c r="AE511" s="130" t="s">
        <v>120</v>
      </c>
      <c r="AF511" s="127"/>
      <c r="AG511" s="131"/>
      <c r="AH511" s="131"/>
      <c r="AI511" s="126" t="s">
        <v>183</v>
      </c>
      <c r="AJ511" s="130" t="s">
        <v>120</v>
      </c>
      <c r="AK511" s="126"/>
      <c r="AL511" s="126" t="s">
        <v>182</v>
      </c>
      <c r="AM511" s="130"/>
      <c r="AN511" s="126"/>
      <c r="AO511" s="132"/>
      <c r="AP511" s="126"/>
      <c r="AQ511" s="126"/>
      <c r="AR511" s="130"/>
      <c r="AS511" s="126"/>
      <c r="AT511" s="127"/>
      <c r="AU511" s="127">
        <v>43453.378903356497</v>
      </c>
      <c r="AV511" s="127"/>
      <c r="AW511" s="127"/>
      <c r="AX511" s="127"/>
      <c r="AY511" s="127"/>
      <c r="AZ511" s="133">
        <v>43172</v>
      </c>
      <c r="BA51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1" s="135">
        <f>COUNTIFS(_05preva_view43[Site ID],_05preva_view43[[#This Row],[Site ID]],_05preva_view43[Prevalidation Status],"Under Prevalidation")</f>
        <v>0</v>
      </c>
      <c r="BC511" s="153" t="str">
        <f ca="1">HYPERLINK(CheckPath(_05preva_view43[[#This Row],[File Path]],_05preva_view43[[#This Row],[File Path]],_05preva_view43[[#This Row],[Folder Path3]]),CheckPath(_05preva_view43[[#This Row],[File Path]],"Open File","No File"))</f>
        <v>No File</v>
      </c>
      <c r="BD511" s="136" t="str">
        <f>CONCATENATE(_05preva_view43[[#This Row],[Site ID]]," (",_05preva_view43[[#This Row],[tenant id]],") Application",IF(_05preva_view43[[#This Row],[Colo Rev]]&gt;0," Rev "&amp;_05preva_view43[[#This Row],[Colo Rev]],""),".xlsx")</f>
        <v>AYYN_0396 (YGN0171) Application.xlsx</v>
      </c>
      <c r="BE511" s="64">
        <f t="shared" ca="1" si="9"/>
        <v>50</v>
      </c>
      <c r="BF511" s="104" t="str">
        <f ca="1">LEFT(CELL("filename",A496),_05preva_view43[[#This Row],[Find Process &amp; Database]]-1)</f>
        <v>D:\OneDrive - apollo-towers.com\Apollo Towers\00-</v>
      </c>
      <c r="BG511" s="104" t="str">
        <f ca="1">_05preva_view43[Folder Path1]&amp;"Process &amp; Database\Documentation\Colo Applications"</f>
        <v>D:\OneDrive - apollo-towers.com\Apollo Towers\00-Process &amp; Database\Documentation\Colo Applications</v>
      </c>
      <c r="BH511" s="104" t="str">
        <f ca="1">_05preva_view43[Folder Path2]&amp;"\Colo App "&amp;_05preva_view43[[#This Row],[Operator]]&amp;"\"</f>
        <v>D:\OneDrive - apollo-towers.com\Apollo Towers\00-Process &amp; Database\Documentation\Colo Applications\Colo App Mytel\</v>
      </c>
      <c r="BI511" s="63" t="str">
        <f ca="1">_05preva_view43[[#This Row],[Folder Path3]]&amp;_05preva_view43[[#This Row],[File Name]]</f>
        <v>D:\OneDrive - apollo-towers.com\Apollo Towers\00-Process &amp; Database\Documentation\Colo Applications\Colo App Mytel\AYYN_0396 (YGN0171) Application.xlsx</v>
      </c>
      <c r="BJ511" s="104"/>
      <c r="BK511" s="3"/>
      <c r="BL511" s="3"/>
      <c r="CJ511" s="5"/>
      <c r="CK511" s="5"/>
      <c r="CL511" s="3"/>
      <c r="CN511" s="5"/>
      <c r="CR511" s="3"/>
      <c r="CS511" s="3"/>
      <c r="CT511" s="5"/>
      <c r="CV511" s="3"/>
      <c r="DR511" s="5"/>
      <c r="DT511" s="3"/>
      <c r="EF511" s="7"/>
      <c r="EG511" s="7"/>
      <c r="EJ511" s="4"/>
      <c r="EK511" s="4"/>
      <c r="EU511" s="2"/>
      <c r="EV511" s="2"/>
    </row>
    <row r="512" spans="1:152">
      <c r="A512" s="125">
        <v>19</v>
      </c>
      <c r="B512" s="126" t="s">
        <v>203</v>
      </c>
      <c r="C512" s="126" t="s">
        <v>116</v>
      </c>
      <c r="D512" s="126" t="s">
        <v>163</v>
      </c>
      <c r="E512" s="126" t="s">
        <v>204</v>
      </c>
      <c r="F512" s="126" t="s">
        <v>34</v>
      </c>
      <c r="G512" s="126" t="s">
        <v>1574</v>
      </c>
      <c r="H512" s="126" t="s">
        <v>1575</v>
      </c>
      <c r="I512" s="126" t="s">
        <v>118</v>
      </c>
      <c r="J512" s="126"/>
      <c r="K512" s="127">
        <v>43172</v>
      </c>
      <c r="L512" s="128"/>
      <c r="M512" s="128"/>
      <c r="N512" s="126"/>
      <c r="O512" s="126" t="s">
        <v>119</v>
      </c>
      <c r="P512" s="129"/>
      <c r="Q512" s="129"/>
      <c r="R512" s="126" t="s">
        <v>24</v>
      </c>
      <c r="S512" s="126"/>
      <c r="T512" s="130" t="s">
        <v>120</v>
      </c>
      <c r="U512" s="126" t="s">
        <v>121</v>
      </c>
      <c r="V512" s="130" t="s">
        <v>120</v>
      </c>
      <c r="W512" s="126"/>
      <c r="X512" s="130" t="s">
        <v>120</v>
      </c>
      <c r="Y512" s="126" t="s">
        <v>205</v>
      </c>
      <c r="Z512" s="162" t="s">
        <v>120</v>
      </c>
      <c r="AA512" s="154"/>
      <c r="AB512" s="154"/>
      <c r="AC512" s="167"/>
      <c r="AD512" s="126" t="s">
        <v>138</v>
      </c>
      <c r="AE512" s="130" t="s">
        <v>120</v>
      </c>
      <c r="AF512" s="127"/>
      <c r="AG512" s="131"/>
      <c r="AH512" s="131"/>
      <c r="AI512" s="126" t="s">
        <v>206</v>
      </c>
      <c r="AJ512" s="130" t="s">
        <v>120</v>
      </c>
      <c r="AK512" s="126"/>
      <c r="AL512" s="126" t="s">
        <v>182</v>
      </c>
      <c r="AM512" s="130"/>
      <c r="AN512" s="126"/>
      <c r="AO512" s="132"/>
      <c r="AP512" s="126"/>
      <c r="AQ512" s="126"/>
      <c r="AR512" s="130"/>
      <c r="AS512" s="126"/>
      <c r="AT512" s="127"/>
      <c r="AU512" s="127">
        <v>43453.378905208301</v>
      </c>
      <c r="AV512" s="127"/>
      <c r="AW512" s="127"/>
      <c r="AX512" s="127"/>
      <c r="AY512" s="127"/>
      <c r="AZ512" s="133">
        <v>43172</v>
      </c>
      <c r="BA51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2" s="135">
        <f>COUNTIFS(_05preva_view43[Site ID],_05preva_view43[[#This Row],[Site ID]],_05preva_view43[Prevalidation Status],"Under Prevalidation")</f>
        <v>0</v>
      </c>
      <c r="BC512" s="153" t="str">
        <f ca="1">HYPERLINK(CheckPath(_05preva_view43[[#This Row],[File Path]],_05preva_view43[[#This Row],[File Path]],_05preva_view43[[#This Row],[Folder Path3]]),CheckPath(_05preva_view43[[#This Row],[File Path]],"Open File","No File"))</f>
        <v>No File</v>
      </c>
      <c r="BD512" s="136" t="str">
        <f>CONCATENATE(_05preva_view43[[#This Row],[Site ID]]," (",_05preva_view43[[#This Row],[tenant id]],") Application",IF(_05preva_view43[[#This Row],[Colo Rev]]&gt;0," Rev "&amp;_05preva_view43[[#This Row],[Colo Rev]],""),".xlsx")</f>
        <v>AYYN_0583 (YGN1201) Application.xlsx</v>
      </c>
      <c r="BE512" s="64">
        <f t="shared" ca="1" si="9"/>
        <v>50</v>
      </c>
      <c r="BF512" s="104" t="str">
        <f ca="1">LEFT(CELL("filename",A497),_05preva_view43[[#This Row],[Find Process &amp; Database]]-1)</f>
        <v>D:\OneDrive - apollo-towers.com\Apollo Towers\00-</v>
      </c>
      <c r="BG512" s="104" t="str">
        <f ca="1">_05preva_view43[Folder Path1]&amp;"Process &amp; Database\Documentation\Colo Applications"</f>
        <v>D:\OneDrive - apollo-towers.com\Apollo Towers\00-Process &amp; Database\Documentation\Colo Applications</v>
      </c>
      <c r="BH512" s="104" t="str">
        <f ca="1">_05preva_view43[Folder Path2]&amp;"\Colo App "&amp;_05preva_view43[[#This Row],[Operator]]&amp;"\"</f>
        <v>D:\OneDrive - apollo-towers.com\Apollo Towers\00-Process &amp; Database\Documentation\Colo Applications\Colo App Mytel\</v>
      </c>
      <c r="BI512" s="63" t="str">
        <f ca="1">_05preva_view43[[#This Row],[Folder Path3]]&amp;_05preva_view43[[#This Row],[File Name]]</f>
        <v>D:\OneDrive - apollo-towers.com\Apollo Towers\00-Process &amp; Database\Documentation\Colo Applications\Colo App Mytel\AYYN_0583 (YGN1201) Application.xlsx</v>
      </c>
      <c r="BJ512" s="104"/>
      <c r="BK512" s="3"/>
      <c r="BL512" s="3"/>
      <c r="CJ512" s="5"/>
      <c r="CK512" s="5"/>
      <c r="CL512" s="3"/>
      <c r="CN512" s="5"/>
      <c r="CR512" s="3"/>
      <c r="CS512" s="3"/>
      <c r="CT512" s="5"/>
      <c r="CV512" s="3"/>
      <c r="DR512" s="5"/>
      <c r="DT512" s="3"/>
      <c r="EF512" s="7"/>
      <c r="EG512" s="7"/>
      <c r="EJ512" s="4"/>
      <c r="EK512" s="4"/>
      <c r="EU512" s="2"/>
      <c r="EV512" s="2"/>
    </row>
    <row r="513" spans="1:152">
      <c r="A513" s="125">
        <v>20</v>
      </c>
      <c r="B513" s="126" t="s">
        <v>207</v>
      </c>
      <c r="C513" s="126" t="s">
        <v>116</v>
      </c>
      <c r="D513" s="126" t="s">
        <v>127</v>
      </c>
      <c r="E513" s="126" t="s">
        <v>208</v>
      </c>
      <c r="F513" s="126" t="s">
        <v>34</v>
      </c>
      <c r="G513" s="126" t="s">
        <v>118</v>
      </c>
      <c r="H513" s="126"/>
      <c r="I513" s="126" t="s">
        <v>118</v>
      </c>
      <c r="J513" s="126"/>
      <c r="K513" s="127">
        <v>43172</v>
      </c>
      <c r="L513" s="128"/>
      <c r="M513" s="128"/>
      <c r="N513" s="126"/>
      <c r="O513" s="126" t="s">
        <v>119</v>
      </c>
      <c r="P513" s="129"/>
      <c r="Q513" s="129"/>
      <c r="R513" s="126" t="s">
        <v>26</v>
      </c>
      <c r="S513" s="126"/>
      <c r="T513" s="130" t="s">
        <v>120</v>
      </c>
      <c r="U513" s="126" t="s">
        <v>121</v>
      </c>
      <c r="V513" s="130" t="s">
        <v>144</v>
      </c>
      <c r="W513" s="126" t="s">
        <v>211</v>
      </c>
      <c r="X513" s="130" t="s">
        <v>120</v>
      </c>
      <c r="Y513" s="126" t="s">
        <v>209</v>
      </c>
      <c r="Z513" s="162" t="s">
        <v>120</v>
      </c>
      <c r="AA513" s="154"/>
      <c r="AB513" s="154"/>
      <c r="AC513" s="167"/>
      <c r="AD513" s="126"/>
      <c r="AE513" s="130" t="s">
        <v>120</v>
      </c>
      <c r="AF513" s="127" t="s">
        <v>197</v>
      </c>
      <c r="AG513" s="131"/>
      <c r="AH513" s="131"/>
      <c r="AI513" s="126" t="s">
        <v>198</v>
      </c>
      <c r="AJ513" s="130" t="s">
        <v>120</v>
      </c>
      <c r="AK513" s="126" t="s">
        <v>123</v>
      </c>
      <c r="AL513" s="126" t="s">
        <v>210</v>
      </c>
      <c r="AM513" s="130"/>
      <c r="AN513" s="126"/>
      <c r="AO513" s="132"/>
      <c r="AP513" s="126"/>
      <c r="AQ513" s="126"/>
      <c r="AR513" s="130"/>
      <c r="AS513" s="126"/>
      <c r="AT513" s="127"/>
      <c r="AU513" s="127">
        <v>43453.37890625</v>
      </c>
      <c r="AV513" s="127"/>
      <c r="AW513" s="127"/>
      <c r="AX513" s="127"/>
      <c r="AY513" s="127"/>
      <c r="AZ513" s="133">
        <v>43172</v>
      </c>
      <c r="BA51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3" s="135">
        <f>COUNTIFS(_05preva_view43[Site ID],_05preva_view43[[#This Row],[Site ID]],_05preva_view43[Prevalidation Status],"Under Prevalidation")</f>
        <v>0</v>
      </c>
      <c r="BC513" s="153" t="str">
        <f ca="1">HYPERLINK(CheckPath(_05preva_view43[[#This Row],[File Path]],_05preva_view43[[#This Row],[File Path]],_05preva_view43[[#This Row],[Folder Path3]]),CheckPath(_05preva_view43[[#This Row],[File Path]],"Open File","No File"))</f>
        <v>No File</v>
      </c>
      <c r="BD513" s="136" t="str">
        <f>CONCATENATE(_05preva_view43[[#This Row],[Site ID]]," (",_05preva_view43[[#This Row],[tenant id]],") Application",IF(_05preva_view43[[#This Row],[Colo Rev]]&gt;0," Rev "&amp;_05preva_view43[[#This Row],[Colo Rev]],""),".xlsx")</f>
        <v>ANMD_0273 (MDY0760) Application.xlsx</v>
      </c>
      <c r="BE513" s="64">
        <f t="shared" ca="1" si="9"/>
        <v>50</v>
      </c>
      <c r="BF513" s="104" t="str">
        <f ca="1">LEFT(CELL("filename",A498),_05preva_view43[[#This Row],[Find Process &amp; Database]]-1)</f>
        <v>D:\OneDrive - apollo-towers.com\Apollo Towers\00-</v>
      </c>
      <c r="BG513" s="104" t="str">
        <f ca="1">_05preva_view43[Folder Path1]&amp;"Process &amp; Database\Documentation\Colo Applications"</f>
        <v>D:\OneDrive - apollo-towers.com\Apollo Towers\00-Process &amp; Database\Documentation\Colo Applications</v>
      </c>
      <c r="BH513" s="104" t="str">
        <f ca="1">_05preva_view43[Folder Path2]&amp;"\Colo App "&amp;_05preva_view43[[#This Row],[Operator]]&amp;"\"</f>
        <v>D:\OneDrive - apollo-towers.com\Apollo Towers\00-Process &amp; Database\Documentation\Colo Applications\Colo App Mytel\</v>
      </c>
      <c r="BI513" s="63" t="str">
        <f ca="1">_05preva_view43[[#This Row],[Folder Path3]]&amp;_05preva_view43[[#This Row],[File Name]]</f>
        <v>D:\OneDrive - apollo-towers.com\Apollo Towers\00-Process &amp; Database\Documentation\Colo Applications\Colo App Mytel\ANMD_0273 (MDY0760) Application.xlsx</v>
      </c>
      <c r="BJ513" s="104"/>
      <c r="BK513" s="3"/>
      <c r="BL513" s="3"/>
      <c r="CJ513" s="5"/>
      <c r="CK513" s="5"/>
      <c r="CL513" s="3"/>
      <c r="CN513" s="5"/>
      <c r="CR513" s="3"/>
      <c r="CS513" s="3"/>
      <c r="CT513" s="5"/>
      <c r="CV513" s="3"/>
      <c r="DR513" s="5"/>
      <c r="DT513" s="3"/>
      <c r="EF513" s="7"/>
      <c r="EG513" s="7"/>
      <c r="EJ513" s="4"/>
      <c r="EK513" s="4"/>
      <c r="EU513" s="2"/>
      <c r="EV513" s="2"/>
    </row>
    <row r="514" spans="1:152">
      <c r="A514" s="125">
        <v>21</v>
      </c>
      <c r="B514" s="126" t="s">
        <v>212</v>
      </c>
      <c r="C514" s="126" t="s">
        <v>116</v>
      </c>
      <c r="D514" s="126" t="s">
        <v>163</v>
      </c>
      <c r="E514" s="126" t="s">
        <v>213</v>
      </c>
      <c r="F514" s="126" t="s">
        <v>41</v>
      </c>
      <c r="G514" s="126" t="s">
        <v>1576</v>
      </c>
      <c r="H514" s="126" t="s">
        <v>1575</v>
      </c>
      <c r="I514" s="126" t="s">
        <v>118</v>
      </c>
      <c r="J514" s="126"/>
      <c r="K514" s="127">
        <v>43172</v>
      </c>
      <c r="L514" s="128"/>
      <c r="M514" s="128"/>
      <c r="N514" s="126"/>
      <c r="O514" s="126" t="s">
        <v>119</v>
      </c>
      <c r="P514" s="129"/>
      <c r="Q514" s="129"/>
      <c r="R514" s="126" t="s">
        <v>24</v>
      </c>
      <c r="S514" s="126"/>
      <c r="T514" s="130" t="s">
        <v>120</v>
      </c>
      <c r="U514" s="126" t="s">
        <v>121</v>
      </c>
      <c r="V514" s="130" t="s">
        <v>120</v>
      </c>
      <c r="W514" s="126"/>
      <c r="X514" s="130" t="s">
        <v>120</v>
      </c>
      <c r="Y514" s="126"/>
      <c r="Z514" s="162" t="s">
        <v>120</v>
      </c>
      <c r="AA514" s="154"/>
      <c r="AB514" s="154"/>
      <c r="AC514" s="167"/>
      <c r="AD514" s="126"/>
      <c r="AE514" s="130" t="s">
        <v>120</v>
      </c>
      <c r="AF514" s="127"/>
      <c r="AG514" s="131"/>
      <c r="AH514" s="131"/>
      <c r="AI514" s="126" t="s">
        <v>214</v>
      </c>
      <c r="AJ514" s="130" t="s">
        <v>120</v>
      </c>
      <c r="AK514" s="126"/>
      <c r="AL514" s="126"/>
      <c r="AM514" s="130"/>
      <c r="AN514" s="126"/>
      <c r="AO514" s="132"/>
      <c r="AP514" s="126"/>
      <c r="AQ514" s="126"/>
      <c r="AR514" s="130"/>
      <c r="AS514" s="126"/>
      <c r="AT514" s="127"/>
      <c r="AU514" s="127">
        <v>43453.378908217601</v>
      </c>
      <c r="AV514" s="127"/>
      <c r="AW514" s="127"/>
      <c r="AX514" s="127"/>
      <c r="AY514" s="127"/>
      <c r="AZ514" s="133">
        <v>43172</v>
      </c>
      <c r="BA51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4" s="135">
        <f>COUNTIFS(_05preva_view43[Site ID],_05preva_view43[[#This Row],[Site ID]],_05preva_view43[Prevalidation Status],"Under Prevalidation")</f>
        <v>0</v>
      </c>
      <c r="BC514" s="153" t="str">
        <f ca="1">HYPERLINK(CheckPath(_05preva_view43[[#This Row],[File Path]],_05preva_view43[[#This Row],[File Path]],_05preva_view43[[#This Row],[Folder Path3]]),CheckPath(_05preva_view43[[#This Row],[File Path]],"Open File","No File"))</f>
        <v>No File</v>
      </c>
      <c r="BD514" s="136" t="str">
        <f>CONCATENATE(_05preva_view43[[#This Row],[Site ID]]," (",_05preva_view43[[#This Row],[tenant id]],") Application",IF(_05preva_view43[[#This Row],[Colo Rev]]&gt;0," Rev "&amp;_05preva_view43[[#This Row],[Colo Rev]],""),".xlsx")</f>
        <v>AYYN_0269 (YGNINSN052) Application.xlsx</v>
      </c>
      <c r="BE514" s="64">
        <f t="shared" ca="1" si="9"/>
        <v>50</v>
      </c>
      <c r="BF514" s="104" t="str">
        <f ca="1">LEFT(CELL("filename",A499),_05preva_view43[[#This Row],[Find Process &amp; Database]]-1)</f>
        <v>D:\OneDrive - apollo-towers.com\Apollo Towers\00-</v>
      </c>
      <c r="BG514" s="104" t="str">
        <f ca="1">_05preva_view43[Folder Path1]&amp;"Process &amp; Database\Documentation\Colo Applications"</f>
        <v>D:\OneDrive - apollo-towers.com\Apollo Towers\00-Process &amp; Database\Documentation\Colo Applications</v>
      </c>
      <c r="BH514" s="104" t="str">
        <f ca="1">_05preva_view43[Folder Path2]&amp;"\Colo App "&amp;_05preva_view43[[#This Row],[Operator]]&amp;"\"</f>
        <v>D:\OneDrive - apollo-towers.com\Apollo Towers\00-Process &amp; Database\Documentation\Colo Applications\Colo App Amara\</v>
      </c>
      <c r="BI514" s="63" t="str">
        <f ca="1">_05preva_view43[[#This Row],[Folder Path3]]&amp;_05preva_view43[[#This Row],[File Name]]</f>
        <v>D:\OneDrive - apollo-towers.com\Apollo Towers\00-Process &amp; Database\Documentation\Colo Applications\Colo App Amara\AYYN_0269 (YGNINSN052) Application.xlsx</v>
      </c>
      <c r="BJ514" s="104"/>
      <c r="BK514" s="3"/>
      <c r="BL514" s="3"/>
      <c r="CJ514" s="5"/>
      <c r="CK514" s="5"/>
      <c r="CL514" s="3"/>
      <c r="CN514" s="5"/>
      <c r="CR514" s="3"/>
      <c r="CS514" s="3"/>
      <c r="CT514" s="5"/>
      <c r="CV514" s="3"/>
      <c r="DR514" s="5"/>
      <c r="DT514" s="3"/>
      <c r="EF514" s="7"/>
      <c r="EG514" s="7"/>
      <c r="EJ514" s="4"/>
      <c r="EK514" s="4"/>
      <c r="EU514" s="2"/>
      <c r="EV514" s="2"/>
    </row>
    <row r="515" spans="1:152">
      <c r="A515" s="125">
        <v>22</v>
      </c>
      <c r="B515" s="126" t="s">
        <v>215</v>
      </c>
      <c r="C515" s="126" t="s">
        <v>116</v>
      </c>
      <c r="D515" s="126" t="s">
        <v>163</v>
      </c>
      <c r="E515" s="126" t="s">
        <v>216</v>
      </c>
      <c r="F515" s="126" t="s">
        <v>35</v>
      </c>
      <c r="G515" s="126" t="s">
        <v>1577</v>
      </c>
      <c r="H515" s="126" t="s">
        <v>1575</v>
      </c>
      <c r="I515" s="126" t="s">
        <v>118</v>
      </c>
      <c r="J515" s="126"/>
      <c r="K515" s="127">
        <v>43172</v>
      </c>
      <c r="L515" s="128"/>
      <c r="M515" s="128"/>
      <c r="N515" s="126"/>
      <c r="O515" s="126" t="s">
        <v>119</v>
      </c>
      <c r="P515" s="129"/>
      <c r="Q515" s="129"/>
      <c r="R515" s="126" t="s">
        <v>24</v>
      </c>
      <c r="S515" s="126"/>
      <c r="T515" s="130" t="s">
        <v>120</v>
      </c>
      <c r="U515" s="126" t="s">
        <v>121</v>
      </c>
      <c r="V515" s="130" t="s">
        <v>120</v>
      </c>
      <c r="W515" s="126"/>
      <c r="X515" s="130" t="s">
        <v>120</v>
      </c>
      <c r="Y515" s="126"/>
      <c r="Z515" s="162" t="s">
        <v>120</v>
      </c>
      <c r="AA515" s="154"/>
      <c r="AB515" s="154"/>
      <c r="AC515" s="167"/>
      <c r="AD515" s="126"/>
      <c r="AE515" s="130" t="s">
        <v>120</v>
      </c>
      <c r="AF515" s="127"/>
      <c r="AG515" s="131"/>
      <c r="AH515" s="131"/>
      <c r="AI515" s="126" t="s">
        <v>217</v>
      </c>
      <c r="AJ515" s="130" t="s">
        <v>120</v>
      </c>
      <c r="AK515" s="126" t="s">
        <v>123</v>
      </c>
      <c r="AL515" s="126"/>
      <c r="AM515" s="130"/>
      <c r="AN515" s="126"/>
      <c r="AO515" s="132"/>
      <c r="AP515" s="126"/>
      <c r="AQ515" s="126"/>
      <c r="AR515" s="130"/>
      <c r="AS515" s="126"/>
      <c r="AT515" s="127"/>
      <c r="AU515" s="127">
        <v>43453.378908911996</v>
      </c>
      <c r="AV515" s="127"/>
      <c r="AW515" s="127"/>
      <c r="AX515" s="127"/>
      <c r="AY515" s="127"/>
      <c r="AZ515" s="133">
        <v>43172</v>
      </c>
      <c r="BA51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5" s="135">
        <f>COUNTIFS(_05preva_view43[Site ID],_05preva_view43[[#This Row],[Site ID]],_05preva_view43[Prevalidation Status],"Under Prevalidation")</f>
        <v>0</v>
      </c>
      <c r="BC515" s="153" t="str">
        <f ca="1">HYPERLINK(CheckPath(_05preva_view43[[#This Row],[File Path]],_05preva_view43[[#This Row],[File Path]],_05preva_view43[[#This Row],[Folder Path3]]),CheckPath(_05preva_view43[[#This Row],[File Path]],"Open File","No File"))</f>
        <v>No File</v>
      </c>
      <c r="BD515" s="136" t="str">
        <f>CONCATENATE(_05preva_view43[[#This Row],[Site ID]]," (",_05preva_view43[[#This Row],[tenant id]],") Application",IF(_05preva_view43[[#This Row],[Colo Rev]]&gt;0," Rev "&amp;_05preva_view43[[#This Row],[Colo Rev]],""),".xlsx")</f>
        <v>AYYN_0171 (YGN01927) Application.xlsx</v>
      </c>
      <c r="BE515" s="64">
        <f t="shared" ca="1" si="9"/>
        <v>50</v>
      </c>
      <c r="BF515" s="104" t="str">
        <f ca="1">LEFT(CELL("filename",A500),_05preva_view43[[#This Row],[Find Process &amp; Database]]-1)</f>
        <v>D:\OneDrive - apollo-towers.com\Apollo Towers\00-</v>
      </c>
      <c r="BG515" s="104" t="str">
        <f ca="1">_05preva_view43[Folder Path1]&amp;"Process &amp; Database\Documentation\Colo Applications"</f>
        <v>D:\OneDrive - apollo-towers.com\Apollo Towers\00-Process &amp; Database\Documentation\Colo Applications</v>
      </c>
      <c r="BH515" s="104" t="str">
        <f ca="1">_05preva_view43[Folder Path2]&amp;"\Colo App "&amp;_05preva_view43[[#This Row],[Operator]]&amp;"\"</f>
        <v>D:\OneDrive - apollo-towers.com\Apollo Towers\00-Process &amp; Database\Documentation\Colo Applications\Colo App MPT\</v>
      </c>
      <c r="BI515" s="63" t="str">
        <f ca="1">_05preva_view43[[#This Row],[Folder Path3]]&amp;_05preva_view43[[#This Row],[File Name]]</f>
        <v>D:\OneDrive - apollo-towers.com\Apollo Towers\00-Process &amp; Database\Documentation\Colo Applications\Colo App MPT\AYYN_0171 (YGN01927) Application.xlsx</v>
      </c>
      <c r="BJ515" s="104"/>
      <c r="BK515" s="3"/>
      <c r="BL515" s="3"/>
      <c r="CJ515" s="5"/>
      <c r="CK515" s="5"/>
      <c r="CL515" s="3"/>
      <c r="CN515" s="5"/>
      <c r="CR515" s="3"/>
      <c r="CS515" s="3"/>
      <c r="CT515" s="5"/>
      <c r="CV515" s="3"/>
      <c r="DR515" s="5"/>
      <c r="DT515" s="3"/>
      <c r="EF515" s="7"/>
      <c r="EG515" s="7"/>
      <c r="EJ515" s="4"/>
      <c r="EK515" s="4"/>
      <c r="EU515" s="2"/>
      <c r="EV515" s="2"/>
    </row>
    <row r="516" spans="1:152">
      <c r="A516" s="125">
        <v>23</v>
      </c>
      <c r="B516" s="126" t="s">
        <v>218</v>
      </c>
      <c r="C516" s="126" t="s">
        <v>116</v>
      </c>
      <c r="D516" s="126" t="s">
        <v>127</v>
      </c>
      <c r="E516" s="126" t="s">
        <v>219</v>
      </c>
      <c r="F516" s="126" t="s">
        <v>35</v>
      </c>
      <c r="G516" s="126" t="s">
        <v>1577</v>
      </c>
      <c r="H516" s="126" t="s">
        <v>1575</v>
      </c>
      <c r="I516" s="126" t="s">
        <v>118</v>
      </c>
      <c r="J516" s="126"/>
      <c r="K516" s="127">
        <v>43172</v>
      </c>
      <c r="L516" s="128"/>
      <c r="M516" s="128"/>
      <c r="N516" s="126"/>
      <c r="O516" s="126" t="s">
        <v>119</v>
      </c>
      <c r="P516" s="129"/>
      <c r="Q516" s="129"/>
      <c r="R516" s="126" t="s">
        <v>24</v>
      </c>
      <c r="S516" s="126"/>
      <c r="T516" s="130" t="s">
        <v>120</v>
      </c>
      <c r="U516" s="126" t="s">
        <v>121</v>
      </c>
      <c r="V516" s="130" t="s">
        <v>120</v>
      </c>
      <c r="W516" s="126"/>
      <c r="X516" s="130" t="s">
        <v>120</v>
      </c>
      <c r="Y516" s="126"/>
      <c r="Z516" s="162" t="s">
        <v>120</v>
      </c>
      <c r="AA516" s="154"/>
      <c r="AB516" s="154"/>
      <c r="AC516" s="167"/>
      <c r="AD516" s="126"/>
      <c r="AE516" s="130" t="s">
        <v>120</v>
      </c>
      <c r="AF516" s="127"/>
      <c r="AG516" s="131"/>
      <c r="AH516" s="131"/>
      <c r="AI516" s="126" t="s">
        <v>220</v>
      </c>
      <c r="AJ516" s="130" t="s">
        <v>120</v>
      </c>
      <c r="AK516" s="126" t="s">
        <v>123</v>
      </c>
      <c r="AL516" s="126"/>
      <c r="AM516" s="130"/>
      <c r="AN516" s="126"/>
      <c r="AO516" s="132"/>
      <c r="AP516" s="126"/>
      <c r="AQ516" s="126"/>
      <c r="AR516" s="130"/>
      <c r="AS516" s="126"/>
      <c r="AT516" s="127"/>
      <c r="AU516" s="127">
        <v>43453.378910995401</v>
      </c>
      <c r="AV516" s="127"/>
      <c r="AW516" s="127"/>
      <c r="AX516" s="127"/>
      <c r="AY516" s="127"/>
      <c r="AZ516" s="133">
        <v>43172</v>
      </c>
      <c r="BA51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6" s="135">
        <f>COUNTIFS(_05preva_view43[Site ID],_05preva_view43[[#This Row],[Site ID]],_05preva_view43[Prevalidation Status],"Under Prevalidation")</f>
        <v>0</v>
      </c>
      <c r="BC516" s="153" t="str">
        <f ca="1">HYPERLINK(CheckPath(_05preva_view43[[#This Row],[File Path]],_05preva_view43[[#This Row],[File Path]],_05preva_view43[[#This Row],[Folder Path3]]),CheckPath(_05preva_view43[[#This Row],[File Path]],"Open File","No File"))</f>
        <v>No File</v>
      </c>
      <c r="BD516" s="136" t="str">
        <f>CONCATENATE(_05preva_view43[[#This Row],[Site ID]]," (",_05preva_view43[[#This Row],[tenant id]],") Application",IF(_05preva_view43[[#This Row],[Colo Rev]]&gt;0," Rev "&amp;_05preva_view43[[#This Row],[Colo Rev]],""),".xlsx")</f>
        <v>ANSG_0355 (SGG01165) Application.xlsx</v>
      </c>
      <c r="BE516" s="64">
        <f t="shared" ca="1" si="9"/>
        <v>50</v>
      </c>
      <c r="BF516" s="104" t="str">
        <f ca="1">LEFT(CELL("filename",A501),_05preva_view43[[#This Row],[Find Process &amp; Database]]-1)</f>
        <v>D:\OneDrive - apollo-towers.com\Apollo Towers\00-</v>
      </c>
      <c r="BG516" s="104" t="str">
        <f ca="1">_05preva_view43[Folder Path1]&amp;"Process &amp; Database\Documentation\Colo Applications"</f>
        <v>D:\OneDrive - apollo-towers.com\Apollo Towers\00-Process &amp; Database\Documentation\Colo Applications</v>
      </c>
      <c r="BH516" s="104" t="str">
        <f ca="1">_05preva_view43[Folder Path2]&amp;"\Colo App "&amp;_05preva_view43[[#This Row],[Operator]]&amp;"\"</f>
        <v>D:\OneDrive - apollo-towers.com\Apollo Towers\00-Process &amp; Database\Documentation\Colo Applications\Colo App MPT\</v>
      </c>
      <c r="BI516" s="63" t="str">
        <f ca="1">_05preva_view43[[#This Row],[Folder Path3]]&amp;_05preva_view43[[#This Row],[File Name]]</f>
        <v>D:\OneDrive - apollo-towers.com\Apollo Towers\00-Process &amp; Database\Documentation\Colo Applications\Colo App MPT\ANSG_0355 (SGG01165) Application.xlsx</v>
      </c>
      <c r="BJ516" s="104"/>
      <c r="BK516" s="3"/>
      <c r="BL516" s="3"/>
      <c r="CJ516" s="5"/>
      <c r="CK516" s="5"/>
      <c r="CL516" s="3"/>
      <c r="CN516" s="5"/>
      <c r="CR516" s="3"/>
      <c r="CS516" s="3"/>
      <c r="CT516" s="5"/>
      <c r="CV516" s="3"/>
      <c r="DR516" s="5"/>
      <c r="DT516" s="3"/>
      <c r="EF516" s="7"/>
      <c r="EG516" s="7"/>
      <c r="EJ516" s="4"/>
      <c r="EK516" s="4"/>
      <c r="EU516" s="2"/>
      <c r="EV516" s="2"/>
    </row>
    <row r="517" spans="1:152">
      <c r="A517" s="125">
        <v>24</v>
      </c>
      <c r="B517" s="126" t="s">
        <v>221</v>
      </c>
      <c r="C517" s="126" t="s">
        <v>116</v>
      </c>
      <c r="D517" s="126" t="s">
        <v>163</v>
      </c>
      <c r="E517" s="126" t="s">
        <v>222</v>
      </c>
      <c r="F517" s="126" t="s">
        <v>35</v>
      </c>
      <c r="G517" s="126" t="s">
        <v>1577</v>
      </c>
      <c r="H517" s="126" t="s">
        <v>1575</v>
      </c>
      <c r="I517" s="126" t="s">
        <v>118</v>
      </c>
      <c r="J517" s="126"/>
      <c r="K517" s="127">
        <v>43172</v>
      </c>
      <c r="L517" s="128"/>
      <c r="M517" s="128"/>
      <c r="N517" s="126"/>
      <c r="O517" s="126" t="s">
        <v>119</v>
      </c>
      <c r="P517" s="129"/>
      <c r="Q517" s="129"/>
      <c r="R517" s="126" t="s">
        <v>24</v>
      </c>
      <c r="S517" s="126"/>
      <c r="T517" s="130" t="s">
        <v>120</v>
      </c>
      <c r="U517" s="126" t="s">
        <v>121</v>
      </c>
      <c r="V517" s="130" t="s">
        <v>120</v>
      </c>
      <c r="W517" s="126"/>
      <c r="X517" s="130" t="s">
        <v>120</v>
      </c>
      <c r="Y517" s="126"/>
      <c r="Z517" s="162" t="s">
        <v>120</v>
      </c>
      <c r="AA517" s="154"/>
      <c r="AB517" s="154"/>
      <c r="AC517" s="167"/>
      <c r="AD517" s="126"/>
      <c r="AE517" s="130" t="s">
        <v>120</v>
      </c>
      <c r="AF517" s="127"/>
      <c r="AG517" s="131"/>
      <c r="AH517" s="131"/>
      <c r="AI517" s="126" t="s">
        <v>223</v>
      </c>
      <c r="AJ517" s="130" t="s">
        <v>120</v>
      </c>
      <c r="AK517" s="126" t="s">
        <v>123</v>
      </c>
      <c r="AL517" s="126"/>
      <c r="AM517" s="130"/>
      <c r="AN517" s="126"/>
      <c r="AO517" s="132"/>
      <c r="AP517" s="126"/>
      <c r="AQ517" s="126"/>
      <c r="AR517" s="130"/>
      <c r="AS517" s="126"/>
      <c r="AT517" s="127"/>
      <c r="AU517" s="127">
        <v>43453.378911689797</v>
      </c>
      <c r="AV517" s="127"/>
      <c r="AW517" s="127"/>
      <c r="AX517" s="127"/>
      <c r="AY517" s="127"/>
      <c r="AZ517" s="133">
        <v>43172</v>
      </c>
      <c r="BA51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7" s="135">
        <f>COUNTIFS(_05preva_view43[Site ID],_05preva_view43[[#This Row],[Site ID]],_05preva_view43[Prevalidation Status],"Under Prevalidation")</f>
        <v>0</v>
      </c>
      <c r="BC517" s="153" t="str">
        <f ca="1">HYPERLINK(CheckPath(_05preva_view43[[#This Row],[File Path]],_05preva_view43[[#This Row],[File Path]],_05preva_view43[[#This Row],[Folder Path3]]),CheckPath(_05preva_view43[[#This Row],[File Path]],"Open File","No File"))</f>
        <v>No File</v>
      </c>
      <c r="BD517" s="136" t="str">
        <f>CONCATENATE(_05preva_view43[[#This Row],[Site ID]]," (",_05preva_view43[[#This Row],[tenant id]],") Application",IF(_05preva_view43[[#This Row],[Colo Rev]]&gt;0," Rev "&amp;_05preva_view43[[#This Row],[Colo Rev]],""),".xlsx")</f>
        <v>AYYN_0099 (YGN02508) Application.xlsx</v>
      </c>
      <c r="BE517" s="64">
        <f t="shared" ca="1" si="9"/>
        <v>50</v>
      </c>
      <c r="BF517" s="104" t="str">
        <f ca="1">LEFT(CELL("filename",A502),_05preva_view43[[#This Row],[Find Process &amp; Database]]-1)</f>
        <v>D:\OneDrive - apollo-towers.com\Apollo Towers\00-</v>
      </c>
      <c r="BG517" s="104" t="str">
        <f ca="1">_05preva_view43[Folder Path1]&amp;"Process &amp; Database\Documentation\Colo Applications"</f>
        <v>D:\OneDrive - apollo-towers.com\Apollo Towers\00-Process &amp; Database\Documentation\Colo Applications</v>
      </c>
      <c r="BH517" s="104" t="str">
        <f ca="1">_05preva_view43[Folder Path2]&amp;"\Colo App "&amp;_05preva_view43[[#This Row],[Operator]]&amp;"\"</f>
        <v>D:\OneDrive - apollo-towers.com\Apollo Towers\00-Process &amp; Database\Documentation\Colo Applications\Colo App MPT\</v>
      </c>
      <c r="BI517" s="63" t="str">
        <f ca="1">_05preva_view43[[#This Row],[Folder Path3]]&amp;_05preva_view43[[#This Row],[File Name]]</f>
        <v>D:\OneDrive - apollo-towers.com\Apollo Towers\00-Process &amp; Database\Documentation\Colo Applications\Colo App MPT\AYYN_0099 (YGN02508) Application.xlsx</v>
      </c>
      <c r="BJ517" s="104"/>
      <c r="BK517" s="3"/>
      <c r="BL517" s="3"/>
      <c r="CJ517" s="5"/>
      <c r="CK517" s="5"/>
      <c r="CL517" s="3"/>
      <c r="CN517" s="5"/>
      <c r="CR517" s="3"/>
      <c r="CS517" s="3"/>
      <c r="CT517" s="5"/>
      <c r="CV517" s="3"/>
      <c r="DR517" s="5"/>
      <c r="DT517" s="3"/>
      <c r="EF517" s="7"/>
      <c r="EG517" s="7"/>
      <c r="EJ517" s="4"/>
      <c r="EK517" s="4"/>
      <c r="EU517" s="2"/>
      <c r="EV517" s="2"/>
    </row>
    <row r="518" spans="1:152">
      <c r="A518" s="125">
        <v>25</v>
      </c>
      <c r="B518" s="126" t="s">
        <v>224</v>
      </c>
      <c r="C518" s="126" t="s">
        <v>116</v>
      </c>
      <c r="D518" s="126" t="s">
        <v>163</v>
      </c>
      <c r="E518" s="126" t="s">
        <v>225</v>
      </c>
      <c r="F518" s="126" t="s">
        <v>35</v>
      </c>
      <c r="G518" s="126" t="s">
        <v>1577</v>
      </c>
      <c r="H518" s="126" t="s">
        <v>1575</v>
      </c>
      <c r="I518" s="126" t="s">
        <v>118</v>
      </c>
      <c r="J518" s="126"/>
      <c r="K518" s="127">
        <v>43172</v>
      </c>
      <c r="L518" s="128"/>
      <c r="M518" s="128"/>
      <c r="N518" s="126"/>
      <c r="O518" s="126" t="s">
        <v>119</v>
      </c>
      <c r="P518" s="129"/>
      <c r="Q518" s="129"/>
      <c r="R518" s="126" t="s">
        <v>24</v>
      </c>
      <c r="S518" s="126"/>
      <c r="T518" s="130" t="s">
        <v>120</v>
      </c>
      <c r="U518" s="126" t="s">
        <v>121</v>
      </c>
      <c r="V518" s="130" t="s">
        <v>120</v>
      </c>
      <c r="W518" s="126"/>
      <c r="X518" s="130" t="s">
        <v>120</v>
      </c>
      <c r="Y518" s="126"/>
      <c r="Z518" s="162" t="s">
        <v>120</v>
      </c>
      <c r="AA518" s="154"/>
      <c r="AB518" s="154"/>
      <c r="AC518" s="167"/>
      <c r="AD518" s="126"/>
      <c r="AE518" s="130" t="s">
        <v>120</v>
      </c>
      <c r="AF518" s="127"/>
      <c r="AG518" s="131"/>
      <c r="AH518" s="131"/>
      <c r="AI518" s="126" t="s">
        <v>226</v>
      </c>
      <c r="AJ518" s="130" t="s">
        <v>120</v>
      </c>
      <c r="AK518" s="126" t="s">
        <v>123</v>
      </c>
      <c r="AL518" s="126"/>
      <c r="AM518" s="130"/>
      <c r="AN518" s="126"/>
      <c r="AO518" s="132"/>
      <c r="AP518" s="126"/>
      <c r="AQ518" s="126"/>
      <c r="AR518" s="130"/>
      <c r="AS518" s="126"/>
      <c r="AT518" s="127"/>
      <c r="AU518" s="127">
        <v>43453.378913773202</v>
      </c>
      <c r="AV518" s="127"/>
      <c r="AW518" s="127"/>
      <c r="AX518" s="127"/>
      <c r="AY518" s="127"/>
      <c r="AZ518" s="133">
        <v>43172</v>
      </c>
      <c r="BA51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8" s="135">
        <f>COUNTIFS(_05preva_view43[Site ID],_05preva_view43[[#This Row],[Site ID]],_05preva_view43[Prevalidation Status],"Under Prevalidation")</f>
        <v>0</v>
      </c>
      <c r="BC518" s="153" t="str">
        <f ca="1">HYPERLINK(CheckPath(_05preva_view43[[#This Row],[File Path]],_05preva_view43[[#This Row],[File Path]],_05preva_view43[[#This Row],[Folder Path3]]),CheckPath(_05preva_view43[[#This Row],[File Path]],"Open File","No File"))</f>
        <v>No File</v>
      </c>
      <c r="BD518" s="136" t="str">
        <f>CONCATENATE(_05preva_view43[[#This Row],[Site ID]]," (",_05preva_view43[[#This Row],[tenant id]],") Application",IF(_05preva_view43[[#This Row],[Colo Rev]]&gt;0," Rev "&amp;_05preva_view43[[#This Row],[Colo Rev]],""),".xlsx")</f>
        <v>AYYN_0251 (YGN01769) Application.xlsx</v>
      </c>
      <c r="BE518" s="64">
        <f t="shared" ca="1" si="9"/>
        <v>50</v>
      </c>
      <c r="BF518" s="104" t="str">
        <f ca="1">LEFT(CELL("filename",A503),_05preva_view43[[#This Row],[Find Process &amp; Database]]-1)</f>
        <v>D:\OneDrive - apollo-towers.com\Apollo Towers\00-</v>
      </c>
      <c r="BG518" s="104" t="str">
        <f ca="1">_05preva_view43[Folder Path1]&amp;"Process &amp; Database\Documentation\Colo Applications"</f>
        <v>D:\OneDrive - apollo-towers.com\Apollo Towers\00-Process &amp; Database\Documentation\Colo Applications</v>
      </c>
      <c r="BH518" s="104" t="str">
        <f ca="1">_05preva_view43[Folder Path2]&amp;"\Colo App "&amp;_05preva_view43[[#This Row],[Operator]]&amp;"\"</f>
        <v>D:\OneDrive - apollo-towers.com\Apollo Towers\00-Process &amp; Database\Documentation\Colo Applications\Colo App MPT\</v>
      </c>
      <c r="BI518" s="63" t="str">
        <f ca="1">_05preva_view43[[#This Row],[Folder Path3]]&amp;_05preva_view43[[#This Row],[File Name]]</f>
        <v>D:\OneDrive - apollo-towers.com\Apollo Towers\00-Process &amp; Database\Documentation\Colo Applications\Colo App MPT\AYYN_0251 (YGN01769) Application.xlsx</v>
      </c>
      <c r="BJ518" s="104"/>
      <c r="BK518" s="3"/>
      <c r="BL518" s="3"/>
      <c r="CJ518" s="5"/>
      <c r="CK518" s="5"/>
      <c r="CL518" s="3"/>
      <c r="CN518" s="5"/>
      <c r="CR518" s="3"/>
      <c r="CS518" s="3"/>
      <c r="CT518" s="5"/>
      <c r="CV518" s="3"/>
      <c r="DR518" s="5"/>
      <c r="DT518" s="3"/>
      <c r="EF518" s="7"/>
      <c r="EG518" s="7"/>
      <c r="EJ518" s="4"/>
      <c r="EK518" s="4"/>
      <c r="EU518" s="2"/>
      <c r="EV518" s="2"/>
    </row>
    <row r="519" spans="1:152">
      <c r="A519" s="125">
        <v>26</v>
      </c>
      <c r="B519" s="126" t="s">
        <v>203</v>
      </c>
      <c r="C519" s="126" t="s">
        <v>116</v>
      </c>
      <c r="D519" s="126" t="s">
        <v>163</v>
      </c>
      <c r="E519" s="126" t="s">
        <v>227</v>
      </c>
      <c r="F519" s="126" t="s">
        <v>35</v>
      </c>
      <c r="G519" s="126" t="s">
        <v>1577</v>
      </c>
      <c r="H519" s="126" t="s">
        <v>1575</v>
      </c>
      <c r="I519" s="126" t="s">
        <v>118</v>
      </c>
      <c r="J519" s="126"/>
      <c r="K519" s="127">
        <v>43172</v>
      </c>
      <c r="L519" s="128"/>
      <c r="M519" s="128"/>
      <c r="N519" s="126"/>
      <c r="O519" s="126" t="s">
        <v>119</v>
      </c>
      <c r="P519" s="129"/>
      <c r="Q519" s="129"/>
      <c r="R519" s="126" t="s">
        <v>24</v>
      </c>
      <c r="S519" s="126"/>
      <c r="T519" s="130" t="s">
        <v>120</v>
      </c>
      <c r="U519" s="126" t="s">
        <v>121</v>
      </c>
      <c r="V519" s="130" t="s">
        <v>120</v>
      </c>
      <c r="W519" s="126"/>
      <c r="X519" s="130" t="s">
        <v>120</v>
      </c>
      <c r="Y519" s="126"/>
      <c r="Z519" s="162" t="s">
        <v>120</v>
      </c>
      <c r="AA519" s="154"/>
      <c r="AB519" s="154"/>
      <c r="AC519" s="167"/>
      <c r="AD519" s="126" t="s">
        <v>228</v>
      </c>
      <c r="AE519" s="130" t="s">
        <v>120</v>
      </c>
      <c r="AF519" s="127"/>
      <c r="AG519" s="131"/>
      <c r="AH519" s="131"/>
      <c r="AI519" s="126" t="s">
        <v>206</v>
      </c>
      <c r="AJ519" s="130" t="s">
        <v>120</v>
      </c>
      <c r="AK519" s="126" t="s">
        <v>123</v>
      </c>
      <c r="AL519" s="126"/>
      <c r="AM519" s="130"/>
      <c r="AN519" s="126"/>
      <c r="AO519" s="132"/>
      <c r="AP519" s="126"/>
      <c r="AQ519" s="126"/>
      <c r="AR519" s="130"/>
      <c r="AS519" s="126"/>
      <c r="AT519" s="127"/>
      <c r="AU519" s="127">
        <v>43453.378914351902</v>
      </c>
      <c r="AV519" s="127"/>
      <c r="AW519" s="127"/>
      <c r="AX519" s="127"/>
      <c r="AY519" s="127"/>
      <c r="AZ519" s="133">
        <v>43172</v>
      </c>
      <c r="BA51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9" s="135">
        <f>COUNTIFS(_05preva_view43[Site ID],_05preva_view43[[#This Row],[Site ID]],_05preva_view43[Prevalidation Status],"Under Prevalidation")</f>
        <v>0</v>
      </c>
      <c r="BC519" s="153" t="str">
        <f ca="1">HYPERLINK(CheckPath(_05preva_view43[[#This Row],[File Path]],_05preva_view43[[#This Row],[File Path]],_05preva_view43[[#This Row],[Folder Path3]]),CheckPath(_05preva_view43[[#This Row],[File Path]],"Open File","No File"))</f>
        <v>No File</v>
      </c>
      <c r="BD519" s="136" t="str">
        <f>CONCATENATE(_05preva_view43[[#This Row],[Site ID]]," (",_05preva_view43[[#This Row],[tenant id]],") Application",IF(_05preva_view43[[#This Row],[Colo Rev]]&gt;0," Rev "&amp;_05preva_view43[[#This Row],[Colo Rev]],""),".xlsx")</f>
        <v>AYYN_0583 (YGN02364) Application.xlsx</v>
      </c>
      <c r="BE519" s="64">
        <f t="shared" ca="1" si="9"/>
        <v>50</v>
      </c>
      <c r="BF519" s="104" t="str">
        <f ca="1">LEFT(CELL("filename",A504),_05preva_view43[[#This Row],[Find Process &amp; Database]]-1)</f>
        <v>D:\OneDrive - apollo-towers.com\Apollo Towers\00-</v>
      </c>
      <c r="BG519" s="104" t="str">
        <f ca="1">_05preva_view43[Folder Path1]&amp;"Process &amp; Database\Documentation\Colo Applications"</f>
        <v>D:\OneDrive - apollo-towers.com\Apollo Towers\00-Process &amp; Database\Documentation\Colo Applications</v>
      </c>
      <c r="BH519" s="104" t="str">
        <f ca="1">_05preva_view43[Folder Path2]&amp;"\Colo App "&amp;_05preva_view43[[#This Row],[Operator]]&amp;"\"</f>
        <v>D:\OneDrive - apollo-towers.com\Apollo Towers\00-Process &amp; Database\Documentation\Colo Applications\Colo App MPT\</v>
      </c>
      <c r="BI519" s="63" t="str">
        <f ca="1">_05preva_view43[[#This Row],[Folder Path3]]&amp;_05preva_view43[[#This Row],[File Name]]</f>
        <v>D:\OneDrive - apollo-towers.com\Apollo Towers\00-Process &amp; Database\Documentation\Colo Applications\Colo App MPT\AYYN_0583 (YGN02364) Application.xlsx</v>
      </c>
      <c r="BJ519" s="104"/>
      <c r="BK519" s="3"/>
      <c r="BL519" s="3"/>
      <c r="CJ519" s="5"/>
      <c r="CK519" s="5"/>
      <c r="CL519" s="3"/>
      <c r="CN519" s="5"/>
      <c r="CR519" s="3"/>
      <c r="CS519" s="3"/>
      <c r="CT519" s="5"/>
      <c r="CV519" s="3"/>
      <c r="DR519" s="5"/>
      <c r="DT519" s="3"/>
      <c r="EF519" s="7"/>
      <c r="EG519" s="7"/>
      <c r="EJ519" s="4"/>
      <c r="EK519" s="4"/>
      <c r="EU519" s="2"/>
      <c r="EV519" s="2"/>
    </row>
    <row r="520" spans="1:152">
      <c r="A520" s="125">
        <v>27</v>
      </c>
      <c r="B520" s="126" t="s">
        <v>229</v>
      </c>
      <c r="C520" s="126" t="s">
        <v>116</v>
      </c>
      <c r="D520" s="126" t="s">
        <v>127</v>
      </c>
      <c r="E520" s="126" t="s">
        <v>230</v>
      </c>
      <c r="F520" s="126" t="s">
        <v>40</v>
      </c>
      <c r="G520" s="126" t="s">
        <v>1578</v>
      </c>
      <c r="H520" s="126" t="s">
        <v>1575</v>
      </c>
      <c r="I520" s="126" t="s">
        <v>118</v>
      </c>
      <c r="J520" s="126"/>
      <c r="K520" s="127">
        <v>43172</v>
      </c>
      <c r="L520" s="128"/>
      <c r="M520" s="128"/>
      <c r="N520" s="126"/>
      <c r="O520" s="126" t="s">
        <v>119</v>
      </c>
      <c r="P520" s="129"/>
      <c r="Q520" s="129"/>
      <c r="R520" s="126" t="s">
        <v>24</v>
      </c>
      <c r="S520" s="126"/>
      <c r="T520" s="130" t="s">
        <v>120</v>
      </c>
      <c r="U520" s="126" t="s">
        <v>121</v>
      </c>
      <c r="V520" s="130" t="s">
        <v>120</v>
      </c>
      <c r="W520" s="126"/>
      <c r="X520" s="130" t="s">
        <v>120</v>
      </c>
      <c r="Y520" s="126"/>
      <c r="Z520" s="162" t="s">
        <v>120</v>
      </c>
      <c r="AA520" s="154"/>
      <c r="AB520" s="154"/>
      <c r="AC520" s="167"/>
      <c r="AD520" s="126"/>
      <c r="AE520" s="130" t="s">
        <v>120</v>
      </c>
      <c r="AF520" s="127"/>
      <c r="AG520" s="131"/>
      <c r="AH520" s="131"/>
      <c r="AI520" s="126" t="s">
        <v>232</v>
      </c>
      <c r="AJ520" s="130" t="s">
        <v>120</v>
      </c>
      <c r="AK520" s="126"/>
      <c r="AL520" s="126" t="s">
        <v>231</v>
      </c>
      <c r="AM520" s="130"/>
      <c r="AN520" s="126"/>
      <c r="AO520" s="132"/>
      <c r="AP520" s="126"/>
      <c r="AQ520" s="126"/>
      <c r="AR520" s="130"/>
      <c r="AS520" s="126"/>
      <c r="AT520" s="127"/>
      <c r="AU520" s="127">
        <v>43453.3789159722</v>
      </c>
      <c r="AV520" s="127"/>
      <c r="AW520" s="127"/>
      <c r="AX520" s="127"/>
      <c r="AY520" s="127"/>
      <c r="AZ520" s="133">
        <v>43172</v>
      </c>
      <c r="BA52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0" s="135">
        <f>COUNTIFS(_05preva_view43[Site ID],_05preva_view43[[#This Row],[Site ID]],_05preva_view43[Prevalidation Status],"Under Prevalidation")</f>
        <v>0</v>
      </c>
      <c r="BC520" s="153" t="str">
        <f ca="1">HYPERLINK(CheckPath(_05preva_view43[[#This Row],[File Path]],_05preva_view43[[#This Row],[File Path]],_05preva_view43[[#This Row],[Folder Path3]]),CheckPath(_05preva_view43[[#This Row],[File Path]],"Open File","No File"))</f>
        <v>No File</v>
      </c>
      <c r="BD520" s="136" t="str">
        <f>CONCATENATE(_05preva_view43[[#This Row],[Site ID]]," (",_05preva_view43[[#This Row],[tenant id]],") Application",IF(_05preva_view43[[#This Row],[Colo Rev]]&gt;0," Rev "&amp;_05preva_view43[[#This Row],[Colo Rev]],""),".xlsx")</f>
        <v>ANMD_0224 (MAW2259) Application.xlsx</v>
      </c>
      <c r="BE520" s="64">
        <f t="shared" ca="1" si="9"/>
        <v>50</v>
      </c>
      <c r="BF520" s="104" t="str">
        <f ca="1">LEFT(CELL("filename",A505),_05preva_view43[[#This Row],[Find Process &amp; Database]]-1)</f>
        <v>D:\OneDrive - apollo-towers.com\Apollo Towers\00-</v>
      </c>
      <c r="BG520" s="104" t="str">
        <f ca="1">_05preva_view43[Folder Path1]&amp;"Process &amp; Database\Documentation\Colo Applications"</f>
        <v>D:\OneDrive - apollo-towers.com\Apollo Towers\00-Process &amp; Database\Documentation\Colo Applications</v>
      </c>
      <c r="BH520" s="104" t="str">
        <f ca="1">_05preva_view43[Folder Path2]&amp;"\Colo App "&amp;_05preva_view43[[#This Row],[Operator]]&amp;"\"</f>
        <v>D:\OneDrive - apollo-towers.com\Apollo Towers\00-Process &amp; Database\Documentation\Colo Applications\Colo App OML\</v>
      </c>
      <c r="BI520" s="63" t="str">
        <f ca="1">_05preva_view43[[#This Row],[Folder Path3]]&amp;_05preva_view43[[#This Row],[File Name]]</f>
        <v>D:\OneDrive - apollo-towers.com\Apollo Towers\00-Process &amp; Database\Documentation\Colo Applications\Colo App OML\ANMD_0224 (MAW2259) Application.xlsx</v>
      </c>
      <c r="BJ520" s="104"/>
      <c r="BK520" s="3"/>
      <c r="BL520" s="3"/>
      <c r="CJ520" s="5"/>
      <c r="CK520" s="5"/>
      <c r="CL520" s="3"/>
      <c r="CN520" s="5"/>
      <c r="CR520" s="3"/>
      <c r="CS520" s="3"/>
      <c r="CT520" s="5"/>
      <c r="CV520" s="3"/>
      <c r="DR520" s="5"/>
      <c r="DT520" s="3"/>
      <c r="EF520" s="7"/>
      <c r="EG520" s="7"/>
      <c r="EJ520" s="4"/>
      <c r="EK520" s="4"/>
      <c r="EU520" s="2"/>
      <c r="EV520" s="2"/>
    </row>
    <row r="521" spans="1:152">
      <c r="A521" s="125">
        <v>28</v>
      </c>
      <c r="B521" s="126" t="s">
        <v>233</v>
      </c>
      <c r="C521" s="126" t="s">
        <v>116</v>
      </c>
      <c r="D521" s="126" t="s">
        <v>163</v>
      </c>
      <c r="E521" s="126" t="s">
        <v>234</v>
      </c>
      <c r="F521" s="126" t="s">
        <v>40</v>
      </c>
      <c r="G521" s="126" t="s">
        <v>1578</v>
      </c>
      <c r="H521" s="126" t="s">
        <v>1575</v>
      </c>
      <c r="I521" s="126" t="s">
        <v>118</v>
      </c>
      <c r="J521" s="126"/>
      <c r="K521" s="127">
        <v>43172</v>
      </c>
      <c r="L521" s="128"/>
      <c r="M521" s="128"/>
      <c r="N521" s="126"/>
      <c r="O521" s="126" t="s">
        <v>119</v>
      </c>
      <c r="P521" s="129"/>
      <c r="Q521" s="129"/>
      <c r="R521" s="126" t="s">
        <v>24</v>
      </c>
      <c r="S521" s="126"/>
      <c r="T521" s="130" t="s">
        <v>120</v>
      </c>
      <c r="U521" s="126" t="s">
        <v>121</v>
      </c>
      <c r="V521" s="130" t="s">
        <v>120</v>
      </c>
      <c r="W521" s="126"/>
      <c r="X521" s="130" t="s">
        <v>120</v>
      </c>
      <c r="Y521" s="126"/>
      <c r="Z521" s="162" t="s">
        <v>120</v>
      </c>
      <c r="AA521" s="154"/>
      <c r="AB521" s="154"/>
      <c r="AC521" s="167"/>
      <c r="AD521" s="126"/>
      <c r="AE521" s="130" t="s">
        <v>120</v>
      </c>
      <c r="AF521" s="127"/>
      <c r="AG521" s="131"/>
      <c r="AH521" s="131"/>
      <c r="AI521" s="126" t="s">
        <v>235</v>
      </c>
      <c r="AJ521" s="130" t="s">
        <v>120</v>
      </c>
      <c r="AK521" s="126" t="s">
        <v>123</v>
      </c>
      <c r="AL521" s="126"/>
      <c r="AM521" s="130"/>
      <c r="AN521" s="126"/>
      <c r="AO521" s="132"/>
      <c r="AP521" s="126"/>
      <c r="AQ521" s="126"/>
      <c r="AR521" s="130"/>
      <c r="AS521" s="126"/>
      <c r="AT521" s="127"/>
      <c r="AU521" s="127">
        <v>43453.378916898102</v>
      </c>
      <c r="AV521" s="127"/>
      <c r="AW521" s="127"/>
      <c r="AX521" s="127"/>
      <c r="AY521" s="127"/>
      <c r="AZ521" s="133">
        <v>43172</v>
      </c>
      <c r="BA52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1" s="135">
        <f>COUNTIFS(_05preva_view43[Site ID],_05preva_view43[[#This Row],[Site ID]],_05preva_view43[Prevalidation Status],"Under Prevalidation")</f>
        <v>0</v>
      </c>
      <c r="BC521" s="153" t="str">
        <f ca="1">HYPERLINK(CheckPath(_05preva_view43[[#This Row],[File Path]],_05preva_view43[[#This Row],[File Path]],_05preva_view43[[#This Row],[Folder Path3]]),CheckPath(_05preva_view43[[#This Row],[File Path]],"Open File","No File"))</f>
        <v>No File</v>
      </c>
      <c r="BD521" s="136" t="str">
        <f>CONCATENATE(_05preva_view43[[#This Row],[Site ID]]," (",_05preva_view43[[#This Row],[tenant id]],") Application",IF(_05preva_view43[[#This Row],[Colo Rev]]&gt;0," Rev "&amp;_05preva_view43[[#This Row],[Colo Rev]],""),".xlsx")</f>
        <v>ASMO_0163 (MOW6065) Application.xlsx</v>
      </c>
      <c r="BE521" s="64">
        <f t="shared" ca="1" si="9"/>
        <v>50</v>
      </c>
      <c r="BF521" s="104" t="str">
        <f ca="1">LEFT(CELL("filename",A506),_05preva_view43[[#This Row],[Find Process &amp; Database]]-1)</f>
        <v>D:\OneDrive - apollo-towers.com\Apollo Towers\00-</v>
      </c>
      <c r="BG521" s="104" t="str">
        <f ca="1">_05preva_view43[Folder Path1]&amp;"Process &amp; Database\Documentation\Colo Applications"</f>
        <v>D:\OneDrive - apollo-towers.com\Apollo Towers\00-Process &amp; Database\Documentation\Colo Applications</v>
      </c>
      <c r="BH521" s="104" t="str">
        <f ca="1">_05preva_view43[Folder Path2]&amp;"\Colo App "&amp;_05preva_view43[[#This Row],[Operator]]&amp;"\"</f>
        <v>D:\OneDrive - apollo-towers.com\Apollo Towers\00-Process &amp; Database\Documentation\Colo Applications\Colo App OML\</v>
      </c>
      <c r="BI521" s="63" t="str">
        <f ca="1">_05preva_view43[[#This Row],[Folder Path3]]&amp;_05preva_view43[[#This Row],[File Name]]</f>
        <v>D:\OneDrive - apollo-towers.com\Apollo Towers\00-Process &amp; Database\Documentation\Colo Applications\Colo App OML\ASMO_0163 (MOW6065) Application.xlsx</v>
      </c>
      <c r="BJ521" s="104"/>
      <c r="BK521" s="3"/>
      <c r="BL521" s="3"/>
      <c r="CJ521" s="5"/>
      <c r="CK521" s="5"/>
      <c r="CL521" s="3"/>
      <c r="CN521" s="5"/>
      <c r="CR521" s="3"/>
      <c r="CS521" s="3"/>
      <c r="CT521" s="5"/>
      <c r="CV521" s="3"/>
      <c r="DR521" s="5"/>
      <c r="DT521" s="3"/>
      <c r="EF521" s="7"/>
      <c r="EG521" s="7"/>
      <c r="EJ521" s="4"/>
      <c r="EK521" s="4"/>
      <c r="EU521" s="2"/>
      <c r="EV521" s="2"/>
    </row>
    <row r="522" spans="1:152">
      <c r="A522" s="125">
        <v>29</v>
      </c>
      <c r="B522" s="126" t="s">
        <v>236</v>
      </c>
      <c r="C522" s="126" t="s">
        <v>116</v>
      </c>
      <c r="D522" s="126" t="s">
        <v>163</v>
      </c>
      <c r="E522" s="126" t="s">
        <v>237</v>
      </c>
      <c r="F522" s="126" t="s">
        <v>40</v>
      </c>
      <c r="G522" s="126" t="s">
        <v>118</v>
      </c>
      <c r="H522" s="126"/>
      <c r="I522" s="126" t="s">
        <v>118</v>
      </c>
      <c r="J522" s="126"/>
      <c r="K522" s="127">
        <v>43172</v>
      </c>
      <c r="L522" s="128"/>
      <c r="M522" s="128"/>
      <c r="N522" s="126"/>
      <c r="O522" s="126" t="s">
        <v>119</v>
      </c>
      <c r="P522" s="129"/>
      <c r="Q522" s="129"/>
      <c r="R522" s="126" t="s">
        <v>26</v>
      </c>
      <c r="S522" s="126"/>
      <c r="T522" s="130" t="s">
        <v>120</v>
      </c>
      <c r="U522" s="126" t="s">
        <v>121</v>
      </c>
      <c r="V522" s="130" t="s">
        <v>120</v>
      </c>
      <c r="W522" s="126"/>
      <c r="X522" s="130"/>
      <c r="Y522" s="126" t="s">
        <v>238</v>
      </c>
      <c r="Z522" s="162" t="s">
        <v>125</v>
      </c>
      <c r="AA522" s="154"/>
      <c r="AB522" s="154"/>
      <c r="AC522" s="167"/>
      <c r="AD522" s="126" t="s">
        <v>239</v>
      </c>
      <c r="AE522" s="130" t="s">
        <v>120</v>
      </c>
      <c r="AF522" s="127" t="s">
        <v>241</v>
      </c>
      <c r="AG522" s="131"/>
      <c r="AH522" s="131">
        <v>3.5</v>
      </c>
      <c r="AI522" s="126" t="s">
        <v>242</v>
      </c>
      <c r="AJ522" s="130" t="s">
        <v>120</v>
      </c>
      <c r="AK522" s="126" t="s">
        <v>240</v>
      </c>
      <c r="AL522" s="126" t="s">
        <v>139</v>
      </c>
      <c r="AM522" s="130"/>
      <c r="AN522" s="126"/>
      <c r="AO522" s="132"/>
      <c r="AP522" s="126"/>
      <c r="AQ522" s="126"/>
      <c r="AR522" s="130"/>
      <c r="AS522" s="126"/>
      <c r="AT522" s="127"/>
      <c r="AU522" s="127">
        <v>43453.3789189815</v>
      </c>
      <c r="AV522" s="127"/>
      <c r="AW522" s="127"/>
      <c r="AX522" s="127"/>
      <c r="AY522" s="127"/>
      <c r="AZ522" s="133">
        <v>43172</v>
      </c>
      <c r="BA52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2" s="135">
        <f>COUNTIFS(_05preva_view43[Site ID],_05preva_view43[[#This Row],[Site ID]],_05preva_view43[Prevalidation Status],"Under Prevalidation")</f>
        <v>0</v>
      </c>
      <c r="BC522" s="153" t="str">
        <f ca="1">HYPERLINK(CheckPath(_05preva_view43[[#This Row],[File Path]],_05preva_view43[[#This Row],[File Path]],_05preva_view43[[#This Row],[Folder Path3]]),CheckPath(_05preva_view43[[#This Row],[File Path]],"Open File","No File"))</f>
        <v>No File</v>
      </c>
      <c r="BD522" s="136" t="str">
        <f>CONCATENATE(_05preva_view43[[#This Row],[Site ID]]," (",_05preva_view43[[#This Row],[tenant id]],") Application",IF(_05preva_view43[[#This Row],[Colo Rev]]&gt;0," Rev "&amp;_05preva_view43[[#This Row],[Colo Rev]],""),".xlsx")</f>
        <v>AYYN_0338 (YAW4265) Application.xlsx</v>
      </c>
      <c r="BE522" s="64">
        <f t="shared" ca="1" si="9"/>
        <v>50</v>
      </c>
      <c r="BF522" s="104" t="str">
        <f ca="1">LEFT(CELL("filename",A507),_05preva_view43[[#This Row],[Find Process &amp; Database]]-1)</f>
        <v>D:\OneDrive - apollo-towers.com\Apollo Towers\00-</v>
      </c>
      <c r="BG522" s="104" t="str">
        <f ca="1">_05preva_view43[Folder Path1]&amp;"Process &amp; Database\Documentation\Colo Applications"</f>
        <v>D:\OneDrive - apollo-towers.com\Apollo Towers\00-Process &amp; Database\Documentation\Colo Applications</v>
      </c>
      <c r="BH522" s="104" t="str">
        <f ca="1">_05preva_view43[Folder Path2]&amp;"\Colo App "&amp;_05preva_view43[[#This Row],[Operator]]&amp;"\"</f>
        <v>D:\OneDrive - apollo-towers.com\Apollo Towers\00-Process &amp; Database\Documentation\Colo Applications\Colo App OML\</v>
      </c>
      <c r="BI522" s="63" t="str">
        <f ca="1">_05preva_view43[[#This Row],[Folder Path3]]&amp;_05preva_view43[[#This Row],[File Name]]</f>
        <v>D:\OneDrive - apollo-towers.com\Apollo Towers\00-Process &amp; Database\Documentation\Colo Applications\Colo App OML\AYYN_0338 (YAW4265) Application.xlsx</v>
      </c>
      <c r="BJ522" s="104"/>
      <c r="BK522" s="3"/>
      <c r="BL522" s="3"/>
      <c r="CJ522" s="5"/>
      <c r="CK522" s="5"/>
      <c r="CL522" s="3"/>
      <c r="CN522" s="5"/>
      <c r="CR522" s="3"/>
      <c r="CS522" s="3"/>
      <c r="CT522" s="5"/>
      <c r="CV522" s="3"/>
      <c r="DR522" s="5"/>
      <c r="DT522" s="3"/>
      <c r="EF522" s="7"/>
      <c r="EG522" s="7"/>
      <c r="EJ522" s="4"/>
      <c r="EK522" s="4"/>
      <c r="EU522" s="2"/>
      <c r="EV522" s="2"/>
    </row>
    <row r="523" spans="1:152">
      <c r="A523" s="125">
        <v>30</v>
      </c>
      <c r="B523" s="126" t="s">
        <v>243</v>
      </c>
      <c r="C523" s="126" t="s">
        <v>116</v>
      </c>
      <c r="D523" s="126" t="s">
        <v>163</v>
      </c>
      <c r="E523" s="126" t="s">
        <v>244</v>
      </c>
      <c r="F523" s="126" t="s">
        <v>40</v>
      </c>
      <c r="G523" s="126" t="s">
        <v>118</v>
      </c>
      <c r="H523" s="126"/>
      <c r="I523" s="126" t="s">
        <v>118</v>
      </c>
      <c r="J523" s="126"/>
      <c r="K523" s="127">
        <v>43172</v>
      </c>
      <c r="L523" s="128"/>
      <c r="M523" s="128"/>
      <c r="N523" s="126"/>
      <c r="O523" s="126" t="s">
        <v>119</v>
      </c>
      <c r="P523" s="129"/>
      <c r="Q523" s="129"/>
      <c r="R523" s="126" t="s">
        <v>24</v>
      </c>
      <c r="S523" s="126"/>
      <c r="T523" s="130" t="s">
        <v>120</v>
      </c>
      <c r="U523" s="126" t="s">
        <v>121</v>
      </c>
      <c r="V523" s="130" t="s">
        <v>125</v>
      </c>
      <c r="W523" s="126" t="s">
        <v>246</v>
      </c>
      <c r="X523" s="130" t="s">
        <v>120</v>
      </c>
      <c r="Y523" s="126"/>
      <c r="Z523" s="162" t="s">
        <v>125</v>
      </c>
      <c r="AA523" s="154"/>
      <c r="AB523" s="154"/>
      <c r="AC523" s="167"/>
      <c r="AD523" s="126" t="s">
        <v>239</v>
      </c>
      <c r="AE523" s="130" t="s">
        <v>125</v>
      </c>
      <c r="AF523" s="127"/>
      <c r="AG523" s="131"/>
      <c r="AH523" s="131"/>
      <c r="AI523" s="126" t="s">
        <v>245</v>
      </c>
      <c r="AJ523" s="130" t="s">
        <v>120</v>
      </c>
      <c r="AK523" s="126" t="s">
        <v>123</v>
      </c>
      <c r="AL523" s="126"/>
      <c r="AM523" s="130"/>
      <c r="AN523" s="126"/>
      <c r="AO523" s="132"/>
      <c r="AP523" s="126"/>
      <c r="AQ523" s="126"/>
      <c r="AR523" s="130"/>
      <c r="AS523" s="126"/>
      <c r="AT523" s="127"/>
      <c r="AU523" s="127"/>
      <c r="AV523" s="127"/>
      <c r="AW523" s="127"/>
      <c r="AX523" s="127"/>
      <c r="AY523" s="127"/>
      <c r="AZ523" s="133"/>
      <c r="BA52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3" s="135">
        <f>COUNTIFS(_05preva_view43[Site ID],_05preva_view43[[#This Row],[Site ID]],_05preva_view43[Prevalidation Status],"Under Prevalidation")</f>
        <v>0</v>
      </c>
      <c r="BC523" s="153" t="str">
        <f ca="1">HYPERLINK(CheckPath(_05preva_view43[[#This Row],[File Path]],_05preva_view43[[#This Row],[File Path]],_05preva_view43[[#This Row],[Folder Path3]]),CheckPath(_05preva_view43[[#This Row],[File Path]],"Open File","No File"))</f>
        <v>No File</v>
      </c>
      <c r="BD523" s="136" t="str">
        <f>CONCATENATE(_05preva_view43[[#This Row],[Site ID]]," (",_05preva_view43[[#This Row],[tenant id]],") Application",IF(_05preva_view43[[#This Row],[Colo Rev]]&gt;0," Rev "&amp;_05preva_view43[[#This Row],[Colo Rev]],""),".xlsx")</f>
        <v>AYYN_0611 (YAW4436) Application.xlsx</v>
      </c>
      <c r="BE523" s="64">
        <f t="shared" ca="1" si="9"/>
        <v>50</v>
      </c>
      <c r="BF523" s="104" t="str">
        <f ca="1">LEFT(CELL("filename",A508),_05preva_view43[[#This Row],[Find Process &amp; Database]]-1)</f>
        <v>D:\OneDrive - apollo-towers.com\Apollo Towers\00-</v>
      </c>
      <c r="BG523" s="104" t="str">
        <f ca="1">_05preva_view43[Folder Path1]&amp;"Process &amp; Database\Documentation\Colo Applications"</f>
        <v>D:\OneDrive - apollo-towers.com\Apollo Towers\00-Process &amp; Database\Documentation\Colo Applications</v>
      </c>
      <c r="BH523" s="104" t="str">
        <f ca="1">_05preva_view43[Folder Path2]&amp;"\Colo App "&amp;_05preva_view43[[#This Row],[Operator]]&amp;"\"</f>
        <v>D:\OneDrive - apollo-towers.com\Apollo Towers\00-Process &amp; Database\Documentation\Colo Applications\Colo App OML\</v>
      </c>
      <c r="BI523" s="63" t="str">
        <f ca="1">_05preva_view43[[#This Row],[Folder Path3]]&amp;_05preva_view43[[#This Row],[File Name]]</f>
        <v>D:\OneDrive - apollo-towers.com\Apollo Towers\00-Process &amp; Database\Documentation\Colo Applications\Colo App OML\AYYN_0611 (YAW4436) Application.xlsx</v>
      </c>
      <c r="BJ523" s="104"/>
      <c r="BK523" s="3"/>
      <c r="BL523" s="3"/>
      <c r="CJ523" s="5"/>
      <c r="CK523" s="5"/>
      <c r="CL523" s="3"/>
      <c r="CN523" s="5"/>
      <c r="CR523" s="3"/>
      <c r="CS523" s="3"/>
      <c r="CT523" s="5"/>
      <c r="CV523" s="3"/>
      <c r="DR523" s="5"/>
      <c r="DT523" s="3"/>
      <c r="EF523" s="7"/>
      <c r="EG523" s="7"/>
      <c r="EJ523" s="4"/>
      <c r="EK523" s="4"/>
      <c r="EU523" s="2"/>
      <c r="EV523" s="2"/>
    </row>
    <row r="524" spans="1:152">
      <c r="A524" s="125">
        <v>31</v>
      </c>
      <c r="B524" s="126" t="s">
        <v>247</v>
      </c>
      <c r="C524" s="126" t="s">
        <v>116</v>
      </c>
      <c r="D524" s="126" t="s">
        <v>163</v>
      </c>
      <c r="E524" s="126" t="s">
        <v>248</v>
      </c>
      <c r="F524" s="126" t="s">
        <v>40</v>
      </c>
      <c r="G524" s="126"/>
      <c r="H524" s="126"/>
      <c r="I524" s="126"/>
      <c r="J524" s="126"/>
      <c r="K524" s="127">
        <v>43172</v>
      </c>
      <c r="L524" s="128"/>
      <c r="M524" s="128"/>
      <c r="N524" s="126"/>
      <c r="O524" s="126" t="s">
        <v>119</v>
      </c>
      <c r="P524" s="129"/>
      <c r="Q524" s="129"/>
      <c r="R524" s="126" t="s">
        <v>27</v>
      </c>
      <c r="S524" s="126"/>
      <c r="T524" s="130" t="s">
        <v>120</v>
      </c>
      <c r="U524" s="126" t="s">
        <v>121</v>
      </c>
      <c r="V524" s="130" t="s">
        <v>120</v>
      </c>
      <c r="W524" s="126"/>
      <c r="X524" s="130"/>
      <c r="Y524" s="126" t="s">
        <v>238</v>
      </c>
      <c r="Z524" s="162" t="s">
        <v>120</v>
      </c>
      <c r="AA524" s="154"/>
      <c r="AB524" s="154"/>
      <c r="AC524" s="167"/>
      <c r="AD524" s="126"/>
      <c r="AE524" s="130" t="s">
        <v>120</v>
      </c>
      <c r="AF524" s="127"/>
      <c r="AG524" s="131"/>
      <c r="AH524" s="131"/>
      <c r="AI524" s="126" t="s">
        <v>249</v>
      </c>
      <c r="AJ524" s="130" t="s">
        <v>120</v>
      </c>
      <c r="AK524" s="126" t="s">
        <v>240</v>
      </c>
      <c r="AL524" s="126"/>
      <c r="AM524" s="130"/>
      <c r="AN524" s="126"/>
      <c r="AO524" s="132"/>
      <c r="AP524" s="126"/>
      <c r="AQ524" s="126"/>
      <c r="AR524" s="130"/>
      <c r="AS524" s="126"/>
      <c r="AT524" s="127"/>
      <c r="AU524" s="127">
        <v>43453.378921296302</v>
      </c>
      <c r="AV524" s="127"/>
      <c r="AW524" s="127"/>
      <c r="AX524" s="127"/>
      <c r="AY524" s="127"/>
      <c r="AZ524" s="133">
        <v>43172</v>
      </c>
      <c r="BA52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4" s="135">
        <f>COUNTIFS(_05preva_view43[Site ID],_05preva_view43[[#This Row],[Site ID]],_05preva_view43[Prevalidation Status],"Under Prevalidation")</f>
        <v>0</v>
      </c>
      <c r="BC524" s="153" t="str">
        <f ca="1">HYPERLINK(CheckPath(_05preva_view43[[#This Row],[File Path]],_05preva_view43[[#This Row],[File Path]],_05preva_view43[[#This Row],[Folder Path3]]),CheckPath(_05preva_view43[[#This Row],[File Path]],"Open File","No File"))</f>
        <v>No File</v>
      </c>
      <c r="BD524" s="136" t="str">
        <f>CONCATENATE(_05preva_view43[[#This Row],[Site ID]]," (",_05preva_view43[[#This Row],[tenant id]],") Application",IF(_05preva_view43[[#This Row],[Colo Rev]]&gt;0," Rev "&amp;_05preva_view43[[#This Row],[Colo Rev]],""),".xlsx")</f>
        <v>AYYN_0529 (YAW4447) Application.xlsx</v>
      </c>
      <c r="BE524" s="64">
        <f t="shared" ca="1" si="9"/>
        <v>50</v>
      </c>
      <c r="BF524" s="104" t="str">
        <f ca="1">LEFT(CELL("filename",A509),_05preva_view43[[#This Row],[Find Process &amp; Database]]-1)</f>
        <v>D:\OneDrive - apollo-towers.com\Apollo Towers\00-</v>
      </c>
      <c r="BG524" s="104" t="str">
        <f ca="1">_05preva_view43[Folder Path1]&amp;"Process &amp; Database\Documentation\Colo Applications"</f>
        <v>D:\OneDrive - apollo-towers.com\Apollo Towers\00-Process &amp; Database\Documentation\Colo Applications</v>
      </c>
      <c r="BH524" s="104" t="str">
        <f ca="1">_05preva_view43[Folder Path2]&amp;"\Colo App "&amp;_05preva_view43[[#This Row],[Operator]]&amp;"\"</f>
        <v>D:\OneDrive - apollo-towers.com\Apollo Towers\00-Process &amp; Database\Documentation\Colo Applications\Colo App OML\</v>
      </c>
      <c r="BI524" s="63" t="str">
        <f ca="1">_05preva_view43[[#This Row],[Folder Path3]]&amp;_05preva_view43[[#This Row],[File Name]]</f>
        <v>D:\OneDrive - apollo-towers.com\Apollo Towers\00-Process &amp; Database\Documentation\Colo Applications\Colo App OML\AYYN_0529 (YAW4447) Application.xlsx</v>
      </c>
      <c r="BJ524" s="104"/>
      <c r="BK524" s="3"/>
      <c r="BL524" s="3"/>
      <c r="CJ524" s="5"/>
      <c r="CK524" s="5"/>
      <c r="CL524" s="3"/>
      <c r="CN524" s="5"/>
      <c r="CR524" s="3"/>
      <c r="CS524" s="3"/>
      <c r="CT524" s="5"/>
      <c r="CV524" s="3"/>
      <c r="DR524" s="5"/>
      <c r="DT524" s="3"/>
      <c r="EF524" s="7"/>
      <c r="EG524" s="7"/>
      <c r="EJ524" s="4"/>
      <c r="EK524" s="4"/>
      <c r="EU524" s="2"/>
      <c r="EV524" s="2"/>
    </row>
    <row r="525" spans="1:152">
      <c r="A525" s="112">
        <v>32</v>
      </c>
      <c r="B525" s="113" t="s">
        <v>250</v>
      </c>
      <c r="C525" s="113" t="s">
        <v>116</v>
      </c>
      <c r="D525" s="113" t="s">
        <v>127</v>
      </c>
      <c r="E525" s="113" t="s">
        <v>251</v>
      </c>
      <c r="F525" s="113" t="s">
        <v>40</v>
      </c>
      <c r="G525" s="113" t="s">
        <v>1578</v>
      </c>
      <c r="H525" s="113" t="s">
        <v>1575</v>
      </c>
      <c r="I525" s="113" t="s">
        <v>118</v>
      </c>
      <c r="J525" s="113"/>
      <c r="K525" s="114">
        <v>43172</v>
      </c>
      <c r="L525" s="115"/>
      <c r="M525" s="115"/>
      <c r="N525" s="113"/>
      <c r="O525" s="113" t="s">
        <v>119</v>
      </c>
      <c r="P525" s="116"/>
      <c r="Q525" s="116"/>
      <c r="R525" s="113" t="s">
        <v>24</v>
      </c>
      <c r="S525" s="113"/>
      <c r="T525" s="117" t="s">
        <v>120</v>
      </c>
      <c r="U525" s="113" t="s">
        <v>121</v>
      </c>
      <c r="V525" s="117" t="s">
        <v>120</v>
      </c>
      <c r="W525" s="113"/>
      <c r="X525" s="117" t="s">
        <v>120</v>
      </c>
      <c r="Y525" s="113"/>
      <c r="Z525" s="164" t="s">
        <v>120</v>
      </c>
      <c r="AA525" s="166"/>
      <c r="AB525" s="166"/>
      <c r="AC525" s="169"/>
      <c r="AD525" s="113" t="s">
        <v>252</v>
      </c>
      <c r="AE525" s="117" t="s">
        <v>120</v>
      </c>
      <c r="AF525" s="114"/>
      <c r="AG525" s="118"/>
      <c r="AH525" s="118"/>
      <c r="AI525" s="113" t="s">
        <v>253</v>
      </c>
      <c r="AJ525" s="117" t="s">
        <v>120</v>
      </c>
      <c r="AK525" s="113" t="s">
        <v>123</v>
      </c>
      <c r="AL525" s="113"/>
      <c r="AM525" s="117"/>
      <c r="AN525" s="113"/>
      <c r="AO525" s="119"/>
      <c r="AP525" s="113"/>
      <c r="AQ525" s="113"/>
      <c r="AR525" s="117"/>
      <c r="AS525" s="113"/>
      <c r="AT525" s="114"/>
      <c r="AU525" s="114">
        <v>43453.378922338001</v>
      </c>
      <c r="AV525" s="114"/>
      <c r="AW525" s="114"/>
      <c r="AX525" s="114"/>
      <c r="AY525" s="114"/>
      <c r="AZ525" s="120">
        <v>43172</v>
      </c>
      <c r="BA525" s="121"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5" s="122">
        <f>COUNTIFS(_05preva_view43[Site ID],_05preva_view43[[#This Row],[Site ID]],_05preva_view43[Prevalidation Status],"Under Prevalidation")</f>
        <v>0</v>
      </c>
      <c r="BC525" s="123" t="str">
        <f ca="1">HYPERLINK(CheckPath(_05preva_view43[[#This Row],[File Path]],_05preva_view43[[#This Row],[File Path]],_05preva_view43[[#This Row],[Folder Path3]]),CheckPath(_05preva_view43[[#This Row],[File Path]],"Open File","No File"))</f>
        <v>No File</v>
      </c>
      <c r="BD525" s="124" t="str">
        <f>CONCATENATE(_05preva_view43[[#This Row],[Site ID]]," (",_05preva_view43[[#This Row],[tenant id]],") Application",IF(_05preva_view43[[#This Row],[Colo Rev]]&gt;0," Rev "&amp;_05preva_view43[[#This Row],[Colo Rev]],""),".xlsx")</f>
        <v>ANSG_0380 (SAW0729) Application.xlsx</v>
      </c>
      <c r="BE525" s="64">
        <f t="shared" ca="1" si="9"/>
        <v>50</v>
      </c>
      <c r="BF525" s="104" t="str">
        <f ca="1">LEFT(CELL("filename",A510),_05preva_view43[[#This Row],[Find Process &amp; Database]]-1)</f>
        <v>D:\OneDrive - apollo-towers.com\Apollo Towers\00-</v>
      </c>
      <c r="BG525" s="104" t="str">
        <f ca="1">_05preva_view43[Folder Path1]&amp;"Process &amp; Database\Documentation\Colo Applications"</f>
        <v>D:\OneDrive - apollo-towers.com\Apollo Towers\00-Process &amp; Database\Documentation\Colo Applications</v>
      </c>
      <c r="BH525" s="104" t="str">
        <f ca="1">_05preva_view43[Folder Path2]&amp;"\Colo App "&amp;_05preva_view43[[#This Row],[Operator]]&amp;"\"</f>
        <v>D:\OneDrive - apollo-towers.com\Apollo Towers\00-Process &amp; Database\Documentation\Colo Applications\Colo App OML\</v>
      </c>
      <c r="BI525" s="63" t="str">
        <f ca="1">_05preva_view43[[#This Row],[Folder Path3]]&amp;_05preva_view43[[#This Row],[File Name]]</f>
        <v>D:\OneDrive - apollo-towers.com\Apollo Towers\00-Process &amp; Database\Documentation\Colo Applications\Colo App OML\ANSG_0380 (SAW0729) Application.xlsx</v>
      </c>
      <c r="BJ525" s="104"/>
    </row>
  </sheetData>
  <sheetProtection insertColumns="0" insertRows="0" insertHyperlinks="0" deleteRows="0" sort="0" autoFilter="0" pivotTables="0"/>
  <conditionalFormatting sqref="Z16:AB525 T16:T525 V16:V525 X16:X525 AE16:AE525 AJ16:AJ525">
    <cfRule type="cellIs" dxfId="2695" priority="5" operator="equal">
      <formula>"Review"</formula>
    </cfRule>
  </conditionalFormatting>
  <conditionalFormatting sqref="Z16:AB525 T16:T525 V16:V525 X16:X525 AE16:AE525 AJ16:AJ525 AM16:AM525 AO16:AO525 AR16:AR525">
    <cfRule type="cellIs" dxfId="2694" priority="6" operator="equal">
      <formula>"Not Required"</formula>
    </cfRule>
    <cfRule type="cellIs" dxfId="2693" priority="8" operator="equal">
      <formula>"Rejected"</formula>
    </cfRule>
  </conditionalFormatting>
  <conditionalFormatting sqref="Z16:AB525 T16:T525 V16:V525 X16:X525 AE16:AE525 AJ16:AJ525 AM16:AM525 AO16:AO525 AR16:AR525">
    <cfRule type="cellIs" dxfId="2692" priority="9" operator="equal">
      <formula>"OK"</formula>
    </cfRule>
  </conditionalFormatting>
  <conditionalFormatting sqref="BB16:BB525">
    <cfRule type="cellIs" dxfId="2691" priority="3" operator="lessThanOrEqual">
      <formula>1</formula>
    </cfRule>
    <cfRule type="cellIs" dxfId="2690" priority="4" operator="greaterThan">
      <formula>1</formula>
    </cfRule>
  </conditionalFormatting>
  <conditionalFormatting sqref="BA16:BA525">
    <cfRule type="colorScale" priority="1145">
      <colorScale>
        <cfvo type="min"/>
        <cfvo type="num" val="20"/>
        <cfvo type="num" val="50"/>
        <color rgb="FF63BE7B"/>
        <color rgb="FFFFEB84"/>
        <color rgb="FFF8696B"/>
      </colorScale>
    </cfRule>
  </conditionalFormatting>
  <dataValidations disablePrompts="1" count="1">
    <dataValidation type="list" allowBlank="1" showInputMessage="1" showErrorMessage="1" sqref="D13" xr:uid="{00000000-0002-0000-0200-000003000000}">
      <formula1>$F$8:$J$8</formula1>
    </dataValidation>
  </dataValidations>
  <pageMargins left="0.7" right="0.7" top="0.75" bottom="0.75" header="0.3" footer="0.3"/>
  <pageSetup paperSize="9"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1BEA-1EFF-41D8-A4CA-6AA5BD592042}">
  <sheetPr>
    <tabColor rgb="FFFFFF00"/>
  </sheetPr>
  <dimension ref="A3:B44"/>
  <sheetViews>
    <sheetView workbookViewId="0">
      <selection activeCell="A21" sqref="A21"/>
    </sheetView>
  </sheetViews>
  <sheetFormatPr defaultRowHeight="14.5"/>
  <cols>
    <col min="1" max="1" width="19.08984375" bestFit="1" customWidth="1"/>
    <col min="2" max="2" width="14.1796875" style="1" bestFit="1" customWidth="1"/>
    <col min="3" max="3" width="9.90625" bestFit="1" customWidth="1"/>
    <col min="4" max="4" width="11" bestFit="1" customWidth="1"/>
    <col min="5" max="5" width="9.90625" bestFit="1" customWidth="1"/>
    <col min="6" max="6" width="10.7265625" bestFit="1" customWidth="1"/>
  </cols>
  <sheetData>
    <row r="3" spans="1:2">
      <c r="A3" s="110" t="s">
        <v>1814</v>
      </c>
      <c r="B3" s="1" t="s">
        <v>1767</v>
      </c>
    </row>
    <row r="4" spans="1:2">
      <c r="A4" s="111" t="s">
        <v>24</v>
      </c>
      <c r="B4" s="1">
        <v>32</v>
      </c>
    </row>
    <row r="5" spans="1:2">
      <c r="A5" s="111" t="s">
        <v>25</v>
      </c>
      <c r="B5" s="1">
        <v>8</v>
      </c>
    </row>
    <row r="6" spans="1:2">
      <c r="A6" s="111" t="s">
        <v>27</v>
      </c>
      <c r="B6" s="1">
        <v>1</v>
      </c>
    </row>
    <row r="7" spans="1:2">
      <c r="A7" s="111" t="s">
        <v>1766</v>
      </c>
      <c r="B7" s="1">
        <v>41</v>
      </c>
    </row>
    <row r="8" spans="1:2">
      <c r="B8"/>
    </row>
    <row r="9" spans="1:2">
      <c r="B9"/>
    </row>
    <row r="10" spans="1:2">
      <c r="B10"/>
    </row>
    <row r="15" spans="1:2" ht="13.5" customHeight="1"/>
    <row r="25" spans="2:2">
      <c r="B25"/>
    </row>
    <row r="27" spans="2:2">
      <c r="B27"/>
    </row>
    <row r="28" spans="2:2">
      <c r="B28"/>
    </row>
    <row r="29" spans="2:2">
      <c r="B29"/>
    </row>
    <row r="30" spans="2:2">
      <c r="B30"/>
    </row>
    <row r="31" spans="2:2">
      <c r="B31"/>
    </row>
    <row r="32" spans="2:2">
      <c r="B32"/>
    </row>
    <row r="33" spans="2:2">
      <c r="B33"/>
    </row>
    <row r="34" spans="2:2">
      <c r="B34"/>
    </row>
    <row r="35" spans="2:2">
      <c r="B35"/>
    </row>
    <row r="36" spans="2:2">
      <c r="B36"/>
    </row>
    <row r="37" spans="2:2">
      <c r="B37"/>
    </row>
    <row r="38" spans="2:2">
      <c r="B38"/>
    </row>
    <row r="39" spans="2:2">
      <c r="B39"/>
    </row>
    <row r="40" spans="2:2">
      <c r="B40"/>
    </row>
    <row r="41" spans="2:2">
      <c r="B41"/>
    </row>
    <row r="42" spans="2:2">
      <c r="B42"/>
    </row>
    <row r="43" spans="2:2">
      <c r="B43"/>
    </row>
    <row r="44" spans="2:2">
      <c r="B44"/>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73D19-AA61-49D8-8F71-BF69ED5D07BB}">
  <dimension ref="A1:F5"/>
  <sheetViews>
    <sheetView workbookViewId="0">
      <selection activeCell="P21" sqref="P21"/>
    </sheetView>
  </sheetViews>
  <sheetFormatPr defaultRowHeight="14.5"/>
  <cols>
    <col min="1" max="1" width="18.08984375" style="1" bestFit="1" customWidth="1"/>
    <col min="2" max="2" width="20.453125" style="1" bestFit="1" customWidth="1"/>
    <col min="3" max="4" width="10.7265625" style="1" bestFit="1" customWidth="1"/>
    <col min="5" max="5" width="12.26953125" style="1" bestFit="1" customWidth="1"/>
    <col min="6" max="6" width="10.7265625" style="1" bestFit="1" customWidth="1"/>
    <col min="7" max="16384" width="8.7265625" style="1"/>
  </cols>
  <sheetData>
    <row r="1" spans="1:6">
      <c r="A1" s="156" t="s">
        <v>51</v>
      </c>
      <c r="B1" s="1" t="s">
        <v>25</v>
      </c>
    </row>
    <row r="3" spans="1:6">
      <c r="B3" s="156" t="s">
        <v>2126</v>
      </c>
      <c r="D3"/>
      <c r="E3"/>
      <c r="F3"/>
    </row>
    <row r="4" spans="1:6">
      <c r="B4" s="1" t="s">
        <v>120</v>
      </c>
      <c r="C4" s="1" t="s">
        <v>1766</v>
      </c>
      <c r="D4"/>
      <c r="E4"/>
      <c r="F4"/>
    </row>
    <row r="5" spans="1:6">
      <c r="A5" s="1" t="s">
        <v>1767</v>
      </c>
      <c r="B5" s="1">
        <v>8</v>
      </c>
      <c r="C5" s="1">
        <v>8</v>
      </c>
      <c r="D5"/>
      <c r="E5"/>
      <c r="F5"/>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a390e121-60b8-4fd2-9983-43b87f4d3957">
      <UserInfo>
        <DisplayName>Gurwinder Singh</DisplayName>
        <AccountId>25</AccountId>
        <AccountType/>
      </UserInfo>
      <UserInfo>
        <DisplayName>Thiri Zaw</DisplayName>
        <AccountId>35</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34678D810AEAA429F3F8783EA2E1410" ma:contentTypeVersion="4" ma:contentTypeDescription="Create a new document." ma:contentTypeScope="" ma:versionID="72914c37e4818fdafb718062b3f44480">
  <xsd:schema xmlns:xsd="http://www.w3.org/2001/XMLSchema" xmlns:xs="http://www.w3.org/2001/XMLSchema" xmlns:p="http://schemas.microsoft.com/office/2006/metadata/properties" xmlns:ns2="a390e121-60b8-4fd2-9983-43b87f4d3957" xmlns:ns3="7a19e65e-9de7-40b1-ad12-4e6965d24380" targetNamespace="http://schemas.microsoft.com/office/2006/metadata/properties" ma:root="true" ma:fieldsID="ad912b18a835f544a61463616faa274b" ns2:_="" ns3:_="">
    <xsd:import namespace="a390e121-60b8-4fd2-9983-43b87f4d3957"/>
    <xsd:import namespace="7a19e65e-9de7-40b1-ad12-4e6965d2438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90e121-60b8-4fd2-9983-43b87f4d395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a19e65e-9de7-40b1-ad12-4e6965d2438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6.xml>�� 
</file>

<file path=customXml/itemProps1.xml><?xml version="1.0" encoding="utf-8"?>
<ds:datastoreItem xmlns:ds="http://schemas.openxmlformats.org/officeDocument/2006/customXml" ds:itemID="{07729D1E-69B8-481A-980F-13E1DB8646B5}">
  <ds:schemaRefs>
    <ds:schemaRef ds:uri="7a19e65e-9de7-40b1-ad12-4e6965d24380"/>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a390e121-60b8-4fd2-9983-43b87f4d3957"/>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8D9E5103-96D3-47A5-8986-80E729D6FA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390e121-60b8-4fd2-9983-43b87f4d3957"/>
    <ds:schemaRef ds:uri="7a19e65e-9de7-40b1-ad12-4e6965d243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AF68036-B111-4B4B-A4C7-E14E2942DCD7}">
  <ds:schemaRefs>
    <ds:schemaRef ds:uri="http://www.w3.org/2001/XMLSchema"/>
  </ds:schemaRefs>
</ds:datastoreItem>
</file>

<file path=customXml/itemProps4.xml><?xml version="1.0" encoding="utf-8"?>
<ds:datastoreItem xmlns:ds="http://schemas.openxmlformats.org/officeDocument/2006/customXml" ds:itemID="{53B03E3A-D9E5-4966-9A21-D8311C4F2B36}">
  <ds:schemaRefs>
    <ds:schemaRef ds:uri="http://schemas.microsoft.com/sharepoint/v3/contenttype/forms"/>
  </ds:schemaRefs>
</ds:datastoreItem>
</file>

<file path=customXml/itemProps5.xml><?xml version="1.0" encoding="utf-8"?>
<ds:datastoreItem xmlns:ds="http://schemas.openxmlformats.org/officeDocument/2006/customXml" ds:itemID="{E783F6B9-E25C-45FE-9394-2D05B9923858}">
  <ds:schemaRefs>
    <ds:schemaRef ds:uri="http://www.w3.org/2001/XMLSchema"/>
  </ds:schemaRefs>
</ds:datastoreItem>
</file>

<file path=customXml/itemProps6.xml><?xml version="1.0" encoding="utf-8"?>
<ds:datastoreItem xmlns:ds="http://schemas.openxmlformats.org/officeDocument/2006/customXml" ds:itemID="{4B24944A-7BAC-43FE-83D1-C0BD0CBA16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Validation</vt:lpstr>
      <vt:lpstr>Pivot Graph1</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User</cp:lastModifiedBy>
  <dcterms:created xsi:type="dcterms:W3CDTF">2018-03-13T03:44:43Z</dcterms:created>
  <dcterms:modified xsi:type="dcterms:W3CDTF">2019-01-22T05:39:43Z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f0f3768b-5fd2-482e-b82a-d34d8d973a41</vt:lpwstr>
  </property>
  <property fmtid="{D5CDD505-2E9C-101B-9397-08002B2CF9AE}" pid="3" name="ConnectionInfosStorage">
    <vt:lpwstr>WorkbookXmlParts</vt:lpwstr>
  </property>
  <property fmtid="{D5CDD505-2E9C-101B-9397-08002B2CF9AE}" pid="4" name="ImportConnectionInfosXmlPartId">
    <vt:lpwstr>{AAF68036-B111-4B4B-A4C7-E14E2942DCD7}</vt:lpwstr>
  </property>
  <property fmtid="{D5CDD505-2E9C-101B-9397-08002B2CF9AE}" pid="5" name="EditConnectionInfosXmlPartId">
    <vt:lpwstr>{96D16F65-25AF-4051-82E6-9405E905A807}</vt:lpwstr>
  </property>
  <property fmtid="{D5CDD505-2E9C-101B-9397-08002B2CF9AE}" pid="6" name="ContentTypeId">
    <vt:lpwstr>0x010100334678D810AEAA429F3F8783EA2E1410</vt:lpwstr>
  </property>
</Properties>
</file>